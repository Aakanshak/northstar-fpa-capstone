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c3f57cff7e9f761c/Northstar SaaS — Revenue Forecasting^J Budget Variance ^0 Board Reporting/northstar-fpa-capstone/03-excel-model/"/>
    </mc:Choice>
  </mc:AlternateContent>
  <xr:revisionPtr revIDLastSave="2" documentId="11_3C2C1000F0C115656E40262D8363B869594C463B" xr6:coauthVersionLast="47" xr6:coauthVersionMax="47" xr10:uidLastSave="{50038FDF-3868-4174-A66A-5CC5D98E5591}"/>
  <bookViews>
    <workbookView xWindow="-108" yWindow="-108" windowWidth="23256" windowHeight="12456" xr2:uid="{00000000-000D-0000-FFFF-FFFF00000000}"/>
  </bookViews>
  <sheets>
    <sheet name="Cover &amp; Instructions" sheetId="1" r:id="rId1"/>
    <sheet name="Assumptions" sheetId="2" r:id="rId2"/>
    <sheet name="Customer ARR Ledger" sheetId="3" r:id="rId3"/>
    <sheet name="ARR Bridge" sheetId="4" r:id="rId4"/>
    <sheet name="Revenue Forecast" sheetId="5" r:id="rId5"/>
    <sheet name="Headcount &amp; Opex Plan" sheetId="6" r:id="rId6"/>
    <sheet name="Income Statement" sheetId="7" r:id="rId7"/>
    <sheet name="Balance Sheet" sheetId="8" r:id="rId8"/>
    <sheet name="Cash Flow Statement" sheetId="9" r:id="rId9"/>
    <sheet name="SaaS Metrics Dashboard" sheetId="10" r:id="rId10"/>
    <sheet name="Budget vs Actual" sheetId="11" r:id="rId11"/>
    <sheet name="Sensitivity Analysis" sheetId="12" r:id="rId12"/>
    <sheet name="Cohort LTV Analysis" sheetId="13" r:id="rId13"/>
  </sheets>
  <definedNames>
    <definedName name="_xlnm._FilterDatabase" localSheetId="2" hidden="1">'Customer ARR Ledger'!$A$3:$J$10226</definedName>
    <definedName name="CAC_Per_Logo">Assumptions!$H$20</definedName>
    <definedName name="Capex_Pct">Assumptions!$H$14</definedName>
    <definedName name="Churn_Rate">Assumptions!$H$5</definedName>
    <definedName name="Contraction_Rate">Assumptions!$H$7</definedName>
    <definedName name="Discount_Rate">Assumptions!$H$21</definedName>
    <definedName name="DPO">Assumptions!$H$16</definedName>
    <definedName name="DSO">Assumptions!$H$15</definedName>
    <definedName name="Expansion_Rate">Assumptions!$H$6</definedName>
    <definedName name="Gross_Margin">Assumptions!$H$11</definedName>
    <definedName name="Hiring_Pace">Assumptions!$H$10</definedName>
    <definedName name="Interest_Rate">Assumptions!$H$13</definedName>
    <definedName name="Ledger_Months">'Customer ARR Ledger'!$A$4:A10226</definedName>
    <definedName name="Ledger_Movement">'Customer ARR Ledger'!$J$4:J10226</definedName>
    <definedName name="Ledger_MRR">'Customer ARR Ledger'!$F$4:F10226</definedName>
    <definedName name="Ledger_Status">'Customer ARR Ledger'!$G$4:G10226</definedName>
    <definedName name="Merit_Increase">Assumptions!$H$12</definedName>
    <definedName name="Opening_Cash">Assumptions!$H$17</definedName>
    <definedName name="Opening_Debt">Assumptions!$H$18</definedName>
    <definedName name="Pipeline_Factor">Assumptions!$H$8</definedName>
    <definedName name="Sales_Cycle_Factor">Assumptions!$H$9</definedName>
    <definedName name="Scenario_Name">Assumptions!$H$25</definedName>
    <definedName name="Scenario_Select">Assumptions!$H$4</definedName>
    <definedName name="Tax_Rate">Assumptions!$H$19</definedName>
    <definedName name="Variance_Dollar">Assumptions!$H$23</definedName>
    <definedName name="Variance_Pct">Assumptions!$H$22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13" l="1"/>
  <c r="D15" i="13"/>
  <c r="C15" i="13"/>
  <c r="E14" i="13"/>
  <c r="D14" i="13"/>
  <c r="C14" i="13"/>
  <c r="E13" i="13"/>
  <c r="D13" i="13"/>
  <c r="C13" i="13"/>
  <c r="E12" i="13"/>
  <c r="D12" i="13"/>
  <c r="C12" i="13"/>
  <c r="E11" i="13"/>
  <c r="D11" i="13"/>
  <c r="C11" i="13"/>
  <c r="E10" i="13"/>
  <c r="D10" i="13"/>
  <c r="C10" i="13"/>
  <c r="E9" i="13"/>
  <c r="D9" i="13"/>
  <c r="C9" i="13"/>
  <c r="E8" i="13"/>
  <c r="D8" i="13"/>
  <c r="C8" i="13"/>
  <c r="E7" i="13"/>
  <c r="D7" i="13"/>
  <c r="C7" i="13"/>
  <c r="E6" i="13"/>
  <c r="D6" i="13"/>
  <c r="C6" i="13"/>
  <c r="E5" i="13"/>
  <c r="D5" i="13"/>
  <c r="C5" i="13"/>
  <c r="E4" i="13"/>
  <c r="D4" i="13"/>
  <c r="C4" i="13"/>
  <c r="N17" i="11"/>
  <c r="M17" i="11"/>
  <c r="L17" i="11"/>
  <c r="K17" i="11"/>
  <c r="J17" i="11"/>
  <c r="I17" i="11"/>
  <c r="H17" i="11"/>
  <c r="G17" i="11"/>
  <c r="F17" i="11"/>
  <c r="E17" i="11"/>
  <c r="D17" i="11"/>
  <c r="C17" i="11"/>
  <c r="N16" i="11"/>
  <c r="M16" i="11"/>
  <c r="L16" i="11"/>
  <c r="K16" i="11"/>
  <c r="J16" i="11"/>
  <c r="I16" i="11"/>
  <c r="H16" i="11"/>
  <c r="G16" i="11"/>
  <c r="F16" i="11"/>
  <c r="E16" i="11"/>
  <c r="D16" i="11"/>
  <c r="C16" i="11"/>
  <c r="N15" i="11"/>
  <c r="M15" i="11"/>
  <c r="L15" i="11"/>
  <c r="K15" i="11"/>
  <c r="J15" i="11"/>
  <c r="I15" i="11"/>
  <c r="H15" i="11"/>
  <c r="G15" i="11"/>
  <c r="F15" i="11"/>
  <c r="E15" i="11"/>
  <c r="D15" i="11"/>
  <c r="C15" i="11"/>
  <c r="N14" i="11"/>
  <c r="M14" i="11"/>
  <c r="L14" i="11"/>
  <c r="K14" i="11"/>
  <c r="J14" i="11"/>
  <c r="I14" i="11"/>
  <c r="H14" i="11"/>
  <c r="G14" i="11"/>
  <c r="F14" i="11"/>
  <c r="E14" i="11"/>
  <c r="D14" i="11"/>
  <c r="C14" i="11"/>
  <c r="N13" i="11"/>
  <c r="M13" i="11"/>
  <c r="L13" i="11"/>
  <c r="K13" i="11"/>
  <c r="J13" i="11"/>
  <c r="I13" i="11"/>
  <c r="H13" i="11"/>
  <c r="G13" i="11"/>
  <c r="F13" i="11"/>
  <c r="E13" i="11"/>
  <c r="D13" i="11"/>
  <c r="C13" i="11"/>
  <c r="N12" i="11"/>
  <c r="M12" i="11"/>
  <c r="L12" i="11"/>
  <c r="K12" i="11"/>
  <c r="J12" i="11"/>
  <c r="I12" i="11"/>
  <c r="H12" i="11"/>
  <c r="G12" i="11"/>
  <c r="F12" i="11"/>
  <c r="E12" i="11"/>
  <c r="D12" i="11"/>
  <c r="C12" i="11"/>
  <c r="N11" i="11"/>
  <c r="N18" i="11" s="1"/>
  <c r="N19" i="11" s="1"/>
  <c r="M11" i="11"/>
  <c r="M18" i="11" s="1"/>
  <c r="M19" i="11" s="1"/>
  <c r="L11" i="11"/>
  <c r="L18" i="11" s="1"/>
  <c r="L19" i="11" s="1"/>
  <c r="K11" i="11"/>
  <c r="J11" i="11"/>
  <c r="J18" i="11" s="1"/>
  <c r="J19" i="11" s="1"/>
  <c r="I11" i="11"/>
  <c r="I18" i="11" s="1"/>
  <c r="I19" i="11" s="1"/>
  <c r="H11" i="11"/>
  <c r="H18" i="11" s="1"/>
  <c r="H19" i="11" s="1"/>
  <c r="G11" i="11"/>
  <c r="G18" i="11" s="1"/>
  <c r="G19" i="11" s="1"/>
  <c r="F11" i="11"/>
  <c r="E11" i="11"/>
  <c r="E18" i="11" s="1"/>
  <c r="E19" i="11" s="1"/>
  <c r="D11" i="11"/>
  <c r="D18" i="11" s="1"/>
  <c r="D19" i="11" s="1"/>
  <c r="C11" i="11"/>
  <c r="C18" i="11" s="1"/>
  <c r="C19" i="11" s="1"/>
  <c r="N7" i="11"/>
  <c r="M7" i="11"/>
  <c r="L7" i="11"/>
  <c r="K7" i="11"/>
  <c r="J7" i="11"/>
  <c r="I7" i="11"/>
  <c r="H7" i="11"/>
  <c r="G7" i="11"/>
  <c r="F7" i="11"/>
  <c r="E7" i="11"/>
  <c r="D7" i="11"/>
  <c r="C7" i="11"/>
  <c r="N6" i="11"/>
  <c r="M6" i="11"/>
  <c r="L6" i="11"/>
  <c r="K6" i="11"/>
  <c r="J6" i="11"/>
  <c r="I6" i="11"/>
  <c r="H6" i="11"/>
  <c r="G6" i="11"/>
  <c r="F6" i="11"/>
  <c r="E6" i="11"/>
  <c r="D6" i="11"/>
  <c r="C6" i="11"/>
  <c r="N5" i="11"/>
  <c r="N8" i="11" s="1"/>
  <c r="M5" i="11"/>
  <c r="M8" i="11" s="1"/>
  <c r="L5" i="11"/>
  <c r="L8" i="11" s="1"/>
  <c r="K5" i="11"/>
  <c r="K8" i="11" s="1"/>
  <c r="J5" i="11"/>
  <c r="J8" i="11" s="1"/>
  <c r="I5" i="11"/>
  <c r="I8" i="11" s="1"/>
  <c r="H5" i="11"/>
  <c r="G5" i="11"/>
  <c r="F5" i="11"/>
  <c r="F8" i="11" s="1"/>
  <c r="E5" i="11"/>
  <c r="E8" i="11" s="1"/>
  <c r="D5" i="11"/>
  <c r="D8" i="11" s="1"/>
  <c r="C5" i="11"/>
  <c r="C8" i="11" s="1"/>
  <c r="N4" i="11"/>
  <c r="M4" i="11"/>
  <c r="L4" i="11"/>
  <c r="K4" i="11"/>
  <c r="J4" i="11"/>
  <c r="I4" i="11"/>
  <c r="H4" i="11"/>
  <c r="G4" i="11"/>
  <c r="F4" i="11"/>
  <c r="E4" i="11"/>
  <c r="D4" i="11"/>
  <c r="C4" i="11"/>
  <c r="N15" i="9"/>
  <c r="M15" i="9"/>
  <c r="L15" i="9"/>
  <c r="K15" i="9"/>
  <c r="J15" i="9"/>
  <c r="I15" i="9"/>
  <c r="H15" i="9"/>
  <c r="G15" i="9"/>
  <c r="F15" i="9"/>
  <c r="E15" i="9"/>
  <c r="D15" i="9"/>
  <c r="C15" i="9"/>
  <c r="C5" i="9"/>
  <c r="Z458" i="5"/>
  <c r="Y458" i="5"/>
  <c r="Z457" i="5"/>
  <c r="Y457" i="5"/>
  <c r="Z456" i="5"/>
  <c r="Y456" i="5"/>
  <c r="Z455" i="5"/>
  <c r="Y455" i="5"/>
  <c r="Z454" i="5"/>
  <c r="Y454" i="5"/>
  <c r="Z453" i="5"/>
  <c r="Y453" i="5"/>
  <c r="Z452" i="5"/>
  <c r="Y452" i="5"/>
  <c r="Z451" i="5"/>
  <c r="Y451" i="5"/>
  <c r="Z450" i="5"/>
  <c r="Y450" i="5"/>
  <c r="Z449" i="5"/>
  <c r="Y449" i="5"/>
  <c r="Z448" i="5"/>
  <c r="Y448" i="5"/>
  <c r="Z447" i="5"/>
  <c r="Y447" i="5"/>
  <c r="Z446" i="5"/>
  <c r="Y446" i="5"/>
  <c r="Z445" i="5"/>
  <c r="Y445" i="5"/>
  <c r="Z444" i="5"/>
  <c r="Y444" i="5"/>
  <c r="Z443" i="5"/>
  <c r="Y443" i="5"/>
  <c r="Z442" i="5"/>
  <c r="Y442" i="5"/>
  <c r="Z441" i="5"/>
  <c r="Y441" i="5"/>
  <c r="Z440" i="5"/>
  <c r="Y440" i="5"/>
  <c r="Z439" i="5"/>
  <c r="Y439" i="5"/>
  <c r="Z438" i="5"/>
  <c r="Y438" i="5"/>
  <c r="Z437" i="5"/>
  <c r="Y437" i="5"/>
  <c r="Z436" i="5"/>
  <c r="Y436" i="5"/>
  <c r="Z435" i="5"/>
  <c r="Y435" i="5"/>
  <c r="Z434" i="5"/>
  <c r="Y434" i="5"/>
  <c r="Z433" i="5"/>
  <c r="Y433" i="5"/>
  <c r="Z432" i="5"/>
  <c r="Y432" i="5"/>
  <c r="Z431" i="5"/>
  <c r="Y431" i="5"/>
  <c r="Z430" i="5"/>
  <c r="Y430" i="5"/>
  <c r="Z429" i="5"/>
  <c r="Y429" i="5"/>
  <c r="Z428" i="5"/>
  <c r="Y428" i="5"/>
  <c r="Z427" i="5"/>
  <c r="Y427" i="5"/>
  <c r="Z426" i="5"/>
  <c r="Y426" i="5"/>
  <c r="Z425" i="5"/>
  <c r="Y425" i="5"/>
  <c r="Z424" i="5"/>
  <c r="Y424" i="5"/>
  <c r="Z423" i="5"/>
  <c r="Y423" i="5"/>
  <c r="Z422" i="5"/>
  <c r="Y422" i="5"/>
  <c r="Z421" i="5"/>
  <c r="Y421" i="5"/>
  <c r="Z420" i="5"/>
  <c r="Y420" i="5"/>
  <c r="Z419" i="5"/>
  <c r="Y419" i="5"/>
  <c r="Z418" i="5"/>
  <c r="Y418" i="5"/>
  <c r="Z417" i="5"/>
  <c r="Y417" i="5"/>
  <c r="Z416" i="5"/>
  <c r="Y416" i="5"/>
  <c r="Z415" i="5"/>
  <c r="Y415" i="5"/>
  <c r="Z414" i="5"/>
  <c r="Y414" i="5"/>
  <c r="Z413" i="5"/>
  <c r="Y413" i="5"/>
  <c r="Z412" i="5"/>
  <c r="Y412" i="5"/>
  <c r="Z411" i="5"/>
  <c r="Y411" i="5"/>
  <c r="Z410" i="5"/>
  <c r="Y410" i="5"/>
  <c r="Z409" i="5"/>
  <c r="Y409" i="5"/>
  <c r="Z408" i="5"/>
  <c r="Y408" i="5"/>
  <c r="Z407" i="5"/>
  <c r="Y407" i="5"/>
  <c r="Z406" i="5"/>
  <c r="Y406" i="5"/>
  <c r="Z405" i="5"/>
  <c r="Y405" i="5"/>
  <c r="Z404" i="5"/>
  <c r="Y404" i="5"/>
  <c r="Z403" i="5"/>
  <c r="Y403" i="5"/>
  <c r="Z402" i="5"/>
  <c r="Y402" i="5"/>
  <c r="Z401" i="5"/>
  <c r="Y401" i="5"/>
  <c r="Z400" i="5"/>
  <c r="Y400" i="5"/>
  <c r="Z399" i="5"/>
  <c r="Y399" i="5"/>
  <c r="Z398" i="5"/>
  <c r="Y398" i="5"/>
  <c r="Z397" i="5"/>
  <c r="Y397" i="5"/>
  <c r="Z396" i="5"/>
  <c r="Y396" i="5"/>
  <c r="Z395" i="5"/>
  <c r="Y395" i="5"/>
  <c r="Z394" i="5"/>
  <c r="Y394" i="5"/>
  <c r="Z393" i="5"/>
  <c r="Y393" i="5"/>
  <c r="Z392" i="5"/>
  <c r="Y392" i="5"/>
  <c r="Z391" i="5"/>
  <c r="Y391" i="5"/>
  <c r="Z390" i="5"/>
  <c r="Y390" i="5"/>
  <c r="Z389" i="5"/>
  <c r="Y389" i="5"/>
  <c r="Z388" i="5"/>
  <c r="Y388" i="5"/>
  <c r="Z387" i="5"/>
  <c r="Y387" i="5"/>
  <c r="Z386" i="5"/>
  <c r="Y386" i="5"/>
  <c r="Z385" i="5"/>
  <c r="Y385" i="5"/>
  <c r="Z384" i="5"/>
  <c r="Y384" i="5"/>
  <c r="Z383" i="5"/>
  <c r="Y383" i="5"/>
  <c r="Z382" i="5"/>
  <c r="Y382" i="5"/>
  <c r="Z381" i="5"/>
  <c r="Y381" i="5"/>
  <c r="Z380" i="5"/>
  <c r="Y380" i="5"/>
  <c r="Z379" i="5"/>
  <c r="Y379" i="5"/>
  <c r="Z378" i="5"/>
  <c r="Y378" i="5"/>
  <c r="Z377" i="5"/>
  <c r="Y377" i="5"/>
  <c r="Z376" i="5"/>
  <c r="Y376" i="5"/>
  <c r="Z375" i="5"/>
  <c r="Y375" i="5"/>
  <c r="Z374" i="5"/>
  <c r="Y374" i="5"/>
  <c r="Z373" i="5"/>
  <c r="Y373" i="5"/>
  <c r="Z372" i="5"/>
  <c r="Y372" i="5"/>
  <c r="Z371" i="5"/>
  <c r="Y371" i="5"/>
  <c r="Z370" i="5"/>
  <c r="Y370" i="5"/>
  <c r="Z369" i="5"/>
  <c r="Y369" i="5"/>
  <c r="Z368" i="5"/>
  <c r="Y368" i="5"/>
  <c r="Z367" i="5"/>
  <c r="Y367" i="5"/>
  <c r="Z366" i="5"/>
  <c r="Y366" i="5"/>
  <c r="Z365" i="5"/>
  <c r="Y365" i="5"/>
  <c r="Z364" i="5"/>
  <c r="Y364" i="5"/>
  <c r="Z363" i="5"/>
  <c r="Y363" i="5"/>
  <c r="Z362" i="5"/>
  <c r="Y362" i="5"/>
  <c r="Z361" i="5"/>
  <c r="Y361" i="5"/>
  <c r="Z360" i="5"/>
  <c r="Y360" i="5"/>
  <c r="Z359" i="5"/>
  <c r="Y359" i="5"/>
  <c r="Z358" i="5"/>
  <c r="Y358" i="5"/>
  <c r="Z357" i="5"/>
  <c r="Y357" i="5"/>
  <c r="Z356" i="5"/>
  <c r="Y356" i="5"/>
  <c r="Z355" i="5"/>
  <c r="Y355" i="5"/>
  <c r="Z354" i="5"/>
  <c r="Y354" i="5"/>
  <c r="Z353" i="5"/>
  <c r="Y353" i="5"/>
  <c r="Z352" i="5"/>
  <c r="Y352" i="5"/>
  <c r="Z351" i="5"/>
  <c r="Y351" i="5"/>
  <c r="Z350" i="5"/>
  <c r="Y350" i="5"/>
  <c r="Z349" i="5"/>
  <c r="Y349" i="5"/>
  <c r="Z348" i="5"/>
  <c r="Y348" i="5"/>
  <c r="Z347" i="5"/>
  <c r="Y347" i="5"/>
  <c r="Z346" i="5"/>
  <c r="Y346" i="5"/>
  <c r="Z345" i="5"/>
  <c r="Y345" i="5"/>
  <c r="Z344" i="5"/>
  <c r="Y344" i="5"/>
  <c r="Z343" i="5"/>
  <c r="Y343" i="5"/>
  <c r="Z342" i="5"/>
  <c r="Y342" i="5"/>
  <c r="Z341" i="5"/>
  <c r="Y341" i="5"/>
  <c r="Z340" i="5"/>
  <c r="Y340" i="5"/>
  <c r="Z339" i="5"/>
  <c r="Y339" i="5"/>
  <c r="Z338" i="5"/>
  <c r="Y338" i="5"/>
  <c r="Z337" i="5"/>
  <c r="Y337" i="5"/>
  <c r="Z336" i="5"/>
  <c r="Y336" i="5"/>
  <c r="Z335" i="5"/>
  <c r="Y335" i="5"/>
  <c r="Z334" i="5"/>
  <c r="Y334" i="5"/>
  <c r="Z333" i="5"/>
  <c r="Y333" i="5"/>
  <c r="Z332" i="5"/>
  <c r="Y332" i="5"/>
  <c r="Z331" i="5"/>
  <c r="Y331" i="5"/>
  <c r="Z330" i="5"/>
  <c r="Y330" i="5"/>
  <c r="Z329" i="5"/>
  <c r="Y329" i="5"/>
  <c r="Z328" i="5"/>
  <c r="Y328" i="5"/>
  <c r="Z327" i="5"/>
  <c r="Y327" i="5"/>
  <c r="Z326" i="5"/>
  <c r="Y326" i="5"/>
  <c r="Z325" i="5"/>
  <c r="Y325" i="5"/>
  <c r="Z324" i="5"/>
  <c r="Y324" i="5"/>
  <c r="Z323" i="5"/>
  <c r="Y323" i="5"/>
  <c r="Z322" i="5"/>
  <c r="Y322" i="5"/>
  <c r="Z321" i="5"/>
  <c r="Y321" i="5"/>
  <c r="Z320" i="5"/>
  <c r="Y320" i="5"/>
  <c r="Z319" i="5"/>
  <c r="Y319" i="5"/>
  <c r="Z318" i="5"/>
  <c r="Y318" i="5"/>
  <c r="Z317" i="5"/>
  <c r="Y317" i="5"/>
  <c r="Z316" i="5"/>
  <c r="Y316" i="5"/>
  <c r="Z315" i="5"/>
  <c r="Y315" i="5"/>
  <c r="Z314" i="5"/>
  <c r="Y314" i="5"/>
  <c r="Z313" i="5"/>
  <c r="Y313" i="5"/>
  <c r="Z312" i="5"/>
  <c r="Y312" i="5"/>
  <c r="Z311" i="5"/>
  <c r="Y311" i="5"/>
  <c r="Z310" i="5"/>
  <c r="Y310" i="5"/>
  <c r="Z309" i="5"/>
  <c r="Y309" i="5"/>
  <c r="Z308" i="5"/>
  <c r="Y308" i="5"/>
  <c r="Z307" i="5"/>
  <c r="Y307" i="5"/>
  <c r="Z306" i="5"/>
  <c r="Y306" i="5"/>
  <c r="Z305" i="5"/>
  <c r="Y305" i="5"/>
  <c r="Z304" i="5"/>
  <c r="Y304" i="5"/>
  <c r="Z303" i="5"/>
  <c r="Y303" i="5"/>
  <c r="Z302" i="5"/>
  <c r="Y302" i="5"/>
  <c r="Z301" i="5"/>
  <c r="Y301" i="5"/>
  <c r="Z300" i="5"/>
  <c r="Y300" i="5"/>
  <c r="Z299" i="5"/>
  <c r="Y299" i="5"/>
  <c r="Z298" i="5"/>
  <c r="Y298" i="5"/>
  <c r="Z297" i="5"/>
  <c r="Y297" i="5"/>
  <c r="Z296" i="5"/>
  <c r="Y296" i="5"/>
  <c r="Z295" i="5"/>
  <c r="Y295" i="5"/>
  <c r="Z294" i="5"/>
  <c r="Y294" i="5"/>
  <c r="Z293" i="5"/>
  <c r="Y293" i="5"/>
  <c r="Z292" i="5"/>
  <c r="Y292" i="5"/>
  <c r="Z291" i="5"/>
  <c r="Y291" i="5"/>
  <c r="Z290" i="5"/>
  <c r="Y290" i="5"/>
  <c r="Z289" i="5"/>
  <c r="Y289" i="5"/>
  <c r="Z288" i="5"/>
  <c r="Y288" i="5"/>
  <c r="Z287" i="5"/>
  <c r="Y287" i="5"/>
  <c r="Z286" i="5"/>
  <c r="Y286" i="5"/>
  <c r="Z285" i="5"/>
  <c r="Y285" i="5"/>
  <c r="Z284" i="5"/>
  <c r="Y284" i="5"/>
  <c r="Z283" i="5"/>
  <c r="Y283" i="5"/>
  <c r="Z282" i="5"/>
  <c r="Y282" i="5"/>
  <c r="Z281" i="5"/>
  <c r="Y281" i="5"/>
  <c r="Z280" i="5"/>
  <c r="Y280" i="5"/>
  <c r="Z279" i="5"/>
  <c r="Y279" i="5"/>
  <c r="Z278" i="5"/>
  <c r="Y278" i="5"/>
  <c r="Z277" i="5"/>
  <c r="Y277" i="5"/>
  <c r="Z276" i="5"/>
  <c r="Y276" i="5"/>
  <c r="Z275" i="5"/>
  <c r="Y275" i="5"/>
  <c r="Z274" i="5"/>
  <c r="Y274" i="5"/>
  <c r="Z273" i="5"/>
  <c r="Y273" i="5"/>
  <c r="Z272" i="5"/>
  <c r="Y272" i="5"/>
  <c r="Z271" i="5"/>
  <c r="Y271" i="5"/>
  <c r="Z270" i="5"/>
  <c r="Y270" i="5"/>
  <c r="Z269" i="5"/>
  <c r="Y269" i="5"/>
  <c r="Z268" i="5"/>
  <c r="Y268" i="5"/>
  <c r="Z267" i="5"/>
  <c r="Y267" i="5"/>
  <c r="Z266" i="5"/>
  <c r="Y266" i="5"/>
  <c r="Z265" i="5"/>
  <c r="Y265" i="5"/>
  <c r="Z264" i="5"/>
  <c r="Y264" i="5"/>
  <c r="Z263" i="5"/>
  <c r="Y263" i="5"/>
  <c r="Z262" i="5"/>
  <c r="Y262" i="5"/>
  <c r="Z261" i="5"/>
  <c r="Y261" i="5"/>
  <c r="Z260" i="5"/>
  <c r="Y260" i="5"/>
  <c r="Z259" i="5"/>
  <c r="Y259" i="5"/>
  <c r="Z258" i="5"/>
  <c r="Y258" i="5"/>
  <c r="Z257" i="5"/>
  <c r="Y257" i="5"/>
  <c r="Z256" i="5"/>
  <c r="Y256" i="5"/>
  <c r="Z255" i="5"/>
  <c r="Y255" i="5"/>
  <c r="Z254" i="5"/>
  <c r="Y254" i="5"/>
  <c r="Z253" i="5"/>
  <c r="Y253" i="5"/>
  <c r="Z252" i="5"/>
  <c r="Y252" i="5"/>
  <c r="Z251" i="5"/>
  <c r="Y251" i="5"/>
  <c r="Z250" i="5"/>
  <c r="Y250" i="5"/>
  <c r="Z249" i="5"/>
  <c r="Y249" i="5"/>
  <c r="Z248" i="5"/>
  <c r="Y248" i="5"/>
  <c r="Z247" i="5"/>
  <c r="Y247" i="5"/>
  <c r="Z246" i="5"/>
  <c r="Y246" i="5"/>
  <c r="Z245" i="5"/>
  <c r="Y245" i="5"/>
  <c r="Z244" i="5"/>
  <c r="Y244" i="5"/>
  <c r="Z243" i="5"/>
  <c r="Y243" i="5"/>
  <c r="Z242" i="5"/>
  <c r="Y242" i="5"/>
  <c r="Z241" i="5"/>
  <c r="Y241" i="5"/>
  <c r="Z240" i="5"/>
  <c r="Y240" i="5"/>
  <c r="Z239" i="5"/>
  <c r="Y239" i="5"/>
  <c r="Z238" i="5"/>
  <c r="Y238" i="5"/>
  <c r="Z237" i="5"/>
  <c r="Y237" i="5"/>
  <c r="Z236" i="5"/>
  <c r="Y236" i="5"/>
  <c r="Z235" i="5"/>
  <c r="Y235" i="5"/>
  <c r="Z234" i="5"/>
  <c r="Y234" i="5"/>
  <c r="Z233" i="5"/>
  <c r="Y233" i="5"/>
  <c r="Z232" i="5"/>
  <c r="Y232" i="5"/>
  <c r="Z231" i="5"/>
  <c r="Y231" i="5"/>
  <c r="Z230" i="5"/>
  <c r="Y230" i="5"/>
  <c r="Z229" i="5"/>
  <c r="Y229" i="5"/>
  <c r="Z228" i="5"/>
  <c r="Y228" i="5"/>
  <c r="Z227" i="5"/>
  <c r="Y227" i="5"/>
  <c r="Z226" i="5"/>
  <c r="Y226" i="5"/>
  <c r="Z225" i="5"/>
  <c r="Y225" i="5"/>
  <c r="Z224" i="5"/>
  <c r="Y224" i="5"/>
  <c r="Z223" i="5"/>
  <c r="Y223" i="5"/>
  <c r="Z222" i="5"/>
  <c r="Y222" i="5"/>
  <c r="Z221" i="5"/>
  <c r="Y221" i="5"/>
  <c r="Z220" i="5"/>
  <c r="Y220" i="5"/>
  <c r="Z219" i="5"/>
  <c r="Y219" i="5"/>
  <c r="Z218" i="5"/>
  <c r="Y218" i="5"/>
  <c r="Z217" i="5"/>
  <c r="Y217" i="5"/>
  <c r="Z216" i="5"/>
  <c r="Y216" i="5"/>
  <c r="Z215" i="5"/>
  <c r="Y215" i="5"/>
  <c r="Z214" i="5"/>
  <c r="Y214" i="5"/>
  <c r="Z213" i="5"/>
  <c r="Y213" i="5"/>
  <c r="Z212" i="5"/>
  <c r="Y212" i="5"/>
  <c r="Z211" i="5"/>
  <c r="Y211" i="5"/>
  <c r="Z210" i="5"/>
  <c r="Y210" i="5"/>
  <c r="Z209" i="5"/>
  <c r="Y209" i="5"/>
  <c r="Z208" i="5"/>
  <c r="Y208" i="5"/>
  <c r="Z207" i="5"/>
  <c r="Y207" i="5"/>
  <c r="Z206" i="5"/>
  <c r="Y206" i="5"/>
  <c r="Z205" i="5"/>
  <c r="Y205" i="5"/>
  <c r="Z204" i="5"/>
  <c r="Y204" i="5"/>
  <c r="Z203" i="5"/>
  <c r="Y203" i="5"/>
  <c r="Z202" i="5"/>
  <c r="Y202" i="5"/>
  <c r="Z201" i="5"/>
  <c r="Y201" i="5"/>
  <c r="Z200" i="5"/>
  <c r="Y200" i="5"/>
  <c r="Z199" i="5"/>
  <c r="Y199" i="5"/>
  <c r="Z198" i="5"/>
  <c r="Y198" i="5"/>
  <c r="Z197" i="5"/>
  <c r="Y197" i="5"/>
  <c r="Z196" i="5"/>
  <c r="Y196" i="5"/>
  <c r="Z195" i="5"/>
  <c r="Y195" i="5"/>
  <c r="Z194" i="5"/>
  <c r="Y194" i="5"/>
  <c r="Z193" i="5"/>
  <c r="Y193" i="5"/>
  <c r="Z192" i="5"/>
  <c r="Y192" i="5"/>
  <c r="Z191" i="5"/>
  <c r="Y191" i="5"/>
  <c r="Z190" i="5"/>
  <c r="Y190" i="5"/>
  <c r="Z189" i="5"/>
  <c r="Y189" i="5"/>
  <c r="Z188" i="5"/>
  <c r="Y188" i="5"/>
  <c r="Z187" i="5"/>
  <c r="Y187" i="5"/>
  <c r="Z186" i="5"/>
  <c r="Y186" i="5"/>
  <c r="Z185" i="5"/>
  <c r="Y185" i="5"/>
  <c r="Z184" i="5"/>
  <c r="Y184" i="5"/>
  <c r="Z183" i="5"/>
  <c r="Y183" i="5"/>
  <c r="Z182" i="5"/>
  <c r="Y182" i="5"/>
  <c r="Z181" i="5"/>
  <c r="Y181" i="5"/>
  <c r="Z180" i="5"/>
  <c r="Y180" i="5"/>
  <c r="Z179" i="5"/>
  <c r="Y179" i="5"/>
  <c r="Z178" i="5"/>
  <c r="Y178" i="5"/>
  <c r="Z177" i="5"/>
  <c r="Y177" i="5"/>
  <c r="Z176" i="5"/>
  <c r="Y176" i="5"/>
  <c r="Z175" i="5"/>
  <c r="Y175" i="5"/>
  <c r="Z174" i="5"/>
  <c r="Y174" i="5"/>
  <c r="Z173" i="5"/>
  <c r="Y173" i="5"/>
  <c r="Z172" i="5"/>
  <c r="Y172" i="5"/>
  <c r="Z171" i="5"/>
  <c r="Y171" i="5"/>
  <c r="Z170" i="5"/>
  <c r="Y170" i="5"/>
  <c r="Z169" i="5"/>
  <c r="Y169" i="5"/>
  <c r="Z168" i="5"/>
  <c r="Y168" i="5"/>
  <c r="Z167" i="5"/>
  <c r="Y167" i="5"/>
  <c r="Z166" i="5"/>
  <c r="Y166" i="5"/>
  <c r="Z165" i="5"/>
  <c r="Y165" i="5"/>
  <c r="Z164" i="5"/>
  <c r="Y164" i="5"/>
  <c r="Z163" i="5"/>
  <c r="Y163" i="5"/>
  <c r="Z162" i="5"/>
  <c r="Y162" i="5"/>
  <c r="Z161" i="5"/>
  <c r="Y161" i="5"/>
  <c r="Z160" i="5"/>
  <c r="Y160" i="5"/>
  <c r="Z159" i="5"/>
  <c r="Y159" i="5"/>
  <c r="Z158" i="5"/>
  <c r="Y158" i="5"/>
  <c r="Z157" i="5"/>
  <c r="Y157" i="5"/>
  <c r="Z156" i="5"/>
  <c r="Y156" i="5"/>
  <c r="Z155" i="5"/>
  <c r="Y155" i="5"/>
  <c r="Z154" i="5"/>
  <c r="Y154" i="5"/>
  <c r="Z153" i="5"/>
  <c r="Y153" i="5"/>
  <c r="Z152" i="5"/>
  <c r="Y152" i="5"/>
  <c r="Z151" i="5"/>
  <c r="Y151" i="5"/>
  <c r="Z150" i="5"/>
  <c r="Y150" i="5"/>
  <c r="Z149" i="5"/>
  <c r="Y149" i="5"/>
  <c r="Z148" i="5"/>
  <c r="Y148" i="5"/>
  <c r="Z147" i="5"/>
  <c r="Y147" i="5"/>
  <c r="Z146" i="5"/>
  <c r="Y146" i="5"/>
  <c r="Z145" i="5"/>
  <c r="Y145" i="5"/>
  <c r="Z144" i="5"/>
  <c r="Y144" i="5"/>
  <c r="Z143" i="5"/>
  <c r="Y143" i="5"/>
  <c r="Z142" i="5"/>
  <c r="Y142" i="5"/>
  <c r="Z141" i="5"/>
  <c r="Y141" i="5"/>
  <c r="Z140" i="5"/>
  <c r="Y140" i="5"/>
  <c r="Z139" i="5"/>
  <c r="Y139" i="5"/>
  <c r="Z138" i="5"/>
  <c r="Y138" i="5"/>
  <c r="Z137" i="5"/>
  <c r="Y137" i="5"/>
  <c r="Z136" i="5"/>
  <c r="Y136" i="5"/>
  <c r="Z135" i="5"/>
  <c r="Y135" i="5"/>
  <c r="Z134" i="5"/>
  <c r="Y134" i="5"/>
  <c r="Z133" i="5"/>
  <c r="Y133" i="5"/>
  <c r="Z132" i="5"/>
  <c r="Y132" i="5"/>
  <c r="Z131" i="5"/>
  <c r="Y131" i="5"/>
  <c r="Z130" i="5"/>
  <c r="Y130" i="5"/>
  <c r="Z129" i="5"/>
  <c r="Y129" i="5"/>
  <c r="Z128" i="5"/>
  <c r="Y128" i="5"/>
  <c r="Z127" i="5"/>
  <c r="Y127" i="5"/>
  <c r="Z126" i="5"/>
  <c r="Y126" i="5"/>
  <c r="Z125" i="5"/>
  <c r="Y125" i="5"/>
  <c r="Z124" i="5"/>
  <c r="Y124" i="5"/>
  <c r="Z123" i="5"/>
  <c r="Y123" i="5"/>
  <c r="Z122" i="5"/>
  <c r="Y122" i="5"/>
  <c r="Z121" i="5"/>
  <c r="Y121" i="5"/>
  <c r="Z120" i="5"/>
  <c r="Y120" i="5"/>
  <c r="Z119" i="5"/>
  <c r="Y119" i="5"/>
  <c r="Z118" i="5"/>
  <c r="Y118" i="5"/>
  <c r="Z117" i="5"/>
  <c r="Y117" i="5"/>
  <c r="Z116" i="5"/>
  <c r="Y116" i="5"/>
  <c r="Z115" i="5"/>
  <c r="Y115" i="5"/>
  <c r="Z114" i="5"/>
  <c r="Y114" i="5"/>
  <c r="Z113" i="5"/>
  <c r="Y113" i="5"/>
  <c r="Z112" i="5"/>
  <c r="Y112" i="5"/>
  <c r="Z111" i="5"/>
  <c r="Y111" i="5"/>
  <c r="Z110" i="5"/>
  <c r="Y110" i="5"/>
  <c r="Z109" i="5"/>
  <c r="Y109" i="5"/>
  <c r="Z108" i="5"/>
  <c r="Y108" i="5"/>
  <c r="Z107" i="5"/>
  <c r="Y107" i="5"/>
  <c r="Z106" i="5"/>
  <c r="Y106" i="5"/>
  <c r="Z105" i="5"/>
  <c r="Y105" i="5"/>
  <c r="Z104" i="5"/>
  <c r="Y104" i="5"/>
  <c r="Z103" i="5"/>
  <c r="Y103" i="5"/>
  <c r="Z102" i="5"/>
  <c r="Y102" i="5"/>
  <c r="Z101" i="5"/>
  <c r="Y101" i="5"/>
  <c r="Z100" i="5"/>
  <c r="Y100" i="5"/>
  <c r="Z99" i="5"/>
  <c r="Y99" i="5"/>
  <c r="Z98" i="5"/>
  <c r="Y98" i="5"/>
  <c r="Z97" i="5"/>
  <c r="Y97" i="5"/>
  <c r="Z96" i="5"/>
  <c r="Y96" i="5"/>
  <c r="Z95" i="5"/>
  <c r="Y95" i="5"/>
  <c r="Z94" i="5"/>
  <c r="Y94" i="5"/>
  <c r="Z93" i="5"/>
  <c r="Y93" i="5"/>
  <c r="Z92" i="5"/>
  <c r="Y92" i="5"/>
  <c r="Z91" i="5"/>
  <c r="Y91" i="5"/>
  <c r="Z90" i="5"/>
  <c r="Y90" i="5"/>
  <c r="Z89" i="5"/>
  <c r="Y89" i="5"/>
  <c r="Z88" i="5"/>
  <c r="Y88" i="5"/>
  <c r="Z87" i="5"/>
  <c r="Y87" i="5"/>
  <c r="Z86" i="5"/>
  <c r="Y86" i="5"/>
  <c r="Z85" i="5"/>
  <c r="Y85" i="5"/>
  <c r="Z84" i="5"/>
  <c r="Y84" i="5"/>
  <c r="Z83" i="5"/>
  <c r="Y83" i="5"/>
  <c r="Z82" i="5"/>
  <c r="Y82" i="5"/>
  <c r="Z81" i="5"/>
  <c r="Y81" i="5"/>
  <c r="Z80" i="5"/>
  <c r="Y80" i="5"/>
  <c r="Z79" i="5"/>
  <c r="Y79" i="5"/>
  <c r="Z78" i="5"/>
  <c r="Y78" i="5"/>
  <c r="Z77" i="5"/>
  <c r="Y77" i="5"/>
  <c r="Z76" i="5"/>
  <c r="Y76" i="5"/>
  <c r="Z75" i="5"/>
  <c r="Y75" i="5"/>
  <c r="Z74" i="5"/>
  <c r="Y74" i="5"/>
  <c r="Z73" i="5"/>
  <c r="Y73" i="5"/>
  <c r="Z72" i="5"/>
  <c r="Y72" i="5"/>
  <c r="Z71" i="5"/>
  <c r="Y71" i="5"/>
  <c r="Z70" i="5"/>
  <c r="Y70" i="5"/>
  <c r="Z69" i="5"/>
  <c r="Y69" i="5"/>
  <c r="Z68" i="5"/>
  <c r="Y68" i="5"/>
  <c r="Z67" i="5"/>
  <c r="Y67" i="5"/>
  <c r="Z66" i="5"/>
  <c r="Y66" i="5"/>
  <c r="Z65" i="5"/>
  <c r="Y65" i="5"/>
  <c r="Z64" i="5"/>
  <c r="Y64" i="5"/>
  <c r="Z63" i="5"/>
  <c r="Y63" i="5"/>
  <c r="Z62" i="5"/>
  <c r="Y62" i="5"/>
  <c r="Z61" i="5"/>
  <c r="Y61" i="5"/>
  <c r="Z60" i="5"/>
  <c r="Y60" i="5"/>
  <c r="Z59" i="5"/>
  <c r="Y59" i="5"/>
  <c r="Z58" i="5"/>
  <c r="Y58" i="5"/>
  <c r="Z57" i="5"/>
  <c r="Y57" i="5"/>
  <c r="Z56" i="5"/>
  <c r="Y56" i="5"/>
  <c r="Z55" i="5"/>
  <c r="Y55" i="5"/>
  <c r="Z54" i="5"/>
  <c r="Y54" i="5"/>
  <c r="Z53" i="5"/>
  <c r="Y53" i="5"/>
  <c r="Z52" i="5"/>
  <c r="Y52" i="5"/>
  <c r="Z51" i="5"/>
  <c r="Y51" i="5"/>
  <c r="Z50" i="5"/>
  <c r="Y50" i="5"/>
  <c r="Z49" i="5"/>
  <c r="Y49" i="5"/>
  <c r="Z48" i="5"/>
  <c r="Y48" i="5"/>
  <c r="Z47" i="5"/>
  <c r="Y47" i="5"/>
  <c r="Z46" i="5"/>
  <c r="Y46" i="5"/>
  <c r="Z45" i="5"/>
  <c r="Y45" i="5"/>
  <c r="Z44" i="5"/>
  <c r="Y44" i="5"/>
  <c r="Z43" i="5"/>
  <c r="Y43" i="5"/>
  <c r="Z42" i="5"/>
  <c r="Y42" i="5"/>
  <c r="Z41" i="5"/>
  <c r="Y41" i="5"/>
  <c r="Z40" i="5"/>
  <c r="Y40" i="5"/>
  <c r="Z39" i="5"/>
  <c r="Y39" i="5"/>
  <c r="N8" i="4"/>
  <c r="M8" i="4"/>
  <c r="L8" i="4"/>
  <c r="K8" i="4"/>
  <c r="J8" i="4"/>
  <c r="I8" i="4"/>
  <c r="H8" i="4"/>
  <c r="G8" i="4"/>
  <c r="F8" i="4"/>
  <c r="E8" i="4"/>
  <c r="D8" i="4"/>
  <c r="C8" i="4"/>
  <c r="N7" i="4"/>
  <c r="M7" i="4"/>
  <c r="L7" i="4"/>
  <c r="K7" i="4"/>
  <c r="J7" i="4"/>
  <c r="I7" i="4"/>
  <c r="H7" i="4"/>
  <c r="G7" i="4"/>
  <c r="F7" i="4"/>
  <c r="E7" i="4"/>
  <c r="D7" i="4"/>
  <c r="C7" i="4"/>
  <c r="N6" i="4"/>
  <c r="M6" i="4"/>
  <c r="L6" i="4"/>
  <c r="K6" i="4"/>
  <c r="J6" i="4"/>
  <c r="I6" i="4"/>
  <c r="H6" i="4"/>
  <c r="G6" i="4"/>
  <c r="F6" i="4"/>
  <c r="E6" i="4"/>
  <c r="D6" i="4"/>
  <c r="C6" i="4"/>
  <c r="N5" i="4"/>
  <c r="M5" i="4"/>
  <c r="L5" i="4"/>
  <c r="K5" i="4"/>
  <c r="J5" i="4"/>
  <c r="I5" i="4"/>
  <c r="H5" i="4"/>
  <c r="G5" i="4"/>
  <c r="F5" i="4"/>
  <c r="E5" i="4"/>
  <c r="D5" i="4"/>
  <c r="C5" i="4"/>
  <c r="C4" i="4"/>
  <c r="C5" i="5" s="1"/>
  <c r="H4" i="2"/>
  <c r="H17" i="2" s="1"/>
  <c r="K18" i="11" l="1"/>
  <c r="K19" i="11" s="1"/>
  <c r="H8" i="11"/>
  <c r="H9" i="11" s="1"/>
  <c r="I9" i="4"/>
  <c r="F18" i="11"/>
  <c r="F19" i="11" s="1"/>
  <c r="F13" i="13"/>
  <c r="L9" i="4"/>
  <c r="E9" i="4"/>
  <c r="G9" i="4"/>
  <c r="F5" i="13"/>
  <c r="H20" i="2"/>
  <c r="G4" i="13" s="1"/>
  <c r="K9" i="4"/>
  <c r="I9" i="11"/>
  <c r="F9" i="4"/>
  <c r="F6" i="13"/>
  <c r="J9" i="4"/>
  <c r="N9" i="11"/>
  <c r="K9" i="11"/>
  <c r="M9" i="11"/>
  <c r="G8" i="11"/>
  <c r="G9" i="11" s="1"/>
  <c r="N9" i="4"/>
  <c r="F14" i="13"/>
  <c r="C6" i="5"/>
  <c r="C9" i="4"/>
  <c r="H18" i="2"/>
  <c r="F13" i="8" s="1"/>
  <c r="F6" i="5"/>
  <c r="E9" i="11"/>
  <c r="M9" i="4"/>
  <c r="H19" i="2"/>
  <c r="F9" i="11"/>
  <c r="F12" i="13"/>
  <c r="G6" i="5"/>
  <c r="N15" i="5"/>
  <c r="J9" i="11"/>
  <c r="I24" i="5"/>
  <c r="D9" i="4"/>
  <c r="L9" i="11"/>
  <c r="H10" i="2"/>
  <c r="D7" i="6" s="1"/>
  <c r="C9" i="11"/>
  <c r="H13" i="2"/>
  <c r="C19" i="7" s="1"/>
  <c r="F11" i="13"/>
  <c r="F15" i="13"/>
  <c r="C8" i="5"/>
  <c r="C9" i="5"/>
  <c r="C7" i="5"/>
  <c r="C10" i="4"/>
  <c r="D24" i="5"/>
  <c r="H24" i="5"/>
  <c r="J8" i="10"/>
  <c r="I8" i="10"/>
  <c r="H9" i="4"/>
  <c r="H15" i="2"/>
  <c r="C24" i="1"/>
  <c r="H14" i="2"/>
  <c r="H25" i="2"/>
  <c r="H12" i="2"/>
  <c r="H23" i="2"/>
  <c r="H11" i="2"/>
  <c r="J12" i="13" s="1"/>
  <c r="H22" i="2"/>
  <c r="H21" i="2"/>
  <c r="H9" i="2"/>
  <c r="H5" i="2"/>
  <c r="K2" i="12" s="1"/>
  <c r="H6" i="2"/>
  <c r="H7" i="2"/>
  <c r="J15" i="5"/>
  <c r="C7" i="10"/>
  <c r="C6" i="10"/>
  <c r="C14" i="5"/>
  <c r="H8" i="2"/>
  <c r="M15" i="5"/>
  <c r="D9" i="11"/>
  <c r="C23" i="5"/>
  <c r="H16" i="2"/>
  <c r="E24" i="5"/>
  <c r="E15" i="5"/>
  <c r="G24" i="5"/>
  <c r="L15" i="5"/>
  <c r="E6" i="5"/>
  <c r="F24" i="5"/>
  <c r="K15" i="5"/>
  <c r="D6" i="5"/>
  <c r="C24" i="5"/>
  <c r="I15" i="5"/>
  <c r="N6" i="5"/>
  <c r="N24" i="5"/>
  <c r="G15" i="5"/>
  <c r="H15" i="5"/>
  <c r="M6" i="5"/>
  <c r="L6" i="5"/>
  <c r="M24" i="5"/>
  <c r="F15" i="5"/>
  <c r="K6" i="5"/>
  <c r="L24" i="5"/>
  <c r="D15" i="5"/>
  <c r="J6" i="5"/>
  <c r="K24" i="5"/>
  <c r="C15" i="5"/>
  <c r="I6" i="5"/>
  <c r="J24" i="5"/>
  <c r="H6" i="5"/>
  <c r="I4" i="6"/>
  <c r="I14" i="6"/>
  <c r="F4" i="13"/>
  <c r="F7" i="13"/>
  <c r="F8" i="13"/>
  <c r="F10" i="13"/>
  <c r="F9" i="13"/>
  <c r="G15" i="13"/>
  <c r="G12" i="13"/>
  <c r="G5" i="13" l="1"/>
  <c r="K4" i="6"/>
  <c r="K14" i="6"/>
  <c r="G8" i="10"/>
  <c r="I7" i="6"/>
  <c r="E8" i="10"/>
  <c r="G8" i="13"/>
  <c r="G14" i="13"/>
  <c r="M16" i="6"/>
  <c r="G6" i="13"/>
  <c r="G7" i="13"/>
  <c r="G9" i="13"/>
  <c r="H8" i="10"/>
  <c r="C6" i="6"/>
  <c r="D12" i="6"/>
  <c r="D4" i="6"/>
  <c r="F7" i="6"/>
  <c r="H13" i="6"/>
  <c r="D8" i="6"/>
  <c r="N15" i="6"/>
  <c r="J8" i="6"/>
  <c r="M14" i="6"/>
  <c r="L12" i="6"/>
  <c r="E13" i="6"/>
  <c r="N8" i="6"/>
  <c r="L5" i="6"/>
  <c r="I13" i="6"/>
  <c r="C7" i="6"/>
  <c r="L4" i="6"/>
  <c r="N14" i="6"/>
  <c r="G12" i="6"/>
  <c r="D6" i="6"/>
  <c r="H6" i="6"/>
  <c r="G13" i="6"/>
  <c r="H7" i="6"/>
  <c r="I6" i="6"/>
  <c r="C15" i="6"/>
  <c r="E16" i="6"/>
  <c r="K7" i="6"/>
  <c r="D16" i="6"/>
  <c r="H4" i="6"/>
  <c r="N4" i="6"/>
  <c r="F12" i="6"/>
  <c r="E6" i="6"/>
  <c r="D15" i="6"/>
  <c r="G13" i="13"/>
  <c r="K8" i="10"/>
  <c r="N8" i="10"/>
  <c r="G10" i="13"/>
  <c r="L8" i="10"/>
  <c r="H5" i="13"/>
  <c r="I5" i="13" s="1"/>
  <c r="F8" i="10"/>
  <c r="H9" i="13"/>
  <c r="I9" i="13" s="1"/>
  <c r="C8" i="10"/>
  <c r="G11" i="13"/>
  <c r="H8" i="13"/>
  <c r="I8" i="13" s="1"/>
  <c r="D13" i="8"/>
  <c r="D8" i="10"/>
  <c r="M8" i="10"/>
  <c r="C20" i="7"/>
  <c r="H13" i="13"/>
  <c r="I13" i="13" s="1"/>
  <c r="G13" i="8"/>
  <c r="D20" i="7"/>
  <c r="J20" i="7"/>
  <c r="H14" i="13"/>
  <c r="I14" i="13" s="1"/>
  <c r="H6" i="13"/>
  <c r="I6" i="13" s="1"/>
  <c r="N20" i="7"/>
  <c r="G20" i="7"/>
  <c r="J13" i="8"/>
  <c r="H20" i="7"/>
  <c r="H10" i="13"/>
  <c r="I10" i="13" s="1"/>
  <c r="C13" i="8"/>
  <c r="M20" i="7"/>
  <c r="K20" i="7"/>
  <c r="E13" i="8"/>
  <c r="I13" i="8"/>
  <c r="L20" i="7"/>
  <c r="H7" i="13"/>
  <c r="I7" i="13" s="1"/>
  <c r="I20" i="7"/>
  <c r="H15" i="13"/>
  <c r="I15" i="13" s="1"/>
  <c r="H13" i="8"/>
  <c r="G14" i="6"/>
  <c r="C16" i="6"/>
  <c r="L8" i="6"/>
  <c r="G16" i="6"/>
  <c r="K13" i="6"/>
  <c r="H5" i="6"/>
  <c r="E14" i="6"/>
  <c r="E8" i="6"/>
  <c r="H14" i="6"/>
  <c r="K3" i="12"/>
  <c r="I8" i="6"/>
  <c r="H8" i="6"/>
  <c r="N5" i="6"/>
  <c r="K6" i="6"/>
  <c r="K15" i="6"/>
  <c r="J12" i="6"/>
  <c r="I15" i="6"/>
  <c r="J13" i="6"/>
  <c r="E7" i="6"/>
  <c r="E5" i="6"/>
  <c r="I16" i="6"/>
  <c r="C8" i="6"/>
  <c r="F4" i="6"/>
  <c r="M13" i="6"/>
  <c r="K16" i="6"/>
  <c r="J14" i="6"/>
  <c r="C4" i="6"/>
  <c r="K12" i="6"/>
  <c r="J5" i="6"/>
  <c r="E15" i="6"/>
  <c r="M4" i="6"/>
  <c r="J15" i="6"/>
  <c r="K8" i="6"/>
  <c r="F5" i="6"/>
  <c r="D14" i="6"/>
  <c r="N6" i="6"/>
  <c r="H16" i="6"/>
  <c r="M5" i="6"/>
  <c r="J16" i="6"/>
  <c r="F16" i="6"/>
  <c r="L7" i="6"/>
  <c r="D13" i="6"/>
  <c r="C12" i="6"/>
  <c r="C5" i="6"/>
  <c r="H12" i="6"/>
  <c r="J6" i="6"/>
  <c r="H15" i="6"/>
  <c r="F8" i="6"/>
  <c r="G4" i="6"/>
  <c r="M6" i="6"/>
  <c r="K13" i="8"/>
  <c r="L13" i="8"/>
  <c r="J11" i="13"/>
  <c r="F13" i="6"/>
  <c r="F6" i="6"/>
  <c r="L13" i="6"/>
  <c r="N7" i="6"/>
  <c r="N16" i="6"/>
  <c r="N12" i="6"/>
  <c r="G5" i="6"/>
  <c r="M7" i="6"/>
  <c r="M13" i="8"/>
  <c r="E20" i="7"/>
  <c r="J10" i="13"/>
  <c r="L14" i="6"/>
  <c r="J7" i="6"/>
  <c r="F15" i="6"/>
  <c r="I12" i="6"/>
  <c r="E4" i="6"/>
  <c r="E9" i="6" s="1"/>
  <c r="F14" i="6"/>
  <c r="G6" i="6"/>
  <c r="M8" i="6"/>
  <c r="F20" i="7"/>
  <c r="N13" i="8"/>
  <c r="J13" i="13"/>
  <c r="L16" i="6"/>
  <c r="C14" i="6"/>
  <c r="I5" i="6"/>
  <c r="L15" i="6"/>
  <c r="G7" i="6"/>
  <c r="M12" i="6"/>
  <c r="E12" i="6"/>
  <c r="D5" i="6"/>
  <c r="G15" i="6"/>
  <c r="L6" i="6"/>
  <c r="J4" i="6"/>
  <c r="G8" i="6"/>
  <c r="N13" i="6"/>
  <c r="C10" i="5"/>
  <c r="D5" i="5" s="1"/>
  <c r="J6" i="13"/>
  <c r="J9" i="13"/>
  <c r="C13" i="6"/>
  <c r="M15" i="6"/>
  <c r="K5" i="6"/>
  <c r="H4" i="13"/>
  <c r="I4" i="13" s="1"/>
  <c r="J8" i="13"/>
  <c r="D4" i="4"/>
  <c r="C11" i="4"/>
  <c r="J24" i="6"/>
  <c r="J23" i="6"/>
  <c r="J22" i="6"/>
  <c r="J21" i="6"/>
  <c r="J10" i="7" s="1"/>
  <c r="J20" i="6"/>
  <c r="K24" i="6"/>
  <c r="I23" i="6"/>
  <c r="H22" i="6"/>
  <c r="G21" i="6"/>
  <c r="F20" i="6"/>
  <c r="D24" i="6"/>
  <c r="D12" i="7" s="1"/>
  <c r="C23" i="6"/>
  <c r="C11" i="7" s="1"/>
  <c r="N21" i="6"/>
  <c r="M20" i="6"/>
  <c r="L23" i="6"/>
  <c r="G22" i="6"/>
  <c r="D21" i="6"/>
  <c r="M24" i="6"/>
  <c r="G23" i="6"/>
  <c r="C22" i="6"/>
  <c r="I20" i="6"/>
  <c r="L24" i="6"/>
  <c r="F23" i="6"/>
  <c r="M21" i="6"/>
  <c r="H20" i="6"/>
  <c r="I24" i="6"/>
  <c r="E23" i="6"/>
  <c r="L21" i="6"/>
  <c r="G20" i="6"/>
  <c r="H24" i="6"/>
  <c r="D23" i="6"/>
  <c r="K21" i="6"/>
  <c r="E20" i="6"/>
  <c r="F24" i="6"/>
  <c r="F12" i="7" s="1"/>
  <c r="M22" i="6"/>
  <c r="H21" i="6"/>
  <c r="C20" i="6"/>
  <c r="G24" i="6"/>
  <c r="G12" i="7" s="1"/>
  <c r="N22" i="6"/>
  <c r="I21" i="6"/>
  <c r="I10" i="7" s="1"/>
  <c r="D20" i="6"/>
  <c r="E24" i="6"/>
  <c r="E12" i="7" s="1"/>
  <c r="L22" i="6"/>
  <c r="F21" i="6"/>
  <c r="C24" i="6"/>
  <c r="K22" i="6"/>
  <c r="E21" i="6"/>
  <c r="N23" i="6"/>
  <c r="N11" i="7" s="1"/>
  <c r="I22" i="6"/>
  <c r="C21" i="6"/>
  <c r="M23" i="6"/>
  <c r="F22" i="6"/>
  <c r="N20" i="6"/>
  <c r="N24" i="6"/>
  <c r="K23" i="6"/>
  <c r="H23" i="6"/>
  <c r="E22" i="6"/>
  <c r="D22" i="6"/>
  <c r="L20" i="6"/>
  <c r="K20" i="6"/>
  <c r="C26" i="5"/>
  <c r="C25" i="5"/>
  <c r="C27" i="5"/>
  <c r="J5" i="13"/>
  <c r="J15" i="13"/>
  <c r="C16" i="5"/>
  <c r="C18" i="5"/>
  <c r="C17" i="5"/>
  <c r="J14" i="13"/>
  <c r="H12" i="13"/>
  <c r="I12" i="13" s="1"/>
  <c r="J4" i="13"/>
  <c r="H11" i="13"/>
  <c r="I11" i="13" s="1"/>
  <c r="J7" i="13"/>
  <c r="H10" i="7" l="1"/>
  <c r="F10" i="7"/>
  <c r="M12" i="7"/>
  <c r="D10" i="7"/>
  <c r="E11" i="7"/>
  <c r="G10" i="7"/>
  <c r="D9" i="6"/>
  <c r="D11" i="7"/>
  <c r="E17" i="6"/>
  <c r="L10" i="7"/>
  <c r="J11" i="7"/>
  <c r="E10" i="7"/>
  <c r="K11" i="7"/>
  <c r="J9" i="6"/>
  <c r="J17" i="6"/>
  <c r="L12" i="7"/>
  <c r="M9" i="6"/>
  <c r="C12" i="7"/>
  <c r="N17" i="6"/>
  <c r="H17" i="6"/>
  <c r="D17" i="6"/>
  <c r="K9" i="6"/>
  <c r="H9" i="7"/>
  <c r="I12" i="7"/>
  <c r="G17" i="6"/>
  <c r="N12" i="7"/>
  <c r="H12" i="7"/>
  <c r="K12" i="7"/>
  <c r="C9" i="6"/>
  <c r="G9" i="7"/>
  <c r="G9" i="6"/>
  <c r="N9" i="6"/>
  <c r="H9" i="6"/>
  <c r="C9" i="7"/>
  <c r="I9" i="7"/>
  <c r="J12" i="7"/>
  <c r="N10" i="7"/>
  <c r="K17" i="6"/>
  <c r="F11" i="7"/>
  <c r="C17" i="6"/>
  <c r="I17" i="6"/>
  <c r="L17" i="6"/>
  <c r="F9" i="7"/>
  <c r="L11" i="7"/>
  <c r="F17" i="6"/>
  <c r="I9" i="6"/>
  <c r="E9" i="7"/>
  <c r="C34" i="5"/>
  <c r="C4" i="10" s="1"/>
  <c r="C5" i="10" s="1"/>
  <c r="C9" i="10" s="1"/>
  <c r="C10" i="10" s="1"/>
  <c r="F9" i="6"/>
  <c r="K10" i="7"/>
  <c r="C11" i="5"/>
  <c r="C33" i="5" s="1"/>
  <c r="C4" i="7" s="1"/>
  <c r="I11" i="7"/>
  <c r="L9" i="6"/>
  <c r="C28" i="5"/>
  <c r="C29" i="5" s="1"/>
  <c r="M17" i="6"/>
  <c r="C19" i="5"/>
  <c r="D14" i="5" s="1"/>
  <c r="M10" i="7"/>
  <c r="G11" i="7"/>
  <c r="G13" i="7" s="1"/>
  <c r="H11" i="7"/>
  <c r="N9" i="7"/>
  <c r="D9" i="7"/>
  <c r="J25" i="6"/>
  <c r="M11" i="7"/>
  <c r="J9" i="7"/>
  <c r="C10" i="7"/>
  <c r="L25" i="6"/>
  <c r="M9" i="7"/>
  <c r="K25" i="6"/>
  <c r="F25" i="6"/>
  <c r="F27" i="6" s="1"/>
  <c r="D6" i="10"/>
  <c r="D7" i="10"/>
  <c r="D10" i="4"/>
  <c r="K9" i="7"/>
  <c r="E25" i="6"/>
  <c r="I25" i="6"/>
  <c r="N25" i="6"/>
  <c r="D25" i="6"/>
  <c r="G25" i="6"/>
  <c r="L9" i="7"/>
  <c r="M25" i="6"/>
  <c r="M27" i="6" s="1"/>
  <c r="C25" i="6"/>
  <c r="H25" i="6"/>
  <c r="D7" i="5"/>
  <c r="D9" i="5"/>
  <c r="D8" i="5"/>
  <c r="E27" i="6" l="1"/>
  <c r="D13" i="7"/>
  <c r="E13" i="7"/>
  <c r="E11" i="8" s="1"/>
  <c r="H27" i="6"/>
  <c r="C27" i="6"/>
  <c r="J27" i="6"/>
  <c r="C20" i="5"/>
  <c r="N27" i="6"/>
  <c r="F13" i="7"/>
  <c r="F7" i="8" s="1"/>
  <c r="J13" i="7"/>
  <c r="J11" i="8" s="1"/>
  <c r="I13" i="7"/>
  <c r="I7" i="8" s="1"/>
  <c r="G27" i="6"/>
  <c r="H13" i="7"/>
  <c r="H11" i="8" s="1"/>
  <c r="D27" i="6"/>
  <c r="C13" i="7"/>
  <c r="C7" i="8" s="1"/>
  <c r="C7" i="9" s="1"/>
  <c r="K27" i="6"/>
  <c r="D23" i="5"/>
  <c r="D27" i="5" s="1"/>
  <c r="N13" i="7"/>
  <c r="N7" i="8" s="1"/>
  <c r="I27" i="6"/>
  <c r="L27" i="6"/>
  <c r="C12" i="10"/>
  <c r="K13" i="7"/>
  <c r="K7" i="8" s="1"/>
  <c r="M13" i="7"/>
  <c r="M7" i="8" s="1"/>
  <c r="L13" i="7"/>
  <c r="L7" i="8" s="1"/>
  <c r="D10" i="5"/>
  <c r="E5" i="5" s="1"/>
  <c r="E7" i="8"/>
  <c r="G11" i="8"/>
  <c r="G7" i="8"/>
  <c r="E4" i="4"/>
  <c r="D11" i="4"/>
  <c r="C12" i="9"/>
  <c r="C6" i="8"/>
  <c r="C6" i="9" s="1"/>
  <c r="C12" i="8"/>
  <c r="C9" i="9" s="1"/>
  <c r="C5" i="7"/>
  <c r="C6" i="7" s="1"/>
  <c r="D11" i="8"/>
  <c r="D7" i="8"/>
  <c r="D16" i="5"/>
  <c r="D17" i="5"/>
  <c r="D18" i="5"/>
  <c r="F11" i="8" l="1"/>
  <c r="D11" i="5"/>
  <c r="D33" i="5" s="1"/>
  <c r="H7" i="8"/>
  <c r="I11" i="8"/>
  <c r="I8" i="9" s="1"/>
  <c r="I17" i="7" s="1"/>
  <c r="D34" i="5"/>
  <c r="D4" i="10" s="1"/>
  <c r="D5" i="10" s="1"/>
  <c r="D9" i="10" s="1"/>
  <c r="D10" i="10" s="1"/>
  <c r="J7" i="8"/>
  <c r="K7" i="9" s="1"/>
  <c r="C11" i="8"/>
  <c r="D8" i="9" s="1"/>
  <c r="D17" i="7" s="1"/>
  <c r="D25" i="5"/>
  <c r="D28" i="5" s="1"/>
  <c r="E23" i="5" s="1"/>
  <c r="E27" i="5" s="1"/>
  <c r="D26" i="5"/>
  <c r="K11" i="8"/>
  <c r="K8" i="9" s="1"/>
  <c r="K17" i="7" s="1"/>
  <c r="L11" i="8"/>
  <c r="L8" i="9" s="1"/>
  <c r="L17" i="7" s="1"/>
  <c r="M7" i="9"/>
  <c r="F7" i="9"/>
  <c r="N11" i="8"/>
  <c r="M11" i="8"/>
  <c r="D19" i="5"/>
  <c r="E14" i="5" s="1"/>
  <c r="J7" i="9"/>
  <c r="I7" i="9"/>
  <c r="D7" i="9"/>
  <c r="G7" i="9"/>
  <c r="N7" i="9"/>
  <c r="G8" i="9"/>
  <c r="G17" i="7" s="1"/>
  <c r="E7" i="10"/>
  <c r="E6" i="10"/>
  <c r="E10" i="4"/>
  <c r="F8" i="9"/>
  <c r="F17" i="7" s="1"/>
  <c r="H8" i="9"/>
  <c r="H17" i="7" s="1"/>
  <c r="E7" i="9"/>
  <c r="J8" i="9"/>
  <c r="J17" i="7" s="1"/>
  <c r="E8" i="9"/>
  <c r="E17" i="7" s="1"/>
  <c r="H7" i="9"/>
  <c r="D12" i="10"/>
  <c r="D4" i="7"/>
  <c r="L7" i="9"/>
  <c r="C13" i="9"/>
  <c r="C7" i="7"/>
  <c r="C14" i="7"/>
  <c r="E9" i="5"/>
  <c r="E8" i="5"/>
  <c r="E7" i="5"/>
  <c r="C8" i="9" l="1"/>
  <c r="C17" i="7" s="1"/>
  <c r="C18" i="7" s="1"/>
  <c r="C21" i="7" s="1"/>
  <c r="C14" i="8"/>
  <c r="M8" i="9"/>
  <c r="M17" i="7" s="1"/>
  <c r="D29" i="5"/>
  <c r="N8" i="9"/>
  <c r="N17" i="7" s="1"/>
  <c r="D20" i="5"/>
  <c r="E25" i="5"/>
  <c r="E26" i="5"/>
  <c r="E10" i="5"/>
  <c r="F5" i="5" s="1"/>
  <c r="D12" i="9"/>
  <c r="D6" i="8"/>
  <c r="D6" i="9" s="1"/>
  <c r="D12" i="8"/>
  <c r="D5" i="7"/>
  <c r="D6" i="7" s="1"/>
  <c r="E11" i="4"/>
  <c r="F4" i="4"/>
  <c r="C15" i="7"/>
  <c r="E18" i="5"/>
  <c r="E17" i="5"/>
  <c r="E16" i="5"/>
  <c r="C8" i="8" l="1"/>
  <c r="D5" i="9" s="1"/>
  <c r="E11" i="5"/>
  <c r="E33" i="5" s="1"/>
  <c r="E28" i="5"/>
  <c r="F23" i="5" s="1"/>
  <c r="F25" i="5" s="1"/>
  <c r="E34" i="5"/>
  <c r="E4" i="10" s="1"/>
  <c r="E29" i="5"/>
  <c r="E19" i="5"/>
  <c r="D7" i="7"/>
  <c r="D14" i="7"/>
  <c r="F14" i="5"/>
  <c r="E20" i="5"/>
  <c r="C15" i="10"/>
  <c r="C11" i="10"/>
  <c r="D9" i="9"/>
  <c r="D14" i="8"/>
  <c r="F6" i="10"/>
  <c r="F7" i="10"/>
  <c r="F10" i="4"/>
  <c r="D8" i="8"/>
  <c r="E5" i="9" s="1"/>
  <c r="D13" i="9"/>
  <c r="C22" i="7"/>
  <c r="C23" i="7" s="1"/>
  <c r="E12" i="10"/>
  <c r="E4" i="7"/>
  <c r="E5" i="10"/>
  <c r="E9" i="10" s="1"/>
  <c r="E10" i="10" s="1"/>
  <c r="F7" i="5"/>
  <c r="F8" i="5"/>
  <c r="F9" i="5"/>
  <c r="F26" i="5" l="1"/>
  <c r="F27" i="5"/>
  <c r="F10" i="5"/>
  <c r="G5" i="5" s="1"/>
  <c r="C4" i="9"/>
  <c r="C10" i="9" s="1"/>
  <c r="C16" i="9" s="1"/>
  <c r="C17" i="8"/>
  <c r="F16" i="5"/>
  <c r="F17" i="5"/>
  <c r="F18" i="5"/>
  <c r="F34" i="5"/>
  <c r="F4" i="10" s="1"/>
  <c r="E6" i="8"/>
  <c r="E6" i="9" s="1"/>
  <c r="E12" i="8"/>
  <c r="E12" i="9"/>
  <c r="E5" i="7"/>
  <c r="E6" i="7" s="1"/>
  <c r="D18" i="7"/>
  <c r="D15" i="7"/>
  <c r="F11" i="5"/>
  <c r="F33" i="5" s="1"/>
  <c r="G4" i="4"/>
  <c r="F11" i="4"/>
  <c r="F28" i="5" l="1"/>
  <c r="G23" i="5"/>
  <c r="F29" i="5"/>
  <c r="F19" i="5"/>
  <c r="G14" i="5" s="1"/>
  <c r="G6" i="10"/>
  <c r="G7" i="10"/>
  <c r="G10" i="4"/>
  <c r="F5" i="10"/>
  <c r="F9" i="10" s="1"/>
  <c r="F10" i="10" s="1"/>
  <c r="E7" i="7"/>
  <c r="E14" i="7"/>
  <c r="D15" i="10"/>
  <c r="D11" i="10"/>
  <c r="E9" i="9"/>
  <c r="E14" i="8"/>
  <c r="G8" i="5"/>
  <c r="G9" i="5"/>
  <c r="G7" i="5"/>
  <c r="F12" i="10"/>
  <c r="F4" i="7"/>
  <c r="F20" i="5"/>
  <c r="G16" i="5"/>
  <c r="G17" i="5"/>
  <c r="G18" i="5"/>
  <c r="E13" i="9"/>
  <c r="E8" i="8"/>
  <c r="F5" i="9" s="1"/>
  <c r="C13" i="10"/>
  <c r="C17" i="9"/>
  <c r="G25" i="5" l="1"/>
  <c r="G27" i="5"/>
  <c r="G26" i="5"/>
  <c r="G10" i="5"/>
  <c r="H5" i="5" s="1"/>
  <c r="G19" i="5"/>
  <c r="H14" i="5"/>
  <c r="G20" i="5"/>
  <c r="G34" i="5"/>
  <c r="G4" i="10" s="1"/>
  <c r="G11" i="5"/>
  <c r="G33" i="5" s="1"/>
  <c r="C5" i="8"/>
  <c r="F12" i="9"/>
  <c r="F6" i="8"/>
  <c r="F6" i="9" s="1"/>
  <c r="F12" i="8"/>
  <c r="F5" i="7"/>
  <c r="F6" i="7" s="1"/>
  <c r="H4" i="4"/>
  <c r="G11" i="4"/>
  <c r="E15" i="7"/>
  <c r="E18" i="7"/>
  <c r="G28" i="5" l="1"/>
  <c r="H23" i="5" s="1"/>
  <c r="F7" i="7"/>
  <c r="F14" i="7"/>
  <c r="F8" i="8"/>
  <c r="G5" i="9" s="1"/>
  <c r="F13" i="9"/>
  <c r="G4" i="7"/>
  <c r="G12" i="10"/>
  <c r="G5" i="10"/>
  <c r="G9" i="10" s="1"/>
  <c r="G10" i="10" s="1"/>
  <c r="F9" i="9"/>
  <c r="F14" i="8"/>
  <c r="C9" i="8"/>
  <c r="D19" i="7"/>
  <c r="D21" i="7" s="1"/>
  <c r="C14" i="10"/>
  <c r="E15" i="10"/>
  <c r="E11" i="10"/>
  <c r="H9" i="5"/>
  <c r="H8" i="5"/>
  <c r="H7" i="5"/>
  <c r="H10" i="5" s="1"/>
  <c r="H7" i="10"/>
  <c r="H6" i="10"/>
  <c r="H10" i="4"/>
  <c r="H16" i="5"/>
  <c r="H17" i="5"/>
  <c r="H18" i="5"/>
  <c r="G29" i="5" l="1"/>
  <c r="H19" i="5"/>
  <c r="I14" i="5" s="1"/>
  <c r="I17" i="5" s="1"/>
  <c r="H25" i="5"/>
  <c r="H26" i="5"/>
  <c r="H27" i="5"/>
  <c r="I5" i="5"/>
  <c r="H34" i="5"/>
  <c r="H4" i="10" s="1"/>
  <c r="H11" i="5"/>
  <c r="H33" i="5" s="1"/>
  <c r="G12" i="8"/>
  <c r="G6" i="8"/>
  <c r="G6" i="9" s="1"/>
  <c r="G5" i="7"/>
  <c r="G6" i="7" s="1"/>
  <c r="G12" i="9"/>
  <c r="D22" i="7"/>
  <c r="D23" i="7" s="1"/>
  <c r="H11" i="4"/>
  <c r="I4" i="4"/>
  <c r="C16" i="8"/>
  <c r="C18" i="8" s="1"/>
  <c r="C20" i="8" s="1"/>
  <c r="C22" i="8" s="1"/>
  <c r="F15" i="7"/>
  <c r="F18" i="7"/>
  <c r="H20" i="5" l="1"/>
  <c r="H28" i="5"/>
  <c r="I18" i="5"/>
  <c r="I16" i="5"/>
  <c r="I19" i="5" s="1"/>
  <c r="J14" i="5" s="1"/>
  <c r="J16" i="5" s="1"/>
  <c r="G13" i="9"/>
  <c r="G8" i="8"/>
  <c r="H5" i="9" s="1"/>
  <c r="I6" i="10"/>
  <c r="I10" i="4"/>
  <c r="I7" i="10"/>
  <c r="D4" i="9"/>
  <c r="D10" i="9" s="1"/>
  <c r="D16" i="9" s="1"/>
  <c r="D17" i="8"/>
  <c r="H4" i="7"/>
  <c r="H12" i="10"/>
  <c r="G7" i="7"/>
  <c r="G14" i="7"/>
  <c r="G9" i="9"/>
  <c r="G14" i="8"/>
  <c r="H5" i="10"/>
  <c r="H9" i="10" s="1"/>
  <c r="H10" i="10" s="1"/>
  <c r="F15" i="10"/>
  <c r="F11" i="10"/>
  <c r="I7" i="5"/>
  <c r="I9" i="5"/>
  <c r="I8" i="5"/>
  <c r="J17" i="5" l="1"/>
  <c r="J18" i="5"/>
  <c r="I20" i="5"/>
  <c r="H29" i="5"/>
  <c r="I23" i="5"/>
  <c r="J19" i="5"/>
  <c r="K14" i="5" s="1"/>
  <c r="I10" i="5"/>
  <c r="J5" i="5" s="1"/>
  <c r="I11" i="4"/>
  <c r="J4" i="4"/>
  <c r="G18" i="7"/>
  <c r="G15" i="7"/>
  <c r="H6" i="8"/>
  <c r="H6" i="9" s="1"/>
  <c r="H5" i="7"/>
  <c r="H6" i="7" s="1"/>
  <c r="H12" i="8"/>
  <c r="H12" i="9"/>
  <c r="D13" i="10"/>
  <c r="D17" i="9"/>
  <c r="J20" i="5" l="1"/>
  <c r="I11" i="5"/>
  <c r="I33" i="5" s="1"/>
  <c r="I4" i="7" s="1"/>
  <c r="I34" i="5"/>
  <c r="I4" i="10" s="1"/>
  <c r="I26" i="5"/>
  <c r="I25" i="5"/>
  <c r="I27" i="5"/>
  <c r="H7" i="7"/>
  <c r="H14" i="7"/>
  <c r="J7" i="10"/>
  <c r="J6" i="10"/>
  <c r="J10" i="4"/>
  <c r="G15" i="10"/>
  <c r="G11" i="10"/>
  <c r="D5" i="8"/>
  <c r="K17" i="5"/>
  <c r="K18" i="5"/>
  <c r="K16" i="5"/>
  <c r="H8" i="8"/>
  <c r="I5" i="9" s="1"/>
  <c r="H13" i="9"/>
  <c r="I5" i="10"/>
  <c r="I9" i="10" s="1"/>
  <c r="I10" i="10" s="1"/>
  <c r="H9" i="9"/>
  <c r="H14" i="8"/>
  <c r="J7" i="5"/>
  <c r="J8" i="5"/>
  <c r="J9" i="5"/>
  <c r="I28" i="5" l="1"/>
  <c r="J23" i="5" s="1"/>
  <c r="I12" i="10"/>
  <c r="J10" i="5"/>
  <c r="K19" i="5"/>
  <c r="K20" i="5" s="1"/>
  <c r="K5" i="5"/>
  <c r="J34" i="5"/>
  <c r="J4" i="10" s="1"/>
  <c r="J11" i="5"/>
  <c r="J33" i="5" s="1"/>
  <c r="I12" i="8"/>
  <c r="I5" i="7"/>
  <c r="I6" i="7" s="1"/>
  <c r="I6" i="8"/>
  <c r="I6" i="9" s="1"/>
  <c r="I12" i="9"/>
  <c r="K4" i="4"/>
  <c r="J11" i="4"/>
  <c r="E19" i="7"/>
  <c r="E21" i="7" s="1"/>
  <c r="D9" i="8"/>
  <c r="D14" i="10"/>
  <c r="H18" i="7"/>
  <c r="H15" i="7"/>
  <c r="J27" i="5" l="1"/>
  <c r="J26" i="5"/>
  <c r="J25" i="5"/>
  <c r="I29" i="5"/>
  <c r="L14" i="5"/>
  <c r="L16" i="5" s="1"/>
  <c r="J28" i="5"/>
  <c r="I7" i="7"/>
  <c r="I14" i="7"/>
  <c r="K6" i="10"/>
  <c r="K7" i="10"/>
  <c r="K10" i="4"/>
  <c r="H15" i="10"/>
  <c r="H11" i="10"/>
  <c r="I8" i="8"/>
  <c r="J5" i="9" s="1"/>
  <c r="I13" i="9"/>
  <c r="I9" i="9"/>
  <c r="I14" i="8"/>
  <c r="L18" i="5"/>
  <c r="L17" i="5"/>
  <c r="J12" i="10"/>
  <c r="J4" i="7"/>
  <c r="D16" i="8"/>
  <c r="D18" i="8" s="1"/>
  <c r="D20" i="8" s="1"/>
  <c r="D22" i="8" s="1"/>
  <c r="J5" i="10"/>
  <c r="J9" i="10" s="1"/>
  <c r="J10" i="10" s="1"/>
  <c r="E22" i="7"/>
  <c r="E23" i="7" s="1"/>
  <c r="K7" i="5"/>
  <c r="K8" i="5"/>
  <c r="K9" i="5"/>
  <c r="J29" i="5" l="1"/>
  <c r="K23" i="5"/>
  <c r="K10" i="5"/>
  <c r="K11" i="5" s="1"/>
  <c r="K33" i="5" s="1"/>
  <c r="K12" i="10" s="1"/>
  <c r="L19" i="5"/>
  <c r="M14" i="5" s="1"/>
  <c r="M16" i="5" s="1"/>
  <c r="E17" i="8"/>
  <c r="E4" i="9"/>
  <c r="E10" i="9" s="1"/>
  <c r="E16" i="9" s="1"/>
  <c r="L4" i="4"/>
  <c r="K11" i="4"/>
  <c r="L20" i="5"/>
  <c r="J12" i="9"/>
  <c r="J12" i="8"/>
  <c r="J6" i="8"/>
  <c r="J6" i="9" s="1"/>
  <c r="J5" i="7"/>
  <c r="J6" i="7" s="1"/>
  <c r="I18" i="7"/>
  <c r="I15" i="7"/>
  <c r="M18" i="5" l="1"/>
  <c r="M17" i="5"/>
  <c r="L5" i="5"/>
  <c r="K25" i="5"/>
  <c r="K26" i="5"/>
  <c r="K27" i="5"/>
  <c r="K34" i="5"/>
  <c r="K4" i="10" s="1"/>
  <c r="K5" i="10" s="1"/>
  <c r="K9" i="10" s="1"/>
  <c r="K10" i="10" s="1"/>
  <c r="K4" i="7"/>
  <c r="K12" i="9" s="1"/>
  <c r="M19" i="5"/>
  <c r="M20" i="5" s="1"/>
  <c r="J14" i="7"/>
  <c r="J7" i="7"/>
  <c r="N14" i="5"/>
  <c r="J9" i="9"/>
  <c r="J14" i="8"/>
  <c r="E13" i="10"/>
  <c r="E17" i="9"/>
  <c r="J13" i="9"/>
  <c r="J8" i="8"/>
  <c r="K5" i="9" s="1"/>
  <c r="K6" i="8"/>
  <c r="K6" i="9" s="1"/>
  <c r="K5" i="7"/>
  <c r="K6" i="7" s="1"/>
  <c r="L7" i="10"/>
  <c r="L6" i="10"/>
  <c r="L10" i="4"/>
  <c r="I15" i="10"/>
  <c r="I11" i="10"/>
  <c r="L7" i="5"/>
  <c r="L8" i="5"/>
  <c r="L9" i="5"/>
  <c r="K12" i="8" l="1"/>
  <c r="K9" i="9" s="1"/>
  <c r="K28" i="5"/>
  <c r="K29" i="5" s="1"/>
  <c r="L23" i="5"/>
  <c r="L10" i="5"/>
  <c r="L34" i="5" s="1"/>
  <c r="L4" i="10" s="1"/>
  <c r="K14" i="7"/>
  <c r="K7" i="7"/>
  <c r="M5" i="5"/>
  <c r="N17" i="5"/>
  <c r="N18" i="5"/>
  <c r="N16" i="5"/>
  <c r="M4" i="4"/>
  <c r="L11" i="4"/>
  <c r="E5" i="8"/>
  <c r="L11" i="5"/>
  <c r="L33" i="5" s="1"/>
  <c r="K8" i="8"/>
  <c r="L5" i="9" s="1"/>
  <c r="K13" i="9"/>
  <c r="J18" i="7"/>
  <c r="J15" i="7"/>
  <c r="K14" i="8" l="1"/>
  <c r="L25" i="5"/>
  <c r="L26" i="5"/>
  <c r="L27" i="5"/>
  <c r="N19" i="5"/>
  <c r="N20" i="5" s="1"/>
  <c r="M7" i="5"/>
  <c r="M8" i="5"/>
  <c r="M9" i="5"/>
  <c r="M6" i="10"/>
  <c r="M10" i="4"/>
  <c r="M7" i="10"/>
  <c r="L12" i="10"/>
  <c r="L4" i="7"/>
  <c r="E9" i="8"/>
  <c r="F19" i="7"/>
  <c r="F21" i="7" s="1"/>
  <c r="E14" i="10"/>
  <c r="L5" i="10"/>
  <c r="L9" i="10" s="1"/>
  <c r="L10" i="10" s="1"/>
  <c r="J15" i="10"/>
  <c r="J11" i="10"/>
  <c r="K18" i="7"/>
  <c r="K15" i="7"/>
  <c r="L28" i="5" l="1"/>
  <c r="M10" i="5"/>
  <c r="N5" i="5" s="1"/>
  <c r="L6" i="8"/>
  <c r="L6" i="9" s="1"/>
  <c r="L5" i="7"/>
  <c r="L6" i="7" s="1"/>
  <c r="L12" i="8"/>
  <c r="L12" i="9"/>
  <c r="K15" i="10"/>
  <c r="K11" i="10"/>
  <c r="F22" i="7"/>
  <c r="F23" i="7" s="1"/>
  <c r="E16" i="8"/>
  <c r="E18" i="8" s="1"/>
  <c r="E20" i="8" s="1"/>
  <c r="E22" i="8" s="1"/>
  <c r="N4" i="4"/>
  <c r="M11" i="4"/>
  <c r="M23" i="5" l="1"/>
  <c r="L29" i="5"/>
  <c r="M34" i="5"/>
  <c r="M4" i="10" s="1"/>
  <c r="M11" i="5"/>
  <c r="M33" i="5" s="1"/>
  <c r="M4" i="7" s="1"/>
  <c r="F4" i="9"/>
  <c r="F10" i="9" s="1"/>
  <c r="F16" i="9" s="1"/>
  <c r="F17" i="8"/>
  <c r="L13" i="9"/>
  <c r="L8" i="8"/>
  <c r="M5" i="9" s="1"/>
  <c r="L9" i="9"/>
  <c r="L14" i="8"/>
  <c r="N7" i="10"/>
  <c r="N6" i="10"/>
  <c r="N10" i="4"/>
  <c r="N11" i="4" s="1"/>
  <c r="C21" i="1" s="1"/>
  <c r="L7" i="7"/>
  <c r="L14" i="7"/>
  <c r="M5" i="10"/>
  <c r="M9" i="10" s="1"/>
  <c r="M10" i="10" s="1"/>
  <c r="N8" i="5"/>
  <c r="N7" i="5"/>
  <c r="N9" i="5"/>
  <c r="M27" i="5" l="1"/>
  <c r="M25" i="5"/>
  <c r="M26" i="5"/>
  <c r="M28" i="5"/>
  <c r="N10" i="5"/>
  <c r="N11" i="5" s="1"/>
  <c r="N33" i="5" s="1"/>
  <c r="N34" i="5"/>
  <c r="N4" i="10" s="1"/>
  <c r="M12" i="10"/>
  <c r="M6" i="8"/>
  <c r="M6" i="9" s="1"/>
  <c r="M5" i="7"/>
  <c r="M6" i="7" s="1"/>
  <c r="M12" i="8"/>
  <c r="M12" i="9"/>
  <c r="N5" i="10"/>
  <c r="N9" i="10" s="1"/>
  <c r="N10" i="10" s="1"/>
  <c r="L15" i="7"/>
  <c r="L18" i="7"/>
  <c r="F13" i="10"/>
  <c r="F17" i="9"/>
  <c r="M29" i="5" l="1"/>
  <c r="N23" i="5"/>
  <c r="N12" i="10"/>
  <c r="N4" i="7"/>
  <c r="N12" i="8" s="1"/>
  <c r="M8" i="8"/>
  <c r="N5" i="9" s="1"/>
  <c r="M13" i="9"/>
  <c r="L15" i="10"/>
  <c r="L11" i="10"/>
  <c r="M14" i="7"/>
  <c r="M7" i="7"/>
  <c r="F5" i="8"/>
  <c r="M9" i="9"/>
  <c r="M14" i="8"/>
  <c r="N6" i="8" l="1"/>
  <c r="N6" i="9" s="1"/>
  <c r="N5" i="7"/>
  <c r="N6" i="7" s="1"/>
  <c r="N14" i="7" s="1"/>
  <c r="N25" i="5"/>
  <c r="N26" i="5"/>
  <c r="N27" i="5"/>
  <c r="N12" i="9"/>
  <c r="N13" i="9" s="1"/>
  <c r="M18" i="7"/>
  <c r="M15" i="7"/>
  <c r="N9" i="9"/>
  <c r="N14" i="8"/>
  <c r="F9" i="8"/>
  <c r="G19" i="7"/>
  <c r="G21" i="7" s="1"/>
  <c r="F14" i="10"/>
  <c r="N7" i="7"/>
  <c r="N8" i="8" l="1"/>
  <c r="N28" i="5"/>
  <c r="N29" i="5" s="1"/>
  <c r="N18" i="7"/>
  <c r="N15" i="7"/>
  <c r="F16" i="8"/>
  <c r="F18" i="8" s="1"/>
  <c r="F20" i="8" s="1"/>
  <c r="F22" i="8" s="1"/>
  <c r="M15" i="10"/>
  <c r="M11" i="10"/>
  <c r="G22" i="7"/>
  <c r="G23" i="7" s="1"/>
  <c r="G17" i="8" l="1"/>
  <c r="G4" i="9"/>
  <c r="G10" i="9" s="1"/>
  <c r="G16" i="9" s="1"/>
  <c r="N15" i="10"/>
  <c r="N11" i="10"/>
  <c r="G13" i="10" l="1"/>
  <c r="G17" i="9"/>
  <c r="G5" i="8" l="1"/>
  <c r="H19" i="7" l="1"/>
  <c r="H21" i="7" s="1"/>
  <c r="G9" i="8"/>
  <c r="G14" i="10"/>
  <c r="G16" i="8" l="1"/>
  <c r="G18" i="8" s="1"/>
  <c r="G20" i="8" s="1"/>
  <c r="G22" i="8" s="1"/>
  <c r="H22" i="7"/>
  <c r="H23" i="7" s="1"/>
  <c r="H4" i="9" l="1"/>
  <c r="H10" i="9" s="1"/>
  <c r="H16" i="9" s="1"/>
  <c r="H17" i="8"/>
  <c r="H13" i="10" l="1"/>
  <c r="H17" i="9"/>
  <c r="H5" i="8" l="1"/>
  <c r="H9" i="8" l="1"/>
  <c r="I19" i="7"/>
  <c r="I21" i="7" s="1"/>
  <c r="H14" i="10"/>
  <c r="I22" i="7" l="1"/>
  <c r="I23" i="7" s="1"/>
  <c r="H16" i="8"/>
  <c r="H18" i="8" s="1"/>
  <c r="H20" i="8" s="1"/>
  <c r="H22" i="8" s="1"/>
  <c r="I4" i="9" l="1"/>
  <c r="I10" i="9" s="1"/>
  <c r="I16" i="9" s="1"/>
  <c r="I17" i="8"/>
  <c r="I13" i="10" l="1"/>
  <c r="I17" i="9"/>
  <c r="I5" i="8" l="1"/>
  <c r="J19" i="7" l="1"/>
  <c r="J21" i="7" s="1"/>
  <c r="I9" i="8"/>
  <c r="I14" i="10"/>
  <c r="J22" i="7" l="1"/>
  <c r="J23" i="7" s="1"/>
  <c r="I16" i="8"/>
  <c r="I18" i="8" s="1"/>
  <c r="I20" i="8" s="1"/>
  <c r="I22" i="8" s="1"/>
  <c r="J4" i="9" l="1"/>
  <c r="J10" i="9" s="1"/>
  <c r="J16" i="9" s="1"/>
  <c r="J17" i="8"/>
  <c r="J13" i="10" l="1"/>
  <c r="J17" i="9"/>
  <c r="J5" i="8" l="1"/>
  <c r="J9" i="8" l="1"/>
  <c r="K19" i="7"/>
  <c r="K21" i="7" s="1"/>
  <c r="J14" i="10"/>
  <c r="K22" i="7" l="1"/>
  <c r="K23" i="7" s="1"/>
  <c r="J16" i="8"/>
  <c r="J18" i="8" s="1"/>
  <c r="J20" i="8" s="1"/>
  <c r="J22" i="8" s="1"/>
  <c r="K17" i="8" l="1"/>
  <c r="K4" i="9"/>
  <c r="K10" i="9" s="1"/>
  <c r="K16" i="9" s="1"/>
  <c r="K13" i="10" l="1"/>
  <c r="K17" i="9"/>
  <c r="K5" i="8" l="1"/>
  <c r="L19" i="7" l="1"/>
  <c r="L21" i="7" s="1"/>
  <c r="K9" i="8"/>
  <c r="K14" i="10"/>
  <c r="K16" i="8" l="1"/>
  <c r="K18" i="8" s="1"/>
  <c r="K20" i="8" s="1"/>
  <c r="K22" i="8" s="1"/>
  <c r="L22" i="7"/>
  <c r="L23" i="7" s="1"/>
  <c r="L17" i="8" l="1"/>
  <c r="L4" i="9"/>
  <c r="L10" i="9" s="1"/>
  <c r="L16" i="9" s="1"/>
  <c r="L13" i="10" l="1"/>
  <c r="L17" i="9"/>
  <c r="L5" i="8" l="1"/>
  <c r="L9" i="8" l="1"/>
  <c r="M19" i="7"/>
  <c r="M21" i="7" s="1"/>
  <c r="L14" i="10"/>
  <c r="M22" i="7" l="1"/>
  <c r="M23" i="7" s="1"/>
  <c r="L16" i="8"/>
  <c r="L18" i="8" s="1"/>
  <c r="L20" i="8" s="1"/>
  <c r="L22" i="8" s="1"/>
  <c r="M17" i="8" l="1"/>
  <c r="M4" i="9"/>
  <c r="M10" i="9" s="1"/>
  <c r="M16" i="9" s="1"/>
  <c r="M13" i="10" l="1"/>
  <c r="M17" i="9"/>
  <c r="M5" i="8" l="1"/>
  <c r="N19" i="7" l="1"/>
  <c r="N21" i="7" s="1"/>
  <c r="M9" i="8"/>
  <c r="M14" i="10"/>
  <c r="M16" i="8" l="1"/>
  <c r="M18" i="8" s="1"/>
  <c r="M20" i="8" s="1"/>
  <c r="M22" i="8" s="1"/>
  <c r="N22" i="7"/>
  <c r="N23" i="7" s="1"/>
  <c r="N4" i="9" l="1"/>
  <c r="N10" i="9" s="1"/>
  <c r="N16" i="9" s="1"/>
  <c r="N17" i="8"/>
  <c r="N13" i="10" l="1"/>
  <c r="N17" i="9"/>
  <c r="N5" i="8" l="1"/>
  <c r="C22" i="1"/>
  <c r="C5" i="12" l="1"/>
  <c r="K4" i="12"/>
  <c r="K5" i="12" s="1"/>
  <c r="N9" i="8"/>
  <c r="N14" i="10"/>
  <c r="C15" i="12" s="1"/>
  <c r="E28" i="12" l="1"/>
  <c r="D27" i="12"/>
  <c r="D28" i="12"/>
  <c r="C28" i="12"/>
  <c r="D25" i="12"/>
  <c r="D26" i="12"/>
  <c r="E27" i="12"/>
  <c r="E25" i="12"/>
  <c r="E26" i="12"/>
  <c r="C27" i="12"/>
  <c r="N16" i="8"/>
  <c r="N18" i="8" s="1"/>
  <c r="N20" i="8" s="1"/>
  <c r="N22" i="8" s="1"/>
  <c r="C20" i="1" s="1"/>
  <c r="C26" i="12"/>
  <c r="C25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AAKANSHA</author>
  </authors>
  <commentList>
    <comment ref="H4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Enter 1 for Base, 2 for Upside, or 3 for Downside. All selected drivers update through named ranges.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AAKANSHA</author>
  </authors>
  <commentList>
    <comment ref="C19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Interest uses beginning cash, breaking the BS/CF circularity while remaining economically reasonable.</t>
        </r>
      </text>
    </comment>
    <comment ref="D19" authorId="0" shapeId="0" xr:uid="{00000000-0006-0000-0600-000002000000}">
      <text>
        <r>
          <rPr>
            <sz val="11"/>
            <color theme="1"/>
            <rFont val="Calibri"/>
            <family val="2"/>
            <scheme val="minor"/>
          </rPr>
          <t>Interest uses beginning cash, breaking the BS/CF circularity while remaining economically reasonable.</t>
        </r>
      </text>
    </comment>
    <comment ref="E19" authorId="0" shapeId="0" xr:uid="{00000000-0006-0000-0600-000003000000}">
      <text>
        <r>
          <rPr>
            <sz val="11"/>
            <color theme="1"/>
            <rFont val="Calibri"/>
            <family val="2"/>
            <scheme val="minor"/>
          </rPr>
          <t>Interest uses beginning cash, breaking the BS/CF circularity while remaining economically reasonable.</t>
        </r>
      </text>
    </comment>
    <comment ref="F19" authorId="0" shapeId="0" xr:uid="{00000000-0006-0000-0600-000004000000}">
      <text>
        <r>
          <rPr>
            <sz val="11"/>
            <color theme="1"/>
            <rFont val="Calibri"/>
            <family val="2"/>
            <scheme val="minor"/>
          </rPr>
          <t>Interest uses beginning cash, breaking the BS/CF circularity while remaining economically reasonable.</t>
        </r>
      </text>
    </comment>
    <comment ref="G19" authorId="0" shapeId="0" xr:uid="{00000000-0006-0000-0600-000005000000}">
      <text>
        <r>
          <rPr>
            <sz val="11"/>
            <color theme="1"/>
            <rFont val="Calibri"/>
            <family val="2"/>
            <scheme val="minor"/>
          </rPr>
          <t>Interest uses beginning cash, breaking the BS/CF circularity while remaining economically reasonable.</t>
        </r>
      </text>
    </comment>
    <comment ref="H19" authorId="0" shapeId="0" xr:uid="{00000000-0006-0000-0600-000006000000}">
      <text>
        <r>
          <rPr>
            <sz val="11"/>
            <color theme="1"/>
            <rFont val="Calibri"/>
            <family val="2"/>
            <scheme val="minor"/>
          </rPr>
          <t>Interest uses beginning cash, breaking the BS/CF circularity while remaining economically reasonable.</t>
        </r>
      </text>
    </comment>
    <comment ref="I19" authorId="0" shapeId="0" xr:uid="{00000000-0006-0000-0600-000007000000}">
      <text>
        <r>
          <rPr>
            <sz val="11"/>
            <color theme="1"/>
            <rFont val="Calibri"/>
            <family val="2"/>
            <scheme val="minor"/>
          </rPr>
          <t>Interest uses beginning cash, breaking the BS/CF circularity while remaining economically reasonable.</t>
        </r>
      </text>
    </comment>
    <comment ref="J19" authorId="0" shapeId="0" xr:uid="{00000000-0006-0000-0600-000008000000}">
      <text>
        <r>
          <rPr>
            <sz val="11"/>
            <color theme="1"/>
            <rFont val="Calibri"/>
            <family val="2"/>
            <scheme val="minor"/>
          </rPr>
          <t>Interest uses beginning cash, breaking the BS/CF circularity while remaining economically reasonable.</t>
        </r>
      </text>
    </comment>
    <comment ref="K19" authorId="0" shapeId="0" xr:uid="{00000000-0006-0000-0600-000009000000}">
      <text>
        <r>
          <rPr>
            <sz val="11"/>
            <color theme="1"/>
            <rFont val="Calibri"/>
            <family val="2"/>
            <scheme val="minor"/>
          </rPr>
          <t>Interest uses beginning cash, breaking the BS/CF circularity while remaining economically reasonable.</t>
        </r>
      </text>
    </comment>
    <comment ref="L19" authorId="0" shapeId="0" xr:uid="{00000000-0006-0000-0600-00000A000000}">
      <text>
        <r>
          <rPr>
            <sz val="11"/>
            <color theme="1"/>
            <rFont val="Calibri"/>
            <family val="2"/>
            <scheme val="minor"/>
          </rPr>
          <t>Interest uses beginning cash, breaking the BS/CF circularity while remaining economically reasonable.</t>
        </r>
      </text>
    </comment>
    <comment ref="M19" authorId="0" shapeId="0" xr:uid="{00000000-0006-0000-0600-00000B000000}">
      <text>
        <r>
          <rPr>
            <sz val="11"/>
            <color theme="1"/>
            <rFont val="Calibri"/>
            <family val="2"/>
            <scheme val="minor"/>
          </rPr>
          <t>Interest uses beginning cash, breaking the BS/CF circularity while remaining economically reasonable.</t>
        </r>
      </text>
    </comment>
    <comment ref="N19" authorId="0" shapeId="0" xr:uid="{00000000-0006-0000-0600-00000C000000}">
      <text>
        <r>
          <rPr>
            <sz val="11"/>
            <color theme="1"/>
            <rFont val="Calibri"/>
            <family val="2"/>
            <scheme val="minor"/>
          </rPr>
          <t>Interest uses beginning cash, breaking the BS/CF circularity while remaining economically reasonable.</t>
        </r>
      </text>
    </comment>
  </commentList>
</comments>
</file>

<file path=xl/sharedStrings.xml><?xml version="1.0" encoding="utf-8"?>
<sst xmlns="http://schemas.openxmlformats.org/spreadsheetml/2006/main" count="54963" uniqueCount="1160">
  <si>
    <t>Northstar SaaS | Revenue Forecasting, Budget Variance &amp; Board Reporting</t>
  </si>
  <si>
    <t>Q3 2026 Board Model</t>
  </si>
  <si>
    <t>Purpose</t>
  </si>
  <si>
    <t>Answer: Are we hitting revenue targets, why did we miss/beat budget, and what is the realistic FY forecast?</t>
  </si>
  <si>
    <t>How to use</t>
  </si>
  <si>
    <t>1. Change yellow inputs on Assumptions.</t>
  </si>
  <si>
    <t>2. Select Base / Upside / Downside using the Scenario Selector.</t>
  </si>
  <si>
    <t>3. Review linked forecast, 3 statements, metrics, variance and sensitivities.</t>
  </si>
  <si>
    <t>4. Blue font = formulas; yellow fill = editable assumption.</t>
  </si>
  <si>
    <t>Circularity policy</t>
  </si>
  <si>
    <t>Interest uses prior-period cash. Cash Flow calculates ending cash; Balance Sheet links to that result. No iterative calculation is required.</t>
  </si>
  <si>
    <t>Model integrity checks</t>
  </si>
  <si>
    <t>Balance Sheet check</t>
  </si>
  <si>
    <t>ARR bridge check</t>
  </si>
  <si>
    <t>Cash flow check</t>
  </si>
  <si>
    <t>Selected scenario</t>
  </si>
  <si>
    <t>Assumptions | centralized, scenario-specific model drivers</t>
  </si>
  <si>
    <t>Driver</t>
  </si>
  <si>
    <t>Base</t>
  </si>
  <si>
    <t>Upside</t>
  </si>
  <si>
    <t>Downside</t>
  </si>
  <si>
    <t>Units</t>
  </si>
  <si>
    <t>Rationale</t>
  </si>
  <si>
    <t>Selected</t>
  </si>
  <si>
    <t>Scenario Selector</t>
  </si>
  <si>
    <t>1=Base</t>
  </si>
  <si>
    <t>Board planning case</t>
  </si>
  <si>
    <t>Monthly logo churn</t>
  </si>
  <si>
    <t>%</t>
  </si>
  <si>
    <t>Segment-weighted logo loss</t>
  </si>
  <si>
    <t>Monthly expansion rate</t>
  </si>
  <si>
    <t>Expansion ARR on beginning ARR</t>
  </si>
  <si>
    <t>Monthly contraction rate</t>
  </si>
  <si>
    <t>Downgrades on beginning ARR</t>
  </si>
  <si>
    <t>Pipeline conversion factor</t>
  </si>
  <si>
    <t>x</t>
  </si>
  <si>
    <t>Applied to probability-weighted pipeline after stage weighting</t>
  </si>
  <si>
    <t>Sales cycle timing factor</t>
  </si>
  <si>
    <t>Changes timing / close slippage</t>
  </si>
  <si>
    <t>Hiring pace</t>
  </si>
  <si>
    <t>Scales planned headcount spend</t>
  </si>
  <si>
    <t>Gross margin</t>
  </si>
  <si>
    <t>Subscription delivery margin</t>
  </si>
  <si>
    <t>Annual merit increase</t>
  </si>
  <si>
    <t>Compensation inflation</t>
  </si>
  <si>
    <t>Interest rate on cash</t>
  </si>
  <si>
    <t>Beginning-cash circularity breaker</t>
  </si>
  <si>
    <t>Capex as % revenue</t>
  </si>
  <si>
    <t>Capitalized internal systems</t>
  </si>
  <si>
    <t>DSO</t>
  </si>
  <si>
    <t>days</t>
  </si>
  <si>
    <t>Collections efficiency</t>
  </si>
  <si>
    <t>DPO</t>
  </si>
  <si>
    <t>Vendor payment timing</t>
  </si>
  <si>
    <t>Opening cash</t>
  </si>
  <si>
    <t>$</t>
  </si>
  <si>
    <t>1-Jan-2026 cash balance</t>
  </si>
  <si>
    <t>Opening debt</t>
  </si>
  <si>
    <t>Term debt outstanding</t>
  </si>
  <si>
    <t>Tax rate</t>
  </si>
  <si>
    <t>US blended statutory rate</t>
  </si>
  <si>
    <t>CAC per new logo</t>
  </si>
  <si>
    <t>Fully loaded acquisition cost</t>
  </si>
  <si>
    <t>Discount rate</t>
  </si>
  <si>
    <t>SaaS cost of capital proxy</t>
  </si>
  <si>
    <t>Variance threshold %</t>
  </si>
  <si>
    <t>Board materiality flag</t>
  </si>
  <si>
    <t>Variance threshold $</t>
  </si>
  <si>
    <t>Selected scenario name</t>
  </si>
  <si>
    <t>Customer ARR Ledger | source data imported from CSV</t>
  </si>
  <si>
    <t>month</t>
  </si>
  <si>
    <t>customer_id</t>
  </si>
  <si>
    <t>plan_tier</t>
  </si>
  <si>
    <t>acquisition_channel</t>
  </si>
  <si>
    <t>sales_rep</t>
  </si>
  <si>
    <t>mrr</t>
  </si>
  <si>
    <t>status</t>
  </si>
  <si>
    <t>cohort_month</t>
  </si>
  <si>
    <t>prior_mrr</t>
  </si>
  <si>
    <t>mrr_movement</t>
  </si>
  <si>
    <t>CUST-1000</t>
  </si>
  <si>
    <t>SMB</t>
  </si>
  <si>
    <t>Inbound</t>
  </si>
  <si>
    <t>Riley</t>
  </si>
  <si>
    <t>new</t>
  </si>
  <si>
    <t>CUST-1001</t>
  </si>
  <si>
    <t>Outbound</t>
  </si>
  <si>
    <t>Jamie</t>
  </si>
  <si>
    <t>CUST-1002</t>
  </si>
  <si>
    <t>Taylor</t>
  </si>
  <si>
    <t>CUST-1003</t>
  </si>
  <si>
    <t>Mid-Market</t>
  </si>
  <si>
    <t>Casey</t>
  </si>
  <si>
    <t>CUST-1004</t>
  </si>
  <si>
    <t>CUST-1005</t>
  </si>
  <si>
    <t>CUST-1006</t>
  </si>
  <si>
    <t>Event</t>
  </si>
  <si>
    <t>Avery</t>
  </si>
  <si>
    <t>CUST-1007</t>
  </si>
  <si>
    <t>Partner</t>
  </si>
  <si>
    <t>CUST-1008</t>
  </si>
  <si>
    <t>Morgan</t>
  </si>
  <si>
    <t>CUST-1009</t>
  </si>
  <si>
    <t>Jordan</t>
  </si>
  <si>
    <t>CUST-1010</t>
  </si>
  <si>
    <t>CUST-1011</t>
  </si>
  <si>
    <t>CUST-1012</t>
  </si>
  <si>
    <t>CUST-1013</t>
  </si>
  <si>
    <t>CUST-1014</t>
  </si>
  <si>
    <t>CUST-1015</t>
  </si>
  <si>
    <t>Enterprise</t>
  </si>
  <si>
    <t>CUST-1016</t>
  </si>
  <si>
    <t>CUST-1017</t>
  </si>
  <si>
    <t>CUST-1018</t>
  </si>
  <si>
    <t>CUST-1019</t>
  </si>
  <si>
    <t>CUST-1020</t>
  </si>
  <si>
    <t>CUST-1021</t>
  </si>
  <si>
    <t>CUST-1022</t>
  </si>
  <si>
    <t>CUST-1023</t>
  </si>
  <si>
    <t>CUST-1024</t>
  </si>
  <si>
    <t>CUST-1025</t>
  </si>
  <si>
    <t>CUST-1026</t>
  </si>
  <si>
    <t>CUST-1027</t>
  </si>
  <si>
    <t>CUST-1028</t>
  </si>
  <si>
    <t>CUST-1029</t>
  </si>
  <si>
    <t>Strategic</t>
  </si>
  <si>
    <t>CUST-1030</t>
  </si>
  <si>
    <t>CUST-1031</t>
  </si>
  <si>
    <t>CUST-1032</t>
  </si>
  <si>
    <t>CUST-1033</t>
  </si>
  <si>
    <t>CUST-1034</t>
  </si>
  <si>
    <t>CUST-1035</t>
  </si>
  <si>
    <t>CUST-1036</t>
  </si>
  <si>
    <t>CUST-1037</t>
  </si>
  <si>
    <t>CUST-1038</t>
  </si>
  <si>
    <t>CUST-1039</t>
  </si>
  <si>
    <t>CUST-1040</t>
  </si>
  <si>
    <t>CUST-1041</t>
  </si>
  <si>
    <t>CUST-1042</t>
  </si>
  <si>
    <t>CUST-1043</t>
  </si>
  <si>
    <t>CUST-1044</t>
  </si>
  <si>
    <t>CUST-1045</t>
  </si>
  <si>
    <t>CUST-1046</t>
  </si>
  <si>
    <t>CUST-1047</t>
  </si>
  <si>
    <t>CUST-1048</t>
  </si>
  <si>
    <t>CUST-1049</t>
  </si>
  <si>
    <t>CUST-1050</t>
  </si>
  <si>
    <t>CUST-1051</t>
  </si>
  <si>
    <t>CUST-1052</t>
  </si>
  <si>
    <t>CUST-1053</t>
  </si>
  <si>
    <t>CUST-1054</t>
  </si>
  <si>
    <t>CUST-1055</t>
  </si>
  <si>
    <t>CUST-1056</t>
  </si>
  <si>
    <t>CUST-1057</t>
  </si>
  <si>
    <t>CUST-1058</t>
  </si>
  <si>
    <t>CUST-1059</t>
  </si>
  <si>
    <t>CUST-1060</t>
  </si>
  <si>
    <t>CUST-1061</t>
  </si>
  <si>
    <t>CUST-1062</t>
  </si>
  <si>
    <t>CUST-1063</t>
  </si>
  <si>
    <t>CUST-1064</t>
  </si>
  <si>
    <t>CUST-1065</t>
  </si>
  <si>
    <t>CUST-1066</t>
  </si>
  <si>
    <t>CUST-1067</t>
  </si>
  <si>
    <t>CUST-1068</t>
  </si>
  <si>
    <t>CUST-1069</t>
  </si>
  <si>
    <t>CUST-1070</t>
  </si>
  <si>
    <t>CUST-1071</t>
  </si>
  <si>
    <t>CUST-1072</t>
  </si>
  <si>
    <t>CUST-1073</t>
  </si>
  <si>
    <t>CUST-1074</t>
  </si>
  <si>
    <t>CUST-1075</t>
  </si>
  <si>
    <t>CUST-1076</t>
  </si>
  <si>
    <t>CUST-1077</t>
  </si>
  <si>
    <t>CUST-1078</t>
  </si>
  <si>
    <t>CUST-1079</t>
  </si>
  <si>
    <t>CUST-1080</t>
  </si>
  <si>
    <t>CUST-1081</t>
  </si>
  <si>
    <t>CUST-1082</t>
  </si>
  <si>
    <t>CUST-1083</t>
  </si>
  <si>
    <t>CUST-1084</t>
  </si>
  <si>
    <t>CUST-1085</t>
  </si>
  <si>
    <t>CUST-1086</t>
  </si>
  <si>
    <t>CUST-1087</t>
  </si>
  <si>
    <t>CUST-1088</t>
  </si>
  <si>
    <t>CUST-1089</t>
  </si>
  <si>
    <t>CUST-1090</t>
  </si>
  <si>
    <t>CUST-1091</t>
  </si>
  <si>
    <t>CUST-1092</t>
  </si>
  <si>
    <t>CUST-1093</t>
  </si>
  <si>
    <t>CUST-1094</t>
  </si>
  <si>
    <t>CUST-1095</t>
  </si>
  <si>
    <t>CUST-1096</t>
  </si>
  <si>
    <t>CUST-1097</t>
  </si>
  <si>
    <t>CUST-1098</t>
  </si>
  <si>
    <t>CUST-1099</t>
  </si>
  <si>
    <t>CUST-1100</t>
  </si>
  <si>
    <t>CUST-1101</t>
  </si>
  <si>
    <t>CUST-1102</t>
  </si>
  <si>
    <t>CUST-1103</t>
  </si>
  <si>
    <t>CUST-1104</t>
  </si>
  <si>
    <t>CUST-1105</t>
  </si>
  <si>
    <t>CUST-1106</t>
  </si>
  <si>
    <t>CUST-1107</t>
  </si>
  <si>
    <t>CUST-1108</t>
  </si>
  <si>
    <t>CUST-1109</t>
  </si>
  <si>
    <t>CUST-1110</t>
  </si>
  <si>
    <t>CUST-1111</t>
  </si>
  <si>
    <t>CUST-1112</t>
  </si>
  <si>
    <t>CUST-1113</t>
  </si>
  <si>
    <t>CUST-1114</t>
  </si>
  <si>
    <t>CUST-1115</t>
  </si>
  <si>
    <t>CUST-1116</t>
  </si>
  <si>
    <t>CUST-1117</t>
  </si>
  <si>
    <t>CUST-1118</t>
  </si>
  <si>
    <t>CUST-1119</t>
  </si>
  <si>
    <t>CUST-1120</t>
  </si>
  <si>
    <t>CUST-1121</t>
  </si>
  <si>
    <t>CUST-1122</t>
  </si>
  <si>
    <t>CUST-1123</t>
  </si>
  <si>
    <t>CUST-1124</t>
  </si>
  <si>
    <t>CUST-1125</t>
  </si>
  <si>
    <t>CUST-1126</t>
  </si>
  <si>
    <t>CUST-1127</t>
  </si>
  <si>
    <t>CUST-1128</t>
  </si>
  <si>
    <t>CUST-1129</t>
  </si>
  <si>
    <t>CUST-1130</t>
  </si>
  <si>
    <t>CUST-1131</t>
  </si>
  <si>
    <t>CUST-1132</t>
  </si>
  <si>
    <t>CUST-1133</t>
  </si>
  <si>
    <t>CUST-1134</t>
  </si>
  <si>
    <t>CUST-1135</t>
  </si>
  <si>
    <t>CUST-1136</t>
  </si>
  <si>
    <t>CUST-1137</t>
  </si>
  <si>
    <t>CUST-1138</t>
  </si>
  <si>
    <t>CUST-1139</t>
  </si>
  <si>
    <t>CUST-1140</t>
  </si>
  <si>
    <t>CUST-1141</t>
  </si>
  <si>
    <t>CUST-1142</t>
  </si>
  <si>
    <t>CUST-1143</t>
  </si>
  <si>
    <t>CUST-1144</t>
  </si>
  <si>
    <t>CUST-1145</t>
  </si>
  <si>
    <t>CUST-1146</t>
  </si>
  <si>
    <t>CUST-1147</t>
  </si>
  <si>
    <t>CUST-1148</t>
  </si>
  <si>
    <t>CUST-1149</t>
  </si>
  <si>
    <t>CUST-1150</t>
  </si>
  <si>
    <t>CUST-1151</t>
  </si>
  <si>
    <t>CUST-1152</t>
  </si>
  <si>
    <t>CUST-1153</t>
  </si>
  <si>
    <t>CUST-1154</t>
  </si>
  <si>
    <t>CUST-1155</t>
  </si>
  <si>
    <t>CUST-1156</t>
  </si>
  <si>
    <t>CUST-1157</t>
  </si>
  <si>
    <t>CUST-1158</t>
  </si>
  <si>
    <t>CUST-1159</t>
  </si>
  <si>
    <t>CUST-1160</t>
  </si>
  <si>
    <t>CUST-1161</t>
  </si>
  <si>
    <t>CUST-1162</t>
  </si>
  <si>
    <t>CUST-1163</t>
  </si>
  <si>
    <t>CUST-1164</t>
  </si>
  <si>
    <t>CUST-1165</t>
  </si>
  <si>
    <t>CUST-1166</t>
  </si>
  <si>
    <t>CUST-1167</t>
  </si>
  <si>
    <t>CUST-1168</t>
  </si>
  <si>
    <t>CUST-1169</t>
  </si>
  <si>
    <t>CUST-1170</t>
  </si>
  <si>
    <t>CUST-1171</t>
  </si>
  <si>
    <t>CUST-1172</t>
  </si>
  <si>
    <t>CUST-1173</t>
  </si>
  <si>
    <t>CUST-1174</t>
  </si>
  <si>
    <t>CUST-1175</t>
  </si>
  <si>
    <t>CUST-1176</t>
  </si>
  <si>
    <t>CUST-1177</t>
  </si>
  <si>
    <t>CUST-1178</t>
  </si>
  <si>
    <t>CUST-1179</t>
  </si>
  <si>
    <t>CUST-1180</t>
  </si>
  <si>
    <t>CUST-1181</t>
  </si>
  <si>
    <t>CUST-1182</t>
  </si>
  <si>
    <t>CUST-1183</t>
  </si>
  <si>
    <t>CUST-1184</t>
  </si>
  <si>
    <t>CUST-1185</t>
  </si>
  <si>
    <t>CUST-1186</t>
  </si>
  <si>
    <t>CUST-1187</t>
  </si>
  <si>
    <t>CUST-1188</t>
  </si>
  <si>
    <t>CUST-1189</t>
  </si>
  <si>
    <t>CUST-1190</t>
  </si>
  <si>
    <t>CUST-1191</t>
  </si>
  <si>
    <t>CUST-1192</t>
  </si>
  <si>
    <t>CUST-1193</t>
  </si>
  <si>
    <t>CUST-1194</t>
  </si>
  <si>
    <t>CUST-1195</t>
  </si>
  <si>
    <t>CUST-1196</t>
  </si>
  <si>
    <t>CUST-1197</t>
  </si>
  <si>
    <t>CUST-1198</t>
  </si>
  <si>
    <t>CUST-1199</t>
  </si>
  <si>
    <t>CUST-1200</t>
  </si>
  <si>
    <t>CUST-1201</t>
  </si>
  <si>
    <t>CUST-1202</t>
  </si>
  <si>
    <t>CUST-1203</t>
  </si>
  <si>
    <t>CUST-1204</t>
  </si>
  <si>
    <t>CUST-1205</t>
  </si>
  <si>
    <t>CUST-1206</t>
  </si>
  <si>
    <t>CUST-1207</t>
  </si>
  <si>
    <t>CUST-1208</t>
  </si>
  <si>
    <t>CUST-1209</t>
  </si>
  <si>
    <t>CUST-1210</t>
  </si>
  <si>
    <t>CUST-1211</t>
  </si>
  <si>
    <t>CUST-1212</t>
  </si>
  <si>
    <t>CUST-1213</t>
  </si>
  <si>
    <t>CUST-1214</t>
  </si>
  <si>
    <t>CUST-1215</t>
  </si>
  <si>
    <t>CUST-1216</t>
  </si>
  <si>
    <t>CUST-1217</t>
  </si>
  <si>
    <t>CUST-1218</t>
  </si>
  <si>
    <t>CUST-1219</t>
  </si>
  <si>
    <t>CUST-1220</t>
  </si>
  <si>
    <t>CUST-1221</t>
  </si>
  <si>
    <t>CUST-1222</t>
  </si>
  <si>
    <t>CUST-1223</t>
  </si>
  <si>
    <t>CUST-1224</t>
  </si>
  <si>
    <t>CUST-1225</t>
  </si>
  <si>
    <t>CUST-1226</t>
  </si>
  <si>
    <t>CUST-1227</t>
  </si>
  <si>
    <t>CUST-1228</t>
  </si>
  <si>
    <t>CUST-1229</t>
  </si>
  <si>
    <t>CUST-1230</t>
  </si>
  <si>
    <t>CUST-1231</t>
  </si>
  <si>
    <t>CUST-1232</t>
  </si>
  <si>
    <t>CUST-1233</t>
  </si>
  <si>
    <t>CUST-1234</t>
  </si>
  <si>
    <t>active</t>
  </si>
  <si>
    <t>expanded</t>
  </si>
  <si>
    <t>churned</t>
  </si>
  <si>
    <t>contracted</t>
  </si>
  <si>
    <t>CUST-1235</t>
  </si>
  <si>
    <t>CUST-1236</t>
  </si>
  <si>
    <t>CUST-1237</t>
  </si>
  <si>
    <t>CUST-1238</t>
  </si>
  <si>
    <t>CUST-1239</t>
  </si>
  <si>
    <t>CUST-1240</t>
  </si>
  <si>
    <t>CUST-1241</t>
  </si>
  <si>
    <t>CUST-1242</t>
  </si>
  <si>
    <t>CUST-1243</t>
  </si>
  <si>
    <t>CUST-1244</t>
  </si>
  <si>
    <t>CUST-1245</t>
  </si>
  <si>
    <t>CUST-1246</t>
  </si>
  <si>
    <t>CUST-1247</t>
  </si>
  <si>
    <t>CUST-1248</t>
  </si>
  <si>
    <t>CUST-1249</t>
  </si>
  <si>
    <t>CUST-1250</t>
  </si>
  <si>
    <t>CUST-1251</t>
  </si>
  <si>
    <t>CUST-1252</t>
  </si>
  <si>
    <t>CUST-1253</t>
  </si>
  <si>
    <t>CUST-1254</t>
  </si>
  <si>
    <t>CUST-1255</t>
  </si>
  <si>
    <t>CUST-1256</t>
  </si>
  <si>
    <t>CUST-1257</t>
  </si>
  <si>
    <t>CUST-1258</t>
  </si>
  <si>
    <t>CUST-1259</t>
  </si>
  <si>
    <t>CUST-1260</t>
  </si>
  <si>
    <t>CUST-1261</t>
  </si>
  <si>
    <t>CUST-1262</t>
  </si>
  <si>
    <t>CUST-1263</t>
  </si>
  <si>
    <t>CUST-1264</t>
  </si>
  <si>
    <t>CUST-1265</t>
  </si>
  <si>
    <t>CUST-1266</t>
  </si>
  <si>
    <t>CUST-1267</t>
  </si>
  <si>
    <t>CUST-1268</t>
  </si>
  <si>
    <t>CUST-1269</t>
  </si>
  <si>
    <t>CUST-1270</t>
  </si>
  <si>
    <t>CUST-1271</t>
  </si>
  <si>
    <t>CUST-1272</t>
  </si>
  <si>
    <t>CUST-1273</t>
  </si>
  <si>
    <t>CUST-1274</t>
  </si>
  <si>
    <t>CUST-1275</t>
  </si>
  <si>
    <t>CUST-1276</t>
  </si>
  <si>
    <t>CUST-1277</t>
  </si>
  <si>
    <t>CUST-1278</t>
  </si>
  <si>
    <t>CUST-1279</t>
  </si>
  <si>
    <t>CUST-1280</t>
  </si>
  <si>
    <t>CUST-1281</t>
  </si>
  <si>
    <t>CUST-1282</t>
  </si>
  <si>
    <t>CUST-1283</t>
  </si>
  <si>
    <t>CUST-1284</t>
  </si>
  <si>
    <t>CUST-1285</t>
  </si>
  <si>
    <t>CUST-1286</t>
  </si>
  <si>
    <t>CUST-1287</t>
  </si>
  <si>
    <t>CUST-1288</t>
  </si>
  <si>
    <t>CUST-1289</t>
  </si>
  <si>
    <t>CUST-1290</t>
  </si>
  <si>
    <t>CUST-1291</t>
  </si>
  <si>
    <t>CUST-1292</t>
  </si>
  <si>
    <t>CUST-1293</t>
  </si>
  <si>
    <t>CUST-1294</t>
  </si>
  <si>
    <t>CUST-1295</t>
  </si>
  <si>
    <t>CUST-1296</t>
  </si>
  <si>
    <t>CUST-1297</t>
  </si>
  <si>
    <t>CUST-1298</t>
  </si>
  <si>
    <t>CUST-1299</t>
  </si>
  <si>
    <t>CUST-1300</t>
  </si>
  <si>
    <t>CUST-1301</t>
  </si>
  <si>
    <t>CUST-1302</t>
  </si>
  <si>
    <t>CUST-1303</t>
  </si>
  <si>
    <t>CUST-1304</t>
  </si>
  <si>
    <t>CUST-1305</t>
  </si>
  <si>
    <t>CUST-1306</t>
  </si>
  <si>
    <t>CUST-1307</t>
  </si>
  <si>
    <t>CUST-1308</t>
  </si>
  <si>
    <t>CUST-1309</t>
  </si>
  <si>
    <t>CUST-1310</t>
  </si>
  <si>
    <t>CUST-1311</t>
  </si>
  <si>
    <t>CUST-1312</t>
  </si>
  <si>
    <t>CUST-1313</t>
  </si>
  <si>
    <t>CUST-1314</t>
  </si>
  <si>
    <t>CUST-1315</t>
  </si>
  <si>
    <t>CUST-1316</t>
  </si>
  <si>
    <t>CUST-1317</t>
  </si>
  <si>
    <t>CUST-1318</t>
  </si>
  <si>
    <t>CUST-1319</t>
  </si>
  <si>
    <t>CUST-1320</t>
  </si>
  <si>
    <t>CUST-1321</t>
  </si>
  <si>
    <t>CUST-1322</t>
  </si>
  <si>
    <t>CUST-1323</t>
  </si>
  <si>
    <t>CUST-1324</t>
  </si>
  <si>
    <t>CUST-1325</t>
  </si>
  <si>
    <t>CUST-1326</t>
  </si>
  <si>
    <t>CUST-1327</t>
  </si>
  <si>
    <t>CUST-1328</t>
  </si>
  <si>
    <t>CUST-1329</t>
  </si>
  <si>
    <t>CUST-1330</t>
  </si>
  <si>
    <t>CUST-1331</t>
  </si>
  <si>
    <t>CUST-1332</t>
  </si>
  <si>
    <t>CUST-1333</t>
  </si>
  <si>
    <t>CUST-1334</t>
  </si>
  <si>
    <t>CUST-1335</t>
  </si>
  <si>
    <t>CUST-1336</t>
  </si>
  <si>
    <t>CUST-1337</t>
  </si>
  <si>
    <t>CUST-1338</t>
  </si>
  <si>
    <t>CUST-1339</t>
  </si>
  <si>
    <t>CUST-1340</t>
  </si>
  <si>
    <t>CUST-1341</t>
  </si>
  <si>
    <t>CUST-1342</t>
  </si>
  <si>
    <t>CUST-1343</t>
  </si>
  <si>
    <t>CUST-1344</t>
  </si>
  <si>
    <t>CUST-1345</t>
  </si>
  <si>
    <t>CUST-1346</t>
  </si>
  <si>
    <t>CUST-1347</t>
  </si>
  <si>
    <t>CUST-1348</t>
  </si>
  <si>
    <t>CUST-1349</t>
  </si>
  <si>
    <t>CUST-1350</t>
  </si>
  <si>
    <t>CUST-1351</t>
  </si>
  <si>
    <t>CUST-1352</t>
  </si>
  <si>
    <t>CUST-1353</t>
  </si>
  <si>
    <t>CUST-1354</t>
  </si>
  <si>
    <t>CUST-1355</t>
  </si>
  <si>
    <t>CUST-1356</t>
  </si>
  <si>
    <t>CUST-1357</t>
  </si>
  <si>
    <t>CUST-1358</t>
  </si>
  <si>
    <t>CUST-1359</t>
  </si>
  <si>
    <t>CUST-1360</t>
  </si>
  <si>
    <t>CUST-1361</t>
  </si>
  <si>
    <t>CUST-1362</t>
  </si>
  <si>
    <t>CUST-1363</t>
  </si>
  <si>
    <t>CUST-1364</t>
  </si>
  <si>
    <t>CUST-1365</t>
  </si>
  <si>
    <t>CUST-1366</t>
  </si>
  <si>
    <t>CUST-1367</t>
  </si>
  <si>
    <t>CUST-1368</t>
  </si>
  <si>
    <t>CUST-1369</t>
  </si>
  <si>
    <t>CUST-1370</t>
  </si>
  <si>
    <t>CUST-1371</t>
  </si>
  <si>
    <t>CUST-1372</t>
  </si>
  <si>
    <t>CUST-1373</t>
  </si>
  <si>
    <t>CUST-1374</t>
  </si>
  <si>
    <t>CUST-1375</t>
  </si>
  <si>
    <t>CUST-1376</t>
  </si>
  <si>
    <t>CUST-1377</t>
  </si>
  <si>
    <t>CUST-1378</t>
  </si>
  <si>
    <t>CUST-1379</t>
  </si>
  <si>
    <t>CUST-1380</t>
  </si>
  <si>
    <t>CUST-1381</t>
  </si>
  <si>
    <t>CUST-1382</t>
  </si>
  <si>
    <t>CUST-1383</t>
  </si>
  <si>
    <t>CUST-1384</t>
  </si>
  <si>
    <t>CUST-1385</t>
  </si>
  <si>
    <t>CUST-1386</t>
  </si>
  <si>
    <t>CUST-1387</t>
  </si>
  <si>
    <t>CUST-1388</t>
  </si>
  <si>
    <t>CUST-1389</t>
  </si>
  <si>
    <t>CUST-1390</t>
  </si>
  <si>
    <t>CUST-1391</t>
  </si>
  <si>
    <t>CUST-1392</t>
  </si>
  <si>
    <t>CUST-1393</t>
  </si>
  <si>
    <t>CUST-1394</t>
  </si>
  <si>
    <t>CUST-1395</t>
  </si>
  <si>
    <t>CUST-1396</t>
  </si>
  <si>
    <t>CUST-1397</t>
  </si>
  <si>
    <t>CUST-1398</t>
  </si>
  <si>
    <t>CUST-1399</t>
  </si>
  <si>
    <t>CUST-1400</t>
  </si>
  <si>
    <t>CUST-1401</t>
  </si>
  <si>
    <t>CUST-1402</t>
  </si>
  <si>
    <t>CUST-1403</t>
  </si>
  <si>
    <t>CUST-1404</t>
  </si>
  <si>
    <t>CUST-1405</t>
  </si>
  <si>
    <t>CUST-1406</t>
  </si>
  <si>
    <t>CUST-1407</t>
  </si>
  <si>
    <t>CUST-1408</t>
  </si>
  <si>
    <t>CUST-1409</t>
  </si>
  <si>
    <t>CUST-1410</t>
  </si>
  <si>
    <t>CUST-1411</t>
  </si>
  <si>
    <t>CUST-1412</t>
  </si>
  <si>
    <t>CUST-1413</t>
  </si>
  <si>
    <t>CUST-1414</t>
  </si>
  <si>
    <t>CUST-1415</t>
  </si>
  <si>
    <t>CUST-1416</t>
  </si>
  <si>
    <t>CUST-1417</t>
  </si>
  <si>
    <t>CUST-1418</t>
  </si>
  <si>
    <t>CUST-1419</t>
  </si>
  <si>
    <t>CUST-1420</t>
  </si>
  <si>
    <t>CUST-1421</t>
  </si>
  <si>
    <t>CUST-1422</t>
  </si>
  <si>
    <t>CUST-1423</t>
  </si>
  <si>
    <t>CUST-1424</t>
  </si>
  <si>
    <t>CUST-1425</t>
  </si>
  <si>
    <t>CUST-1426</t>
  </si>
  <si>
    <t>CUST-1427</t>
  </si>
  <si>
    <t>CUST-1428</t>
  </si>
  <si>
    <t>CUST-1429</t>
  </si>
  <si>
    <t>CUST-1430</t>
  </si>
  <si>
    <t>CUST-1431</t>
  </si>
  <si>
    <t>CUST-1432</t>
  </si>
  <si>
    <t>CUST-1433</t>
  </si>
  <si>
    <t>CUST-1434</t>
  </si>
  <si>
    <t>CUST-1435</t>
  </si>
  <si>
    <t>CUST-1436</t>
  </si>
  <si>
    <t>CUST-1437</t>
  </si>
  <si>
    <t>CUST-1438</t>
  </si>
  <si>
    <t>CUST-1439</t>
  </si>
  <si>
    <t>CUST-1440</t>
  </si>
  <si>
    <t>CUST-1441</t>
  </si>
  <si>
    <t>CUST-1442</t>
  </si>
  <si>
    <t>CUST-1443</t>
  </si>
  <si>
    <t>CUST-1444</t>
  </si>
  <si>
    <t>CUST-1445</t>
  </si>
  <si>
    <t>CUST-1446</t>
  </si>
  <si>
    <t>CUST-1447</t>
  </si>
  <si>
    <t>CUST-1448</t>
  </si>
  <si>
    <t>CUST-1449</t>
  </si>
  <si>
    <t>CUST-1450</t>
  </si>
  <si>
    <t>CUST-1451</t>
  </si>
  <si>
    <t>CUST-1452</t>
  </si>
  <si>
    <t>CUST-1453</t>
  </si>
  <si>
    <t>CUST-1454</t>
  </si>
  <si>
    <t>CUST-1455</t>
  </si>
  <si>
    <t>CUST-1456</t>
  </si>
  <si>
    <t>CUST-1457</t>
  </si>
  <si>
    <t>CUST-1458</t>
  </si>
  <si>
    <t>CUST-1459</t>
  </si>
  <si>
    <t>CUST-1460</t>
  </si>
  <si>
    <t>CUST-1461</t>
  </si>
  <si>
    <t>CUST-1462</t>
  </si>
  <si>
    <t>CUST-1463</t>
  </si>
  <si>
    <t>CUST-1464</t>
  </si>
  <si>
    <t>CUST-1465</t>
  </si>
  <si>
    <t>CUST-1466</t>
  </si>
  <si>
    <t>CUST-1467</t>
  </si>
  <si>
    <t>CUST-1468</t>
  </si>
  <si>
    <t>CUST-1469</t>
  </si>
  <si>
    <t>CUST-1470</t>
  </si>
  <si>
    <t>ARR Bridge | beginning + new + expansion - contraction - churn = ending</t>
  </si>
  <si>
    <t>Beginning ARR</t>
  </si>
  <si>
    <t>New ARR</t>
  </si>
  <si>
    <t>Expansion ARR</t>
  </si>
  <si>
    <t>Contraction ARR</t>
  </si>
  <si>
    <t>Churn ARR</t>
  </si>
  <si>
    <t>Net New ARR</t>
  </si>
  <si>
    <t>Ending ARR</t>
  </si>
  <si>
    <t>Bridge Check</t>
  </si>
  <si>
    <t>Revenue Forecast | driver-based Base / Upside / Downside</t>
  </si>
  <si>
    <t>Pipeline New ARR</t>
  </si>
  <si>
    <t>Recognized Revenue</t>
  </si>
  <si>
    <t>Selected Scenario Output</t>
  </si>
  <si>
    <t>Selected Revenue</t>
  </si>
  <si>
    <t>Selected Ending ARR</t>
  </si>
  <si>
    <t>deal_id</t>
  </si>
  <si>
    <t>stage</t>
  </si>
  <si>
    <t>probability</t>
  </si>
  <si>
    <t>deal_size</t>
  </si>
  <si>
    <t>expected_close_date</t>
  </si>
  <si>
    <t>segment</t>
  </si>
  <si>
    <t>sales_cycle_days</t>
  </si>
  <si>
    <t>DEAL-2000</t>
  </si>
  <si>
    <t>Negotiation</t>
  </si>
  <si>
    <t>DEAL-2001</t>
  </si>
  <si>
    <t>Demo</t>
  </si>
  <si>
    <t>DEAL-2002</t>
  </si>
  <si>
    <t>Discovery</t>
  </si>
  <si>
    <t>DEAL-2003</t>
  </si>
  <si>
    <t>Proposal</t>
  </si>
  <si>
    <t>DEAL-2004</t>
  </si>
  <si>
    <t>Evaluation</t>
  </si>
  <si>
    <t>DEAL-2005</t>
  </si>
  <si>
    <t>DEAL-2006</t>
  </si>
  <si>
    <t>DEAL-2007</t>
  </si>
  <si>
    <t>DEAL-2008</t>
  </si>
  <si>
    <t>DEAL-2009</t>
  </si>
  <si>
    <t>Commit</t>
  </si>
  <si>
    <t>DEAL-2010</t>
  </si>
  <si>
    <t>DEAL-2011</t>
  </si>
  <si>
    <t>DEAL-2012</t>
  </si>
  <si>
    <t>DEAL-2013</t>
  </si>
  <si>
    <t>DEAL-2014</t>
  </si>
  <si>
    <t>DEAL-2015</t>
  </si>
  <si>
    <t>DEAL-2016</t>
  </si>
  <si>
    <t>DEAL-2017</t>
  </si>
  <si>
    <t>DEAL-2018</t>
  </si>
  <si>
    <t>DEAL-2019</t>
  </si>
  <si>
    <t>DEAL-2020</t>
  </si>
  <si>
    <t>DEAL-2021</t>
  </si>
  <si>
    <t>DEAL-2022</t>
  </si>
  <si>
    <t>DEAL-2023</t>
  </si>
  <si>
    <t>DEAL-2024</t>
  </si>
  <si>
    <t>DEAL-2025</t>
  </si>
  <si>
    <t>DEAL-2026</t>
  </si>
  <si>
    <t>DEAL-2027</t>
  </si>
  <si>
    <t>DEAL-2028</t>
  </si>
  <si>
    <t>DEAL-2029</t>
  </si>
  <si>
    <t>DEAL-2030</t>
  </si>
  <si>
    <t>DEAL-2031</t>
  </si>
  <si>
    <t>DEAL-2032</t>
  </si>
  <si>
    <t>DEAL-2033</t>
  </si>
  <si>
    <t>DEAL-2034</t>
  </si>
  <si>
    <t>DEAL-2035</t>
  </si>
  <si>
    <t>DEAL-2036</t>
  </si>
  <si>
    <t>DEAL-2037</t>
  </si>
  <si>
    <t>DEAL-2038</t>
  </si>
  <si>
    <t>DEAL-2039</t>
  </si>
  <si>
    <t>DEAL-2040</t>
  </si>
  <si>
    <t>DEAL-2041</t>
  </si>
  <si>
    <t>DEAL-2042</t>
  </si>
  <si>
    <t>DEAL-2043</t>
  </si>
  <si>
    <t>DEAL-2044</t>
  </si>
  <si>
    <t>DEAL-2045</t>
  </si>
  <si>
    <t>DEAL-2046</t>
  </si>
  <si>
    <t>DEAL-2047</t>
  </si>
  <si>
    <t>DEAL-2048</t>
  </si>
  <si>
    <t>DEAL-2049</t>
  </si>
  <si>
    <t>DEAL-2050</t>
  </si>
  <si>
    <t>DEAL-2051</t>
  </si>
  <si>
    <t>DEAL-2052</t>
  </si>
  <si>
    <t>DEAL-2053</t>
  </si>
  <si>
    <t>DEAL-2054</t>
  </si>
  <si>
    <t>DEAL-2055</t>
  </si>
  <si>
    <t>DEAL-2056</t>
  </si>
  <si>
    <t>DEAL-2057</t>
  </si>
  <si>
    <t>DEAL-2058</t>
  </si>
  <si>
    <t>DEAL-2059</t>
  </si>
  <si>
    <t>DEAL-2060</t>
  </si>
  <si>
    <t>DEAL-2061</t>
  </si>
  <si>
    <t>DEAL-2062</t>
  </si>
  <si>
    <t>DEAL-2063</t>
  </si>
  <si>
    <t>DEAL-2064</t>
  </si>
  <si>
    <t>DEAL-2065</t>
  </si>
  <si>
    <t>DEAL-2066</t>
  </si>
  <si>
    <t>DEAL-2067</t>
  </si>
  <si>
    <t>DEAL-2068</t>
  </si>
  <si>
    <t>DEAL-2069</t>
  </si>
  <si>
    <t>DEAL-2070</t>
  </si>
  <si>
    <t>DEAL-2071</t>
  </si>
  <si>
    <t>DEAL-2072</t>
  </si>
  <si>
    <t>DEAL-2073</t>
  </si>
  <si>
    <t>DEAL-2074</t>
  </si>
  <si>
    <t>DEAL-2075</t>
  </si>
  <si>
    <t>DEAL-2076</t>
  </si>
  <si>
    <t>DEAL-2077</t>
  </si>
  <si>
    <t>DEAL-2078</t>
  </si>
  <si>
    <t>DEAL-2079</t>
  </si>
  <si>
    <t>DEAL-2080</t>
  </si>
  <si>
    <t>DEAL-2081</t>
  </si>
  <si>
    <t>DEAL-2082</t>
  </si>
  <si>
    <t>DEAL-2083</t>
  </si>
  <si>
    <t>DEAL-2084</t>
  </si>
  <si>
    <t>DEAL-2085</t>
  </si>
  <si>
    <t>DEAL-2086</t>
  </si>
  <si>
    <t>DEAL-2087</t>
  </si>
  <si>
    <t>DEAL-2088</t>
  </si>
  <si>
    <t>DEAL-2089</t>
  </si>
  <si>
    <t>DEAL-2090</t>
  </si>
  <si>
    <t>DEAL-2091</t>
  </si>
  <si>
    <t>DEAL-2092</t>
  </si>
  <si>
    <t>DEAL-2093</t>
  </si>
  <si>
    <t>DEAL-2094</t>
  </si>
  <si>
    <t>DEAL-2095</t>
  </si>
  <si>
    <t>DEAL-2096</t>
  </si>
  <si>
    <t>DEAL-2097</t>
  </si>
  <si>
    <t>DEAL-2098</t>
  </si>
  <si>
    <t>DEAL-2099</t>
  </si>
  <si>
    <t>DEAL-2100</t>
  </si>
  <si>
    <t>DEAL-2101</t>
  </si>
  <si>
    <t>DEAL-2102</t>
  </si>
  <si>
    <t>DEAL-2103</t>
  </si>
  <si>
    <t>DEAL-2104</t>
  </si>
  <si>
    <t>DEAL-2105</t>
  </si>
  <si>
    <t>DEAL-2106</t>
  </si>
  <si>
    <t>DEAL-2107</t>
  </si>
  <si>
    <t>DEAL-2108</t>
  </si>
  <si>
    <t>DEAL-2109</t>
  </si>
  <si>
    <t>DEAL-2110</t>
  </si>
  <si>
    <t>DEAL-2111</t>
  </si>
  <si>
    <t>DEAL-2112</t>
  </si>
  <si>
    <t>DEAL-2113</t>
  </si>
  <si>
    <t>DEAL-2114</t>
  </si>
  <si>
    <t>DEAL-2115</t>
  </si>
  <si>
    <t>DEAL-2116</t>
  </si>
  <si>
    <t>DEAL-2117</t>
  </si>
  <si>
    <t>DEAL-2118</t>
  </si>
  <si>
    <t>DEAL-2119</t>
  </si>
  <si>
    <t>DEAL-2120</t>
  </si>
  <si>
    <t>DEAL-2121</t>
  </si>
  <si>
    <t>DEAL-2122</t>
  </si>
  <si>
    <t>DEAL-2123</t>
  </si>
  <si>
    <t>DEAL-2124</t>
  </si>
  <si>
    <t>DEAL-2125</t>
  </si>
  <si>
    <t>DEAL-2126</t>
  </si>
  <si>
    <t>DEAL-2127</t>
  </si>
  <si>
    <t>DEAL-2128</t>
  </si>
  <si>
    <t>DEAL-2129</t>
  </si>
  <si>
    <t>DEAL-2130</t>
  </si>
  <si>
    <t>DEAL-2131</t>
  </si>
  <si>
    <t>DEAL-2132</t>
  </si>
  <si>
    <t>DEAL-2133</t>
  </si>
  <si>
    <t>DEAL-2134</t>
  </si>
  <si>
    <t>DEAL-2135</t>
  </si>
  <si>
    <t>DEAL-2136</t>
  </si>
  <si>
    <t>DEAL-2137</t>
  </si>
  <si>
    <t>DEAL-2138</t>
  </si>
  <si>
    <t>DEAL-2139</t>
  </si>
  <si>
    <t>DEAL-2140</t>
  </si>
  <si>
    <t>DEAL-2141</t>
  </si>
  <si>
    <t>DEAL-2142</t>
  </si>
  <si>
    <t>DEAL-2143</t>
  </si>
  <si>
    <t>DEAL-2144</t>
  </si>
  <si>
    <t>DEAL-2145</t>
  </si>
  <si>
    <t>DEAL-2146</t>
  </si>
  <si>
    <t>DEAL-2147</t>
  </si>
  <si>
    <t>DEAL-2148</t>
  </si>
  <si>
    <t>DEAL-2149</t>
  </si>
  <si>
    <t>DEAL-2150</t>
  </si>
  <si>
    <t>DEAL-2151</t>
  </si>
  <si>
    <t>DEAL-2152</t>
  </si>
  <si>
    <t>DEAL-2153</t>
  </si>
  <si>
    <t>DEAL-2154</t>
  </si>
  <si>
    <t>DEAL-2155</t>
  </si>
  <si>
    <t>DEAL-2156</t>
  </si>
  <si>
    <t>DEAL-2157</t>
  </si>
  <si>
    <t>DEAL-2158</t>
  </si>
  <si>
    <t>DEAL-2159</t>
  </si>
  <si>
    <t>DEAL-2160</t>
  </si>
  <si>
    <t>DEAL-2161</t>
  </si>
  <si>
    <t>DEAL-2162</t>
  </si>
  <si>
    <t>DEAL-2163</t>
  </si>
  <si>
    <t>DEAL-2164</t>
  </si>
  <si>
    <t>DEAL-2165</t>
  </si>
  <si>
    <t>DEAL-2166</t>
  </si>
  <si>
    <t>DEAL-2167</t>
  </si>
  <si>
    <t>DEAL-2168</t>
  </si>
  <si>
    <t>DEAL-2169</t>
  </si>
  <si>
    <t>DEAL-2170</t>
  </si>
  <si>
    <t>DEAL-2171</t>
  </si>
  <si>
    <t>DEAL-2172</t>
  </si>
  <si>
    <t>DEAL-2173</t>
  </si>
  <si>
    <t>DEAL-2174</t>
  </si>
  <si>
    <t>DEAL-2175</t>
  </si>
  <si>
    <t>DEAL-2176</t>
  </si>
  <si>
    <t>DEAL-2177</t>
  </si>
  <si>
    <t>DEAL-2178</t>
  </si>
  <si>
    <t>DEAL-2179</t>
  </si>
  <si>
    <t>DEAL-2180</t>
  </si>
  <si>
    <t>DEAL-2181</t>
  </si>
  <si>
    <t>DEAL-2182</t>
  </si>
  <si>
    <t>DEAL-2183</t>
  </si>
  <si>
    <t>DEAL-2184</t>
  </si>
  <si>
    <t>DEAL-2185</t>
  </si>
  <si>
    <t>DEAL-2186</t>
  </si>
  <si>
    <t>DEAL-2187</t>
  </si>
  <si>
    <t>DEAL-2188</t>
  </si>
  <si>
    <t>DEAL-2189</t>
  </si>
  <si>
    <t>DEAL-2190</t>
  </si>
  <si>
    <t>DEAL-2191</t>
  </si>
  <si>
    <t>DEAL-2192</t>
  </si>
  <si>
    <t>DEAL-2193</t>
  </si>
  <si>
    <t>DEAL-2194</t>
  </si>
  <si>
    <t>DEAL-2195</t>
  </si>
  <si>
    <t>DEAL-2196</t>
  </si>
  <si>
    <t>DEAL-2197</t>
  </si>
  <si>
    <t>DEAL-2198</t>
  </si>
  <si>
    <t>DEAL-2199</t>
  </si>
  <si>
    <t>DEAL-2200</t>
  </si>
  <si>
    <t>DEAL-2201</t>
  </si>
  <si>
    <t>DEAL-2202</t>
  </si>
  <si>
    <t>DEAL-2203</t>
  </si>
  <si>
    <t>DEAL-2204</t>
  </si>
  <si>
    <t>DEAL-2205</t>
  </si>
  <si>
    <t>DEAL-2206</t>
  </si>
  <si>
    <t>DEAL-2207</t>
  </si>
  <si>
    <t>DEAL-2208</t>
  </si>
  <si>
    <t>DEAL-2209</t>
  </si>
  <si>
    <t>DEAL-2210</t>
  </si>
  <si>
    <t>DEAL-2211</t>
  </si>
  <si>
    <t>DEAL-2212</t>
  </si>
  <si>
    <t>DEAL-2213</t>
  </si>
  <si>
    <t>DEAL-2214</t>
  </si>
  <si>
    <t>DEAL-2215</t>
  </si>
  <si>
    <t>DEAL-2216</t>
  </si>
  <si>
    <t>DEAL-2217</t>
  </si>
  <si>
    <t>DEAL-2218</t>
  </si>
  <si>
    <t>DEAL-2219</t>
  </si>
  <si>
    <t>DEAL-2220</t>
  </si>
  <si>
    <t>DEAL-2221</t>
  </si>
  <si>
    <t>DEAL-2222</t>
  </si>
  <si>
    <t>DEAL-2223</t>
  </si>
  <si>
    <t>DEAL-2224</t>
  </si>
  <si>
    <t>DEAL-2225</t>
  </si>
  <si>
    <t>DEAL-2226</t>
  </si>
  <si>
    <t>DEAL-2227</t>
  </si>
  <si>
    <t>DEAL-2228</t>
  </si>
  <si>
    <t>DEAL-2229</t>
  </si>
  <si>
    <t>DEAL-2230</t>
  </si>
  <si>
    <t>DEAL-2231</t>
  </si>
  <si>
    <t>DEAL-2232</t>
  </si>
  <si>
    <t>DEAL-2233</t>
  </si>
  <si>
    <t>DEAL-2234</t>
  </si>
  <si>
    <t>DEAL-2235</t>
  </si>
  <si>
    <t>DEAL-2236</t>
  </si>
  <si>
    <t>DEAL-2237</t>
  </si>
  <si>
    <t>DEAL-2238</t>
  </si>
  <si>
    <t>DEAL-2239</t>
  </si>
  <si>
    <t>DEAL-2240</t>
  </si>
  <si>
    <t>DEAL-2241</t>
  </si>
  <si>
    <t>DEAL-2242</t>
  </si>
  <si>
    <t>DEAL-2243</t>
  </si>
  <si>
    <t>DEAL-2244</t>
  </si>
  <si>
    <t>DEAL-2245</t>
  </si>
  <si>
    <t>DEAL-2246</t>
  </si>
  <si>
    <t>DEAL-2247</t>
  </si>
  <si>
    <t>DEAL-2248</t>
  </si>
  <si>
    <t>DEAL-2249</t>
  </si>
  <si>
    <t>DEAL-2250</t>
  </si>
  <si>
    <t>DEAL-2251</t>
  </si>
  <si>
    <t>DEAL-2252</t>
  </si>
  <si>
    <t>DEAL-2253</t>
  </si>
  <si>
    <t>DEAL-2254</t>
  </si>
  <si>
    <t>DEAL-2255</t>
  </si>
  <si>
    <t>DEAL-2256</t>
  </si>
  <si>
    <t>DEAL-2257</t>
  </si>
  <si>
    <t>DEAL-2258</t>
  </si>
  <si>
    <t>DEAL-2259</t>
  </si>
  <si>
    <t>DEAL-2260</t>
  </si>
  <si>
    <t>DEAL-2261</t>
  </si>
  <si>
    <t>DEAL-2262</t>
  </si>
  <si>
    <t>DEAL-2263</t>
  </si>
  <si>
    <t>DEAL-2264</t>
  </si>
  <si>
    <t>DEAL-2265</t>
  </si>
  <si>
    <t>DEAL-2266</t>
  </si>
  <si>
    <t>DEAL-2267</t>
  </si>
  <si>
    <t>DEAL-2268</t>
  </si>
  <si>
    <t>DEAL-2269</t>
  </si>
  <si>
    <t>DEAL-2270</t>
  </si>
  <si>
    <t>DEAL-2271</t>
  </si>
  <si>
    <t>DEAL-2272</t>
  </si>
  <si>
    <t>DEAL-2273</t>
  </si>
  <si>
    <t>DEAL-2274</t>
  </si>
  <si>
    <t>DEAL-2275</t>
  </si>
  <si>
    <t>DEAL-2276</t>
  </si>
  <si>
    <t>DEAL-2277</t>
  </si>
  <si>
    <t>DEAL-2278</t>
  </si>
  <si>
    <t>DEAL-2279</t>
  </si>
  <si>
    <t>DEAL-2280</t>
  </si>
  <si>
    <t>DEAL-2281</t>
  </si>
  <si>
    <t>DEAL-2282</t>
  </si>
  <si>
    <t>DEAL-2283</t>
  </si>
  <si>
    <t>DEAL-2284</t>
  </si>
  <si>
    <t>DEAL-2285</t>
  </si>
  <si>
    <t>DEAL-2286</t>
  </si>
  <si>
    <t>DEAL-2287</t>
  </si>
  <si>
    <t>DEAL-2288</t>
  </si>
  <si>
    <t>DEAL-2289</t>
  </si>
  <si>
    <t>DEAL-2290</t>
  </si>
  <si>
    <t>DEAL-2291</t>
  </si>
  <si>
    <t>DEAL-2292</t>
  </si>
  <si>
    <t>DEAL-2293</t>
  </si>
  <si>
    <t>DEAL-2294</t>
  </si>
  <si>
    <t>DEAL-2295</t>
  </si>
  <si>
    <t>DEAL-2296</t>
  </si>
  <si>
    <t>DEAL-2297</t>
  </si>
  <si>
    <t>DEAL-2298</t>
  </si>
  <si>
    <t>DEAL-2299</t>
  </si>
  <si>
    <t>DEAL-2300</t>
  </si>
  <si>
    <t>DEAL-2301</t>
  </si>
  <si>
    <t>DEAL-2302</t>
  </si>
  <si>
    <t>DEAL-2303</t>
  </si>
  <si>
    <t>DEAL-2304</t>
  </si>
  <si>
    <t>DEAL-2305</t>
  </si>
  <si>
    <t>DEAL-2306</t>
  </si>
  <si>
    <t>DEAL-2307</t>
  </si>
  <si>
    <t>DEAL-2308</t>
  </si>
  <si>
    <t>DEAL-2309</t>
  </si>
  <si>
    <t>DEAL-2310</t>
  </si>
  <si>
    <t>DEAL-2311</t>
  </si>
  <si>
    <t>DEAL-2312</t>
  </si>
  <si>
    <t>DEAL-2313</t>
  </si>
  <si>
    <t>DEAL-2314</t>
  </si>
  <si>
    <t>DEAL-2315</t>
  </si>
  <si>
    <t>DEAL-2316</t>
  </si>
  <si>
    <t>DEAL-2317</t>
  </si>
  <si>
    <t>DEAL-2318</t>
  </si>
  <si>
    <t>DEAL-2319</t>
  </si>
  <si>
    <t>DEAL-2320</t>
  </si>
  <si>
    <t>DEAL-2321</t>
  </si>
  <si>
    <t>DEAL-2322</t>
  </si>
  <si>
    <t>DEAL-2323</t>
  </si>
  <si>
    <t>DEAL-2324</t>
  </si>
  <si>
    <t>DEAL-2325</t>
  </si>
  <si>
    <t>DEAL-2326</t>
  </si>
  <si>
    <t>DEAL-2327</t>
  </si>
  <si>
    <t>DEAL-2328</t>
  </si>
  <si>
    <t>DEAL-2329</t>
  </si>
  <si>
    <t>DEAL-2330</t>
  </si>
  <si>
    <t>DEAL-2331</t>
  </si>
  <si>
    <t>DEAL-2332</t>
  </si>
  <si>
    <t>DEAL-2333</t>
  </si>
  <si>
    <t>DEAL-2334</t>
  </si>
  <si>
    <t>DEAL-2335</t>
  </si>
  <si>
    <t>DEAL-2336</t>
  </si>
  <si>
    <t>DEAL-2337</t>
  </si>
  <si>
    <t>DEAL-2338</t>
  </si>
  <si>
    <t>DEAL-2339</t>
  </si>
  <si>
    <t>DEAL-2340</t>
  </si>
  <si>
    <t>DEAL-2341</t>
  </si>
  <si>
    <t>DEAL-2342</t>
  </si>
  <si>
    <t>DEAL-2343</t>
  </si>
  <si>
    <t>DEAL-2344</t>
  </si>
  <si>
    <t>DEAL-2345</t>
  </si>
  <si>
    <t>DEAL-2346</t>
  </si>
  <si>
    <t>DEAL-2347</t>
  </si>
  <si>
    <t>DEAL-2348</t>
  </si>
  <si>
    <t>DEAL-2349</t>
  </si>
  <si>
    <t>DEAL-2350</t>
  </si>
  <si>
    <t>DEAL-2351</t>
  </si>
  <si>
    <t>DEAL-2352</t>
  </si>
  <si>
    <t>DEAL-2353</t>
  </si>
  <si>
    <t>DEAL-2354</t>
  </si>
  <si>
    <t>DEAL-2355</t>
  </si>
  <si>
    <t>DEAL-2356</t>
  </si>
  <si>
    <t>DEAL-2357</t>
  </si>
  <si>
    <t>DEAL-2358</t>
  </si>
  <si>
    <t>DEAL-2359</t>
  </si>
  <si>
    <t>DEAL-2360</t>
  </si>
  <si>
    <t>DEAL-2361</t>
  </si>
  <si>
    <t>DEAL-2362</t>
  </si>
  <si>
    <t>DEAL-2363</t>
  </si>
  <si>
    <t>DEAL-2364</t>
  </si>
  <si>
    <t>DEAL-2365</t>
  </si>
  <si>
    <t>DEAL-2366</t>
  </si>
  <si>
    <t>DEAL-2367</t>
  </si>
  <si>
    <t>DEAL-2368</t>
  </si>
  <si>
    <t>DEAL-2369</t>
  </si>
  <si>
    <t>DEAL-2370</t>
  </si>
  <si>
    <t>DEAL-2371</t>
  </si>
  <si>
    <t>DEAL-2372</t>
  </si>
  <si>
    <t>DEAL-2373</t>
  </si>
  <si>
    <t>DEAL-2374</t>
  </si>
  <si>
    <t>DEAL-2375</t>
  </si>
  <si>
    <t>DEAL-2376</t>
  </si>
  <si>
    <t>DEAL-2377</t>
  </si>
  <si>
    <t>DEAL-2378</t>
  </si>
  <si>
    <t>DEAL-2379</t>
  </si>
  <si>
    <t>DEAL-2380</t>
  </si>
  <si>
    <t>DEAL-2381</t>
  </si>
  <si>
    <t>DEAL-2382</t>
  </si>
  <si>
    <t>DEAL-2383</t>
  </si>
  <si>
    <t>DEAL-2384</t>
  </si>
  <si>
    <t>DEAL-2385</t>
  </si>
  <si>
    <t>DEAL-2386</t>
  </si>
  <si>
    <t>DEAL-2387</t>
  </si>
  <si>
    <t>DEAL-2388</t>
  </si>
  <si>
    <t>DEAL-2389</t>
  </si>
  <si>
    <t>DEAL-2390</t>
  </si>
  <si>
    <t>DEAL-2391</t>
  </si>
  <si>
    <t>DEAL-2392</t>
  </si>
  <si>
    <t>DEAL-2393</t>
  </si>
  <si>
    <t>DEAL-2394</t>
  </si>
  <si>
    <t>DEAL-2395</t>
  </si>
  <si>
    <t>DEAL-2396</t>
  </si>
  <si>
    <t>DEAL-2397</t>
  </si>
  <si>
    <t>DEAL-2398</t>
  </si>
  <si>
    <t>DEAL-2399</t>
  </si>
  <si>
    <t>DEAL-2400</t>
  </si>
  <si>
    <t>DEAL-2401</t>
  </si>
  <si>
    <t>DEAL-2402</t>
  </si>
  <si>
    <t>DEAL-2403</t>
  </si>
  <si>
    <t>DEAL-2404</t>
  </si>
  <si>
    <t>DEAL-2405</t>
  </si>
  <si>
    <t>DEAL-2406</t>
  </si>
  <si>
    <t>DEAL-2407</t>
  </si>
  <si>
    <t>DEAL-2408</t>
  </si>
  <si>
    <t>DEAL-2409</t>
  </si>
  <si>
    <t>DEAL-2410</t>
  </si>
  <si>
    <t>DEAL-2411</t>
  </si>
  <si>
    <t>DEAL-2412</t>
  </si>
  <si>
    <t>DEAL-2413</t>
  </si>
  <si>
    <t>DEAL-2414</t>
  </si>
  <si>
    <t>DEAL-2415</t>
  </si>
  <si>
    <t>DEAL-2416</t>
  </si>
  <si>
    <t>DEAL-2417</t>
  </si>
  <si>
    <t>DEAL-2418</t>
  </si>
  <si>
    <t>DEAL-2419</t>
  </si>
  <si>
    <t>Headcount &amp; Opex Plan | department build linked to Income Statement</t>
  </si>
  <si>
    <t>Sales Headcount</t>
  </si>
  <si>
    <t>Customer Success Headcount</t>
  </si>
  <si>
    <t>Marketing Headcount</t>
  </si>
  <si>
    <t>Product &amp; Engineering Headcount</t>
  </si>
  <si>
    <t>G&amp;A Headcount</t>
  </si>
  <si>
    <t>Total Headcount</t>
  </si>
  <si>
    <t>Personnel Opex</t>
  </si>
  <si>
    <t>Sales Personnel Cost</t>
  </si>
  <si>
    <t>Customer Success Personnel Cost</t>
  </si>
  <si>
    <t>Marketing Personnel Cost</t>
  </si>
  <si>
    <t>Product &amp; Engineering Personnel Cost</t>
  </si>
  <si>
    <t>G&amp;A Personnel Cost</t>
  </si>
  <si>
    <t>Total Personnel Cost</t>
  </si>
  <si>
    <t>Non-Personnel Opex</t>
  </si>
  <si>
    <t>Sales Non-Personnel</t>
  </si>
  <si>
    <t>Customer Success Non-Personnel</t>
  </si>
  <si>
    <t>Marketing Non-Personnel</t>
  </si>
  <si>
    <t>Product &amp; Engineering Non-Personnel</t>
  </si>
  <si>
    <t>G&amp;A Non-Personnel</t>
  </si>
  <si>
    <t>Total Non-Personnel</t>
  </si>
  <si>
    <t>Total Opex</t>
  </si>
  <si>
    <t>department</t>
  </si>
  <si>
    <t>role</t>
  </si>
  <si>
    <t>start_date</t>
  </si>
  <si>
    <t>fully_loaded_annual_cost</t>
  </si>
  <si>
    <t>headcount</t>
  </si>
  <si>
    <t>monthly_cost</t>
  </si>
  <si>
    <t>Sales</t>
  </si>
  <si>
    <t>Account Executive</t>
  </si>
  <si>
    <t>2024-01-01</t>
  </si>
  <si>
    <t>Sales Development Rep</t>
  </si>
  <si>
    <t>Sales Leadership</t>
  </si>
  <si>
    <t>Customer Success</t>
  </si>
  <si>
    <t>Customer Success Manager</t>
  </si>
  <si>
    <t>Implementation</t>
  </si>
  <si>
    <t>Marketing</t>
  </si>
  <si>
    <t>Demand Generation</t>
  </si>
  <si>
    <t>Content &amp; Brand</t>
  </si>
  <si>
    <t>Product &amp; Engineering</t>
  </si>
  <si>
    <t>Software Engineer</t>
  </si>
  <si>
    <t>Product Manager</t>
  </si>
  <si>
    <t>Design &amp; Research</t>
  </si>
  <si>
    <t>G&amp;A</t>
  </si>
  <si>
    <t>Finance &amp; Accounting</t>
  </si>
  <si>
    <t>People &amp; Legal</t>
  </si>
  <si>
    <t>IT &amp; Facilities</t>
  </si>
  <si>
    <t>Income Statement | linked monthly operating forecast</t>
  </si>
  <si>
    <t>Revenue</t>
  </si>
  <si>
    <t>Cost of Revenue</t>
  </si>
  <si>
    <t>Gross Profit</t>
  </si>
  <si>
    <t>Gross Margin</t>
  </si>
  <si>
    <t>Sales &amp; Marketing</t>
  </si>
  <si>
    <t>EBITDA</t>
  </si>
  <si>
    <t>EBITDA Margin</t>
  </si>
  <si>
    <t>Depreciation &amp; Amortization</t>
  </si>
  <si>
    <t>EBIT</t>
  </si>
  <si>
    <t>Interest Income</t>
  </si>
  <si>
    <t>Interest Expense</t>
  </si>
  <si>
    <t>Pre-Tax Income</t>
  </si>
  <si>
    <t>Taxes</t>
  </si>
  <si>
    <t>Net Income</t>
  </si>
  <si>
    <t>Balance Sheet | cash linked from Cash Flow, balance check included</t>
  </si>
  <si>
    <t>Cash</t>
  </si>
  <si>
    <t>Accounts Receivable</t>
  </si>
  <si>
    <t>Prepaids &amp; Other Current Assets</t>
  </si>
  <si>
    <t>Property &amp; Equipment, Net</t>
  </si>
  <si>
    <t>Total Assets</t>
  </si>
  <si>
    <t>Accounts Payable</t>
  </si>
  <si>
    <t>Deferred Revenue</t>
  </si>
  <si>
    <t>Debt</t>
  </si>
  <si>
    <t>Total Liabilities</t>
  </si>
  <si>
    <t>Opening Equity</t>
  </si>
  <si>
    <t>Retained Earnings</t>
  </si>
  <si>
    <t>Total Equity</t>
  </si>
  <si>
    <t>Liabilities + Equity</t>
  </si>
  <si>
    <t>Balance Check</t>
  </si>
  <si>
    <t>Cash Flow Statement | indirect method</t>
  </si>
  <si>
    <t>Change in Accounts Receivable</t>
  </si>
  <si>
    <t>Change in Prepaids</t>
  </si>
  <si>
    <t>Change in Accounts Payable</t>
  </si>
  <si>
    <t>Change in Deferred Revenue</t>
  </si>
  <si>
    <t>Cash Flow from Operations</t>
  </si>
  <si>
    <t>Capital Expenditures</t>
  </si>
  <si>
    <t>Cash Flow from Investing</t>
  </si>
  <si>
    <t>Debt Issuance / (Repayment)</t>
  </si>
  <si>
    <t>Net Change in Cash</t>
  </si>
  <si>
    <t>Ending Cash</t>
  </si>
  <si>
    <t>SaaS Metrics Dashboard | board-level operating health</t>
  </si>
  <si>
    <t>ARR</t>
  </si>
  <si>
    <t>MRR</t>
  </si>
  <si>
    <t>NRR</t>
  </si>
  <si>
    <t>GRR</t>
  </si>
  <si>
    <t>CAC</t>
  </si>
  <si>
    <t>LTV</t>
  </si>
  <si>
    <t>LTV:CAC</t>
  </si>
  <si>
    <t>Rule of 40</t>
  </si>
  <si>
    <t>Magic Number</t>
  </si>
  <si>
    <t>Burn Multiple</t>
  </si>
  <si>
    <t>Cash Runway (months)</t>
  </si>
  <si>
    <t>Budget vs Actual | volume / price-mix decomposition and materiality flags</t>
  </si>
  <si>
    <t>Revenue Budget</t>
  </si>
  <si>
    <t>Volume Variance</t>
  </si>
  <si>
    <t>Price / Mix Variance</t>
  </si>
  <si>
    <t>Revenue Actual</t>
  </si>
  <si>
    <t>Revenue Variance $</t>
  </si>
  <si>
    <t>Revenue Variance %</t>
  </si>
  <si>
    <t>Opex Budget</t>
  </si>
  <si>
    <t>Sales Variance</t>
  </si>
  <si>
    <t>Customer Success Variance</t>
  </si>
  <si>
    <t>Marketing Variance</t>
  </si>
  <si>
    <t>Product &amp; Engineering Variance</t>
  </si>
  <si>
    <t>G&amp;A Variance</t>
  </si>
  <si>
    <t>Opex Actual</t>
  </si>
  <si>
    <t>Opex Variance $</t>
  </si>
  <si>
    <t>Opex Variance %</t>
  </si>
  <si>
    <t>revenue_budget</t>
  </si>
  <si>
    <t>revenue_actual</t>
  </si>
  <si>
    <t>opex_budget</t>
  </si>
  <si>
    <t>opex_actual</t>
  </si>
  <si>
    <t>units_budget</t>
  </si>
  <si>
    <t>units_actual</t>
  </si>
  <si>
    <t>arpa_budget</t>
  </si>
  <si>
    <t>arpa_actual</t>
  </si>
  <si>
    <t>Sensitivity Analysis | ending cash and runway under churn / hiring combinations</t>
  </si>
  <si>
    <t>Ending Cash Sensitivity ($M)</t>
  </si>
  <si>
    <t>Hiring / Churn</t>
  </si>
  <si>
    <t>Runway Sensitivity (months)</t>
  </si>
  <si>
    <t>Tornado Chart Source | impact on ending cash ($M)</t>
  </si>
  <si>
    <t>Low</t>
  </si>
  <si>
    <t>High</t>
  </si>
  <si>
    <t>Churn rate</t>
  </si>
  <si>
    <t>Pipeline conversion</t>
  </si>
  <si>
    <t>Cohort LTV Analysis | acquisition-quarter economics</t>
  </si>
  <si>
    <t>Cohort Quarter</t>
  </si>
  <si>
    <t>New Logos</t>
  </si>
  <si>
    <t>Opening MRR</t>
  </si>
  <si>
    <t>Current MRR</t>
  </si>
  <si>
    <t>Retention %</t>
  </si>
  <si>
    <t>CAC Spend</t>
  </si>
  <si>
    <t>Payback (months)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</si>
</sst>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\$#,##0;[Red]\(\$#,##0\);\-"/>
    <numFmt numFmtId="165" formatCode="0.0%;[Red]\(0.0%\);\-"/>
    <numFmt numFmtId="166" formatCode="0.00\x"/>
    <numFmt numFmtId="167" formatCode="yyyy\-mm\-dd\ h:mm:ss"/>
    <numFmt numFmtId="168" formatCode="\$#,##0,&quot;K&quot;;[Red]\(\$#,##0,&quot;K&quot;\);\-"/>
    <numFmt numFmtId="169" formatCode="0.0\x"/>
    <numFmt numFmtId="170" formatCode="0.0"/>
    <numFmt numFmtId="171" formatCode="yyyy\ &quot;Q&quot;\q"/>
  </numFmts>
  <fonts count="10" x14ac:knownFonts="1">
    <font>
      <sz val="11"/>
      <color theme="1"/>
      <name val="Calibri"/>
      <family val="2"/>
      <scheme val="minor"/>
    </font>
    <font>
      <b/>
      <sz val="20"/>
      <color rgb="FFFFFFFF"/>
      <name val="Aptos Display"/>
    </font>
    <font>
      <b/>
      <sz val="24"/>
      <color rgb="FF17324D"/>
      <name val="Calibri"/>
    </font>
    <font>
      <b/>
      <sz val="11"/>
      <color rgb="FF2F75B5"/>
      <name val="Calibri"/>
    </font>
    <font>
      <b/>
      <sz val="11"/>
      <color rgb="FFFFFFFF"/>
      <name val="Calibri"/>
    </font>
    <font>
      <sz val="11"/>
      <color rgb="FF0000FF"/>
      <name val="Calibri"/>
    </font>
    <font>
      <b/>
      <sz val="11"/>
      <name val="Calibri"/>
    </font>
    <font>
      <b/>
      <sz val="11"/>
      <color rgb="FF17324D"/>
      <name val="Calibri"/>
    </font>
    <font>
      <sz val="10"/>
      <color rgb="FF2F75B5"/>
      <name val="Aptos"/>
    </font>
    <font>
      <sz val="10"/>
      <name val="Aptos"/>
    </font>
  </fonts>
  <fills count="6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3" fillId="0" borderId="0" xfId="0" applyFont="1"/>
    <xf numFmtId="164" fontId="8" fillId="0" borderId="0" xfId="0" applyNumberFormat="1" applyFont="1"/>
    <xf numFmtId="0" fontId="8" fillId="0" borderId="0" xfId="0" applyFont="1"/>
    <xf numFmtId="0" fontId="4" fillId="3" borderId="0" xfId="0" applyFont="1" applyFill="1" applyAlignment="1">
      <alignment horizontal="center" wrapText="1"/>
    </xf>
    <xf numFmtId="1" fontId="5" fillId="4" borderId="0" xfId="0" applyNumberFormat="1" applyFont="1" applyFill="1"/>
    <xf numFmtId="1" fontId="8" fillId="0" borderId="0" xfId="0" applyNumberFormat="1" applyFont="1"/>
    <xf numFmtId="165" fontId="5" fillId="4" borderId="0" xfId="0" applyNumberFormat="1" applyFont="1" applyFill="1"/>
    <xf numFmtId="165" fontId="8" fillId="0" borderId="0" xfId="0" applyNumberFormat="1" applyFont="1"/>
    <xf numFmtId="166" fontId="5" fillId="4" borderId="0" xfId="0" applyNumberFormat="1" applyFont="1" applyFill="1"/>
    <xf numFmtId="166" fontId="8" fillId="0" borderId="0" xfId="0" applyNumberFormat="1" applyFont="1"/>
    <xf numFmtId="164" fontId="5" fillId="4" borderId="0" xfId="0" applyNumberFormat="1" applyFont="1" applyFill="1"/>
    <xf numFmtId="17" fontId="0" fillId="0" borderId="0" xfId="0" applyNumberFormat="1"/>
    <xf numFmtId="164" fontId="0" fillId="0" borderId="0" xfId="0" applyNumberFormat="1"/>
    <xf numFmtId="167" fontId="0" fillId="0" borderId="0" xfId="0" applyNumberFormat="1"/>
    <xf numFmtId="17" fontId="4" fillId="3" borderId="0" xfId="0" applyNumberFormat="1" applyFont="1" applyFill="1" applyAlignment="1">
      <alignment horizontal="center" wrapText="1"/>
    </xf>
    <xf numFmtId="0" fontId="6" fillId="0" borderId="0" xfId="0" applyFont="1"/>
    <xf numFmtId="168" fontId="8" fillId="0" borderId="0" xfId="0" applyNumberFormat="1" applyFont="1"/>
    <xf numFmtId="0" fontId="9" fillId="0" borderId="0" xfId="0" applyFont="1"/>
    <xf numFmtId="3" fontId="8" fillId="0" borderId="0" xfId="0" applyNumberFormat="1" applyFont="1"/>
    <xf numFmtId="169" fontId="8" fillId="0" borderId="0" xfId="0" applyNumberFormat="1" applyFont="1"/>
    <xf numFmtId="170" fontId="8" fillId="0" borderId="0" xfId="0" applyNumberFormat="1" applyFont="1"/>
    <xf numFmtId="0" fontId="7" fillId="0" borderId="0" xfId="0" applyFont="1"/>
    <xf numFmtId="0" fontId="8" fillId="3" borderId="0" xfId="0" applyFont="1" applyFill="1" applyAlignment="1">
      <alignment horizontal="center" wrapText="1"/>
    </xf>
    <xf numFmtId="165" fontId="4" fillId="3" borderId="0" xfId="0" applyNumberFormat="1" applyFont="1" applyFill="1" applyAlignment="1">
      <alignment horizontal="center" wrapText="1"/>
    </xf>
    <xf numFmtId="169" fontId="0" fillId="0" borderId="0" xfId="0" applyNumberFormat="1"/>
    <xf numFmtId="171" fontId="0" fillId="0" borderId="0" xfId="0" applyNumberFormat="1"/>
    <xf numFmtId="0" fontId="1" fillId="2" borderId="0" xfId="0" applyFont="1" applyFill="1" applyAlignment="1">
      <alignment vertical="center"/>
    </xf>
    <xf numFmtId="0" fontId="0" fillId="0" borderId="0" xfId="0"/>
    <xf numFmtId="0" fontId="7" fillId="5" borderId="0" xfId="0" applyFont="1" applyFill="1" applyAlignment="1">
      <alignment vertical="center"/>
    </xf>
  </cellXfs>
  <cellStyles count="1">
    <cellStyle name="Normal" xfId="0" builtinId="0"/>
  </cellStyles>
  <dxfs count="7"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Monthly ARR Movements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numRef>
              <c:f>'ARR Bridge'!$C$3:$N$3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'ARR Bridge'!$C$5:$N$5</c:f>
              <c:numCache>
                <c:formatCode>\$#,##0,"K";[Red]\(\$#,##0,"K"\);\-</c:formatCode>
                <c:ptCount val="12"/>
                <c:pt idx="0">
                  <c:v>403200</c:v>
                </c:pt>
                <c:pt idx="1">
                  <c:v>1225200</c:v>
                </c:pt>
                <c:pt idx="2">
                  <c:v>564000</c:v>
                </c:pt>
                <c:pt idx="3">
                  <c:v>1141200</c:v>
                </c:pt>
                <c:pt idx="4">
                  <c:v>856800</c:v>
                </c:pt>
                <c:pt idx="5">
                  <c:v>1126800</c:v>
                </c:pt>
                <c:pt idx="6">
                  <c:v>642000</c:v>
                </c:pt>
                <c:pt idx="7">
                  <c:v>938400</c:v>
                </c:pt>
                <c:pt idx="8">
                  <c:v>1154400</c:v>
                </c:pt>
                <c:pt idx="9">
                  <c:v>1220400</c:v>
                </c:pt>
                <c:pt idx="10">
                  <c:v>1610400</c:v>
                </c:pt>
                <c:pt idx="11">
                  <c:v>507600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A3-4994-856D-47169F94807E}"/>
            </c:ext>
          </c:extLst>
        </c:ser>
        <c:ser>
          <c:idx val="1"/>
          <c:order val="1"/>
          <c:spPr>
            <a:ln>
              <a:prstDash val="solid"/>
            </a:ln>
          </c:spPr>
          <c:invertIfNegative val="1"/>
          <c:cat>
            <c:numRef>
              <c:f>'ARR Bridge'!$C$3:$N$3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'ARR Bridge'!$C$6:$N$6</c:f>
              <c:numCache>
                <c:formatCode>\$#,##0,"K";[Red]\(\$#,##0,"K"\);\-</c:formatCode>
                <c:ptCount val="12"/>
                <c:pt idx="0">
                  <c:v>103200</c:v>
                </c:pt>
                <c:pt idx="1">
                  <c:v>18000</c:v>
                </c:pt>
                <c:pt idx="2">
                  <c:v>44400</c:v>
                </c:pt>
                <c:pt idx="3">
                  <c:v>170400</c:v>
                </c:pt>
                <c:pt idx="4">
                  <c:v>140400</c:v>
                </c:pt>
                <c:pt idx="5">
                  <c:v>192000</c:v>
                </c:pt>
                <c:pt idx="6">
                  <c:v>40800</c:v>
                </c:pt>
                <c:pt idx="7">
                  <c:v>52800</c:v>
                </c:pt>
                <c:pt idx="8">
                  <c:v>39600</c:v>
                </c:pt>
                <c:pt idx="9">
                  <c:v>84000</c:v>
                </c:pt>
                <c:pt idx="10">
                  <c:v>117600</c:v>
                </c:pt>
                <c:pt idx="11">
                  <c:v>51600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A3-4994-856D-47169F94807E}"/>
            </c:ext>
          </c:extLst>
        </c:ser>
        <c:ser>
          <c:idx val="2"/>
          <c:order val="2"/>
          <c:spPr>
            <a:ln>
              <a:prstDash val="solid"/>
            </a:ln>
          </c:spPr>
          <c:invertIfNegative val="1"/>
          <c:cat>
            <c:numRef>
              <c:f>'ARR Bridge'!$C$3:$N$3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'ARR Bridge'!$C$7:$N$7</c:f>
              <c:numCache>
                <c:formatCode>\$#,##0,"K";[Red]\(\$#,##0,"K"\);\-</c:formatCode>
                <c:ptCount val="12"/>
                <c:pt idx="0">
                  <c:v>43200</c:v>
                </c:pt>
                <c:pt idx="1">
                  <c:v>279600</c:v>
                </c:pt>
                <c:pt idx="2">
                  <c:v>79200</c:v>
                </c:pt>
                <c:pt idx="3">
                  <c:v>94800</c:v>
                </c:pt>
                <c:pt idx="4">
                  <c:v>39600</c:v>
                </c:pt>
                <c:pt idx="5">
                  <c:v>64800</c:v>
                </c:pt>
                <c:pt idx="6">
                  <c:v>344400</c:v>
                </c:pt>
                <c:pt idx="7">
                  <c:v>10800</c:v>
                </c:pt>
                <c:pt idx="8">
                  <c:v>44400</c:v>
                </c:pt>
                <c:pt idx="9">
                  <c:v>153600</c:v>
                </c:pt>
                <c:pt idx="10">
                  <c:v>2400</c:v>
                </c:pt>
                <c:pt idx="11">
                  <c:v>49200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4A3-4994-856D-47169F94807E}"/>
            </c:ext>
          </c:extLst>
        </c:ser>
        <c:ser>
          <c:idx val="3"/>
          <c:order val="3"/>
          <c:spPr>
            <a:ln>
              <a:prstDash val="solid"/>
            </a:ln>
          </c:spPr>
          <c:invertIfNegative val="1"/>
          <c:cat>
            <c:numRef>
              <c:f>'ARR Bridge'!$C$3:$N$3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'ARR Bridge'!$C$8:$N$8</c:f>
              <c:numCache>
                <c:formatCode>\$#,##0,"K";[Red]\(\$#,##0,"K"\);\-</c:formatCode>
                <c:ptCount val="12"/>
                <c:pt idx="0">
                  <c:v>476400</c:v>
                </c:pt>
                <c:pt idx="1">
                  <c:v>1866000</c:v>
                </c:pt>
                <c:pt idx="2">
                  <c:v>975600</c:v>
                </c:pt>
                <c:pt idx="3">
                  <c:v>154800</c:v>
                </c:pt>
                <c:pt idx="4">
                  <c:v>1128000</c:v>
                </c:pt>
                <c:pt idx="5">
                  <c:v>196800</c:v>
                </c:pt>
                <c:pt idx="6">
                  <c:v>42000</c:v>
                </c:pt>
                <c:pt idx="7">
                  <c:v>1004400</c:v>
                </c:pt>
                <c:pt idx="8">
                  <c:v>249600</c:v>
                </c:pt>
                <c:pt idx="9">
                  <c:v>1039200</c:v>
                </c:pt>
                <c:pt idx="10">
                  <c:v>297600</c:v>
                </c:pt>
                <c:pt idx="11">
                  <c:v>151200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4A3-4994-856D-47169F9480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dateAx>
        <c:axId val="10"/>
        <c:scaling>
          <c:orientation val="minMax"/>
        </c:scaling>
        <c:delete val="1"/>
        <c:axPos val="b"/>
        <c:numFmt formatCode="mmm\-yy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months"/>
      </c:dateAx>
      <c:valAx>
        <c:axId val="100"/>
        <c:scaling>
          <c:orientation val="minMax"/>
        </c:scaling>
        <c:delete val="1"/>
        <c:axPos val="l"/>
        <c:majorGridlines/>
        <c:numFmt formatCode="\$#,##0,&quot;K&quot;;[Red]\(\$#,##0,&quot;K&quot;\);\-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FY2026 Revenue Scenarios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numRef>
              <c:f>'Revenue Forecast'!$C$3:$N$3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'Revenue Forecast'!$C$11:$N$11</c:f>
              <c:numCache>
                <c:formatCode>\$#,##0,"K";[Red]\(\$#,##0,"K"\);\-</c:formatCode>
                <c:ptCount val="12"/>
                <c:pt idx="0">
                  <c:v>4058888.2333333329</c:v>
                </c:pt>
                <c:pt idx="1">
                  <c:v>4106582.6681500003</c:v>
                </c:pt>
                <c:pt idx="2">
                  <c:v>4172873.3391403579</c:v>
                </c:pt>
                <c:pt idx="3">
                  <c:v>4235179.2041026121</c:v>
                </c:pt>
                <c:pt idx="4">
                  <c:v>4266640.3309426121</c:v>
                </c:pt>
                <c:pt idx="5">
                  <c:v>4306837.668791485</c:v>
                </c:pt>
                <c:pt idx="6">
                  <c:v>4376786.7656110078</c:v>
                </c:pt>
                <c:pt idx="7">
                  <c:v>4431993.5683012018</c:v>
                </c:pt>
                <c:pt idx="8">
                  <c:v>4518972.526773911</c:v>
                </c:pt>
                <c:pt idx="9">
                  <c:v>4608121.2261832142</c:v>
                </c:pt>
                <c:pt idx="10">
                  <c:v>4653384.8340463573</c:v>
                </c:pt>
                <c:pt idx="11">
                  <c:v>4770108.8326250566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860-4289-9D21-4BF3EC0B8937}"/>
            </c:ext>
          </c:extLst>
        </c:ser>
        <c:ser>
          <c:idx val="1"/>
          <c:order val="1"/>
          <c:spPr>
            <a:ln>
              <a:prstDash val="solid"/>
            </a:ln>
          </c:spPr>
          <c:marker>
            <c:symbol val="none"/>
          </c:marker>
          <c:cat>
            <c:numRef>
              <c:f>'Revenue Forecast'!$C$3:$N$3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'Revenue Forecast'!$C$12:$N$12</c:f>
              <c:numCache>
                <c:formatCode>General</c:formatCode>
                <c:ptCount val="12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860-4289-9D21-4BF3EC0B8937}"/>
            </c:ext>
          </c:extLst>
        </c:ser>
        <c:ser>
          <c:idx val="2"/>
          <c:order val="2"/>
          <c:spPr>
            <a:ln>
              <a:prstDash val="solid"/>
            </a:ln>
          </c:spPr>
          <c:marker>
            <c:symbol val="none"/>
          </c:marker>
          <c:cat>
            <c:numRef>
              <c:f>'Revenue Forecast'!$C$3:$N$3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'Revenue Forecast'!$C$13:$N$13</c:f>
              <c:numCache>
                <c:formatCode>General</c:formatCode>
                <c:ptCount val="12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1860-4289-9D21-4BF3EC0B8937}"/>
            </c:ext>
          </c:extLst>
        </c:ser>
        <c:ser>
          <c:idx val="3"/>
          <c:order val="3"/>
          <c:spPr>
            <a:ln>
              <a:prstDash val="solid"/>
            </a:ln>
          </c:spPr>
          <c:marker>
            <c:symbol val="none"/>
          </c:marker>
          <c:cat>
            <c:numRef>
              <c:f>'Revenue Forecast'!$C$3:$N$3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'Revenue Forecast'!$C$14:$N$14</c:f>
              <c:numCache>
                <c:formatCode>\$#,##0,"K";[Red]\(\$#,##0,"K"\);\-</c:formatCode>
                <c:ptCount val="12"/>
                <c:pt idx="0">
                  <c:v>48393600</c:v>
                </c:pt>
                <c:pt idx="1">
                  <c:v>49547269.759999998</c:v>
                </c:pt>
                <c:pt idx="2">
                  <c:v>50568175.217216</c:v>
                </c:pt>
                <c:pt idx="3">
                  <c:v>52297387.859520502</c:v>
                </c:pt>
                <c:pt idx="4">
                  <c:v>53207262.210446939</c:v>
                </c:pt>
                <c:pt idx="5">
                  <c:v>54004303.674457535</c:v>
                </c:pt>
                <c:pt idx="6">
                  <c:v>55185739.801150523</c:v>
                </c:pt>
                <c:pt idx="7">
                  <c:v>56897762.635329492</c:v>
                </c:pt>
                <c:pt idx="8">
                  <c:v>57640172.648957692</c:v>
                </c:pt>
                <c:pt idx="9">
                  <c:v>60331442.493573628</c:v>
                </c:pt>
                <c:pt idx="10">
                  <c:v>61154307.195329413</c:v>
                </c:pt>
                <c:pt idx="11">
                  <c:v>62519624.318853617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1860-4289-9D21-4BF3EC0B8937}"/>
            </c:ext>
          </c:extLst>
        </c:ser>
        <c:ser>
          <c:idx val="4"/>
          <c:order val="4"/>
          <c:spPr>
            <a:ln>
              <a:prstDash val="solid"/>
            </a:ln>
          </c:spPr>
          <c:marker>
            <c:symbol val="none"/>
          </c:marker>
          <c:cat>
            <c:numRef>
              <c:f>'Revenue Forecast'!$C$3:$N$3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'Revenue Forecast'!$C$15:$N$15</c:f>
              <c:numCache>
                <c:formatCode>\$#,##0,"K";[Red]\(\$#,##0,"K"\);\-</c:formatCode>
                <c:ptCount val="12"/>
                <c:pt idx="0">
                  <c:v>1197224</c:v>
                </c:pt>
                <c:pt idx="1">
                  <c:v>1065498</c:v>
                </c:pt>
                <c:pt idx="2">
                  <c:v>1774724</c:v>
                </c:pt>
                <c:pt idx="3">
                  <c:v>956941.99999999988</c:v>
                </c:pt>
                <c:pt idx="4">
                  <c:v>844928</c:v>
                </c:pt>
                <c:pt idx="5">
                  <c:v>1230040</c:v>
                </c:pt>
                <c:pt idx="6">
                  <c:v>1761690</c:v>
                </c:pt>
                <c:pt idx="7">
                  <c:v>793618</c:v>
                </c:pt>
                <c:pt idx="8">
                  <c:v>2743146</c:v>
                </c:pt>
                <c:pt idx="9">
                  <c:v>877163</c:v>
                </c:pt>
                <c:pt idx="10">
                  <c:v>1420356</c:v>
                </c:pt>
                <c:pt idx="11">
                  <c:v>3068940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1860-4289-9D21-4BF3EC0B8937}"/>
            </c:ext>
          </c:extLst>
        </c:ser>
        <c:ser>
          <c:idx val="5"/>
          <c:order val="5"/>
          <c:spPr>
            <a:ln>
              <a:prstDash val="solid"/>
            </a:ln>
          </c:spPr>
          <c:marker>
            <c:symbol val="none"/>
          </c:marker>
          <c:cat>
            <c:numRef>
              <c:f>'Revenue Forecast'!$C$3:$N$3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'Revenue Forecast'!$C$16:$N$16</c:f>
              <c:numCache>
                <c:formatCode>\$#,##0,"K";[Red]\(\$#,##0,"K"\);\-</c:formatCode>
                <c:ptCount val="12"/>
                <c:pt idx="0">
                  <c:v>411345.60000000003</c:v>
                </c:pt>
                <c:pt idx="1">
                  <c:v>421151.79295999999</c:v>
                </c:pt>
                <c:pt idx="2">
                  <c:v>429829.48934633605</c:v>
                </c:pt>
                <c:pt idx="3">
                  <c:v>444527.79680592433</c:v>
                </c:pt>
                <c:pt idx="4">
                  <c:v>452261.72878879902</c:v>
                </c:pt>
                <c:pt idx="5">
                  <c:v>459036.58123288909</c:v>
                </c:pt>
                <c:pt idx="6">
                  <c:v>469078.78830977948</c:v>
                </c:pt>
                <c:pt idx="7">
                  <c:v>483630.98240030074</c:v>
                </c:pt>
                <c:pt idx="8">
                  <c:v>489941.46751614043</c:v>
                </c:pt>
                <c:pt idx="9">
                  <c:v>512817.26119537588</c:v>
                </c:pt>
                <c:pt idx="10">
                  <c:v>519811.61116030003</c:v>
                </c:pt>
                <c:pt idx="11">
                  <c:v>531416.8067102558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1860-4289-9D21-4BF3EC0B8937}"/>
            </c:ext>
          </c:extLst>
        </c:ser>
        <c:ser>
          <c:idx val="6"/>
          <c:order val="6"/>
          <c:spPr>
            <a:ln>
              <a:prstDash val="solid"/>
            </a:ln>
          </c:spPr>
          <c:marker>
            <c:symbol val="none"/>
          </c:marker>
          <c:cat>
            <c:numRef>
              <c:f>'Revenue Forecast'!$C$3:$N$3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'Revenue Forecast'!$C$17:$N$17</c:f>
              <c:numCache>
                <c:formatCode>\$#,##0,"K";[Red]\(\$#,##0,"K"\);\-</c:formatCode>
                <c:ptCount val="12"/>
                <c:pt idx="0">
                  <c:v>67751.039999999994</c:v>
                </c:pt>
                <c:pt idx="1">
                  <c:v>69366.177664000003</c:v>
                </c:pt>
                <c:pt idx="2">
                  <c:v>70795.445304102395</c:v>
                </c:pt>
                <c:pt idx="3">
                  <c:v>73216.3430033287</c:v>
                </c:pt>
                <c:pt idx="4">
                  <c:v>74490.167094625707</c:v>
                </c:pt>
                <c:pt idx="5">
                  <c:v>75606.025144240542</c:v>
                </c:pt>
                <c:pt idx="6">
                  <c:v>77260.035721610737</c:v>
                </c:pt>
                <c:pt idx="7">
                  <c:v>79656.867689461287</c:v>
                </c:pt>
                <c:pt idx="8">
                  <c:v>80696.241708540765</c:v>
                </c:pt>
                <c:pt idx="9">
                  <c:v>84464.019491003084</c:v>
                </c:pt>
                <c:pt idx="10">
                  <c:v>85616.030073461181</c:v>
                </c:pt>
                <c:pt idx="11">
                  <c:v>87527.474046395058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1860-4289-9D21-4BF3EC0B8937}"/>
            </c:ext>
          </c:extLst>
        </c:ser>
        <c:ser>
          <c:idx val="7"/>
          <c:order val="7"/>
          <c:spPr>
            <a:ln>
              <a:prstDash val="solid"/>
            </a:ln>
          </c:spPr>
          <c:marker>
            <c:symbol val="none"/>
          </c:marker>
          <c:cat>
            <c:numRef>
              <c:f>'Revenue Forecast'!$C$3:$N$3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'Revenue Forecast'!$C$18:$N$18</c:f>
              <c:numCache>
                <c:formatCode>\$#,##0,"K";[Red]\(\$#,##0,"K"\);\-</c:formatCode>
                <c:ptCount val="12"/>
                <c:pt idx="0">
                  <c:v>387148.79999999999</c:v>
                </c:pt>
                <c:pt idx="1">
                  <c:v>396378.15807999996</c:v>
                </c:pt>
                <c:pt idx="2">
                  <c:v>404545.40173772798</c:v>
                </c:pt>
                <c:pt idx="3">
                  <c:v>418379.10287616402</c:v>
                </c:pt>
                <c:pt idx="4">
                  <c:v>425658.09768357553</c:v>
                </c:pt>
                <c:pt idx="5">
                  <c:v>432034.42939566029</c:v>
                </c:pt>
                <c:pt idx="6">
                  <c:v>441485.91840920417</c:v>
                </c:pt>
                <c:pt idx="7">
                  <c:v>455182.10108263593</c:v>
                </c:pt>
                <c:pt idx="8">
                  <c:v>461121.38119166152</c:v>
                </c:pt>
                <c:pt idx="9">
                  <c:v>482651.53994858905</c:v>
                </c:pt>
                <c:pt idx="10">
                  <c:v>489234.4575626353</c:v>
                </c:pt>
                <c:pt idx="11">
                  <c:v>500156.99455082894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1860-4289-9D21-4BF3EC0B8937}"/>
            </c:ext>
          </c:extLst>
        </c:ser>
        <c:ser>
          <c:idx val="8"/>
          <c:order val="8"/>
          <c:spPr>
            <a:ln>
              <a:prstDash val="solid"/>
            </a:ln>
          </c:spPr>
          <c:marker>
            <c:symbol val="none"/>
          </c:marker>
          <c:cat>
            <c:numRef>
              <c:f>'Revenue Forecast'!$C$3:$N$3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'Revenue Forecast'!$C$19:$N$19</c:f>
              <c:numCache>
                <c:formatCode>\$#,##0,"K";[Red]\(\$#,##0,"K"\);\-</c:formatCode>
                <c:ptCount val="12"/>
                <c:pt idx="0">
                  <c:v>49547269.759999998</c:v>
                </c:pt>
                <c:pt idx="1">
                  <c:v>50568175.217216</c:v>
                </c:pt>
                <c:pt idx="2">
                  <c:v>52297387.859520502</c:v>
                </c:pt>
                <c:pt idx="3">
                  <c:v>53207262.210446939</c:v>
                </c:pt>
                <c:pt idx="4">
                  <c:v>54004303.674457535</c:v>
                </c:pt>
                <c:pt idx="5">
                  <c:v>55185739.801150523</c:v>
                </c:pt>
                <c:pt idx="6">
                  <c:v>56897762.635329492</c:v>
                </c:pt>
                <c:pt idx="7">
                  <c:v>57640172.648957692</c:v>
                </c:pt>
                <c:pt idx="8">
                  <c:v>60331442.493573628</c:v>
                </c:pt>
                <c:pt idx="9">
                  <c:v>61154307.195329413</c:v>
                </c:pt>
                <c:pt idx="10">
                  <c:v>62519624.318853617</c:v>
                </c:pt>
                <c:pt idx="11">
                  <c:v>65532296.656966649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1860-4289-9D21-4BF3EC0B8937}"/>
            </c:ext>
          </c:extLst>
        </c:ser>
        <c:ser>
          <c:idx val="9"/>
          <c:order val="9"/>
          <c:spPr>
            <a:ln>
              <a:prstDash val="solid"/>
            </a:ln>
          </c:spPr>
          <c:marker>
            <c:symbol val="none"/>
          </c:marker>
          <c:cat>
            <c:numRef>
              <c:f>'Revenue Forecast'!$C$3:$N$3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'Revenue Forecast'!$C$20:$N$20</c:f>
              <c:numCache>
                <c:formatCode>\$#,##0,"K";[Red]\(\$#,##0,"K"\);\-</c:formatCode>
                <c:ptCount val="12"/>
                <c:pt idx="0">
                  <c:v>4080869.5733333328</c:v>
                </c:pt>
                <c:pt idx="1">
                  <c:v>4171476.874050667</c:v>
                </c:pt>
                <c:pt idx="2">
                  <c:v>4286065.1281973543</c:v>
                </c:pt>
                <c:pt idx="3">
                  <c:v>4396027.0862486437</c:v>
                </c:pt>
                <c:pt idx="4">
                  <c:v>4467148.5785376867</c:v>
                </c:pt>
                <c:pt idx="5">
                  <c:v>4549585.1448170021</c:v>
                </c:pt>
                <c:pt idx="6">
                  <c:v>4670145.934853334</c:v>
                </c:pt>
                <c:pt idx="7">
                  <c:v>4772413.970178633</c:v>
                </c:pt>
                <c:pt idx="8">
                  <c:v>4915483.9642721387</c:v>
                </c:pt>
                <c:pt idx="9">
                  <c:v>5061906.2370376261</c:v>
                </c:pt>
                <c:pt idx="10">
                  <c:v>5153080.4797576265</c:v>
                </c:pt>
                <c:pt idx="11">
                  <c:v>5335496.707325845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1860-4289-9D21-4BF3EC0B8937}"/>
            </c:ext>
          </c:extLst>
        </c:ser>
        <c:ser>
          <c:idx val="10"/>
          <c:order val="10"/>
          <c:spPr>
            <a:ln>
              <a:prstDash val="solid"/>
            </a:ln>
          </c:spPr>
          <c:marker>
            <c:symbol val="none"/>
          </c:marker>
          <c:cat>
            <c:numRef>
              <c:f>'Revenue Forecast'!$C$3:$N$3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'Revenue Forecast'!$C$21:$N$21</c:f>
              <c:numCache>
                <c:formatCode>General</c:formatCode>
                <c:ptCount val="12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1860-4289-9D21-4BF3EC0B8937}"/>
            </c:ext>
          </c:extLst>
        </c:ser>
        <c:ser>
          <c:idx val="11"/>
          <c:order val="11"/>
          <c:spPr>
            <a:ln>
              <a:prstDash val="solid"/>
            </a:ln>
          </c:spPr>
          <c:marker>
            <c:symbol val="none"/>
          </c:marker>
          <c:cat>
            <c:numRef>
              <c:f>'Revenue Forecast'!$C$3:$N$3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'Revenue Forecast'!$C$22:$N$22</c:f>
              <c:numCache>
                <c:formatCode>General</c:formatCode>
                <c:ptCount val="12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1860-4289-9D21-4BF3EC0B8937}"/>
            </c:ext>
          </c:extLst>
        </c:ser>
        <c:ser>
          <c:idx val="12"/>
          <c:order val="12"/>
          <c:spPr>
            <a:ln>
              <a:prstDash val="solid"/>
            </a:ln>
          </c:spPr>
          <c:marker>
            <c:symbol val="none"/>
          </c:marker>
          <c:cat>
            <c:numRef>
              <c:f>'Revenue Forecast'!$C$3:$N$3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'Revenue Forecast'!$C$23:$N$23</c:f>
              <c:numCache>
                <c:formatCode>\$#,##0,"K";[Red]\(\$#,##0,"K"\);\-</c:formatCode>
                <c:ptCount val="12"/>
                <c:pt idx="0">
                  <c:v>48393600</c:v>
                </c:pt>
                <c:pt idx="1">
                  <c:v>48307938.880000003</c:v>
                </c:pt>
                <c:pt idx="2">
                  <c:v>48152071.409024008</c:v>
                </c:pt>
                <c:pt idx="3">
                  <c:v>48383581.523606844</c:v>
                </c:pt>
                <c:pt idx="4">
                  <c:v>48167633.884448014</c:v>
                </c:pt>
                <c:pt idx="5">
                  <c:v>47894161.049404413</c:v>
                </c:pt>
                <c:pt idx="6">
                  <c:v>47833905.801453471</c:v>
                </c:pt>
                <c:pt idx="7">
                  <c:v>48063176.433271378</c:v>
                </c:pt>
                <c:pt idx="8">
                  <c:v>47763437.351485655</c:v>
                </c:pt>
                <c:pt idx="9">
                  <c:v>48526569.503743075</c:v>
                </c:pt>
                <c:pt idx="10">
                  <c:v>48265139.847286187</c:v>
                </c:pt>
                <c:pt idx="11">
                  <c:v>48302560.121607438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1860-4289-9D21-4BF3EC0B8937}"/>
            </c:ext>
          </c:extLst>
        </c:ser>
        <c:ser>
          <c:idx val="13"/>
          <c:order val="13"/>
          <c:spPr>
            <a:ln>
              <a:prstDash val="solid"/>
            </a:ln>
          </c:spPr>
          <c:marker>
            <c:symbol val="none"/>
          </c:marker>
          <c:cat>
            <c:numRef>
              <c:f>'Revenue Forecast'!$C$3:$N$3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'Revenue Forecast'!$C$24:$N$24</c:f>
              <c:numCache>
                <c:formatCode>\$#,##0,"K";[Red]\(\$#,##0,"K"\);\-</c:formatCode>
                <c:ptCount val="12"/>
                <c:pt idx="0">
                  <c:v>649921.6</c:v>
                </c:pt>
                <c:pt idx="1">
                  <c:v>578413.19999999995</c:v>
                </c:pt>
                <c:pt idx="2">
                  <c:v>963421.6</c:v>
                </c:pt>
                <c:pt idx="3">
                  <c:v>519482.8</c:v>
                </c:pt>
                <c:pt idx="4">
                  <c:v>458675.20000000001</c:v>
                </c:pt>
                <c:pt idx="5">
                  <c:v>667736</c:v>
                </c:pt>
                <c:pt idx="6">
                  <c:v>956346</c:v>
                </c:pt>
                <c:pt idx="7">
                  <c:v>430821.2</c:v>
                </c:pt>
                <c:pt idx="8">
                  <c:v>1489136.4</c:v>
                </c:pt>
                <c:pt idx="9">
                  <c:v>476174.2</c:v>
                </c:pt>
                <c:pt idx="10">
                  <c:v>771050.4</c:v>
                </c:pt>
                <c:pt idx="11">
                  <c:v>1665996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1860-4289-9D21-4BF3EC0B8937}"/>
            </c:ext>
          </c:extLst>
        </c:ser>
        <c:ser>
          <c:idx val="14"/>
          <c:order val="14"/>
          <c:spPr>
            <a:ln>
              <a:prstDash val="solid"/>
            </a:ln>
          </c:spPr>
          <c:marker>
            <c:symbol val="none"/>
          </c:marker>
          <c:cat>
            <c:numRef>
              <c:f>'Revenue Forecast'!$C$3:$N$3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'Revenue Forecast'!$C$25:$N$25</c:f>
              <c:numCache>
                <c:formatCode>\$#,##0,"K";[Red]\(\$#,##0,"K"\);\-</c:formatCode>
                <c:ptCount val="12"/>
                <c:pt idx="0">
                  <c:v>193574.39999999999</c:v>
                </c:pt>
                <c:pt idx="1">
                  <c:v>193231.75552000001</c:v>
                </c:pt>
                <c:pt idx="2">
                  <c:v>192608.28563609603</c:v>
                </c:pt>
                <c:pt idx="3">
                  <c:v>193534.32609442738</c:v>
                </c:pt>
                <c:pt idx="4">
                  <c:v>192670.53553779205</c:v>
                </c:pt>
                <c:pt idx="5">
                  <c:v>191576.64419761766</c:v>
                </c:pt>
                <c:pt idx="6">
                  <c:v>191335.6232058139</c:v>
                </c:pt>
                <c:pt idx="7">
                  <c:v>192252.70573308552</c:v>
                </c:pt>
                <c:pt idx="8">
                  <c:v>191053.74940594262</c:v>
                </c:pt>
                <c:pt idx="9">
                  <c:v>194106.27801497231</c:v>
                </c:pt>
                <c:pt idx="10">
                  <c:v>193060.55938914476</c:v>
                </c:pt>
                <c:pt idx="11">
                  <c:v>193210.24048642974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1860-4289-9D21-4BF3EC0B8937}"/>
            </c:ext>
          </c:extLst>
        </c:ser>
        <c:ser>
          <c:idx val="15"/>
          <c:order val="15"/>
          <c:spPr>
            <a:ln>
              <a:prstDash val="solid"/>
            </a:ln>
          </c:spPr>
          <c:marker>
            <c:symbol val="none"/>
          </c:marker>
          <c:cat>
            <c:numRef>
              <c:f>'Revenue Forecast'!$C$3:$N$3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'Revenue Forecast'!$C$26:$N$26</c:f>
              <c:numCache>
                <c:formatCode>\$#,##0,"K";[Red]\(\$#,##0,"K"\);\-</c:formatCode>
                <c:ptCount val="12"/>
                <c:pt idx="0">
                  <c:v>154859.52000000002</c:v>
                </c:pt>
                <c:pt idx="1">
                  <c:v>154585.404416</c:v>
                </c:pt>
                <c:pt idx="2">
                  <c:v>154086.62850887683</c:v>
                </c:pt>
                <c:pt idx="3">
                  <c:v>154827.4608755419</c:v>
                </c:pt>
                <c:pt idx="4">
                  <c:v>154136.42843023365</c:v>
                </c:pt>
                <c:pt idx="5">
                  <c:v>153261.31535809411</c:v>
                </c:pt>
                <c:pt idx="6">
                  <c:v>153068.49856465112</c:v>
                </c:pt>
                <c:pt idx="7">
                  <c:v>153802.16458646843</c:v>
                </c:pt>
                <c:pt idx="8">
                  <c:v>152842.99952475409</c:v>
                </c:pt>
                <c:pt idx="9">
                  <c:v>155285.02241197784</c:v>
                </c:pt>
                <c:pt idx="10">
                  <c:v>154448.44751131581</c:v>
                </c:pt>
                <c:pt idx="11">
                  <c:v>154568.19238914381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F-1860-4289-9D21-4BF3EC0B8937}"/>
            </c:ext>
          </c:extLst>
        </c:ser>
        <c:ser>
          <c:idx val="16"/>
          <c:order val="16"/>
          <c:spPr>
            <a:ln>
              <a:prstDash val="solid"/>
            </a:ln>
          </c:spPr>
          <c:marker>
            <c:symbol val="none"/>
          </c:marker>
          <c:cat>
            <c:numRef>
              <c:f>'Revenue Forecast'!$C$3:$N$3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'Revenue Forecast'!$C$27:$N$27</c:f>
              <c:numCache>
                <c:formatCode>\$#,##0,"K";[Red]\(\$#,##0,"K"\);\-</c:formatCode>
                <c:ptCount val="12"/>
                <c:pt idx="0">
                  <c:v>774297.59999999998</c:v>
                </c:pt>
                <c:pt idx="1">
                  <c:v>772927.02208000002</c:v>
                </c:pt>
                <c:pt idx="2">
                  <c:v>770433.14254438411</c:v>
                </c:pt>
                <c:pt idx="3">
                  <c:v>774137.30437770952</c:v>
                </c:pt>
                <c:pt idx="4">
                  <c:v>770682.1421511682</c:v>
                </c:pt>
                <c:pt idx="5">
                  <c:v>766306.57679047063</c:v>
                </c:pt>
                <c:pt idx="6">
                  <c:v>765342.4928232556</c:v>
                </c:pt>
                <c:pt idx="7">
                  <c:v>769010.82293234207</c:v>
                </c:pt>
                <c:pt idx="8">
                  <c:v>764214.9976237705</c:v>
                </c:pt>
                <c:pt idx="9">
                  <c:v>776425.11205988924</c:v>
                </c:pt>
                <c:pt idx="10">
                  <c:v>772242.23755657906</c:v>
                </c:pt>
                <c:pt idx="11">
                  <c:v>772840.96194571897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0-1860-4289-9D21-4BF3EC0B8937}"/>
            </c:ext>
          </c:extLst>
        </c:ser>
        <c:ser>
          <c:idx val="17"/>
          <c:order val="17"/>
          <c:spPr>
            <a:ln>
              <a:prstDash val="solid"/>
            </a:ln>
          </c:spPr>
          <c:marker>
            <c:symbol val="none"/>
          </c:marker>
          <c:cat>
            <c:numRef>
              <c:f>'Revenue Forecast'!$C$3:$N$3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'Revenue Forecast'!$C$28:$N$28</c:f>
              <c:numCache>
                <c:formatCode>\$#,##0,"K";[Red]\(\$#,##0,"K"\);\-</c:formatCode>
                <c:ptCount val="12"/>
                <c:pt idx="0">
                  <c:v>48307938.880000003</c:v>
                </c:pt>
                <c:pt idx="1">
                  <c:v>48152071.409024008</c:v>
                </c:pt>
                <c:pt idx="2">
                  <c:v>48383581.523606844</c:v>
                </c:pt>
                <c:pt idx="3">
                  <c:v>48167633.884448014</c:v>
                </c:pt>
                <c:pt idx="4">
                  <c:v>47894161.049404413</c:v>
                </c:pt>
                <c:pt idx="5">
                  <c:v>47833905.801453471</c:v>
                </c:pt>
                <c:pt idx="6">
                  <c:v>48063176.433271378</c:v>
                </c:pt>
                <c:pt idx="7">
                  <c:v>47763437.351485655</c:v>
                </c:pt>
                <c:pt idx="8">
                  <c:v>48526569.503743075</c:v>
                </c:pt>
                <c:pt idx="9">
                  <c:v>48265139.847286187</c:v>
                </c:pt>
                <c:pt idx="10">
                  <c:v>48302560.121607438</c:v>
                </c:pt>
                <c:pt idx="11">
                  <c:v>49234357.207759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1-1860-4289-9D21-4BF3EC0B8937}"/>
            </c:ext>
          </c:extLst>
        </c:ser>
        <c:ser>
          <c:idx val="18"/>
          <c:order val="18"/>
          <c:spPr>
            <a:ln>
              <a:prstDash val="solid"/>
            </a:ln>
          </c:spPr>
          <c:marker>
            <c:symbol val="none"/>
          </c:marker>
          <c:cat>
            <c:numRef>
              <c:f>'Revenue Forecast'!$C$3:$N$3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'Revenue Forecast'!$C$29:$N$29</c:f>
              <c:numCache>
                <c:formatCode>\$#,##0,"K";[Red]\(\$#,##0,"K"\);\-</c:formatCode>
                <c:ptCount val="12"/>
                <c:pt idx="0">
                  <c:v>4029230.7866666666</c:v>
                </c:pt>
                <c:pt idx="1">
                  <c:v>4019167.0953760003</c:v>
                </c:pt>
                <c:pt idx="2">
                  <c:v>4022318.8721929523</c:v>
                </c:pt>
                <c:pt idx="3">
                  <c:v>4022967.3086689524</c:v>
                </c:pt>
                <c:pt idx="4">
                  <c:v>4002574.7889105179</c:v>
                </c:pt>
                <c:pt idx="5">
                  <c:v>3988669.4521190785</c:v>
                </c:pt>
                <c:pt idx="6">
                  <c:v>3995711.7597802021</c:v>
                </c:pt>
                <c:pt idx="7">
                  <c:v>3992775.5743648764</c:v>
                </c:pt>
                <c:pt idx="8">
                  <c:v>4012083.6189678633</c:v>
                </c:pt>
                <c:pt idx="9">
                  <c:v>4032987.8896262194</c:v>
                </c:pt>
                <c:pt idx="10">
                  <c:v>4023654.1653705672</c:v>
                </c:pt>
                <c:pt idx="11">
                  <c:v>4064038.2220569351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2-1860-4289-9D21-4BF3EC0B89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numFmt formatCode="mmm\-yy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months"/>
      </c:dateAx>
      <c:valAx>
        <c:axId val="100"/>
        <c:scaling>
          <c:orientation val="minMax"/>
        </c:scaling>
        <c:delete val="1"/>
        <c:axPos val="l"/>
        <c:majorGridlines/>
        <c:numFmt formatCode="\$#,##0,&quot;K&quot;;[Red]\(\$#,##0,&quot;K&quot;\);\-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ARR and MRR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numRef>
              <c:f>'SaaS Metrics Dashboard'!$C$3:$N$3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'SaaS Metrics Dashboard'!$C$4:$N$4</c:f>
              <c:numCache>
                <c:formatCode>\$#,##0,"K";[Red]\(\$#,##0,"K"\);\-</c:formatCode>
                <c:ptCount val="12"/>
                <c:pt idx="0">
                  <c:v>49019717.600000001</c:v>
                </c:pt>
                <c:pt idx="1">
                  <c:v>49538266.435599998</c:v>
                </c:pt>
                <c:pt idx="2">
                  <c:v>50610693.703768596</c:v>
                </c:pt>
                <c:pt idx="3">
                  <c:v>51033607.194694102</c:v>
                </c:pt>
                <c:pt idx="4">
                  <c:v>51365760.74792859</c:v>
                </c:pt>
                <c:pt idx="5">
                  <c:v>51998343.303067058</c:v>
                </c:pt>
                <c:pt idx="6">
                  <c:v>53044539.071597122</c:v>
                </c:pt>
                <c:pt idx="7">
                  <c:v>53323306.567631736</c:v>
                </c:pt>
                <c:pt idx="8">
                  <c:v>55132034.074942134</c:v>
                </c:pt>
                <c:pt idx="9">
                  <c:v>55462875.353455015</c:v>
                </c:pt>
                <c:pt idx="10">
                  <c:v>56218360.663657561</c:v>
                </c:pt>
                <c:pt idx="11">
                  <c:v>58264251.319343783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214-4E6E-ABF9-08D76AE582CD}"/>
            </c:ext>
          </c:extLst>
        </c:ser>
        <c:ser>
          <c:idx val="1"/>
          <c:order val="1"/>
          <c:spPr>
            <a:ln>
              <a:prstDash val="solid"/>
            </a:ln>
          </c:spPr>
          <c:marker>
            <c:symbol val="none"/>
          </c:marker>
          <c:cat>
            <c:numRef>
              <c:f>'SaaS Metrics Dashboard'!$C$3:$N$3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'SaaS Metrics Dashboard'!$C$5:$N$5</c:f>
              <c:numCache>
                <c:formatCode>\$#,##0,"K";[Red]\(\$#,##0,"K"\);\-</c:formatCode>
                <c:ptCount val="12"/>
                <c:pt idx="0">
                  <c:v>4084976.4666666668</c:v>
                </c:pt>
                <c:pt idx="1">
                  <c:v>4128188.8696333333</c:v>
                </c:pt>
                <c:pt idx="2">
                  <c:v>4217557.808647383</c:v>
                </c:pt>
                <c:pt idx="3">
                  <c:v>4252800.5995578421</c:v>
                </c:pt>
                <c:pt idx="4">
                  <c:v>4280480.0623273822</c:v>
                </c:pt>
                <c:pt idx="5">
                  <c:v>4333195.2752555879</c:v>
                </c:pt>
                <c:pt idx="6">
                  <c:v>4420378.2559664268</c:v>
                </c:pt>
                <c:pt idx="7">
                  <c:v>4443608.8806359777</c:v>
                </c:pt>
                <c:pt idx="8">
                  <c:v>4594336.1729118442</c:v>
                </c:pt>
                <c:pt idx="9">
                  <c:v>4621906.2794545842</c:v>
                </c:pt>
                <c:pt idx="10">
                  <c:v>4684863.3886381304</c:v>
                </c:pt>
                <c:pt idx="11">
                  <c:v>4855354.2766119819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214-4E6E-ABF9-08D76AE582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numFmt formatCode="mmm\-yy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months"/>
      </c:dateAx>
      <c:valAx>
        <c:axId val="100"/>
        <c:scaling>
          <c:orientation val="minMax"/>
        </c:scaling>
        <c:delete val="1"/>
        <c:axPos val="l"/>
        <c:majorGridlines/>
        <c:numFmt formatCode="\$#,##0,&quot;K&quot;;[Red]\(\$#,##0,&quot;K&quot;\);\-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Revenue Variance Decomposition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numRef>
              <c:f>'Budget vs Actual'!$C$3:$N$3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'Budget vs Actual'!$C$5:$N$5</c:f>
              <c:numCache>
                <c:formatCode>\$#,##0,"K";[Red]\(\$#,##0,"K"\);\-</c:formatCode>
                <c:ptCount val="12"/>
                <c:pt idx="0">
                  <c:v>-75351.11</c:v>
                </c:pt>
                <c:pt idx="1">
                  <c:v>-149637.48000000001</c:v>
                </c:pt>
                <c:pt idx="2">
                  <c:v>82140.289999999994</c:v>
                </c:pt>
                <c:pt idx="3">
                  <c:v>75440.13</c:v>
                </c:pt>
                <c:pt idx="4">
                  <c:v>0</c:v>
                </c:pt>
                <c:pt idx="5">
                  <c:v>-161267.22</c:v>
                </c:pt>
                <c:pt idx="6">
                  <c:v>-222458.84999999998</c:v>
                </c:pt>
                <c:pt idx="7">
                  <c:v>-150530.48000000001</c:v>
                </c:pt>
                <c:pt idx="8">
                  <c:v>-81010.28</c:v>
                </c:pt>
                <c:pt idx="9">
                  <c:v>0</c:v>
                </c:pt>
                <c:pt idx="10">
                  <c:v>74248.34</c:v>
                </c:pt>
                <c:pt idx="11">
                  <c:v>160009.1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BE-4718-9CF6-D28F652EB61C}"/>
            </c:ext>
          </c:extLst>
        </c:ser>
        <c:ser>
          <c:idx val="1"/>
          <c:order val="1"/>
          <c:spPr>
            <a:ln>
              <a:prstDash val="solid"/>
            </a:ln>
          </c:spPr>
          <c:invertIfNegative val="1"/>
          <c:cat>
            <c:numRef>
              <c:f>'Budget vs Actual'!$C$3:$N$3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'Budget vs Actual'!$C$6:$N$6</c:f>
              <c:numCache>
                <c:formatCode>\$#,##0,"K";[Red]\(\$#,##0,"K"\);\-</c:formatCode>
                <c:ptCount val="12"/>
                <c:pt idx="0">
                  <c:v>24489.079999999667</c:v>
                </c:pt>
                <c:pt idx="1">
                  <c:v>53270.799999999872</c:v>
                </c:pt>
                <c:pt idx="2">
                  <c:v>-14128.19999999959</c:v>
                </c:pt>
                <c:pt idx="3">
                  <c:v>13201.919999999693</c:v>
                </c:pt>
                <c:pt idx="4">
                  <c:v>43186.560000000056</c:v>
                </c:pt>
                <c:pt idx="5">
                  <c:v>15078.539999999644</c:v>
                </c:pt>
                <c:pt idx="6">
                  <c:v>22246.040000000328</c:v>
                </c:pt>
                <c:pt idx="7">
                  <c:v>-7526.4000000001397</c:v>
                </c:pt>
                <c:pt idx="8">
                  <c:v>2511.4999999997963</c:v>
                </c:pt>
                <c:pt idx="9">
                  <c:v>23262.199999999546</c:v>
                </c:pt>
                <c:pt idx="10">
                  <c:v>-3415.5</c:v>
                </c:pt>
                <c:pt idx="11">
                  <c:v>-8800.9600000001956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BE-4718-9CF6-D28F652EB6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dateAx>
        <c:axId val="10"/>
        <c:scaling>
          <c:orientation val="minMax"/>
        </c:scaling>
        <c:delete val="1"/>
        <c:axPos val="b"/>
        <c:numFmt formatCode="mmm\-yy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months"/>
      </c:dateAx>
      <c:valAx>
        <c:axId val="100"/>
        <c:scaling>
          <c:orientation val="minMax"/>
        </c:scaling>
        <c:delete val="1"/>
        <c:axPos val="l"/>
        <c:majorGridlines/>
        <c:numFmt formatCode="\$#,##0,&quot;K&quot;;[Red]\(\$#,##0,&quot;K&quot;\);\-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Ending Cash Sensitivity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'Sensitivity Analysis'!$C$24</c:f>
              <c:strCache>
                <c:ptCount val="1"/>
                <c:pt idx="0">
                  <c:v>Low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'Sensitivity Analysis'!$B$25:$B$28</c:f>
              <c:strCache>
                <c:ptCount val="4"/>
                <c:pt idx="0">
                  <c:v>Churn rate</c:v>
                </c:pt>
                <c:pt idx="1">
                  <c:v>Hiring pace</c:v>
                </c:pt>
                <c:pt idx="2">
                  <c:v>Pipeline conversion</c:v>
                </c:pt>
                <c:pt idx="3">
                  <c:v>Gross margin</c:v>
                </c:pt>
              </c:strCache>
            </c:strRef>
          </c:cat>
          <c:val>
            <c:numRef>
              <c:f>'Sensitivity Analysis'!$C$25:$C$28</c:f>
              <c:numCache>
                <c:formatCode>General</c:formatCode>
                <c:ptCount val="4"/>
                <c:pt idx="0">
                  <c:v>6.6738526436219878</c:v>
                </c:pt>
                <c:pt idx="1">
                  <c:v>6.6738526436219878</c:v>
                </c:pt>
                <c:pt idx="2">
                  <c:v>6.6738526436219878</c:v>
                </c:pt>
                <c:pt idx="3">
                  <c:v>5.4738526436219876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2E-424C-84CF-597CF7D4527F}"/>
            </c:ext>
          </c:extLst>
        </c:ser>
        <c:ser>
          <c:idx val="1"/>
          <c:order val="1"/>
          <c:tx>
            <c:strRef>
              <c:f>'Sensitivity Analysis'!$D$24</c:f>
              <c:strCache>
                <c:ptCount val="1"/>
                <c:pt idx="0">
                  <c:v>Base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'Sensitivity Analysis'!$B$25:$B$28</c:f>
              <c:strCache>
                <c:ptCount val="4"/>
                <c:pt idx="0">
                  <c:v>Churn rate</c:v>
                </c:pt>
                <c:pt idx="1">
                  <c:v>Hiring pace</c:v>
                </c:pt>
                <c:pt idx="2">
                  <c:v>Pipeline conversion</c:v>
                </c:pt>
                <c:pt idx="3">
                  <c:v>Gross margin</c:v>
                </c:pt>
              </c:strCache>
            </c:strRef>
          </c:cat>
          <c:val>
            <c:numRef>
              <c:f>'Sensitivity Analysis'!$D$25:$D$28</c:f>
              <c:numCache>
                <c:formatCode>General</c:formatCode>
                <c:ptCount val="4"/>
                <c:pt idx="0">
                  <c:v>6.6738526436219878</c:v>
                </c:pt>
                <c:pt idx="1">
                  <c:v>6.6738526436219878</c:v>
                </c:pt>
                <c:pt idx="2">
                  <c:v>6.6738526436219878</c:v>
                </c:pt>
                <c:pt idx="3">
                  <c:v>6.6738526436219878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2E-424C-84CF-597CF7D4527F}"/>
            </c:ext>
          </c:extLst>
        </c:ser>
        <c:ser>
          <c:idx val="2"/>
          <c:order val="2"/>
          <c:tx>
            <c:strRef>
              <c:f>'Sensitivity Analysis'!$E$24</c:f>
              <c:strCache>
                <c:ptCount val="1"/>
                <c:pt idx="0">
                  <c:v>High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'Sensitivity Analysis'!$B$25:$B$28</c:f>
              <c:strCache>
                <c:ptCount val="4"/>
                <c:pt idx="0">
                  <c:v>Churn rate</c:v>
                </c:pt>
                <c:pt idx="1">
                  <c:v>Hiring pace</c:v>
                </c:pt>
                <c:pt idx="2">
                  <c:v>Pipeline conversion</c:v>
                </c:pt>
                <c:pt idx="3">
                  <c:v>Gross margin</c:v>
                </c:pt>
              </c:strCache>
            </c:strRef>
          </c:cat>
          <c:val>
            <c:numRef>
              <c:f>'Sensitivity Analysis'!$E$25:$E$28</c:f>
              <c:numCache>
                <c:formatCode>General</c:formatCode>
                <c:ptCount val="4"/>
                <c:pt idx="0">
                  <c:v>6.6738526436219878</c:v>
                </c:pt>
                <c:pt idx="1">
                  <c:v>6.6738526436219878</c:v>
                </c:pt>
                <c:pt idx="2">
                  <c:v>6.6738526436219878</c:v>
                </c:pt>
                <c:pt idx="3">
                  <c:v>7.6738526436219878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F2E-424C-84CF-597CF7D452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13</xdr:row>
      <xdr:rowOff>0</xdr:rowOff>
    </xdr:from>
    <xdr:ext cx="684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35</xdr:row>
      <xdr:rowOff>0</xdr:rowOff>
    </xdr:from>
    <xdr:ext cx="684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17</xdr:row>
      <xdr:rowOff>0</xdr:rowOff>
    </xdr:from>
    <xdr:ext cx="684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21</xdr:row>
      <xdr:rowOff>0</xdr:rowOff>
    </xdr:from>
    <xdr:ext cx="684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22</xdr:row>
      <xdr:rowOff>0</xdr:rowOff>
    </xdr:from>
    <xdr:ext cx="576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showGridLines="0" tabSelected="1" workbookViewId="0">
      <selection sqref="A1:J1"/>
    </sheetView>
  </sheetViews>
  <sheetFormatPr defaultRowHeight="14.4" x14ac:dyDescent="0.3"/>
  <cols>
    <col min="2" max="2" width="115" customWidth="1"/>
    <col min="3" max="3" width="18" customWidth="1"/>
  </cols>
  <sheetData>
    <row r="1" spans="1:10" ht="34.049999999999997" customHeight="1" x14ac:dyDescent="0.3">
      <c r="A1" s="28" t="s">
        <v>0</v>
      </c>
      <c r="B1" s="29"/>
      <c r="C1" s="29"/>
      <c r="D1" s="29"/>
      <c r="E1" s="29"/>
      <c r="F1" s="29"/>
      <c r="G1" s="29"/>
      <c r="H1" s="29"/>
      <c r="I1" s="29"/>
      <c r="J1" s="29"/>
    </row>
    <row r="3" spans="1:10" ht="31.2" x14ac:dyDescent="0.6">
      <c r="B3" s="1" t="s">
        <v>1</v>
      </c>
    </row>
    <row r="5" spans="1:10" x14ac:dyDescent="0.3">
      <c r="B5" s="2" t="s">
        <v>2</v>
      </c>
    </row>
    <row r="6" spans="1:10" x14ac:dyDescent="0.3">
      <c r="B6" t="s">
        <v>3</v>
      </c>
    </row>
    <row r="8" spans="1:10" x14ac:dyDescent="0.3">
      <c r="B8" s="2" t="s">
        <v>4</v>
      </c>
    </row>
    <row r="9" spans="1:10" x14ac:dyDescent="0.3">
      <c r="B9" t="s">
        <v>5</v>
      </c>
    </row>
    <row r="10" spans="1:10" x14ac:dyDescent="0.3">
      <c r="B10" t="s">
        <v>6</v>
      </c>
    </row>
    <row r="11" spans="1:10" x14ac:dyDescent="0.3">
      <c r="B11" t="s">
        <v>7</v>
      </c>
    </row>
    <row r="12" spans="1:10" x14ac:dyDescent="0.3">
      <c r="B12" t="s">
        <v>8</v>
      </c>
    </row>
    <row r="15" spans="1:10" x14ac:dyDescent="0.3">
      <c r="B15" s="2" t="s">
        <v>9</v>
      </c>
    </row>
    <row r="16" spans="1:10" x14ac:dyDescent="0.3">
      <c r="B16" t="s">
        <v>10</v>
      </c>
    </row>
    <row r="19" spans="2:3" x14ac:dyDescent="0.3">
      <c r="B19" s="2" t="s">
        <v>11</v>
      </c>
    </row>
    <row r="20" spans="2:3" x14ac:dyDescent="0.3">
      <c r="B20" t="s">
        <v>12</v>
      </c>
      <c r="C20" s="3">
        <f>'Balance Sheet'!N22</f>
        <v>0</v>
      </c>
    </row>
    <row r="21" spans="2:3" x14ac:dyDescent="0.3">
      <c r="B21" t="s">
        <v>13</v>
      </c>
      <c r="C21" s="3">
        <f>'ARR Bridge'!N11</f>
        <v>0</v>
      </c>
    </row>
    <row r="22" spans="2:3" x14ac:dyDescent="0.3">
      <c r="B22" t="s">
        <v>14</v>
      </c>
      <c r="C22" s="3">
        <f>'Cash Flow Statement'!N17-'Balance Sheet'!N5</f>
        <v>0</v>
      </c>
    </row>
    <row r="24" spans="2:3" x14ac:dyDescent="0.3">
      <c r="B24" t="s">
        <v>15</v>
      </c>
      <c r="C24" s="4" t="str">
        <f>INDEX(Assumptions!K3:K5,MATCH(Scenario_Select,Assumptions!J3:J5,0))</f>
        <v>Base</v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5"/>
  <sheetViews>
    <sheetView showGridLines="0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4.4" x14ac:dyDescent="0.3"/>
  <cols>
    <col min="2" max="2" width="30" customWidth="1"/>
    <col min="7" max="7" width="42" customWidth="1"/>
  </cols>
  <sheetData>
    <row r="1" spans="1:11" ht="34.049999999999997" customHeight="1" x14ac:dyDescent="0.3">
      <c r="A1" s="28" t="s">
        <v>16</v>
      </c>
      <c r="B1" s="29"/>
      <c r="C1" s="29"/>
      <c r="D1" s="29"/>
      <c r="E1" s="29"/>
      <c r="F1" s="29"/>
      <c r="G1" s="29"/>
      <c r="H1" s="29"/>
    </row>
    <row r="3" spans="1:11" ht="28.8" x14ac:dyDescent="0.3">
      <c r="B3" s="5" t="s">
        <v>17</v>
      </c>
      <c r="C3" s="5" t="s">
        <v>18</v>
      </c>
      <c r="D3" s="5" t="s">
        <v>19</v>
      </c>
      <c r="E3" s="5" t="s">
        <v>20</v>
      </c>
      <c r="F3" s="5" t="s">
        <v>21</v>
      </c>
      <c r="G3" s="5" t="s">
        <v>22</v>
      </c>
      <c r="H3" s="5" t="s">
        <v>23</v>
      </c>
      <c r="J3">
        <v>1</v>
      </c>
      <c r="K3" t="s">
        <v>18</v>
      </c>
    </row>
    <row r="4" spans="1:11" x14ac:dyDescent="0.3">
      <c r="B4" t="s">
        <v>24</v>
      </c>
      <c r="C4" s="6">
        <v>1</v>
      </c>
      <c r="D4" s="6">
        <v>2</v>
      </c>
      <c r="E4" s="6">
        <v>3</v>
      </c>
      <c r="F4" t="s">
        <v>25</v>
      </c>
      <c r="G4" t="s">
        <v>26</v>
      </c>
      <c r="H4" s="7">
        <f>C4</f>
        <v>1</v>
      </c>
      <c r="J4">
        <v>2</v>
      </c>
      <c r="K4" t="s">
        <v>19</v>
      </c>
    </row>
    <row r="5" spans="1:11" x14ac:dyDescent="0.3">
      <c r="B5" t="s">
        <v>27</v>
      </c>
      <c r="C5" s="8">
        <v>1.0999999999999999E-2</v>
      </c>
      <c r="D5" s="8">
        <v>8.0000000000000002E-3</v>
      </c>
      <c r="E5" s="8">
        <v>1.6E-2</v>
      </c>
      <c r="F5" t="s">
        <v>28</v>
      </c>
      <c r="G5" t="s">
        <v>29</v>
      </c>
      <c r="H5" s="9">
        <f t="shared" ref="H5:H23" si="0">CHOOSE($H$4,C5,D5,E5)</f>
        <v>1.0999999999999999E-2</v>
      </c>
      <c r="J5">
        <v>3</v>
      </c>
      <c r="K5" t="s">
        <v>20</v>
      </c>
    </row>
    <row r="6" spans="1:11" x14ac:dyDescent="0.3">
      <c r="B6" t="s">
        <v>30</v>
      </c>
      <c r="C6" s="8">
        <v>6.4999999999999997E-3</v>
      </c>
      <c r="D6" s="8">
        <v>8.5000000000000006E-3</v>
      </c>
      <c r="E6" s="8">
        <v>4.0000000000000001E-3</v>
      </c>
      <c r="F6" t="s">
        <v>28</v>
      </c>
      <c r="G6" t="s">
        <v>31</v>
      </c>
      <c r="H6" s="9">
        <f t="shared" si="0"/>
        <v>6.4999999999999997E-3</v>
      </c>
    </row>
    <row r="7" spans="1:11" x14ac:dyDescent="0.3">
      <c r="B7" t="s">
        <v>32</v>
      </c>
      <c r="C7" s="8">
        <v>2E-3</v>
      </c>
      <c r="D7" s="8">
        <v>1.4E-3</v>
      </c>
      <c r="E7" s="8">
        <v>3.2000000000000002E-3</v>
      </c>
      <c r="F7" t="s">
        <v>28</v>
      </c>
      <c r="G7" t="s">
        <v>33</v>
      </c>
      <c r="H7" s="9">
        <f t="shared" si="0"/>
        <v>2E-3</v>
      </c>
    </row>
    <row r="8" spans="1:11" x14ac:dyDescent="0.3">
      <c r="B8" t="s">
        <v>34</v>
      </c>
      <c r="C8" s="10">
        <v>0.55000000000000004</v>
      </c>
      <c r="D8" s="10">
        <v>0.7</v>
      </c>
      <c r="E8" s="10">
        <v>0.38</v>
      </c>
      <c r="F8" t="s">
        <v>35</v>
      </c>
      <c r="G8" t="s">
        <v>36</v>
      </c>
      <c r="H8" s="11">
        <f t="shared" si="0"/>
        <v>0.55000000000000004</v>
      </c>
    </row>
    <row r="9" spans="1:11" x14ac:dyDescent="0.3">
      <c r="B9" t="s">
        <v>37</v>
      </c>
      <c r="C9" s="10">
        <v>1</v>
      </c>
      <c r="D9" s="10">
        <v>0.92</v>
      </c>
      <c r="E9" s="10">
        <v>1.18</v>
      </c>
      <c r="F9" t="s">
        <v>35</v>
      </c>
      <c r="G9" t="s">
        <v>38</v>
      </c>
      <c r="H9" s="11">
        <f t="shared" si="0"/>
        <v>1</v>
      </c>
    </row>
    <row r="10" spans="1:11" x14ac:dyDescent="0.3">
      <c r="B10" t="s">
        <v>39</v>
      </c>
      <c r="C10" s="10">
        <v>1</v>
      </c>
      <c r="D10" s="10">
        <v>1.08</v>
      </c>
      <c r="E10" s="10">
        <v>0.82</v>
      </c>
      <c r="F10" t="s">
        <v>35</v>
      </c>
      <c r="G10" t="s">
        <v>40</v>
      </c>
      <c r="H10" s="11">
        <f t="shared" si="0"/>
        <v>1</v>
      </c>
    </row>
    <row r="11" spans="1:11" x14ac:dyDescent="0.3">
      <c r="B11" t="s">
        <v>41</v>
      </c>
      <c r="C11" s="8">
        <v>0.80500000000000005</v>
      </c>
      <c r="D11" s="8">
        <v>0.81499999999999995</v>
      </c>
      <c r="E11" s="8">
        <v>0.78500000000000003</v>
      </c>
      <c r="F11" t="s">
        <v>28</v>
      </c>
      <c r="G11" t="s">
        <v>42</v>
      </c>
      <c r="H11" s="9">
        <f t="shared" si="0"/>
        <v>0.80500000000000005</v>
      </c>
    </row>
    <row r="12" spans="1:11" x14ac:dyDescent="0.3">
      <c r="B12" t="s">
        <v>43</v>
      </c>
      <c r="C12" s="8">
        <v>0.04</v>
      </c>
      <c r="D12" s="8">
        <v>0.04</v>
      </c>
      <c r="E12" s="8">
        <v>0.03</v>
      </c>
      <c r="F12" t="s">
        <v>28</v>
      </c>
      <c r="G12" t="s">
        <v>44</v>
      </c>
      <c r="H12" s="9">
        <f t="shared" si="0"/>
        <v>0.04</v>
      </c>
    </row>
    <row r="13" spans="1:11" x14ac:dyDescent="0.3">
      <c r="B13" t="s">
        <v>45</v>
      </c>
      <c r="C13" s="8">
        <v>4.4999999999999998E-2</v>
      </c>
      <c r="D13" s="8">
        <v>4.8000000000000001E-2</v>
      </c>
      <c r="E13" s="8">
        <v>0.04</v>
      </c>
      <c r="F13" t="s">
        <v>28</v>
      </c>
      <c r="G13" t="s">
        <v>46</v>
      </c>
      <c r="H13" s="9">
        <f t="shared" si="0"/>
        <v>4.4999999999999998E-2</v>
      </c>
    </row>
    <row r="14" spans="1:11" x14ac:dyDescent="0.3">
      <c r="B14" t="s">
        <v>47</v>
      </c>
      <c r="C14" s="8">
        <v>2.5000000000000001E-2</v>
      </c>
      <c r="D14" s="8">
        <v>2.4E-2</v>
      </c>
      <c r="E14" s="8">
        <v>0.02</v>
      </c>
      <c r="F14" t="s">
        <v>28</v>
      </c>
      <c r="G14" t="s">
        <v>48</v>
      </c>
      <c r="H14" s="9">
        <f t="shared" si="0"/>
        <v>2.5000000000000001E-2</v>
      </c>
    </row>
    <row r="15" spans="1:11" x14ac:dyDescent="0.3">
      <c r="B15" t="s">
        <v>49</v>
      </c>
      <c r="C15" s="6">
        <v>48</v>
      </c>
      <c r="D15" s="6">
        <v>44</v>
      </c>
      <c r="E15" s="6">
        <v>55</v>
      </c>
      <c r="F15" t="s">
        <v>50</v>
      </c>
      <c r="G15" t="s">
        <v>51</v>
      </c>
      <c r="H15" s="7">
        <f t="shared" si="0"/>
        <v>48</v>
      </c>
    </row>
    <row r="16" spans="1:11" x14ac:dyDescent="0.3">
      <c r="B16" t="s">
        <v>52</v>
      </c>
      <c r="C16" s="6">
        <v>32</v>
      </c>
      <c r="D16" s="6">
        <v>36</v>
      </c>
      <c r="E16" s="6">
        <v>28</v>
      </c>
      <c r="F16" t="s">
        <v>50</v>
      </c>
      <c r="G16" t="s">
        <v>53</v>
      </c>
      <c r="H16" s="7">
        <f t="shared" si="0"/>
        <v>32</v>
      </c>
    </row>
    <row r="17" spans="2:8" x14ac:dyDescent="0.3">
      <c r="B17" t="s">
        <v>54</v>
      </c>
      <c r="C17" s="12">
        <v>18000000</v>
      </c>
      <c r="D17" s="12">
        <v>18000000</v>
      </c>
      <c r="E17" s="12">
        <v>18000000</v>
      </c>
      <c r="F17" t="s">
        <v>55</v>
      </c>
      <c r="G17" t="s">
        <v>56</v>
      </c>
      <c r="H17" s="3">
        <f t="shared" si="0"/>
        <v>18000000</v>
      </c>
    </row>
    <row r="18" spans="2:8" x14ac:dyDescent="0.3">
      <c r="B18" t="s">
        <v>57</v>
      </c>
      <c r="C18" s="12">
        <v>5000000</v>
      </c>
      <c r="D18" s="12">
        <v>5000000</v>
      </c>
      <c r="E18" s="12">
        <v>5000000</v>
      </c>
      <c r="F18" t="s">
        <v>55</v>
      </c>
      <c r="G18" t="s">
        <v>58</v>
      </c>
      <c r="H18" s="3">
        <f t="shared" si="0"/>
        <v>5000000</v>
      </c>
    </row>
    <row r="19" spans="2:8" x14ac:dyDescent="0.3">
      <c r="B19" t="s">
        <v>59</v>
      </c>
      <c r="C19" s="8">
        <v>0.21</v>
      </c>
      <c r="D19" s="8">
        <v>0.21</v>
      </c>
      <c r="E19" s="8">
        <v>0.21</v>
      </c>
      <c r="F19" t="s">
        <v>28</v>
      </c>
      <c r="G19" t="s">
        <v>60</v>
      </c>
      <c r="H19" s="9">
        <f t="shared" si="0"/>
        <v>0.21</v>
      </c>
    </row>
    <row r="20" spans="2:8" x14ac:dyDescent="0.3">
      <c r="B20" t="s">
        <v>61</v>
      </c>
      <c r="C20" s="12">
        <v>42000</v>
      </c>
      <c r="D20" s="12">
        <v>39000</v>
      </c>
      <c r="E20" s="12">
        <v>49000</v>
      </c>
      <c r="F20" t="s">
        <v>55</v>
      </c>
      <c r="G20" t="s">
        <v>62</v>
      </c>
      <c r="H20" s="3">
        <f t="shared" si="0"/>
        <v>42000</v>
      </c>
    </row>
    <row r="21" spans="2:8" x14ac:dyDescent="0.3">
      <c r="B21" t="s">
        <v>63</v>
      </c>
      <c r="C21" s="8">
        <v>0.12</v>
      </c>
      <c r="D21" s="8">
        <v>0.11</v>
      </c>
      <c r="E21" s="8">
        <v>0.14000000000000001</v>
      </c>
      <c r="F21" t="s">
        <v>28</v>
      </c>
      <c r="G21" t="s">
        <v>64</v>
      </c>
      <c r="H21" s="9">
        <f t="shared" si="0"/>
        <v>0.12</v>
      </c>
    </row>
    <row r="22" spans="2:8" x14ac:dyDescent="0.3">
      <c r="B22" t="s">
        <v>65</v>
      </c>
      <c r="C22" s="8">
        <v>0.05</v>
      </c>
      <c r="D22" s="8">
        <v>0.05</v>
      </c>
      <c r="E22" s="8">
        <v>0.05</v>
      </c>
      <c r="F22" t="s">
        <v>28</v>
      </c>
      <c r="G22" t="s">
        <v>66</v>
      </c>
      <c r="H22" s="9">
        <f t="shared" si="0"/>
        <v>0.05</v>
      </c>
    </row>
    <row r="23" spans="2:8" x14ac:dyDescent="0.3">
      <c r="B23" t="s">
        <v>67</v>
      </c>
      <c r="C23" s="12">
        <v>50000</v>
      </c>
      <c r="D23" s="12">
        <v>50000</v>
      </c>
      <c r="E23" s="12">
        <v>50000</v>
      </c>
      <c r="F23" t="s">
        <v>55</v>
      </c>
      <c r="G23" t="s">
        <v>66</v>
      </c>
      <c r="H23" s="3">
        <f t="shared" si="0"/>
        <v>50000</v>
      </c>
    </row>
    <row r="25" spans="2:8" x14ac:dyDescent="0.3">
      <c r="G25" t="s">
        <v>68</v>
      </c>
      <c r="H25" s="4" t="str">
        <f>INDEX($K$3:$K$5,MATCH($H$4,$J$3:$J$5,0))</f>
        <v>Base</v>
      </c>
    </row>
  </sheetData>
  <mergeCells count="1">
    <mergeCell ref="A1:H1"/>
  </mergeCells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226"/>
  <sheetViews>
    <sheetView showGridLines="0" workbookViewId="0">
      <pane ySplit="3" topLeftCell="A4" activePane="bottomLeft" state="frozen"/>
      <selection pane="bottomLeft"/>
    </sheetView>
  </sheetViews>
  <sheetFormatPr defaultRowHeight="14.4" x14ac:dyDescent="0.3"/>
  <cols>
    <col min="1" max="1" width="12" customWidth="1"/>
    <col min="2" max="2" width="14" customWidth="1"/>
    <col min="3" max="3" width="17" customWidth="1"/>
    <col min="4" max="4" width="18" customWidth="1"/>
    <col min="5" max="5" width="20" customWidth="1"/>
    <col min="6" max="6" width="14" customWidth="1"/>
    <col min="7" max="7" width="13" customWidth="1"/>
    <col min="8" max="10" width="14" customWidth="1"/>
  </cols>
  <sheetData>
    <row r="1" spans="1:10" ht="34.049999999999997" customHeight="1" x14ac:dyDescent="0.3">
      <c r="A1" s="28" t="s">
        <v>69</v>
      </c>
      <c r="B1" s="29"/>
      <c r="C1" s="29"/>
      <c r="D1" s="29"/>
      <c r="E1" s="29"/>
      <c r="F1" s="29"/>
      <c r="G1" s="29"/>
      <c r="H1" s="29"/>
      <c r="I1" s="29"/>
      <c r="J1" s="29"/>
    </row>
    <row r="3" spans="1:10" ht="28.8" x14ac:dyDescent="0.3">
      <c r="A3" s="5" t="s">
        <v>70</v>
      </c>
      <c r="B3" s="5" t="s">
        <v>71</v>
      </c>
      <c r="C3" s="5" t="s">
        <v>72</v>
      </c>
      <c r="D3" s="5" t="s">
        <v>73</v>
      </c>
      <c r="E3" s="5" t="s">
        <v>74</v>
      </c>
      <c r="F3" s="5" t="s">
        <v>75</v>
      </c>
      <c r="G3" s="5" t="s">
        <v>76</v>
      </c>
      <c r="H3" s="5" t="s">
        <v>77</v>
      </c>
      <c r="I3" s="5" t="s">
        <v>78</v>
      </c>
      <c r="J3" s="5" t="s">
        <v>79</v>
      </c>
    </row>
    <row r="4" spans="1:10" x14ac:dyDescent="0.3">
      <c r="A4" s="13">
        <v>45292</v>
      </c>
      <c r="B4" t="s">
        <v>80</v>
      </c>
      <c r="C4" t="s">
        <v>81</v>
      </c>
      <c r="D4" t="s">
        <v>82</v>
      </c>
      <c r="E4" t="s">
        <v>83</v>
      </c>
      <c r="F4" s="14">
        <v>1900</v>
      </c>
      <c r="G4" t="s">
        <v>84</v>
      </c>
      <c r="H4" s="13">
        <v>45292</v>
      </c>
      <c r="I4" s="14">
        <v>0</v>
      </c>
      <c r="J4" s="14">
        <v>1900</v>
      </c>
    </row>
    <row r="5" spans="1:10" x14ac:dyDescent="0.3">
      <c r="A5" s="15">
        <v>45292</v>
      </c>
      <c r="B5" t="s">
        <v>85</v>
      </c>
      <c r="C5" t="s">
        <v>81</v>
      </c>
      <c r="D5" t="s">
        <v>86</v>
      </c>
      <c r="E5" t="s">
        <v>87</v>
      </c>
      <c r="F5">
        <v>3200</v>
      </c>
      <c r="G5" t="s">
        <v>84</v>
      </c>
      <c r="H5" s="15">
        <v>45292</v>
      </c>
      <c r="I5">
        <v>0</v>
      </c>
      <c r="J5">
        <v>3200</v>
      </c>
    </row>
    <row r="6" spans="1:10" x14ac:dyDescent="0.3">
      <c r="A6" s="15">
        <v>45292</v>
      </c>
      <c r="B6" t="s">
        <v>88</v>
      </c>
      <c r="C6" t="s">
        <v>81</v>
      </c>
      <c r="D6" t="s">
        <v>86</v>
      </c>
      <c r="E6" t="s">
        <v>89</v>
      </c>
      <c r="F6">
        <v>2400</v>
      </c>
      <c r="G6" t="s">
        <v>84</v>
      </c>
      <c r="H6" s="15">
        <v>45292</v>
      </c>
      <c r="I6">
        <v>0</v>
      </c>
      <c r="J6">
        <v>2400</v>
      </c>
    </row>
    <row r="7" spans="1:10" x14ac:dyDescent="0.3">
      <c r="A7" s="15">
        <v>45292</v>
      </c>
      <c r="B7" t="s">
        <v>90</v>
      </c>
      <c r="C7" t="s">
        <v>91</v>
      </c>
      <c r="D7" t="s">
        <v>82</v>
      </c>
      <c r="E7" t="s">
        <v>92</v>
      </c>
      <c r="F7">
        <v>8300</v>
      </c>
      <c r="G7" t="s">
        <v>84</v>
      </c>
      <c r="H7" s="15">
        <v>45292</v>
      </c>
      <c r="I7">
        <v>0</v>
      </c>
      <c r="J7">
        <v>8300</v>
      </c>
    </row>
    <row r="8" spans="1:10" x14ac:dyDescent="0.3">
      <c r="A8" s="15">
        <v>45292</v>
      </c>
      <c r="B8" t="s">
        <v>93</v>
      </c>
      <c r="C8" t="s">
        <v>81</v>
      </c>
      <c r="D8" t="s">
        <v>86</v>
      </c>
      <c r="E8" t="s">
        <v>83</v>
      </c>
      <c r="F8">
        <v>2100</v>
      </c>
      <c r="G8" t="s">
        <v>84</v>
      </c>
      <c r="H8" s="15">
        <v>45292</v>
      </c>
      <c r="I8">
        <v>0</v>
      </c>
      <c r="J8">
        <v>2100</v>
      </c>
    </row>
    <row r="9" spans="1:10" x14ac:dyDescent="0.3">
      <c r="A9" s="15">
        <v>45292</v>
      </c>
      <c r="B9" t="s">
        <v>94</v>
      </c>
      <c r="C9" t="s">
        <v>91</v>
      </c>
      <c r="D9" t="s">
        <v>86</v>
      </c>
      <c r="E9" t="s">
        <v>83</v>
      </c>
      <c r="F9">
        <v>7600</v>
      </c>
      <c r="G9" t="s">
        <v>84</v>
      </c>
      <c r="H9" s="15">
        <v>45292</v>
      </c>
      <c r="I9">
        <v>0</v>
      </c>
      <c r="J9">
        <v>7600</v>
      </c>
    </row>
    <row r="10" spans="1:10" x14ac:dyDescent="0.3">
      <c r="A10" s="15">
        <v>45292</v>
      </c>
      <c r="B10" t="s">
        <v>95</v>
      </c>
      <c r="C10" t="s">
        <v>81</v>
      </c>
      <c r="D10" t="s">
        <v>96</v>
      </c>
      <c r="E10" t="s">
        <v>97</v>
      </c>
      <c r="F10">
        <v>3100</v>
      </c>
      <c r="G10" t="s">
        <v>84</v>
      </c>
      <c r="H10" s="15">
        <v>45292</v>
      </c>
      <c r="I10">
        <v>0</v>
      </c>
      <c r="J10">
        <v>3100</v>
      </c>
    </row>
    <row r="11" spans="1:10" x14ac:dyDescent="0.3">
      <c r="A11" s="15">
        <v>45292</v>
      </c>
      <c r="B11" t="s">
        <v>98</v>
      </c>
      <c r="C11" t="s">
        <v>81</v>
      </c>
      <c r="D11" t="s">
        <v>99</v>
      </c>
      <c r="E11" t="s">
        <v>92</v>
      </c>
      <c r="F11">
        <v>2500</v>
      </c>
      <c r="G11" t="s">
        <v>84</v>
      </c>
      <c r="H11" s="15">
        <v>45292</v>
      </c>
      <c r="I11">
        <v>0</v>
      </c>
      <c r="J11">
        <v>2500</v>
      </c>
    </row>
    <row r="12" spans="1:10" x14ac:dyDescent="0.3">
      <c r="A12" s="15">
        <v>45292</v>
      </c>
      <c r="B12" t="s">
        <v>100</v>
      </c>
      <c r="C12" t="s">
        <v>81</v>
      </c>
      <c r="D12" t="s">
        <v>86</v>
      </c>
      <c r="E12" t="s">
        <v>101</v>
      </c>
      <c r="F12">
        <v>1800</v>
      </c>
      <c r="G12" t="s">
        <v>84</v>
      </c>
      <c r="H12" s="15">
        <v>45292</v>
      </c>
      <c r="I12">
        <v>0</v>
      </c>
      <c r="J12">
        <v>1800</v>
      </c>
    </row>
    <row r="13" spans="1:10" x14ac:dyDescent="0.3">
      <c r="A13" s="15">
        <v>45292</v>
      </c>
      <c r="B13" t="s">
        <v>102</v>
      </c>
      <c r="C13" t="s">
        <v>81</v>
      </c>
      <c r="D13" t="s">
        <v>99</v>
      </c>
      <c r="E13" t="s">
        <v>103</v>
      </c>
      <c r="F13">
        <v>3600</v>
      </c>
      <c r="G13" t="s">
        <v>84</v>
      </c>
      <c r="H13" s="15">
        <v>45292</v>
      </c>
      <c r="I13">
        <v>0</v>
      </c>
      <c r="J13">
        <v>3600</v>
      </c>
    </row>
    <row r="14" spans="1:10" x14ac:dyDescent="0.3">
      <c r="A14" s="15">
        <v>45292</v>
      </c>
      <c r="B14" t="s">
        <v>104</v>
      </c>
      <c r="C14" t="s">
        <v>91</v>
      </c>
      <c r="D14" t="s">
        <v>99</v>
      </c>
      <c r="E14" t="s">
        <v>87</v>
      </c>
      <c r="F14">
        <v>7700</v>
      </c>
      <c r="G14" t="s">
        <v>84</v>
      </c>
      <c r="H14" s="15">
        <v>45292</v>
      </c>
      <c r="I14">
        <v>0</v>
      </c>
      <c r="J14">
        <v>7700</v>
      </c>
    </row>
    <row r="15" spans="1:10" x14ac:dyDescent="0.3">
      <c r="A15" s="15">
        <v>45292</v>
      </c>
      <c r="B15" t="s">
        <v>105</v>
      </c>
      <c r="C15" t="s">
        <v>91</v>
      </c>
      <c r="D15" t="s">
        <v>86</v>
      </c>
      <c r="E15" t="s">
        <v>89</v>
      </c>
      <c r="F15">
        <v>11400</v>
      </c>
      <c r="G15" t="s">
        <v>84</v>
      </c>
      <c r="H15" s="15">
        <v>45292</v>
      </c>
      <c r="I15">
        <v>0</v>
      </c>
      <c r="J15">
        <v>11400</v>
      </c>
    </row>
    <row r="16" spans="1:10" x14ac:dyDescent="0.3">
      <c r="A16" s="15">
        <v>45292</v>
      </c>
      <c r="B16" t="s">
        <v>106</v>
      </c>
      <c r="C16" t="s">
        <v>81</v>
      </c>
      <c r="D16" t="s">
        <v>99</v>
      </c>
      <c r="E16" t="s">
        <v>92</v>
      </c>
      <c r="F16">
        <v>2700</v>
      </c>
      <c r="G16" t="s">
        <v>84</v>
      </c>
      <c r="H16" s="15">
        <v>45292</v>
      </c>
      <c r="I16">
        <v>0</v>
      </c>
      <c r="J16">
        <v>2700</v>
      </c>
    </row>
    <row r="17" spans="1:10" x14ac:dyDescent="0.3">
      <c r="A17" s="15">
        <v>45292</v>
      </c>
      <c r="B17" t="s">
        <v>107</v>
      </c>
      <c r="C17" t="s">
        <v>91</v>
      </c>
      <c r="D17" t="s">
        <v>82</v>
      </c>
      <c r="E17" t="s">
        <v>89</v>
      </c>
      <c r="F17">
        <v>8000</v>
      </c>
      <c r="G17" t="s">
        <v>84</v>
      </c>
      <c r="H17" s="15">
        <v>45292</v>
      </c>
      <c r="I17">
        <v>0</v>
      </c>
      <c r="J17">
        <v>8000</v>
      </c>
    </row>
    <row r="18" spans="1:10" x14ac:dyDescent="0.3">
      <c r="A18" s="15">
        <v>45292</v>
      </c>
      <c r="B18" t="s">
        <v>108</v>
      </c>
      <c r="C18" t="s">
        <v>91</v>
      </c>
      <c r="D18" t="s">
        <v>86</v>
      </c>
      <c r="E18" t="s">
        <v>87</v>
      </c>
      <c r="F18">
        <v>9700</v>
      </c>
      <c r="G18" t="s">
        <v>84</v>
      </c>
      <c r="H18" s="15">
        <v>45292</v>
      </c>
      <c r="I18">
        <v>0</v>
      </c>
      <c r="J18">
        <v>9700</v>
      </c>
    </row>
    <row r="19" spans="1:10" x14ac:dyDescent="0.3">
      <c r="A19" s="15">
        <v>45292</v>
      </c>
      <c r="B19" t="s">
        <v>109</v>
      </c>
      <c r="C19" t="s">
        <v>110</v>
      </c>
      <c r="D19" t="s">
        <v>82</v>
      </c>
      <c r="E19" t="s">
        <v>103</v>
      </c>
      <c r="F19">
        <v>37800</v>
      </c>
      <c r="G19" t="s">
        <v>84</v>
      </c>
      <c r="H19" s="15">
        <v>45292</v>
      </c>
      <c r="I19">
        <v>0</v>
      </c>
      <c r="J19">
        <v>37800</v>
      </c>
    </row>
    <row r="20" spans="1:10" x14ac:dyDescent="0.3">
      <c r="A20" s="15">
        <v>45292</v>
      </c>
      <c r="B20" t="s">
        <v>111</v>
      </c>
      <c r="C20" t="s">
        <v>91</v>
      </c>
      <c r="D20" t="s">
        <v>82</v>
      </c>
      <c r="E20" t="s">
        <v>83</v>
      </c>
      <c r="F20">
        <v>8800</v>
      </c>
      <c r="G20" t="s">
        <v>84</v>
      </c>
      <c r="H20" s="15">
        <v>45292</v>
      </c>
      <c r="I20">
        <v>0</v>
      </c>
      <c r="J20">
        <v>8800</v>
      </c>
    </row>
    <row r="21" spans="1:10" x14ac:dyDescent="0.3">
      <c r="A21" s="15">
        <v>45292</v>
      </c>
      <c r="B21" t="s">
        <v>112</v>
      </c>
      <c r="C21" t="s">
        <v>91</v>
      </c>
      <c r="D21" t="s">
        <v>82</v>
      </c>
      <c r="E21" t="s">
        <v>92</v>
      </c>
      <c r="F21">
        <v>8600</v>
      </c>
      <c r="G21" t="s">
        <v>84</v>
      </c>
      <c r="H21" s="15">
        <v>45292</v>
      </c>
      <c r="I21">
        <v>0</v>
      </c>
      <c r="J21">
        <v>8600</v>
      </c>
    </row>
    <row r="22" spans="1:10" x14ac:dyDescent="0.3">
      <c r="A22" s="15">
        <v>45292</v>
      </c>
      <c r="B22" t="s">
        <v>113</v>
      </c>
      <c r="C22" t="s">
        <v>81</v>
      </c>
      <c r="D22" t="s">
        <v>96</v>
      </c>
      <c r="E22" t="s">
        <v>89</v>
      </c>
      <c r="F22">
        <v>2300</v>
      </c>
      <c r="G22" t="s">
        <v>84</v>
      </c>
      <c r="H22" s="15">
        <v>45292</v>
      </c>
      <c r="I22">
        <v>0</v>
      </c>
      <c r="J22">
        <v>2300</v>
      </c>
    </row>
    <row r="23" spans="1:10" x14ac:dyDescent="0.3">
      <c r="A23" s="15">
        <v>45292</v>
      </c>
      <c r="B23" t="s">
        <v>114</v>
      </c>
      <c r="C23" t="s">
        <v>110</v>
      </c>
      <c r="D23" t="s">
        <v>99</v>
      </c>
      <c r="E23" t="s">
        <v>97</v>
      </c>
      <c r="F23">
        <v>36200</v>
      </c>
      <c r="G23" t="s">
        <v>84</v>
      </c>
      <c r="H23" s="15">
        <v>45292</v>
      </c>
      <c r="I23">
        <v>0</v>
      </c>
      <c r="J23">
        <v>36200</v>
      </c>
    </row>
    <row r="24" spans="1:10" x14ac:dyDescent="0.3">
      <c r="A24" s="15">
        <v>45292</v>
      </c>
      <c r="B24" t="s">
        <v>115</v>
      </c>
      <c r="C24" t="s">
        <v>81</v>
      </c>
      <c r="D24" t="s">
        <v>82</v>
      </c>
      <c r="E24" t="s">
        <v>101</v>
      </c>
      <c r="F24">
        <v>2600</v>
      </c>
      <c r="G24" t="s">
        <v>84</v>
      </c>
      <c r="H24" s="15">
        <v>45292</v>
      </c>
      <c r="I24">
        <v>0</v>
      </c>
      <c r="J24">
        <v>2600</v>
      </c>
    </row>
    <row r="25" spans="1:10" x14ac:dyDescent="0.3">
      <c r="A25" s="15">
        <v>45292</v>
      </c>
      <c r="B25" t="s">
        <v>116</v>
      </c>
      <c r="C25" t="s">
        <v>81</v>
      </c>
      <c r="D25" t="s">
        <v>86</v>
      </c>
      <c r="E25" t="s">
        <v>87</v>
      </c>
      <c r="F25">
        <v>2900</v>
      </c>
      <c r="G25" t="s">
        <v>84</v>
      </c>
      <c r="H25" s="15">
        <v>45292</v>
      </c>
      <c r="I25">
        <v>0</v>
      </c>
      <c r="J25">
        <v>2900</v>
      </c>
    </row>
    <row r="26" spans="1:10" x14ac:dyDescent="0.3">
      <c r="A26" s="15">
        <v>45292</v>
      </c>
      <c r="B26" t="s">
        <v>117</v>
      </c>
      <c r="C26" t="s">
        <v>81</v>
      </c>
      <c r="D26" t="s">
        <v>86</v>
      </c>
      <c r="E26" t="s">
        <v>103</v>
      </c>
      <c r="F26">
        <v>2500</v>
      </c>
      <c r="G26" t="s">
        <v>84</v>
      </c>
      <c r="H26" s="15">
        <v>45292</v>
      </c>
      <c r="I26">
        <v>0</v>
      </c>
      <c r="J26">
        <v>2500</v>
      </c>
    </row>
    <row r="27" spans="1:10" x14ac:dyDescent="0.3">
      <c r="A27" s="15">
        <v>45292</v>
      </c>
      <c r="B27" t="s">
        <v>118</v>
      </c>
      <c r="C27" t="s">
        <v>81</v>
      </c>
      <c r="D27" t="s">
        <v>82</v>
      </c>
      <c r="E27" t="s">
        <v>103</v>
      </c>
      <c r="F27">
        <v>2500</v>
      </c>
      <c r="G27" t="s">
        <v>84</v>
      </c>
      <c r="H27" s="15">
        <v>45292</v>
      </c>
      <c r="I27">
        <v>0</v>
      </c>
      <c r="J27">
        <v>2500</v>
      </c>
    </row>
    <row r="28" spans="1:10" x14ac:dyDescent="0.3">
      <c r="A28" s="15">
        <v>45292</v>
      </c>
      <c r="B28" t="s">
        <v>119</v>
      </c>
      <c r="C28" t="s">
        <v>91</v>
      </c>
      <c r="D28" t="s">
        <v>96</v>
      </c>
      <c r="E28" t="s">
        <v>89</v>
      </c>
      <c r="F28">
        <v>12800</v>
      </c>
      <c r="G28" t="s">
        <v>84</v>
      </c>
      <c r="H28" s="15">
        <v>45292</v>
      </c>
      <c r="I28">
        <v>0</v>
      </c>
      <c r="J28">
        <v>12800</v>
      </c>
    </row>
    <row r="29" spans="1:10" x14ac:dyDescent="0.3">
      <c r="A29" s="15">
        <v>45292</v>
      </c>
      <c r="B29" t="s">
        <v>120</v>
      </c>
      <c r="C29" t="s">
        <v>81</v>
      </c>
      <c r="D29" t="s">
        <v>86</v>
      </c>
      <c r="E29" t="s">
        <v>101</v>
      </c>
      <c r="F29">
        <v>2200</v>
      </c>
      <c r="G29" t="s">
        <v>84</v>
      </c>
      <c r="H29" s="15">
        <v>45292</v>
      </c>
      <c r="I29">
        <v>0</v>
      </c>
      <c r="J29">
        <v>2200</v>
      </c>
    </row>
    <row r="30" spans="1:10" x14ac:dyDescent="0.3">
      <c r="A30" s="15">
        <v>45292</v>
      </c>
      <c r="B30" t="s">
        <v>121</v>
      </c>
      <c r="C30" t="s">
        <v>81</v>
      </c>
      <c r="D30" t="s">
        <v>99</v>
      </c>
      <c r="E30" t="s">
        <v>87</v>
      </c>
      <c r="F30">
        <v>2100</v>
      </c>
      <c r="G30" t="s">
        <v>84</v>
      </c>
      <c r="H30" s="15">
        <v>45292</v>
      </c>
      <c r="I30">
        <v>0</v>
      </c>
      <c r="J30">
        <v>2100</v>
      </c>
    </row>
    <row r="31" spans="1:10" x14ac:dyDescent="0.3">
      <c r="A31" s="15">
        <v>45292</v>
      </c>
      <c r="B31" t="s">
        <v>122</v>
      </c>
      <c r="C31" t="s">
        <v>81</v>
      </c>
      <c r="D31" t="s">
        <v>96</v>
      </c>
      <c r="E31" t="s">
        <v>87</v>
      </c>
      <c r="F31">
        <v>2000</v>
      </c>
      <c r="G31" t="s">
        <v>84</v>
      </c>
      <c r="H31" s="15">
        <v>45292</v>
      </c>
      <c r="I31">
        <v>0</v>
      </c>
      <c r="J31">
        <v>2000</v>
      </c>
    </row>
    <row r="32" spans="1:10" x14ac:dyDescent="0.3">
      <c r="A32" s="15">
        <v>45292</v>
      </c>
      <c r="B32" t="s">
        <v>123</v>
      </c>
      <c r="C32" t="s">
        <v>81</v>
      </c>
      <c r="D32" t="s">
        <v>82</v>
      </c>
      <c r="E32" t="s">
        <v>92</v>
      </c>
      <c r="F32">
        <v>2200</v>
      </c>
      <c r="G32" t="s">
        <v>84</v>
      </c>
      <c r="H32" s="15">
        <v>45292</v>
      </c>
      <c r="I32">
        <v>0</v>
      </c>
      <c r="J32">
        <v>2200</v>
      </c>
    </row>
    <row r="33" spans="1:10" x14ac:dyDescent="0.3">
      <c r="A33" s="15">
        <v>45292</v>
      </c>
      <c r="B33" t="s">
        <v>124</v>
      </c>
      <c r="C33" t="s">
        <v>125</v>
      </c>
      <c r="D33" t="s">
        <v>82</v>
      </c>
      <c r="E33" t="s">
        <v>97</v>
      </c>
      <c r="F33">
        <v>82700</v>
      </c>
      <c r="G33" t="s">
        <v>84</v>
      </c>
      <c r="H33" s="15">
        <v>45292</v>
      </c>
      <c r="I33">
        <v>0</v>
      </c>
      <c r="J33">
        <v>82700</v>
      </c>
    </row>
    <row r="34" spans="1:10" x14ac:dyDescent="0.3">
      <c r="A34" s="15">
        <v>45292</v>
      </c>
      <c r="B34" t="s">
        <v>126</v>
      </c>
      <c r="C34" t="s">
        <v>91</v>
      </c>
      <c r="D34" t="s">
        <v>82</v>
      </c>
      <c r="E34" t="s">
        <v>83</v>
      </c>
      <c r="F34">
        <v>7700</v>
      </c>
      <c r="G34" t="s">
        <v>84</v>
      </c>
      <c r="H34" s="15">
        <v>45292</v>
      </c>
      <c r="I34">
        <v>0</v>
      </c>
      <c r="J34">
        <v>7700</v>
      </c>
    </row>
    <row r="35" spans="1:10" x14ac:dyDescent="0.3">
      <c r="A35" s="15">
        <v>45292</v>
      </c>
      <c r="B35" t="s">
        <v>127</v>
      </c>
      <c r="C35" t="s">
        <v>81</v>
      </c>
      <c r="D35" t="s">
        <v>82</v>
      </c>
      <c r="E35" t="s">
        <v>101</v>
      </c>
      <c r="F35">
        <v>2400</v>
      </c>
      <c r="G35" t="s">
        <v>84</v>
      </c>
      <c r="H35" s="15">
        <v>45292</v>
      </c>
      <c r="I35">
        <v>0</v>
      </c>
      <c r="J35">
        <v>2400</v>
      </c>
    </row>
    <row r="36" spans="1:10" x14ac:dyDescent="0.3">
      <c r="A36" s="15">
        <v>45292</v>
      </c>
      <c r="B36" t="s">
        <v>128</v>
      </c>
      <c r="C36" t="s">
        <v>81</v>
      </c>
      <c r="D36" t="s">
        <v>82</v>
      </c>
      <c r="E36" t="s">
        <v>92</v>
      </c>
      <c r="F36">
        <v>1700</v>
      </c>
      <c r="G36" t="s">
        <v>84</v>
      </c>
      <c r="H36" s="15">
        <v>45292</v>
      </c>
      <c r="I36">
        <v>0</v>
      </c>
      <c r="J36">
        <v>1700</v>
      </c>
    </row>
    <row r="37" spans="1:10" x14ac:dyDescent="0.3">
      <c r="A37" s="15">
        <v>45292</v>
      </c>
      <c r="B37" t="s">
        <v>129</v>
      </c>
      <c r="C37" t="s">
        <v>110</v>
      </c>
      <c r="D37" t="s">
        <v>86</v>
      </c>
      <c r="E37" t="s">
        <v>92</v>
      </c>
      <c r="F37">
        <v>36700</v>
      </c>
      <c r="G37" t="s">
        <v>84</v>
      </c>
      <c r="H37" s="15">
        <v>45292</v>
      </c>
      <c r="I37">
        <v>0</v>
      </c>
      <c r="J37">
        <v>36700</v>
      </c>
    </row>
    <row r="38" spans="1:10" x14ac:dyDescent="0.3">
      <c r="A38" s="15">
        <v>45292</v>
      </c>
      <c r="B38" t="s">
        <v>130</v>
      </c>
      <c r="C38" t="s">
        <v>91</v>
      </c>
      <c r="D38" t="s">
        <v>82</v>
      </c>
      <c r="E38" t="s">
        <v>92</v>
      </c>
      <c r="F38">
        <v>6700</v>
      </c>
      <c r="G38" t="s">
        <v>84</v>
      </c>
      <c r="H38" s="15">
        <v>45292</v>
      </c>
      <c r="I38">
        <v>0</v>
      </c>
      <c r="J38">
        <v>6700</v>
      </c>
    </row>
    <row r="39" spans="1:10" x14ac:dyDescent="0.3">
      <c r="A39" s="15">
        <v>45292</v>
      </c>
      <c r="B39" t="s">
        <v>131</v>
      </c>
      <c r="C39" t="s">
        <v>81</v>
      </c>
      <c r="D39" t="s">
        <v>86</v>
      </c>
      <c r="E39" t="s">
        <v>101</v>
      </c>
      <c r="F39">
        <v>1900</v>
      </c>
      <c r="G39" t="s">
        <v>84</v>
      </c>
      <c r="H39" s="15">
        <v>45292</v>
      </c>
      <c r="I39">
        <v>0</v>
      </c>
      <c r="J39">
        <v>1900</v>
      </c>
    </row>
    <row r="40" spans="1:10" x14ac:dyDescent="0.3">
      <c r="A40" s="15">
        <v>45292</v>
      </c>
      <c r="B40" t="s">
        <v>132</v>
      </c>
      <c r="C40" t="s">
        <v>91</v>
      </c>
      <c r="D40" t="s">
        <v>86</v>
      </c>
      <c r="E40" t="s">
        <v>92</v>
      </c>
      <c r="F40">
        <v>8400</v>
      </c>
      <c r="G40" t="s">
        <v>84</v>
      </c>
      <c r="H40" s="15">
        <v>45292</v>
      </c>
      <c r="I40">
        <v>0</v>
      </c>
      <c r="J40">
        <v>8400</v>
      </c>
    </row>
    <row r="41" spans="1:10" x14ac:dyDescent="0.3">
      <c r="A41" s="15">
        <v>45292</v>
      </c>
      <c r="B41" t="s">
        <v>133</v>
      </c>
      <c r="C41" t="s">
        <v>81</v>
      </c>
      <c r="D41" t="s">
        <v>96</v>
      </c>
      <c r="E41" t="s">
        <v>87</v>
      </c>
      <c r="F41">
        <v>3200</v>
      </c>
      <c r="G41" t="s">
        <v>84</v>
      </c>
      <c r="H41" s="15">
        <v>45292</v>
      </c>
      <c r="I41">
        <v>0</v>
      </c>
      <c r="J41">
        <v>3200</v>
      </c>
    </row>
    <row r="42" spans="1:10" x14ac:dyDescent="0.3">
      <c r="A42" s="15">
        <v>45292</v>
      </c>
      <c r="B42" t="s">
        <v>134</v>
      </c>
      <c r="C42" t="s">
        <v>81</v>
      </c>
      <c r="D42" t="s">
        <v>82</v>
      </c>
      <c r="E42" t="s">
        <v>92</v>
      </c>
      <c r="F42">
        <v>2900</v>
      </c>
      <c r="G42" t="s">
        <v>84</v>
      </c>
      <c r="H42" s="15">
        <v>45292</v>
      </c>
      <c r="I42">
        <v>0</v>
      </c>
      <c r="J42">
        <v>2900</v>
      </c>
    </row>
    <row r="43" spans="1:10" x14ac:dyDescent="0.3">
      <c r="A43" s="15">
        <v>45292</v>
      </c>
      <c r="B43" t="s">
        <v>135</v>
      </c>
      <c r="C43" t="s">
        <v>81</v>
      </c>
      <c r="D43" t="s">
        <v>82</v>
      </c>
      <c r="E43" t="s">
        <v>103</v>
      </c>
      <c r="F43">
        <v>2200</v>
      </c>
      <c r="G43" t="s">
        <v>84</v>
      </c>
      <c r="H43" s="15">
        <v>45292</v>
      </c>
      <c r="I43">
        <v>0</v>
      </c>
      <c r="J43">
        <v>2200</v>
      </c>
    </row>
    <row r="44" spans="1:10" x14ac:dyDescent="0.3">
      <c r="A44" s="15">
        <v>45292</v>
      </c>
      <c r="B44" t="s">
        <v>136</v>
      </c>
      <c r="C44" t="s">
        <v>81</v>
      </c>
      <c r="D44" t="s">
        <v>82</v>
      </c>
      <c r="E44" t="s">
        <v>101</v>
      </c>
      <c r="F44">
        <v>2600</v>
      </c>
      <c r="G44" t="s">
        <v>84</v>
      </c>
      <c r="H44" s="15">
        <v>45292</v>
      </c>
      <c r="I44">
        <v>0</v>
      </c>
      <c r="J44">
        <v>2600</v>
      </c>
    </row>
    <row r="45" spans="1:10" x14ac:dyDescent="0.3">
      <c r="A45" s="15">
        <v>45292</v>
      </c>
      <c r="B45" t="s">
        <v>137</v>
      </c>
      <c r="C45" t="s">
        <v>81</v>
      </c>
      <c r="D45" t="s">
        <v>82</v>
      </c>
      <c r="E45" t="s">
        <v>89</v>
      </c>
      <c r="F45">
        <v>1700</v>
      </c>
      <c r="G45" t="s">
        <v>84</v>
      </c>
      <c r="H45" s="15">
        <v>45292</v>
      </c>
      <c r="I45">
        <v>0</v>
      </c>
      <c r="J45">
        <v>1700</v>
      </c>
    </row>
    <row r="46" spans="1:10" x14ac:dyDescent="0.3">
      <c r="A46" s="15">
        <v>45292</v>
      </c>
      <c r="B46" t="s">
        <v>138</v>
      </c>
      <c r="C46" t="s">
        <v>81</v>
      </c>
      <c r="D46" t="s">
        <v>86</v>
      </c>
      <c r="E46" t="s">
        <v>97</v>
      </c>
      <c r="F46">
        <v>3300</v>
      </c>
      <c r="G46" t="s">
        <v>84</v>
      </c>
      <c r="H46" s="15">
        <v>45292</v>
      </c>
      <c r="I46">
        <v>0</v>
      </c>
      <c r="J46">
        <v>3300</v>
      </c>
    </row>
    <row r="47" spans="1:10" x14ac:dyDescent="0.3">
      <c r="A47" s="15">
        <v>45292</v>
      </c>
      <c r="B47" t="s">
        <v>139</v>
      </c>
      <c r="C47" t="s">
        <v>91</v>
      </c>
      <c r="D47" t="s">
        <v>82</v>
      </c>
      <c r="E47" t="s">
        <v>103</v>
      </c>
      <c r="F47">
        <v>6800</v>
      </c>
      <c r="G47" t="s">
        <v>84</v>
      </c>
      <c r="H47" s="15">
        <v>45292</v>
      </c>
      <c r="I47">
        <v>0</v>
      </c>
      <c r="J47">
        <v>6800</v>
      </c>
    </row>
    <row r="48" spans="1:10" x14ac:dyDescent="0.3">
      <c r="A48" s="15">
        <v>45292</v>
      </c>
      <c r="B48" t="s">
        <v>140</v>
      </c>
      <c r="C48" t="s">
        <v>81</v>
      </c>
      <c r="D48" t="s">
        <v>99</v>
      </c>
      <c r="E48" t="s">
        <v>97</v>
      </c>
      <c r="F48">
        <v>1800</v>
      </c>
      <c r="G48" t="s">
        <v>84</v>
      </c>
      <c r="H48" s="15">
        <v>45292</v>
      </c>
      <c r="I48">
        <v>0</v>
      </c>
      <c r="J48">
        <v>1800</v>
      </c>
    </row>
    <row r="49" spans="1:10" x14ac:dyDescent="0.3">
      <c r="A49" s="15">
        <v>45292</v>
      </c>
      <c r="B49" t="s">
        <v>141</v>
      </c>
      <c r="C49" t="s">
        <v>125</v>
      </c>
      <c r="D49" t="s">
        <v>99</v>
      </c>
      <c r="E49" t="s">
        <v>103</v>
      </c>
      <c r="F49">
        <v>100200</v>
      </c>
      <c r="G49" t="s">
        <v>84</v>
      </c>
      <c r="H49" s="15">
        <v>45292</v>
      </c>
      <c r="I49">
        <v>0</v>
      </c>
      <c r="J49">
        <v>100200</v>
      </c>
    </row>
    <row r="50" spans="1:10" x14ac:dyDescent="0.3">
      <c r="A50" s="15">
        <v>45292</v>
      </c>
      <c r="B50" t="s">
        <v>142</v>
      </c>
      <c r="C50" t="s">
        <v>125</v>
      </c>
      <c r="D50" t="s">
        <v>82</v>
      </c>
      <c r="E50" t="s">
        <v>92</v>
      </c>
      <c r="F50">
        <v>81400</v>
      </c>
      <c r="G50" t="s">
        <v>84</v>
      </c>
      <c r="H50" s="15">
        <v>45292</v>
      </c>
      <c r="I50">
        <v>0</v>
      </c>
      <c r="J50">
        <v>81400</v>
      </c>
    </row>
    <row r="51" spans="1:10" x14ac:dyDescent="0.3">
      <c r="A51" s="15">
        <v>45292</v>
      </c>
      <c r="B51" t="s">
        <v>143</v>
      </c>
      <c r="C51" t="s">
        <v>91</v>
      </c>
      <c r="D51" t="s">
        <v>99</v>
      </c>
      <c r="E51" t="s">
        <v>103</v>
      </c>
      <c r="F51">
        <v>8000</v>
      </c>
      <c r="G51" t="s">
        <v>84</v>
      </c>
      <c r="H51" s="15">
        <v>45292</v>
      </c>
      <c r="I51">
        <v>0</v>
      </c>
      <c r="J51">
        <v>8000</v>
      </c>
    </row>
    <row r="52" spans="1:10" x14ac:dyDescent="0.3">
      <c r="A52" s="15">
        <v>45292</v>
      </c>
      <c r="B52" t="s">
        <v>144</v>
      </c>
      <c r="C52" t="s">
        <v>81</v>
      </c>
      <c r="D52" t="s">
        <v>82</v>
      </c>
      <c r="E52" t="s">
        <v>92</v>
      </c>
      <c r="F52">
        <v>3100</v>
      </c>
      <c r="G52" t="s">
        <v>84</v>
      </c>
      <c r="H52" s="15">
        <v>45292</v>
      </c>
      <c r="I52">
        <v>0</v>
      </c>
      <c r="J52">
        <v>3100</v>
      </c>
    </row>
    <row r="53" spans="1:10" x14ac:dyDescent="0.3">
      <c r="A53" s="15">
        <v>45292</v>
      </c>
      <c r="B53" t="s">
        <v>145</v>
      </c>
      <c r="C53" t="s">
        <v>91</v>
      </c>
      <c r="D53" t="s">
        <v>82</v>
      </c>
      <c r="E53" t="s">
        <v>87</v>
      </c>
      <c r="F53">
        <v>8200</v>
      </c>
      <c r="G53" t="s">
        <v>84</v>
      </c>
      <c r="H53" s="15">
        <v>45292</v>
      </c>
      <c r="I53">
        <v>0</v>
      </c>
      <c r="J53">
        <v>8200</v>
      </c>
    </row>
    <row r="54" spans="1:10" x14ac:dyDescent="0.3">
      <c r="A54" s="15">
        <v>45292</v>
      </c>
      <c r="B54" t="s">
        <v>146</v>
      </c>
      <c r="C54" t="s">
        <v>91</v>
      </c>
      <c r="D54" t="s">
        <v>86</v>
      </c>
      <c r="E54" t="s">
        <v>87</v>
      </c>
      <c r="F54">
        <v>9200</v>
      </c>
      <c r="G54" t="s">
        <v>84</v>
      </c>
      <c r="H54" s="15">
        <v>45292</v>
      </c>
      <c r="I54">
        <v>0</v>
      </c>
      <c r="J54">
        <v>9200</v>
      </c>
    </row>
    <row r="55" spans="1:10" x14ac:dyDescent="0.3">
      <c r="A55" s="15">
        <v>45292</v>
      </c>
      <c r="B55" t="s">
        <v>147</v>
      </c>
      <c r="C55" t="s">
        <v>81</v>
      </c>
      <c r="D55" t="s">
        <v>82</v>
      </c>
      <c r="E55" t="s">
        <v>92</v>
      </c>
      <c r="F55">
        <v>2600</v>
      </c>
      <c r="G55" t="s">
        <v>84</v>
      </c>
      <c r="H55" s="15">
        <v>45292</v>
      </c>
      <c r="I55">
        <v>0</v>
      </c>
      <c r="J55">
        <v>2600</v>
      </c>
    </row>
    <row r="56" spans="1:10" x14ac:dyDescent="0.3">
      <c r="A56" s="15">
        <v>45292</v>
      </c>
      <c r="B56" t="s">
        <v>148</v>
      </c>
      <c r="C56" t="s">
        <v>110</v>
      </c>
      <c r="D56" t="s">
        <v>86</v>
      </c>
      <c r="E56" t="s">
        <v>89</v>
      </c>
      <c r="F56">
        <v>23500</v>
      </c>
      <c r="G56" t="s">
        <v>84</v>
      </c>
      <c r="H56" s="15">
        <v>45292</v>
      </c>
      <c r="I56">
        <v>0</v>
      </c>
      <c r="J56">
        <v>23500</v>
      </c>
    </row>
    <row r="57" spans="1:10" x14ac:dyDescent="0.3">
      <c r="A57" s="15">
        <v>45292</v>
      </c>
      <c r="B57" t="s">
        <v>149</v>
      </c>
      <c r="C57" t="s">
        <v>110</v>
      </c>
      <c r="D57" t="s">
        <v>82</v>
      </c>
      <c r="E57" t="s">
        <v>103</v>
      </c>
      <c r="F57">
        <v>31000</v>
      </c>
      <c r="G57" t="s">
        <v>84</v>
      </c>
      <c r="H57" s="15">
        <v>45292</v>
      </c>
      <c r="I57">
        <v>0</v>
      </c>
      <c r="J57">
        <v>31000</v>
      </c>
    </row>
    <row r="58" spans="1:10" x14ac:dyDescent="0.3">
      <c r="A58" s="15">
        <v>45292</v>
      </c>
      <c r="B58" t="s">
        <v>150</v>
      </c>
      <c r="C58" t="s">
        <v>91</v>
      </c>
      <c r="D58" t="s">
        <v>99</v>
      </c>
      <c r="E58" t="s">
        <v>101</v>
      </c>
      <c r="F58">
        <v>8700</v>
      </c>
      <c r="G58" t="s">
        <v>84</v>
      </c>
      <c r="H58" s="15">
        <v>45292</v>
      </c>
      <c r="I58">
        <v>0</v>
      </c>
      <c r="J58">
        <v>8700</v>
      </c>
    </row>
    <row r="59" spans="1:10" x14ac:dyDescent="0.3">
      <c r="A59" s="15">
        <v>45292</v>
      </c>
      <c r="B59" t="s">
        <v>151</v>
      </c>
      <c r="C59" t="s">
        <v>91</v>
      </c>
      <c r="D59" t="s">
        <v>82</v>
      </c>
      <c r="E59" t="s">
        <v>97</v>
      </c>
      <c r="F59">
        <v>8200</v>
      </c>
      <c r="G59" t="s">
        <v>84</v>
      </c>
      <c r="H59" s="15">
        <v>45292</v>
      </c>
      <c r="I59">
        <v>0</v>
      </c>
      <c r="J59">
        <v>8200</v>
      </c>
    </row>
    <row r="60" spans="1:10" x14ac:dyDescent="0.3">
      <c r="A60" s="15">
        <v>45292</v>
      </c>
      <c r="B60" t="s">
        <v>152</v>
      </c>
      <c r="C60" t="s">
        <v>81</v>
      </c>
      <c r="D60" t="s">
        <v>99</v>
      </c>
      <c r="E60" t="s">
        <v>87</v>
      </c>
      <c r="F60">
        <v>3100</v>
      </c>
      <c r="G60" t="s">
        <v>84</v>
      </c>
      <c r="H60" s="15">
        <v>45292</v>
      </c>
      <c r="I60">
        <v>0</v>
      </c>
      <c r="J60">
        <v>3100</v>
      </c>
    </row>
    <row r="61" spans="1:10" x14ac:dyDescent="0.3">
      <c r="A61" s="15">
        <v>45292</v>
      </c>
      <c r="B61" t="s">
        <v>153</v>
      </c>
      <c r="C61" t="s">
        <v>110</v>
      </c>
      <c r="D61" t="s">
        <v>99</v>
      </c>
      <c r="E61" t="s">
        <v>87</v>
      </c>
      <c r="F61">
        <v>31500</v>
      </c>
      <c r="G61" t="s">
        <v>84</v>
      </c>
      <c r="H61" s="15">
        <v>45292</v>
      </c>
      <c r="I61">
        <v>0</v>
      </c>
      <c r="J61">
        <v>31500</v>
      </c>
    </row>
    <row r="62" spans="1:10" x14ac:dyDescent="0.3">
      <c r="A62" s="15">
        <v>45292</v>
      </c>
      <c r="B62" t="s">
        <v>154</v>
      </c>
      <c r="C62" t="s">
        <v>91</v>
      </c>
      <c r="D62" t="s">
        <v>86</v>
      </c>
      <c r="E62" t="s">
        <v>103</v>
      </c>
      <c r="F62">
        <v>8800</v>
      </c>
      <c r="G62" t="s">
        <v>84</v>
      </c>
      <c r="H62" s="15">
        <v>45292</v>
      </c>
      <c r="I62">
        <v>0</v>
      </c>
      <c r="J62">
        <v>8800</v>
      </c>
    </row>
    <row r="63" spans="1:10" x14ac:dyDescent="0.3">
      <c r="A63" s="15">
        <v>45292</v>
      </c>
      <c r="B63" t="s">
        <v>155</v>
      </c>
      <c r="C63" t="s">
        <v>91</v>
      </c>
      <c r="D63" t="s">
        <v>82</v>
      </c>
      <c r="E63" t="s">
        <v>92</v>
      </c>
      <c r="F63">
        <v>7100</v>
      </c>
      <c r="G63" t="s">
        <v>84</v>
      </c>
      <c r="H63" s="15">
        <v>45292</v>
      </c>
      <c r="I63">
        <v>0</v>
      </c>
      <c r="J63">
        <v>7100</v>
      </c>
    </row>
    <row r="64" spans="1:10" x14ac:dyDescent="0.3">
      <c r="A64" s="15">
        <v>45292</v>
      </c>
      <c r="B64" t="s">
        <v>156</v>
      </c>
      <c r="C64" t="s">
        <v>81</v>
      </c>
      <c r="D64" t="s">
        <v>86</v>
      </c>
      <c r="E64" t="s">
        <v>101</v>
      </c>
      <c r="F64">
        <v>2300</v>
      </c>
      <c r="G64" t="s">
        <v>84</v>
      </c>
      <c r="H64" s="15">
        <v>45292</v>
      </c>
      <c r="I64">
        <v>0</v>
      </c>
      <c r="J64">
        <v>2300</v>
      </c>
    </row>
    <row r="65" spans="1:10" x14ac:dyDescent="0.3">
      <c r="A65" s="15">
        <v>45292</v>
      </c>
      <c r="B65" t="s">
        <v>157</v>
      </c>
      <c r="C65" t="s">
        <v>81</v>
      </c>
      <c r="D65" t="s">
        <v>82</v>
      </c>
      <c r="E65" t="s">
        <v>92</v>
      </c>
      <c r="F65">
        <v>2000</v>
      </c>
      <c r="G65" t="s">
        <v>84</v>
      </c>
      <c r="H65" s="15">
        <v>45292</v>
      </c>
      <c r="I65">
        <v>0</v>
      </c>
      <c r="J65">
        <v>2000</v>
      </c>
    </row>
    <row r="66" spans="1:10" x14ac:dyDescent="0.3">
      <c r="A66" s="15">
        <v>45292</v>
      </c>
      <c r="B66" t="s">
        <v>158</v>
      </c>
      <c r="C66" t="s">
        <v>91</v>
      </c>
      <c r="D66" t="s">
        <v>96</v>
      </c>
      <c r="E66" t="s">
        <v>83</v>
      </c>
      <c r="F66">
        <v>11400</v>
      </c>
      <c r="G66" t="s">
        <v>84</v>
      </c>
      <c r="H66" s="15">
        <v>45292</v>
      </c>
      <c r="I66">
        <v>0</v>
      </c>
      <c r="J66">
        <v>11400</v>
      </c>
    </row>
    <row r="67" spans="1:10" x14ac:dyDescent="0.3">
      <c r="A67" s="15">
        <v>45292</v>
      </c>
      <c r="B67" t="s">
        <v>159</v>
      </c>
      <c r="C67" t="s">
        <v>81</v>
      </c>
      <c r="D67" t="s">
        <v>86</v>
      </c>
      <c r="E67" t="s">
        <v>87</v>
      </c>
      <c r="F67">
        <v>2800</v>
      </c>
      <c r="G67" t="s">
        <v>84</v>
      </c>
      <c r="H67" s="15">
        <v>45292</v>
      </c>
      <c r="I67">
        <v>0</v>
      </c>
      <c r="J67">
        <v>2800</v>
      </c>
    </row>
    <row r="68" spans="1:10" x14ac:dyDescent="0.3">
      <c r="A68" s="15">
        <v>45292</v>
      </c>
      <c r="B68" t="s">
        <v>160</v>
      </c>
      <c r="C68" t="s">
        <v>81</v>
      </c>
      <c r="D68" t="s">
        <v>96</v>
      </c>
      <c r="E68" t="s">
        <v>97</v>
      </c>
      <c r="F68">
        <v>2300</v>
      </c>
      <c r="G68" t="s">
        <v>84</v>
      </c>
      <c r="H68" s="15">
        <v>45292</v>
      </c>
      <c r="I68">
        <v>0</v>
      </c>
      <c r="J68">
        <v>2300</v>
      </c>
    </row>
    <row r="69" spans="1:10" x14ac:dyDescent="0.3">
      <c r="A69" s="15">
        <v>45292</v>
      </c>
      <c r="B69" t="s">
        <v>161</v>
      </c>
      <c r="C69" t="s">
        <v>91</v>
      </c>
      <c r="D69" t="s">
        <v>99</v>
      </c>
      <c r="E69" t="s">
        <v>83</v>
      </c>
      <c r="F69">
        <v>12100</v>
      </c>
      <c r="G69" t="s">
        <v>84</v>
      </c>
      <c r="H69" s="15">
        <v>45292</v>
      </c>
      <c r="I69">
        <v>0</v>
      </c>
      <c r="J69">
        <v>12100</v>
      </c>
    </row>
    <row r="70" spans="1:10" x14ac:dyDescent="0.3">
      <c r="A70" s="15">
        <v>45292</v>
      </c>
      <c r="B70" t="s">
        <v>162</v>
      </c>
      <c r="C70" t="s">
        <v>91</v>
      </c>
      <c r="D70" t="s">
        <v>82</v>
      </c>
      <c r="E70" t="s">
        <v>103</v>
      </c>
      <c r="F70">
        <v>11300</v>
      </c>
      <c r="G70" t="s">
        <v>84</v>
      </c>
      <c r="H70" s="15">
        <v>45292</v>
      </c>
      <c r="I70">
        <v>0</v>
      </c>
      <c r="J70">
        <v>11300</v>
      </c>
    </row>
    <row r="71" spans="1:10" x14ac:dyDescent="0.3">
      <c r="A71" s="15">
        <v>45292</v>
      </c>
      <c r="B71" t="s">
        <v>163</v>
      </c>
      <c r="C71" t="s">
        <v>81</v>
      </c>
      <c r="D71" t="s">
        <v>86</v>
      </c>
      <c r="E71" t="s">
        <v>97</v>
      </c>
      <c r="F71">
        <v>2600</v>
      </c>
      <c r="G71" t="s">
        <v>84</v>
      </c>
      <c r="H71" s="15">
        <v>45292</v>
      </c>
      <c r="I71">
        <v>0</v>
      </c>
      <c r="J71">
        <v>2600</v>
      </c>
    </row>
    <row r="72" spans="1:10" x14ac:dyDescent="0.3">
      <c r="A72" s="15">
        <v>45292</v>
      </c>
      <c r="B72" t="s">
        <v>164</v>
      </c>
      <c r="C72" t="s">
        <v>81</v>
      </c>
      <c r="D72" t="s">
        <v>99</v>
      </c>
      <c r="E72" t="s">
        <v>89</v>
      </c>
      <c r="F72">
        <v>2500</v>
      </c>
      <c r="G72" t="s">
        <v>84</v>
      </c>
      <c r="H72" s="15">
        <v>45292</v>
      </c>
      <c r="I72">
        <v>0</v>
      </c>
      <c r="J72">
        <v>2500</v>
      </c>
    </row>
    <row r="73" spans="1:10" x14ac:dyDescent="0.3">
      <c r="A73" s="15">
        <v>45292</v>
      </c>
      <c r="B73" t="s">
        <v>165</v>
      </c>
      <c r="C73" t="s">
        <v>81</v>
      </c>
      <c r="D73" t="s">
        <v>82</v>
      </c>
      <c r="E73" t="s">
        <v>97</v>
      </c>
      <c r="F73">
        <v>3300</v>
      </c>
      <c r="G73" t="s">
        <v>84</v>
      </c>
      <c r="H73" s="15">
        <v>45292</v>
      </c>
      <c r="I73">
        <v>0</v>
      </c>
      <c r="J73">
        <v>3300</v>
      </c>
    </row>
    <row r="74" spans="1:10" x14ac:dyDescent="0.3">
      <c r="A74" s="15">
        <v>45292</v>
      </c>
      <c r="B74" t="s">
        <v>166</v>
      </c>
      <c r="C74" t="s">
        <v>81</v>
      </c>
      <c r="D74" t="s">
        <v>99</v>
      </c>
      <c r="E74" t="s">
        <v>103</v>
      </c>
      <c r="F74">
        <v>2300</v>
      </c>
      <c r="G74" t="s">
        <v>84</v>
      </c>
      <c r="H74" s="15">
        <v>45292</v>
      </c>
      <c r="I74">
        <v>0</v>
      </c>
      <c r="J74">
        <v>2300</v>
      </c>
    </row>
    <row r="75" spans="1:10" x14ac:dyDescent="0.3">
      <c r="A75" s="15">
        <v>45292</v>
      </c>
      <c r="B75" t="s">
        <v>167</v>
      </c>
      <c r="C75" t="s">
        <v>81</v>
      </c>
      <c r="D75" t="s">
        <v>82</v>
      </c>
      <c r="E75" t="s">
        <v>97</v>
      </c>
      <c r="F75">
        <v>2100</v>
      </c>
      <c r="G75" t="s">
        <v>84</v>
      </c>
      <c r="H75" s="15">
        <v>45292</v>
      </c>
      <c r="I75">
        <v>0</v>
      </c>
      <c r="J75">
        <v>2100</v>
      </c>
    </row>
    <row r="76" spans="1:10" x14ac:dyDescent="0.3">
      <c r="A76" s="15">
        <v>45292</v>
      </c>
      <c r="B76" t="s">
        <v>168</v>
      </c>
      <c r="C76" t="s">
        <v>91</v>
      </c>
      <c r="D76" t="s">
        <v>86</v>
      </c>
      <c r="E76" t="s">
        <v>103</v>
      </c>
      <c r="F76">
        <v>12300</v>
      </c>
      <c r="G76" t="s">
        <v>84</v>
      </c>
      <c r="H76" s="15">
        <v>45292</v>
      </c>
      <c r="I76">
        <v>0</v>
      </c>
      <c r="J76">
        <v>12300</v>
      </c>
    </row>
    <row r="77" spans="1:10" x14ac:dyDescent="0.3">
      <c r="A77" s="15">
        <v>45292</v>
      </c>
      <c r="B77" t="s">
        <v>169</v>
      </c>
      <c r="C77" t="s">
        <v>81</v>
      </c>
      <c r="D77" t="s">
        <v>86</v>
      </c>
      <c r="E77" t="s">
        <v>103</v>
      </c>
      <c r="F77">
        <v>2000</v>
      </c>
      <c r="G77" t="s">
        <v>84</v>
      </c>
      <c r="H77" s="15">
        <v>45292</v>
      </c>
      <c r="I77">
        <v>0</v>
      </c>
      <c r="J77">
        <v>2000</v>
      </c>
    </row>
    <row r="78" spans="1:10" x14ac:dyDescent="0.3">
      <c r="A78" s="15">
        <v>45292</v>
      </c>
      <c r="B78" t="s">
        <v>170</v>
      </c>
      <c r="C78" t="s">
        <v>91</v>
      </c>
      <c r="D78" t="s">
        <v>99</v>
      </c>
      <c r="E78" t="s">
        <v>83</v>
      </c>
      <c r="F78">
        <v>6500</v>
      </c>
      <c r="G78" t="s">
        <v>84</v>
      </c>
      <c r="H78" s="15">
        <v>45292</v>
      </c>
      <c r="I78">
        <v>0</v>
      </c>
      <c r="J78">
        <v>6500</v>
      </c>
    </row>
    <row r="79" spans="1:10" x14ac:dyDescent="0.3">
      <c r="A79" s="15">
        <v>45292</v>
      </c>
      <c r="B79" t="s">
        <v>171</v>
      </c>
      <c r="C79" t="s">
        <v>81</v>
      </c>
      <c r="D79" t="s">
        <v>99</v>
      </c>
      <c r="E79" t="s">
        <v>97</v>
      </c>
      <c r="F79">
        <v>2100</v>
      </c>
      <c r="G79" t="s">
        <v>84</v>
      </c>
      <c r="H79" s="15">
        <v>45292</v>
      </c>
      <c r="I79">
        <v>0</v>
      </c>
      <c r="J79">
        <v>2100</v>
      </c>
    </row>
    <row r="80" spans="1:10" x14ac:dyDescent="0.3">
      <c r="A80" s="15">
        <v>45292</v>
      </c>
      <c r="B80" t="s">
        <v>172</v>
      </c>
      <c r="C80" t="s">
        <v>91</v>
      </c>
      <c r="D80" t="s">
        <v>96</v>
      </c>
      <c r="E80" t="s">
        <v>101</v>
      </c>
      <c r="F80">
        <v>7700</v>
      </c>
      <c r="G80" t="s">
        <v>84</v>
      </c>
      <c r="H80" s="15">
        <v>45292</v>
      </c>
      <c r="I80">
        <v>0</v>
      </c>
      <c r="J80">
        <v>7700</v>
      </c>
    </row>
    <row r="81" spans="1:10" x14ac:dyDescent="0.3">
      <c r="A81" s="15">
        <v>45292</v>
      </c>
      <c r="B81" t="s">
        <v>173</v>
      </c>
      <c r="C81" t="s">
        <v>81</v>
      </c>
      <c r="D81" t="s">
        <v>86</v>
      </c>
      <c r="E81" t="s">
        <v>103</v>
      </c>
      <c r="F81">
        <v>3700</v>
      </c>
      <c r="G81" t="s">
        <v>84</v>
      </c>
      <c r="H81" s="15">
        <v>45292</v>
      </c>
      <c r="I81">
        <v>0</v>
      </c>
      <c r="J81">
        <v>3700</v>
      </c>
    </row>
    <row r="82" spans="1:10" x14ac:dyDescent="0.3">
      <c r="A82" s="15">
        <v>45292</v>
      </c>
      <c r="B82" t="s">
        <v>174</v>
      </c>
      <c r="C82" t="s">
        <v>81</v>
      </c>
      <c r="D82" t="s">
        <v>82</v>
      </c>
      <c r="E82" t="s">
        <v>92</v>
      </c>
      <c r="F82">
        <v>2100</v>
      </c>
      <c r="G82" t="s">
        <v>84</v>
      </c>
      <c r="H82" s="15">
        <v>45292</v>
      </c>
      <c r="I82">
        <v>0</v>
      </c>
      <c r="J82">
        <v>2100</v>
      </c>
    </row>
    <row r="83" spans="1:10" x14ac:dyDescent="0.3">
      <c r="A83" s="15">
        <v>45292</v>
      </c>
      <c r="B83" t="s">
        <v>175</v>
      </c>
      <c r="C83" t="s">
        <v>91</v>
      </c>
      <c r="D83" t="s">
        <v>96</v>
      </c>
      <c r="E83" t="s">
        <v>83</v>
      </c>
      <c r="F83">
        <v>8800</v>
      </c>
      <c r="G83" t="s">
        <v>84</v>
      </c>
      <c r="H83" s="15">
        <v>45292</v>
      </c>
      <c r="I83">
        <v>0</v>
      </c>
      <c r="J83">
        <v>8800</v>
      </c>
    </row>
    <row r="84" spans="1:10" x14ac:dyDescent="0.3">
      <c r="A84" s="15">
        <v>45292</v>
      </c>
      <c r="B84" t="s">
        <v>176</v>
      </c>
      <c r="C84" t="s">
        <v>81</v>
      </c>
      <c r="D84" t="s">
        <v>99</v>
      </c>
      <c r="E84" t="s">
        <v>92</v>
      </c>
      <c r="F84">
        <v>2700</v>
      </c>
      <c r="G84" t="s">
        <v>84</v>
      </c>
      <c r="H84" s="15">
        <v>45292</v>
      </c>
      <c r="I84">
        <v>0</v>
      </c>
      <c r="J84">
        <v>2700</v>
      </c>
    </row>
    <row r="85" spans="1:10" x14ac:dyDescent="0.3">
      <c r="A85" s="15">
        <v>45292</v>
      </c>
      <c r="B85" t="s">
        <v>177</v>
      </c>
      <c r="C85" t="s">
        <v>81</v>
      </c>
      <c r="D85" t="s">
        <v>96</v>
      </c>
      <c r="E85" t="s">
        <v>83</v>
      </c>
      <c r="F85">
        <v>2900</v>
      </c>
      <c r="G85" t="s">
        <v>84</v>
      </c>
      <c r="H85" s="15">
        <v>45292</v>
      </c>
      <c r="I85">
        <v>0</v>
      </c>
      <c r="J85">
        <v>2900</v>
      </c>
    </row>
    <row r="86" spans="1:10" x14ac:dyDescent="0.3">
      <c r="A86" s="15">
        <v>45292</v>
      </c>
      <c r="B86" t="s">
        <v>178</v>
      </c>
      <c r="C86" t="s">
        <v>91</v>
      </c>
      <c r="D86" t="s">
        <v>82</v>
      </c>
      <c r="E86" t="s">
        <v>89</v>
      </c>
      <c r="F86">
        <v>8400</v>
      </c>
      <c r="G86" t="s">
        <v>84</v>
      </c>
      <c r="H86" s="15">
        <v>45292</v>
      </c>
      <c r="I86">
        <v>0</v>
      </c>
      <c r="J86">
        <v>8400</v>
      </c>
    </row>
    <row r="87" spans="1:10" x14ac:dyDescent="0.3">
      <c r="A87" s="15">
        <v>45292</v>
      </c>
      <c r="B87" t="s">
        <v>179</v>
      </c>
      <c r="C87" t="s">
        <v>110</v>
      </c>
      <c r="D87" t="s">
        <v>86</v>
      </c>
      <c r="E87" t="s">
        <v>87</v>
      </c>
      <c r="F87">
        <v>28300</v>
      </c>
      <c r="G87" t="s">
        <v>84</v>
      </c>
      <c r="H87" s="15">
        <v>45292</v>
      </c>
      <c r="I87">
        <v>0</v>
      </c>
      <c r="J87">
        <v>28300</v>
      </c>
    </row>
    <row r="88" spans="1:10" x14ac:dyDescent="0.3">
      <c r="A88" s="15">
        <v>45292</v>
      </c>
      <c r="B88" t="s">
        <v>180</v>
      </c>
      <c r="C88" t="s">
        <v>91</v>
      </c>
      <c r="D88" t="s">
        <v>86</v>
      </c>
      <c r="E88" t="s">
        <v>83</v>
      </c>
      <c r="F88">
        <v>8500</v>
      </c>
      <c r="G88" t="s">
        <v>84</v>
      </c>
      <c r="H88" s="15">
        <v>45292</v>
      </c>
      <c r="I88">
        <v>0</v>
      </c>
      <c r="J88">
        <v>8500</v>
      </c>
    </row>
    <row r="89" spans="1:10" x14ac:dyDescent="0.3">
      <c r="A89" s="15">
        <v>45292</v>
      </c>
      <c r="B89" t="s">
        <v>181</v>
      </c>
      <c r="C89" t="s">
        <v>91</v>
      </c>
      <c r="D89" t="s">
        <v>82</v>
      </c>
      <c r="E89" t="s">
        <v>97</v>
      </c>
      <c r="F89">
        <v>10100</v>
      </c>
      <c r="G89" t="s">
        <v>84</v>
      </c>
      <c r="H89" s="15">
        <v>45292</v>
      </c>
      <c r="I89">
        <v>0</v>
      </c>
      <c r="J89">
        <v>10100</v>
      </c>
    </row>
    <row r="90" spans="1:10" x14ac:dyDescent="0.3">
      <c r="A90" s="15">
        <v>45292</v>
      </c>
      <c r="B90" t="s">
        <v>182</v>
      </c>
      <c r="C90" t="s">
        <v>125</v>
      </c>
      <c r="D90" t="s">
        <v>82</v>
      </c>
      <c r="E90" t="s">
        <v>92</v>
      </c>
      <c r="F90">
        <v>80700</v>
      </c>
      <c r="G90" t="s">
        <v>84</v>
      </c>
      <c r="H90" s="15">
        <v>45292</v>
      </c>
      <c r="I90">
        <v>0</v>
      </c>
      <c r="J90">
        <v>80700</v>
      </c>
    </row>
    <row r="91" spans="1:10" x14ac:dyDescent="0.3">
      <c r="A91" s="15">
        <v>45292</v>
      </c>
      <c r="B91" t="s">
        <v>183</v>
      </c>
      <c r="C91" t="s">
        <v>91</v>
      </c>
      <c r="D91" t="s">
        <v>96</v>
      </c>
      <c r="E91" t="s">
        <v>92</v>
      </c>
      <c r="F91">
        <v>9500</v>
      </c>
      <c r="G91" t="s">
        <v>84</v>
      </c>
      <c r="H91" s="15">
        <v>45292</v>
      </c>
      <c r="I91">
        <v>0</v>
      </c>
      <c r="J91">
        <v>9500</v>
      </c>
    </row>
    <row r="92" spans="1:10" x14ac:dyDescent="0.3">
      <c r="A92" s="15">
        <v>45292</v>
      </c>
      <c r="B92" t="s">
        <v>184</v>
      </c>
      <c r="C92" t="s">
        <v>81</v>
      </c>
      <c r="D92" t="s">
        <v>82</v>
      </c>
      <c r="E92" t="s">
        <v>83</v>
      </c>
      <c r="F92">
        <v>2600</v>
      </c>
      <c r="G92" t="s">
        <v>84</v>
      </c>
      <c r="H92" s="15">
        <v>45292</v>
      </c>
      <c r="I92">
        <v>0</v>
      </c>
      <c r="J92">
        <v>2600</v>
      </c>
    </row>
    <row r="93" spans="1:10" x14ac:dyDescent="0.3">
      <c r="A93" s="15">
        <v>45292</v>
      </c>
      <c r="B93" t="s">
        <v>185</v>
      </c>
      <c r="C93" t="s">
        <v>81</v>
      </c>
      <c r="D93" t="s">
        <v>96</v>
      </c>
      <c r="E93" t="s">
        <v>97</v>
      </c>
      <c r="F93">
        <v>2000</v>
      </c>
      <c r="G93" t="s">
        <v>84</v>
      </c>
      <c r="H93" s="15">
        <v>45292</v>
      </c>
      <c r="I93">
        <v>0</v>
      </c>
      <c r="J93">
        <v>2000</v>
      </c>
    </row>
    <row r="94" spans="1:10" x14ac:dyDescent="0.3">
      <c r="A94" s="15">
        <v>45292</v>
      </c>
      <c r="B94" t="s">
        <v>186</v>
      </c>
      <c r="C94" t="s">
        <v>91</v>
      </c>
      <c r="D94" t="s">
        <v>82</v>
      </c>
      <c r="E94" t="s">
        <v>103</v>
      </c>
      <c r="F94">
        <v>12100</v>
      </c>
      <c r="G94" t="s">
        <v>84</v>
      </c>
      <c r="H94" s="15">
        <v>45292</v>
      </c>
      <c r="I94">
        <v>0</v>
      </c>
      <c r="J94">
        <v>12100</v>
      </c>
    </row>
    <row r="95" spans="1:10" x14ac:dyDescent="0.3">
      <c r="A95" s="15">
        <v>45292</v>
      </c>
      <c r="B95" t="s">
        <v>187</v>
      </c>
      <c r="C95" t="s">
        <v>110</v>
      </c>
      <c r="D95" t="s">
        <v>86</v>
      </c>
      <c r="E95" t="s">
        <v>97</v>
      </c>
      <c r="F95">
        <v>32300</v>
      </c>
      <c r="G95" t="s">
        <v>84</v>
      </c>
      <c r="H95" s="15">
        <v>45292</v>
      </c>
      <c r="I95">
        <v>0</v>
      </c>
      <c r="J95">
        <v>32300</v>
      </c>
    </row>
    <row r="96" spans="1:10" x14ac:dyDescent="0.3">
      <c r="A96" s="15">
        <v>45292</v>
      </c>
      <c r="B96" t="s">
        <v>188</v>
      </c>
      <c r="C96" t="s">
        <v>91</v>
      </c>
      <c r="D96" t="s">
        <v>82</v>
      </c>
      <c r="E96" t="s">
        <v>92</v>
      </c>
      <c r="F96">
        <v>10900</v>
      </c>
      <c r="G96" t="s">
        <v>84</v>
      </c>
      <c r="H96" s="15">
        <v>45292</v>
      </c>
      <c r="I96">
        <v>0</v>
      </c>
      <c r="J96">
        <v>10900</v>
      </c>
    </row>
    <row r="97" spans="1:10" x14ac:dyDescent="0.3">
      <c r="A97" s="15">
        <v>45292</v>
      </c>
      <c r="B97" t="s">
        <v>189</v>
      </c>
      <c r="C97" t="s">
        <v>81</v>
      </c>
      <c r="D97" t="s">
        <v>86</v>
      </c>
      <c r="E97" t="s">
        <v>103</v>
      </c>
      <c r="F97">
        <v>2000</v>
      </c>
      <c r="G97" t="s">
        <v>84</v>
      </c>
      <c r="H97" s="15">
        <v>45292</v>
      </c>
      <c r="I97">
        <v>0</v>
      </c>
      <c r="J97">
        <v>2000</v>
      </c>
    </row>
    <row r="98" spans="1:10" x14ac:dyDescent="0.3">
      <c r="A98" s="15">
        <v>45292</v>
      </c>
      <c r="B98" t="s">
        <v>190</v>
      </c>
      <c r="C98" t="s">
        <v>81</v>
      </c>
      <c r="D98" t="s">
        <v>99</v>
      </c>
      <c r="E98" t="s">
        <v>89</v>
      </c>
      <c r="F98">
        <v>2000</v>
      </c>
      <c r="G98" t="s">
        <v>84</v>
      </c>
      <c r="H98" s="15">
        <v>45292</v>
      </c>
      <c r="I98">
        <v>0</v>
      </c>
      <c r="J98">
        <v>2000</v>
      </c>
    </row>
    <row r="99" spans="1:10" x14ac:dyDescent="0.3">
      <c r="A99" s="15">
        <v>45292</v>
      </c>
      <c r="B99" t="s">
        <v>191</v>
      </c>
      <c r="C99" t="s">
        <v>91</v>
      </c>
      <c r="D99" t="s">
        <v>86</v>
      </c>
      <c r="E99" t="s">
        <v>87</v>
      </c>
      <c r="F99">
        <v>6900</v>
      </c>
      <c r="G99" t="s">
        <v>84</v>
      </c>
      <c r="H99" s="15">
        <v>45292</v>
      </c>
      <c r="I99">
        <v>0</v>
      </c>
      <c r="J99">
        <v>6900</v>
      </c>
    </row>
    <row r="100" spans="1:10" x14ac:dyDescent="0.3">
      <c r="A100" s="15">
        <v>45292</v>
      </c>
      <c r="B100" t="s">
        <v>192</v>
      </c>
      <c r="C100" t="s">
        <v>81</v>
      </c>
      <c r="D100" t="s">
        <v>82</v>
      </c>
      <c r="E100" t="s">
        <v>97</v>
      </c>
      <c r="F100">
        <v>2700</v>
      </c>
      <c r="G100" t="s">
        <v>84</v>
      </c>
      <c r="H100" s="15">
        <v>45292</v>
      </c>
      <c r="I100">
        <v>0</v>
      </c>
      <c r="J100">
        <v>2700</v>
      </c>
    </row>
    <row r="101" spans="1:10" x14ac:dyDescent="0.3">
      <c r="A101" s="15">
        <v>45292</v>
      </c>
      <c r="B101" t="s">
        <v>193</v>
      </c>
      <c r="C101" t="s">
        <v>81</v>
      </c>
      <c r="D101" t="s">
        <v>82</v>
      </c>
      <c r="E101" t="s">
        <v>87</v>
      </c>
      <c r="F101">
        <v>3200</v>
      </c>
      <c r="G101" t="s">
        <v>84</v>
      </c>
      <c r="H101" s="15">
        <v>45292</v>
      </c>
      <c r="I101">
        <v>0</v>
      </c>
      <c r="J101">
        <v>3200</v>
      </c>
    </row>
    <row r="102" spans="1:10" x14ac:dyDescent="0.3">
      <c r="A102" s="15">
        <v>45292</v>
      </c>
      <c r="B102" t="s">
        <v>194</v>
      </c>
      <c r="C102" t="s">
        <v>91</v>
      </c>
      <c r="D102" t="s">
        <v>82</v>
      </c>
      <c r="E102" t="s">
        <v>101</v>
      </c>
      <c r="F102">
        <v>10400</v>
      </c>
      <c r="G102" t="s">
        <v>84</v>
      </c>
      <c r="H102" s="15">
        <v>45292</v>
      </c>
      <c r="I102">
        <v>0</v>
      </c>
      <c r="J102">
        <v>10400</v>
      </c>
    </row>
    <row r="103" spans="1:10" x14ac:dyDescent="0.3">
      <c r="A103" s="15">
        <v>45292</v>
      </c>
      <c r="B103" t="s">
        <v>195</v>
      </c>
      <c r="C103" t="s">
        <v>91</v>
      </c>
      <c r="D103" t="s">
        <v>86</v>
      </c>
      <c r="E103" t="s">
        <v>97</v>
      </c>
      <c r="F103">
        <v>6900</v>
      </c>
      <c r="G103" t="s">
        <v>84</v>
      </c>
      <c r="H103" s="15">
        <v>45292</v>
      </c>
      <c r="I103">
        <v>0</v>
      </c>
      <c r="J103">
        <v>6900</v>
      </c>
    </row>
    <row r="104" spans="1:10" x14ac:dyDescent="0.3">
      <c r="A104" s="15">
        <v>45292</v>
      </c>
      <c r="B104" t="s">
        <v>196</v>
      </c>
      <c r="C104" t="s">
        <v>81</v>
      </c>
      <c r="D104" t="s">
        <v>86</v>
      </c>
      <c r="E104" t="s">
        <v>87</v>
      </c>
      <c r="F104">
        <v>2600</v>
      </c>
      <c r="G104" t="s">
        <v>84</v>
      </c>
      <c r="H104" s="15">
        <v>45292</v>
      </c>
      <c r="I104">
        <v>0</v>
      </c>
      <c r="J104">
        <v>2600</v>
      </c>
    </row>
    <row r="105" spans="1:10" x14ac:dyDescent="0.3">
      <c r="A105" s="15">
        <v>45292</v>
      </c>
      <c r="B105" t="s">
        <v>197</v>
      </c>
      <c r="C105" t="s">
        <v>91</v>
      </c>
      <c r="D105" t="s">
        <v>82</v>
      </c>
      <c r="E105" t="s">
        <v>89</v>
      </c>
      <c r="F105">
        <v>9800</v>
      </c>
      <c r="G105" t="s">
        <v>84</v>
      </c>
      <c r="H105" s="15">
        <v>45292</v>
      </c>
      <c r="I105">
        <v>0</v>
      </c>
      <c r="J105">
        <v>9800</v>
      </c>
    </row>
    <row r="106" spans="1:10" x14ac:dyDescent="0.3">
      <c r="A106" s="15">
        <v>45292</v>
      </c>
      <c r="B106" t="s">
        <v>198</v>
      </c>
      <c r="C106" t="s">
        <v>81</v>
      </c>
      <c r="D106" t="s">
        <v>82</v>
      </c>
      <c r="E106" t="s">
        <v>89</v>
      </c>
      <c r="F106">
        <v>2900</v>
      </c>
      <c r="G106" t="s">
        <v>84</v>
      </c>
      <c r="H106" s="15">
        <v>45292</v>
      </c>
      <c r="I106">
        <v>0</v>
      </c>
      <c r="J106">
        <v>2900</v>
      </c>
    </row>
    <row r="107" spans="1:10" x14ac:dyDescent="0.3">
      <c r="A107" s="15">
        <v>45292</v>
      </c>
      <c r="B107" t="s">
        <v>199</v>
      </c>
      <c r="C107" t="s">
        <v>81</v>
      </c>
      <c r="D107" t="s">
        <v>86</v>
      </c>
      <c r="E107" t="s">
        <v>89</v>
      </c>
      <c r="F107">
        <v>2200</v>
      </c>
      <c r="G107" t="s">
        <v>84</v>
      </c>
      <c r="H107" s="15">
        <v>45292</v>
      </c>
      <c r="I107">
        <v>0</v>
      </c>
      <c r="J107">
        <v>2200</v>
      </c>
    </row>
    <row r="108" spans="1:10" x14ac:dyDescent="0.3">
      <c r="A108" s="15">
        <v>45292</v>
      </c>
      <c r="B108" t="s">
        <v>200</v>
      </c>
      <c r="C108" t="s">
        <v>91</v>
      </c>
      <c r="D108" t="s">
        <v>86</v>
      </c>
      <c r="E108" t="s">
        <v>92</v>
      </c>
      <c r="F108">
        <v>10100</v>
      </c>
      <c r="G108" t="s">
        <v>84</v>
      </c>
      <c r="H108" s="15">
        <v>45292</v>
      </c>
      <c r="I108">
        <v>0</v>
      </c>
      <c r="J108">
        <v>10100</v>
      </c>
    </row>
    <row r="109" spans="1:10" x14ac:dyDescent="0.3">
      <c r="A109" s="15">
        <v>45292</v>
      </c>
      <c r="B109" t="s">
        <v>201</v>
      </c>
      <c r="C109" t="s">
        <v>81</v>
      </c>
      <c r="D109" t="s">
        <v>86</v>
      </c>
      <c r="E109" t="s">
        <v>83</v>
      </c>
      <c r="F109">
        <v>1800</v>
      </c>
      <c r="G109" t="s">
        <v>84</v>
      </c>
      <c r="H109" s="15">
        <v>45292</v>
      </c>
      <c r="I109">
        <v>0</v>
      </c>
      <c r="J109">
        <v>1800</v>
      </c>
    </row>
    <row r="110" spans="1:10" x14ac:dyDescent="0.3">
      <c r="A110" s="15">
        <v>45292</v>
      </c>
      <c r="B110" t="s">
        <v>202</v>
      </c>
      <c r="C110" t="s">
        <v>91</v>
      </c>
      <c r="D110" t="s">
        <v>82</v>
      </c>
      <c r="E110" t="s">
        <v>92</v>
      </c>
      <c r="F110">
        <v>11000</v>
      </c>
      <c r="G110" t="s">
        <v>84</v>
      </c>
      <c r="H110" s="15">
        <v>45292</v>
      </c>
      <c r="I110">
        <v>0</v>
      </c>
      <c r="J110">
        <v>11000</v>
      </c>
    </row>
    <row r="111" spans="1:10" x14ac:dyDescent="0.3">
      <c r="A111" s="15">
        <v>45292</v>
      </c>
      <c r="B111" t="s">
        <v>203</v>
      </c>
      <c r="C111" t="s">
        <v>110</v>
      </c>
      <c r="D111" t="s">
        <v>86</v>
      </c>
      <c r="E111" t="s">
        <v>92</v>
      </c>
      <c r="F111">
        <v>32000</v>
      </c>
      <c r="G111" t="s">
        <v>84</v>
      </c>
      <c r="H111" s="15">
        <v>45292</v>
      </c>
      <c r="I111">
        <v>0</v>
      </c>
      <c r="J111">
        <v>32000</v>
      </c>
    </row>
    <row r="112" spans="1:10" x14ac:dyDescent="0.3">
      <c r="A112" s="15">
        <v>45292</v>
      </c>
      <c r="B112" t="s">
        <v>204</v>
      </c>
      <c r="C112" t="s">
        <v>81</v>
      </c>
      <c r="D112" t="s">
        <v>82</v>
      </c>
      <c r="E112" t="s">
        <v>87</v>
      </c>
      <c r="F112">
        <v>2200</v>
      </c>
      <c r="G112" t="s">
        <v>84</v>
      </c>
      <c r="H112" s="15">
        <v>45292</v>
      </c>
      <c r="I112">
        <v>0</v>
      </c>
      <c r="J112">
        <v>2200</v>
      </c>
    </row>
    <row r="113" spans="1:10" x14ac:dyDescent="0.3">
      <c r="A113" s="15">
        <v>45292</v>
      </c>
      <c r="B113" t="s">
        <v>205</v>
      </c>
      <c r="C113" t="s">
        <v>91</v>
      </c>
      <c r="D113" t="s">
        <v>86</v>
      </c>
      <c r="E113" t="s">
        <v>103</v>
      </c>
      <c r="F113">
        <v>10600</v>
      </c>
      <c r="G113" t="s">
        <v>84</v>
      </c>
      <c r="H113" s="15">
        <v>45292</v>
      </c>
      <c r="I113">
        <v>0</v>
      </c>
      <c r="J113">
        <v>10600</v>
      </c>
    </row>
    <row r="114" spans="1:10" x14ac:dyDescent="0.3">
      <c r="A114" s="15">
        <v>45292</v>
      </c>
      <c r="B114" t="s">
        <v>206</v>
      </c>
      <c r="C114" t="s">
        <v>81</v>
      </c>
      <c r="D114" t="s">
        <v>86</v>
      </c>
      <c r="E114" t="s">
        <v>89</v>
      </c>
      <c r="F114">
        <v>3000</v>
      </c>
      <c r="G114" t="s">
        <v>84</v>
      </c>
      <c r="H114" s="15">
        <v>45292</v>
      </c>
      <c r="I114">
        <v>0</v>
      </c>
      <c r="J114">
        <v>3000</v>
      </c>
    </row>
    <row r="115" spans="1:10" x14ac:dyDescent="0.3">
      <c r="A115" s="15">
        <v>45292</v>
      </c>
      <c r="B115" t="s">
        <v>207</v>
      </c>
      <c r="C115" t="s">
        <v>81</v>
      </c>
      <c r="D115" t="s">
        <v>82</v>
      </c>
      <c r="E115" t="s">
        <v>89</v>
      </c>
      <c r="F115">
        <v>3700</v>
      </c>
      <c r="G115" t="s">
        <v>84</v>
      </c>
      <c r="H115" s="15">
        <v>45292</v>
      </c>
      <c r="I115">
        <v>0</v>
      </c>
      <c r="J115">
        <v>3700</v>
      </c>
    </row>
    <row r="116" spans="1:10" x14ac:dyDescent="0.3">
      <c r="A116" s="15">
        <v>45292</v>
      </c>
      <c r="B116" t="s">
        <v>208</v>
      </c>
      <c r="C116" t="s">
        <v>91</v>
      </c>
      <c r="D116" t="s">
        <v>99</v>
      </c>
      <c r="E116" t="s">
        <v>89</v>
      </c>
      <c r="F116">
        <v>7300</v>
      </c>
      <c r="G116" t="s">
        <v>84</v>
      </c>
      <c r="H116" s="15">
        <v>45292</v>
      </c>
      <c r="I116">
        <v>0</v>
      </c>
      <c r="J116">
        <v>7300</v>
      </c>
    </row>
    <row r="117" spans="1:10" x14ac:dyDescent="0.3">
      <c r="A117" s="15">
        <v>45292</v>
      </c>
      <c r="B117" t="s">
        <v>209</v>
      </c>
      <c r="C117" t="s">
        <v>81</v>
      </c>
      <c r="D117" t="s">
        <v>86</v>
      </c>
      <c r="E117" t="s">
        <v>83</v>
      </c>
      <c r="F117">
        <v>2700</v>
      </c>
      <c r="G117" t="s">
        <v>84</v>
      </c>
      <c r="H117" s="15">
        <v>45292</v>
      </c>
      <c r="I117">
        <v>0</v>
      </c>
      <c r="J117">
        <v>2700</v>
      </c>
    </row>
    <row r="118" spans="1:10" x14ac:dyDescent="0.3">
      <c r="A118" s="15">
        <v>45292</v>
      </c>
      <c r="B118" t="s">
        <v>210</v>
      </c>
      <c r="C118" t="s">
        <v>125</v>
      </c>
      <c r="D118" t="s">
        <v>96</v>
      </c>
      <c r="E118" t="s">
        <v>89</v>
      </c>
      <c r="F118">
        <v>90300</v>
      </c>
      <c r="G118" t="s">
        <v>84</v>
      </c>
      <c r="H118" s="15">
        <v>45292</v>
      </c>
      <c r="I118">
        <v>0</v>
      </c>
      <c r="J118">
        <v>90300</v>
      </c>
    </row>
    <row r="119" spans="1:10" x14ac:dyDescent="0.3">
      <c r="A119" s="15">
        <v>45292</v>
      </c>
      <c r="B119" t="s">
        <v>211</v>
      </c>
      <c r="C119" t="s">
        <v>110</v>
      </c>
      <c r="D119" t="s">
        <v>82</v>
      </c>
      <c r="E119" t="s">
        <v>92</v>
      </c>
      <c r="F119">
        <v>28900</v>
      </c>
      <c r="G119" t="s">
        <v>84</v>
      </c>
      <c r="H119" s="15">
        <v>45292</v>
      </c>
      <c r="I119">
        <v>0</v>
      </c>
      <c r="J119">
        <v>28900</v>
      </c>
    </row>
    <row r="120" spans="1:10" x14ac:dyDescent="0.3">
      <c r="A120" s="15">
        <v>45292</v>
      </c>
      <c r="B120" t="s">
        <v>212</v>
      </c>
      <c r="C120" t="s">
        <v>81</v>
      </c>
      <c r="D120" t="s">
        <v>96</v>
      </c>
      <c r="E120" t="s">
        <v>101</v>
      </c>
      <c r="F120">
        <v>2700</v>
      </c>
      <c r="G120" t="s">
        <v>84</v>
      </c>
      <c r="H120" s="15">
        <v>45292</v>
      </c>
      <c r="I120">
        <v>0</v>
      </c>
      <c r="J120">
        <v>2700</v>
      </c>
    </row>
    <row r="121" spans="1:10" x14ac:dyDescent="0.3">
      <c r="A121" s="15">
        <v>45292</v>
      </c>
      <c r="B121" t="s">
        <v>213</v>
      </c>
      <c r="C121" t="s">
        <v>81</v>
      </c>
      <c r="D121" t="s">
        <v>82</v>
      </c>
      <c r="E121" t="s">
        <v>97</v>
      </c>
      <c r="F121">
        <v>3300</v>
      </c>
      <c r="G121" t="s">
        <v>84</v>
      </c>
      <c r="H121" s="15">
        <v>45292</v>
      </c>
      <c r="I121">
        <v>0</v>
      </c>
      <c r="J121">
        <v>3300</v>
      </c>
    </row>
    <row r="122" spans="1:10" x14ac:dyDescent="0.3">
      <c r="A122" s="15">
        <v>45292</v>
      </c>
      <c r="B122" t="s">
        <v>214</v>
      </c>
      <c r="C122" t="s">
        <v>91</v>
      </c>
      <c r="D122" t="s">
        <v>82</v>
      </c>
      <c r="E122" t="s">
        <v>89</v>
      </c>
      <c r="F122">
        <v>8700</v>
      </c>
      <c r="G122" t="s">
        <v>84</v>
      </c>
      <c r="H122" s="15">
        <v>45292</v>
      </c>
      <c r="I122">
        <v>0</v>
      </c>
      <c r="J122">
        <v>8700</v>
      </c>
    </row>
    <row r="123" spans="1:10" x14ac:dyDescent="0.3">
      <c r="A123" s="15">
        <v>45292</v>
      </c>
      <c r="B123" t="s">
        <v>215</v>
      </c>
      <c r="C123" t="s">
        <v>110</v>
      </c>
      <c r="D123" t="s">
        <v>99</v>
      </c>
      <c r="E123" t="s">
        <v>89</v>
      </c>
      <c r="F123">
        <v>39900</v>
      </c>
      <c r="G123" t="s">
        <v>84</v>
      </c>
      <c r="H123" s="15">
        <v>45292</v>
      </c>
      <c r="I123">
        <v>0</v>
      </c>
      <c r="J123">
        <v>39900</v>
      </c>
    </row>
    <row r="124" spans="1:10" x14ac:dyDescent="0.3">
      <c r="A124" s="15">
        <v>45292</v>
      </c>
      <c r="B124" t="s">
        <v>216</v>
      </c>
      <c r="C124" t="s">
        <v>81</v>
      </c>
      <c r="D124" t="s">
        <v>82</v>
      </c>
      <c r="E124" t="s">
        <v>97</v>
      </c>
      <c r="F124">
        <v>3100</v>
      </c>
      <c r="G124" t="s">
        <v>84</v>
      </c>
      <c r="H124" s="15">
        <v>45292</v>
      </c>
      <c r="I124">
        <v>0</v>
      </c>
      <c r="J124">
        <v>3100</v>
      </c>
    </row>
    <row r="125" spans="1:10" x14ac:dyDescent="0.3">
      <c r="A125" s="15">
        <v>45292</v>
      </c>
      <c r="B125" t="s">
        <v>217</v>
      </c>
      <c r="C125" t="s">
        <v>91</v>
      </c>
      <c r="D125" t="s">
        <v>82</v>
      </c>
      <c r="E125" t="s">
        <v>97</v>
      </c>
      <c r="F125">
        <v>8400</v>
      </c>
      <c r="G125" t="s">
        <v>84</v>
      </c>
      <c r="H125" s="15">
        <v>45292</v>
      </c>
      <c r="I125">
        <v>0</v>
      </c>
      <c r="J125">
        <v>8400</v>
      </c>
    </row>
    <row r="126" spans="1:10" x14ac:dyDescent="0.3">
      <c r="A126" s="15">
        <v>45292</v>
      </c>
      <c r="B126" t="s">
        <v>218</v>
      </c>
      <c r="C126" t="s">
        <v>110</v>
      </c>
      <c r="D126" t="s">
        <v>99</v>
      </c>
      <c r="E126" t="s">
        <v>92</v>
      </c>
      <c r="F126">
        <v>29900</v>
      </c>
      <c r="G126" t="s">
        <v>84</v>
      </c>
      <c r="H126" s="15">
        <v>45292</v>
      </c>
      <c r="I126">
        <v>0</v>
      </c>
      <c r="J126">
        <v>29900</v>
      </c>
    </row>
    <row r="127" spans="1:10" x14ac:dyDescent="0.3">
      <c r="A127" s="15">
        <v>45292</v>
      </c>
      <c r="B127" t="s">
        <v>219</v>
      </c>
      <c r="C127" t="s">
        <v>81</v>
      </c>
      <c r="D127" t="s">
        <v>99</v>
      </c>
      <c r="E127" t="s">
        <v>89</v>
      </c>
      <c r="F127">
        <v>2500</v>
      </c>
      <c r="G127" t="s">
        <v>84</v>
      </c>
      <c r="H127" s="15">
        <v>45292</v>
      </c>
      <c r="I127">
        <v>0</v>
      </c>
      <c r="J127">
        <v>2500</v>
      </c>
    </row>
    <row r="128" spans="1:10" x14ac:dyDescent="0.3">
      <c r="A128" s="15">
        <v>45292</v>
      </c>
      <c r="B128" t="s">
        <v>220</v>
      </c>
      <c r="C128" t="s">
        <v>110</v>
      </c>
      <c r="D128" t="s">
        <v>82</v>
      </c>
      <c r="E128" t="s">
        <v>89</v>
      </c>
      <c r="F128">
        <v>30800</v>
      </c>
      <c r="G128" t="s">
        <v>84</v>
      </c>
      <c r="H128" s="15">
        <v>45292</v>
      </c>
      <c r="I128">
        <v>0</v>
      </c>
      <c r="J128">
        <v>30800</v>
      </c>
    </row>
    <row r="129" spans="1:10" x14ac:dyDescent="0.3">
      <c r="A129" s="15">
        <v>45292</v>
      </c>
      <c r="B129" t="s">
        <v>221</v>
      </c>
      <c r="C129" t="s">
        <v>91</v>
      </c>
      <c r="D129" t="s">
        <v>96</v>
      </c>
      <c r="E129" t="s">
        <v>83</v>
      </c>
      <c r="F129">
        <v>8200</v>
      </c>
      <c r="G129" t="s">
        <v>84</v>
      </c>
      <c r="H129" s="15">
        <v>45292</v>
      </c>
      <c r="I129">
        <v>0</v>
      </c>
      <c r="J129">
        <v>8200</v>
      </c>
    </row>
    <row r="130" spans="1:10" x14ac:dyDescent="0.3">
      <c r="A130" s="15">
        <v>45292</v>
      </c>
      <c r="B130" t="s">
        <v>222</v>
      </c>
      <c r="C130" t="s">
        <v>110</v>
      </c>
      <c r="D130" t="s">
        <v>96</v>
      </c>
      <c r="E130" t="s">
        <v>97</v>
      </c>
      <c r="F130">
        <v>26100</v>
      </c>
      <c r="G130" t="s">
        <v>84</v>
      </c>
      <c r="H130" s="15">
        <v>45292</v>
      </c>
      <c r="I130">
        <v>0</v>
      </c>
      <c r="J130">
        <v>26100</v>
      </c>
    </row>
    <row r="131" spans="1:10" x14ac:dyDescent="0.3">
      <c r="A131" s="15">
        <v>45292</v>
      </c>
      <c r="B131" t="s">
        <v>223</v>
      </c>
      <c r="C131" t="s">
        <v>81</v>
      </c>
      <c r="D131" t="s">
        <v>99</v>
      </c>
      <c r="E131" t="s">
        <v>87</v>
      </c>
      <c r="F131">
        <v>2100</v>
      </c>
      <c r="G131" t="s">
        <v>84</v>
      </c>
      <c r="H131" s="15">
        <v>45292</v>
      </c>
      <c r="I131">
        <v>0</v>
      </c>
      <c r="J131">
        <v>2100</v>
      </c>
    </row>
    <row r="132" spans="1:10" x14ac:dyDescent="0.3">
      <c r="A132" s="15">
        <v>45292</v>
      </c>
      <c r="B132" t="s">
        <v>224</v>
      </c>
      <c r="C132" t="s">
        <v>91</v>
      </c>
      <c r="D132" t="s">
        <v>82</v>
      </c>
      <c r="E132" t="s">
        <v>101</v>
      </c>
      <c r="F132">
        <v>10300</v>
      </c>
      <c r="G132" t="s">
        <v>84</v>
      </c>
      <c r="H132" s="15">
        <v>45292</v>
      </c>
      <c r="I132">
        <v>0</v>
      </c>
      <c r="J132">
        <v>10300</v>
      </c>
    </row>
    <row r="133" spans="1:10" x14ac:dyDescent="0.3">
      <c r="A133" s="15">
        <v>45292</v>
      </c>
      <c r="B133" t="s">
        <v>225</v>
      </c>
      <c r="C133" t="s">
        <v>110</v>
      </c>
      <c r="D133" t="s">
        <v>99</v>
      </c>
      <c r="E133" t="s">
        <v>103</v>
      </c>
      <c r="F133">
        <v>42200</v>
      </c>
      <c r="G133" t="s">
        <v>84</v>
      </c>
      <c r="H133" s="15">
        <v>45292</v>
      </c>
      <c r="I133">
        <v>0</v>
      </c>
      <c r="J133">
        <v>42200</v>
      </c>
    </row>
    <row r="134" spans="1:10" x14ac:dyDescent="0.3">
      <c r="A134" s="15">
        <v>45292</v>
      </c>
      <c r="B134" t="s">
        <v>226</v>
      </c>
      <c r="C134" t="s">
        <v>91</v>
      </c>
      <c r="D134" t="s">
        <v>82</v>
      </c>
      <c r="E134" t="s">
        <v>103</v>
      </c>
      <c r="F134">
        <v>7100</v>
      </c>
      <c r="G134" t="s">
        <v>84</v>
      </c>
      <c r="H134" s="15">
        <v>45292</v>
      </c>
      <c r="I134">
        <v>0</v>
      </c>
      <c r="J134">
        <v>7100</v>
      </c>
    </row>
    <row r="135" spans="1:10" x14ac:dyDescent="0.3">
      <c r="A135" s="15">
        <v>45292</v>
      </c>
      <c r="B135" t="s">
        <v>227</v>
      </c>
      <c r="C135" t="s">
        <v>110</v>
      </c>
      <c r="D135" t="s">
        <v>86</v>
      </c>
      <c r="E135" t="s">
        <v>87</v>
      </c>
      <c r="F135">
        <v>25900</v>
      </c>
      <c r="G135" t="s">
        <v>84</v>
      </c>
      <c r="H135" s="15">
        <v>45292</v>
      </c>
      <c r="I135">
        <v>0</v>
      </c>
      <c r="J135">
        <v>25900</v>
      </c>
    </row>
    <row r="136" spans="1:10" x14ac:dyDescent="0.3">
      <c r="A136" s="15">
        <v>45292</v>
      </c>
      <c r="B136" t="s">
        <v>228</v>
      </c>
      <c r="C136" t="s">
        <v>91</v>
      </c>
      <c r="D136" t="s">
        <v>96</v>
      </c>
      <c r="E136" t="s">
        <v>89</v>
      </c>
      <c r="F136">
        <v>11400</v>
      </c>
      <c r="G136" t="s">
        <v>84</v>
      </c>
      <c r="H136" s="15">
        <v>45292</v>
      </c>
      <c r="I136">
        <v>0</v>
      </c>
      <c r="J136">
        <v>11400</v>
      </c>
    </row>
    <row r="137" spans="1:10" x14ac:dyDescent="0.3">
      <c r="A137" s="15">
        <v>45292</v>
      </c>
      <c r="B137" t="s">
        <v>229</v>
      </c>
      <c r="C137" t="s">
        <v>81</v>
      </c>
      <c r="D137" t="s">
        <v>82</v>
      </c>
      <c r="E137" t="s">
        <v>83</v>
      </c>
      <c r="F137">
        <v>3000</v>
      </c>
      <c r="G137" t="s">
        <v>84</v>
      </c>
      <c r="H137" s="15">
        <v>45292</v>
      </c>
      <c r="I137">
        <v>0</v>
      </c>
      <c r="J137">
        <v>3000</v>
      </c>
    </row>
    <row r="138" spans="1:10" x14ac:dyDescent="0.3">
      <c r="A138" s="15">
        <v>45292</v>
      </c>
      <c r="B138" t="s">
        <v>230</v>
      </c>
      <c r="C138" t="s">
        <v>81</v>
      </c>
      <c r="D138" t="s">
        <v>86</v>
      </c>
      <c r="E138" t="s">
        <v>101</v>
      </c>
      <c r="F138">
        <v>3400</v>
      </c>
      <c r="G138" t="s">
        <v>84</v>
      </c>
      <c r="H138" s="15">
        <v>45292</v>
      </c>
      <c r="I138">
        <v>0</v>
      </c>
      <c r="J138">
        <v>3400</v>
      </c>
    </row>
    <row r="139" spans="1:10" x14ac:dyDescent="0.3">
      <c r="A139" s="15">
        <v>45292</v>
      </c>
      <c r="B139" t="s">
        <v>231</v>
      </c>
      <c r="C139" t="s">
        <v>91</v>
      </c>
      <c r="D139" t="s">
        <v>82</v>
      </c>
      <c r="E139" t="s">
        <v>92</v>
      </c>
      <c r="F139">
        <v>6200</v>
      </c>
      <c r="G139" t="s">
        <v>84</v>
      </c>
      <c r="H139" s="15">
        <v>45292</v>
      </c>
      <c r="I139">
        <v>0</v>
      </c>
      <c r="J139">
        <v>6200</v>
      </c>
    </row>
    <row r="140" spans="1:10" x14ac:dyDescent="0.3">
      <c r="A140" s="15">
        <v>45292</v>
      </c>
      <c r="B140" t="s">
        <v>232</v>
      </c>
      <c r="C140" t="s">
        <v>125</v>
      </c>
      <c r="D140" t="s">
        <v>86</v>
      </c>
      <c r="E140" t="s">
        <v>83</v>
      </c>
      <c r="F140">
        <v>104900</v>
      </c>
      <c r="G140" t="s">
        <v>84</v>
      </c>
      <c r="H140" s="15">
        <v>45292</v>
      </c>
      <c r="I140">
        <v>0</v>
      </c>
      <c r="J140">
        <v>104900</v>
      </c>
    </row>
    <row r="141" spans="1:10" x14ac:dyDescent="0.3">
      <c r="A141" s="15">
        <v>45292</v>
      </c>
      <c r="B141" t="s">
        <v>233</v>
      </c>
      <c r="C141" t="s">
        <v>81</v>
      </c>
      <c r="D141" t="s">
        <v>82</v>
      </c>
      <c r="E141" t="s">
        <v>87</v>
      </c>
      <c r="F141">
        <v>3300</v>
      </c>
      <c r="G141" t="s">
        <v>84</v>
      </c>
      <c r="H141" s="15">
        <v>45292</v>
      </c>
      <c r="I141">
        <v>0</v>
      </c>
      <c r="J141">
        <v>3300</v>
      </c>
    </row>
    <row r="142" spans="1:10" x14ac:dyDescent="0.3">
      <c r="A142" s="15">
        <v>45292</v>
      </c>
      <c r="B142" t="s">
        <v>234</v>
      </c>
      <c r="C142" t="s">
        <v>110</v>
      </c>
      <c r="D142" t="s">
        <v>82</v>
      </c>
      <c r="E142" t="s">
        <v>103</v>
      </c>
      <c r="F142">
        <v>41200</v>
      </c>
      <c r="G142" t="s">
        <v>84</v>
      </c>
      <c r="H142" s="15">
        <v>45292</v>
      </c>
      <c r="I142">
        <v>0</v>
      </c>
      <c r="J142">
        <v>41200</v>
      </c>
    </row>
    <row r="143" spans="1:10" x14ac:dyDescent="0.3">
      <c r="A143" s="15">
        <v>45292</v>
      </c>
      <c r="B143" t="s">
        <v>235</v>
      </c>
      <c r="C143" t="s">
        <v>91</v>
      </c>
      <c r="D143" t="s">
        <v>96</v>
      </c>
      <c r="E143" t="s">
        <v>103</v>
      </c>
      <c r="F143">
        <v>10500</v>
      </c>
      <c r="G143" t="s">
        <v>84</v>
      </c>
      <c r="H143" s="15">
        <v>45292</v>
      </c>
      <c r="I143">
        <v>0</v>
      </c>
      <c r="J143">
        <v>10500</v>
      </c>
    </row>
    <row r="144" spans="1:10" x14ac:dyDescent="0.3">
      <c r="A144" s="15">
        <v>45292</v>
      </c>
      <c r="B144" t="s">
        <v>236</v>
      </c>
      <c r="C144" t="s">
        <v>110</v>
      </c>
      <c r="D144" t="s">
        <v>82</v>
      </c>
      <c r="E144" t="s">
        <v>97</v>
      </c>
      <c r="F144">
        <v>27200</v>
      </c>
      <c r="G144" t="s">
        <v>84</v>
      </c>
      <c r="H144" s="15">
        <v>45292</v>
      </c>
      <c r="I144">
        <v>0</v>
      </c>
      <c r="J144">
        <v>27200</v>
      </c>
    </row>
    <row r="145" spans="1:10" x14ac:dyDescent="0.3">
      <c r="A145" s="15">
        <v>45292</v>
      </c>
      <c r="B145" t="s">
        <v>237</v>
      </c>
      <c r="C145" t="s">
        <v>91</v>
      </c>
      <c r="D145" t="s">
        <v>82</v>
      </c>
      <c r="E145" t="s">
        <v>83</v>
      </c>
      <c r="F145">
        <v>8100</v>
      </c>
      <c r="G145" t="s">
        <v>84</v>
      </c>
      <c r="H145" s="15">
        <v>45292</v>
      </c>
      <c r="I145">
        <v>0</v>
      </c>
      <c r="J145">
        <v>8100</v>
      </c>
    </row>
    <row r="146" spans="1:10" x14ac:dyDescent="0.3">
      <c r="A146" s="15">
        <v>45292</v>
      </c>
      <c r="B146" t="s">
        <v>238</v>
      </c>
      <c r="C146" t="s">
        <v>81</v>
      </c>
      <c r="D146" t="s">
        <v>99</v>
      </c>
      <c r="E146" t="s">
        <v>97</v>
      </c>
      <c r="F146">
        <v>2600</v>
      </c>
      <c r="G146" t="s">
        <v>84</v>
      </c>
      <c r="H146" s="15">
        <v>45292</v>
      </c>
      <c r="I146">
        <v>0</v>
      </c>
      <c r="J146">
        <v>2600</v>
      </c>
    </row>
    <row r="147" spans="1:10" x14ac:dyDescent="0.3">
      <c r="A147" s="15">
        <v>45292</v>
      </c>
      <c r="B147" t="s">
        <v>239</v>
      </c>
      <c r="C147" t="s">
        <v>81</v>
      </c>
      <c r="D147" t="s">
        <v>82</v>
      </c>
      <c r="E147" t="s">
        <v>103</v>
      </c>
      <c r="F147">
        <v>2300</v>
      </c>
      <c r="G147" t="s">
        <v>84</v>
      </c>
      <c r="H147" s="15">
        <v>45292</v>
      </c>
      <c r="I147">
        <v>0</v>
      </c>
      <c r="J147">
        <v>2300</v>
      </c>
    </row>
    <row r="148" spans="1:10" x14ac:dyDescent="0.3">
      <c r="A148" s="15">
        <v>45292</v>
      </c>
      <c r="B148" t="s">
        <v>240</v>
      </c>
      <c r="C148" t="s">
        <v>81</v>
      </c>
      <c r="D148" t="s">
        <v>99</v>
      </c>
      <c r="E148" t="s">
        <v>103</v>
      </c>
      <c r="F148">
        <v>3000</v>
      </c>
      <c r="G148" t="s">
        <v>84</v>
      </c>
      <c r="H148" s="15">
        <v>45292</v>
      </c>
      <c r="I148">
        <v>0</v>
      </c>
      <c r="J148">
        <v>3000</v>
      </c>
    </row>
    <row r="149" spans="1:10" x14ac:dyDescent="0.3">
      <c r="A149" s="15">
        <v>45292</v>
      </c>
      <c r="B149" t="s">
        <v>241</v>
      </c>
      <c r="C149" t="s">
        <v>91</v>
      </c>
      <c r="D149" t="s">
        <v>96</v>
      </c>
      <c r="E149" t="s">
        <v>87</v>
      </c>
      <c r="F149">
        <v>11400</v>
      </c>
      <c r="G149" t="s">
        <v>84</v>
      </c>
      <c r="H149" s="15">
        <v>45292</v>
      </c>
      <c r="I149">
        <v>0</v>
      </c>
      <c r="J149">
        <v>11400</v>
      </c>
    </row>
    <row r="150" spans="1:10" x14ac:dyDescent="0.3">
      <c r="A150" s="15">
        <v>45292</v>
      </c>
      <c r="B150" t="s">
        <v>242</v>
      </c>
      <c r="C150" t="s">
        <v>110</v>
      </c>
      <c r="D150" t="s">
        <v>99</v>
      </c>
      <c r="E150" t="s">
        <v>101</v>
      </c>
      <c r="F150">
        <v>30900</v>
      </c>
      <c r="G150" t="s">
        <v>84</v>
      </c>
      <c r="H150" s="15">
        <v>45292</v>
      </c>
      <c r="I150">
        <v>0</v>
      </c>
      <c r="J150">
        <v>30900</v>
      </c>
    </row>
    <row r="151" spans="1:10" x14ac:dyDescent="0.3">
      <c r="A151" s="15">
        <v>45292</v>
      </c>
      <c r="B151" t="s">
        <v>243</v>
      </c>
      <c r="C151" t="s">
        <v>81</v>
      </c>
      <c r="D151" t="s">
        <v>86</v>
      </c>
      <c r="E151" t="s">
        <v>103</v>
      </c>
      <c r="F151">
        <v>2000</v>
      </c>
      <c r="G151" t="s">
        <v>84</v>
      </c>
      <c r="H151" s="15">
        <v>45292</v>
      </c>
      <c r="I151">
        <v>0</v>
      </c>
      <c r="J151">
        <v>2000</v>
      </c>
    </row>
    <row r="152" spans="1:10" x14ac:dyDescent="0.3">
      <c r="A152" s="15">
        <v>45292</v>
      </c>
      <c r="B152" t="s">
        <v>244</v>
      </c>
      <c r="C152" t="s">
        <v>91</v>
      </c>
      <c r="D152" t="s">
        <v>82</v>
      </c>
      <c r="E152" t="s">
        <v>92</v>
      </c>
      <c r="F152">
        <v>7800</v>
      </c>
      <c r="G152" t="s">
        <v>84</v>
      </c>
      <c r="H152" s="15">
        <v>45292</v>
      </c>
      <c r="I152">
        <v>0</v>
      </c>
      <c r="J152">
        <v>7800</v>
      </c>
    </row>
    <row r="153" spans="1:10" x14ac:dyDescent="0.3">
      <c r="A153" s="15">
        <v>45292</v>
      </c>
      <c r="B153" t="s">
        <v>245</v>
      </c>
      <c r="C153" t="s">
        <v>81</v>
      </c>
      <c r="D153" t="s">
        <v>99</v>
      </c>
      <c r="E153" t="s">
        <v>97</v>
      </c>
      <c r="F153">
        <v>2600</v>
      </c>
      <c r="G153" t="s">
        <v>84</v>
      </c>
      <c r="H153" s="15">
        <v>45292</v>
      </c>
      <c r="I153">
        <v>0</v>
      </c>
      <c r="J153">
        <v>2600</v>
      </c>
    </row>
    <row r="154" spans="1:10" x14ac:dyDescent="0.3">
      <c r="A154" s="15">
        <v>45292</v>
      </c>
      <c r="B154" t="s">
        <v>246</v>
      </c>
      <c r="C154" t="s">
        <v>91</v>
      </c>
      <c r="D154" t="s">
        <v>86</v>
      </c>
      <c r="E154" t="s">
        <v>103</v>
      </c>
      <c r="F154">
        <v>10100</v>
      </c>
      <c r="G154" t="s">
        <v>84</v>
      </c>
      <c r="H154" s="15">
        <v>45292</v>
      </c>
      <c r="I154">
        <v>0</v>
      </c>
      <c r="J154">
        <v>10100</v>
      </c>
    </row>
    <row r="155" spans="1:10" x14ac:dyDescent="0.3">
      <c r="A155" s="15">
        <v>45292</v>
      </c>
      <c r="B155" t="s">
        <v>247</v>
      </c>
      <c r="C155" t="s">
        <v>91</v>
      </c>
      <c r="D155" t="s">
        <v>86</v>
      </c>
      <c r="E155" t="s">
        <v>89</v>
      </c>
      <c r="F155">
        <v>9100</v>
      </c>
      <c r="G155" t="s">
        <v>84</v>
      </c>
      <c r="H155" s="15">
        <v>45292</v>
      </c>
      <c r="I155">
        <v>0</v>
      </c>
      <c r="J155">
        <v>9100</v>
      </c>
    </row>
    <row r="156" spans="1:10" x14ac:dyDescent="0.3">
      <c r="A156" s="15">
        <v>45292</v>
      </c>
      <c r="B156" t="s">
        <v>248</v>
      </c>
      <c r="C156" t="s">
        <v>81</v>
      </c>
      <c r="D156" t="s">
        <v>82</v>
      </c>
      <c r="E156" t="s">
        <v>103</v>
      </c>
      <c r="F156">
        <v>2100</v>
      </c>
      <c r="G156" t="s">
        <v>84</v>
      </c>
      <c r="H156" s="15">
        <v>45292</v>
      </c>
      <c r="I156">
        <v>0</v>
      </c>
      <c r="J156">
        <v>2100</v>
      </c>
    </row>
    <row r="157" spans="1:10" x14ac:dyDescent="0.3">
      <c r="A157" s="15">
        <v>45292</v>
      </c>
      <c r="B157" t="s">
        <v>249</v>
      </c>
      <c r="C157" t="s">
        <v>91</v>
      </c>
      <c r="D157" t="s">
        <v>99</v>
      </c>
      <c r="E157" t="s">
        <v>103</v>
      </c>
      <c r="F157">
        <v>8700</v>
      </c>
      <c r="G157" t="s">
        <v>84</v>
      </c>
      <c r="H157" s="15">
        <v>45292</v>
      </c>
      <c r="I157">
        <v>0</v>
      </c>
      <c r="J157">
        <v>8700</v>
      </c>
    </row>
    <row r="158" spans="1:10" x14ac:dyDescent="0.3">
      <c r="A158" s="15">
        <v>45292</v>
      </c>
      <c r="B158" t="s">
        <v>250</v>
      </c>
      <c r="C158" t="s">
        <v>81</v>
      </c>
      <c r="D158" t="s">
        <v>86</v>
      </c>
      <c r="E158" t="s">
        <v>87</v>
      </c>
      <c r="F158">
        <v>3300</v>
      </c>
      <c r="G158" t="s">
        <v>84</v>
      </c>
      <c r="H158" s="15">
        <v>45292</v>
      </c>
      <c r="I158">
        <v>0</v>
      </c>
      <c r="J158">
        <v>3300</v>
      </c>
    </row>
    <row r="159" spans="1:10" x14ac:dyDescent="0.3">
      <c r="A159" s="15">
        <v>45292</v>
      </c>
      <c r="B159" t="s">
        <v>251</v>
      </c>
      <c r="C159" t="s">
        <v>91</v>
      </c>
      <c r="D159" t="s">
        <v>99</v>
      </c>
      <c r="E159" t="s">
        <v>103</v>
      </c>
      <c r="F159">
        <v>7700</v>
      </c>
      <c r="G159" t="s">
        <v>84</v>
      </c>
      <c r="H159" s="15">
        <v>45292</v>
      </c>
      <c r="I159">
        <v>0</v>
      </c>
      <c r="J159">
        <v>7700</v>
      </c>
    </row>
    <row r="160" spans="1:10" x14ac:dyDescent="0.3">
      <c r="A160" s="15">
        <v>45292</v>
      </c>
      <c r="B160" t="s">
        <v>252</v>
      </c>
      <c r="C160" t="s">
        <v>81</v>
      </c>
      <c r="D160" t="s">
        <v>99</v>
      </c>
      <c r="E160" t="s">
        <v>92</v>
      </c>
      <c r="F160">
        <v>3400</v>
      </c>
      <c r="G160" t="s">
        <v>84</v>
      </c>
      <c r="H160" s="15">
        <v>45292</v>
      </c>
      <c r="I160">
        <v>0</v>
      </c>
      <c r="J160">
        <v>3400</v>
      </c>
    </row>
    <row r="161" spans="1:10" x14ac:dyDescent="0.3">
      <c r="A161" s="15">
        <v>45292</v>
      </c>
      <c r="B161" t="s">
        <v>253</v>
      </c>
      <c r="C161" t="s">
        <v>81</v>
      </c>
      <c r="D161" t="s">
        <v>96</v>
      </c>
      <c r="E161" t="s">
        <v>89</v>
      </c>
      <c r="F161">
        <v>2400</v>
      </c>
      <c r="G161" t="s">
        <v>84</v>
      </c>
      <c r="H161" s="15">
        <v>45292</v>
      </c>
      <c r="I161">
        <v>0</v>
      </c>
      <c r="J161">
        <v>2400</v>
      </c>
    </row>
    <row r="162" spans="1:10" x14ac:dyDescent="0.3">
      <c r="A162" s="15">
        <v>45292</v>
      </c>
      <c r="B162" t="s">
        <v>254</v>
      </c>
      <c r="C162" t="s">
        <v>110</v>
      </c>
      <c r="D162" t="s">
        <v>86</v>
      </c>
      <c r="E162" t="s">
        <v>103</v>
      </c>
      <c r="F162">
        <v>56100</v>
      </c>
      <c r="G162" t="s">
        <v>84</v>
      </c>
      <c r="H162" s="15">
        <v>45292</v>
      </c>
      <c r="I162">
        <v>0</v>
      </c>
      <c r="J162">
        <v>56100</v>
      </c>
    </row>
    <row r="163" spans="1:10" x14ac:dyDescent="0.3">
      <c r="A163" s="15">
        <v>45292</v>
      </c>
      <c r="B163" t="s">
        <v>255</v>
      </c>
      <c r="C163" t="s">
        <v>91</v>
      </c>
      <c r="D163" t="s">
        <v>86</v>
      </c>
      <c r="E163" t="s">
        <v>89</v>
      </c>
      <c r="F163">
        <v>8600</v>
      </c>
      <c r="G163" t="s">
        <v>84</v>
      </c>
      <c r="H163" s="15">
        <v>45292</v>
      </c>
      <c r="I163">
        <v>0</v>
      </c>
      <c r="J163">
        <v>8600</v>
      </c>
    </row>
    <row r="164" spans="1:10" x14ac:dyDescent="0.3">
      <c r="A164" s="15">
        <v>45292</v>
      </c>
      <c r="B164" t="s">
        <v>256</v>
      </c>
      <c r="C164" t="s">
        <v>81</v>
      </c>
      <c r="D164" t="s">
        <v>82</v>
      </c>
      <c r="E164" t="s">
        <v>103</v>
      </c>
      <c r="F164">
        <v>2300</v>
      </c>
      <c r="G164" t="s">
        <v>84</v>
      </c>
      <c r="H164" s="15">
        <v>45292</v>
      </c>
      <c r="I164">
        <v>0</v>
      </c>
      <c r="J164">
        <v>2300</v>
      </c>
    </row>
    <row r="165" spans="1:10" x14ac:dyDescent="0.3">
      <c r="A165" s="15">
        <v>45292</v>
      </c>
      <c r="B165" t="s">
        <v>257</v>
      </c>
      <c r="C165" t="s">
        <v>91</v>
      </c>
      <c r="D165" t="s">
        <v>96</v>
      </c>
      <c r="E165" t="s">
        <v>87</v>
      </c>
      <c r="F165">
        <v>9700</v>
      </c>
      <c r="G165" t="s">
        <v>84</v>
      </c>
      <c r="H165" s="15">
        <v>45292</v>
      </c>
      <c r="I165">
        <v>0</v>
      </c>
      <c r="J165">
        <v>9700</v>
      </c>
    </row>
    <row r="166" spans="1:10" x14ac:dyDescent="0.3">
      <c r="A166" s="15">
        <v>45292</v>
      </c>
      <c r="B166" t="s">
        <v>258</v>
      </c>
      <c r="C166" t="s">
        <v>125</v>
      </c>
      <c r="D166" t="s">
        <v>86</v>
      </c>
      <c r="E166" t="s">
        <v>83</v>
      </c>
      <c r="F166">
        <v>96300</v>
      </c>
      <c r="G166" t="s">
        <v>84</v>
      </c>
      <c r="H166" s="15">
        <v>45292</v>
      </c>
      <c r="I166">
        <v>0</v>
      </c>
      <c r="J166">
        <v>96300</v>
      </c>
    </row>
    <row r="167" spans="1:10" x14ac:dyDescent="0.3">
      <c r="A167" s="15">
        <v>45292</v>
      </c>
      <c r="B167" t="s">
        <v>259</v>
      </c>
      <c r="C167" t="s">
        <v>81</v>
      </c>
      <c r="D167" t="s">
        <v>86</v>
      </c>
      <c r="E167" t="s">
        <v>89</v>
      </c>
      <c r="F167">
        <v>1900</v>
      </c>
      <c r="G167" t="s">
        <v>84</v>
      </c>
      <c r="H167" s="15">
        <v>45292</v>
      </c>
      <c r="I167">
        <v>0</v>
      </c>
      <c r="J167">
        <v>1900</v>
      </c>
    </row>
    <row r="168" spans="1:10" x14ac:dyDescent="0.3">
      <c r="A168" s="15">
        <v>45292</v>
      </c>
      <c r="B168" t="s">
        <v>260</v>
      </c>
      <c r="C168" t="s">
        <v>81</v>
      </c>
      <c r="D168" t="s">
        <v>86</v>
      </c>
      <c r="E168" t="s">
        <v>97</v>
      </c>
      <c r="F168">
        <v>2600</v>
      </c>
      <c r="G168" t="s">
        <v>84</v>
      </c>
      <c r="H168" s="15">
        <v>45292</v>
      </c>
      <c r="I168">
        <v>0</v>
      </c>
      <c r="J168">
        <v>2600</v>
      </c>
    </row>
    <row r="169" spans="1:10" x14ac:dyDescent="0.3">
      <c r="A169" s="15">
        <v>45292</v>
      </c>
      <c r="B169" t="s">
        <v>261</v>
      </c>
      <c r="C169" t="s">
        <v>81</v>
      </c>
      <c r="D169" t="s">
        <v>82</v>
      </c>
      <c r="E169" t="s">
        <v>103</v>
      </c>
      <c r="F169">
        <v>2200</v>
      </c>
      <c r="G169" t="s">
        <v>84</v>
      </c>
      <c r="H169" s="15">
        <v>45292</v>
      </c>
      <c r="I169">
        <v>0</v>
      </c>
      <c r="J169">
        <v>2200</v>
      </c>
    </row>
    <row r="170" spans="1:10" x14ac:dyDescent="0.3">
      <c r="A170" s="15">
        <v>45292</v>
      </c>
      <c r="B170" t="s">
        <v>262</v>
      </c>
      <c r="C170" t="s">
        <v>91</v>
      </c>
      <c r="D170" t="s">
        <v>82</v>
      </c>
      <c r="E170" t="s">
        <v>92</v>
      </c>
      <c r="F170">
        <v>8600</v>
      </c>
      <c r="G170" t="s">
        <v>84</v>
      </c>
      <c r="H170" s="15">
        <v>45292</v>
      </c>
      <c r="I170">
        <v>0</v>
      </c>
      <c r="J170">
        <v>8600</v>
      </c>
    </row>
    <row r="171" spans="1:10" x14ac:dyDescent="0.3">
      <c r="A171" s="15">
        <v>45292</v>
      </c>
      <c r="B171" t="s">
        <v>263</v>
      </c>
      <c r="C171" t="s">
        <v>81</v>
      </c>
      <c r="D171" t="s">
        <v>99</v>
      </c>
      <c r="E171" t="s">
        <v>89</v>
      </c>
      <c r="F171">
        <v>3200</v>
      </c>
      <c r="G171" t="s">
        <v>84</v>
      </c>
      <c r="H171" s="15">
        <v>45292</v>
      </c>
      <c r="I171">
        <v>0</v>
      </c>
      <c r="J171">
        <v>3200</v>
      </c>
    </row>
    <row r="172" spans="1:10" x14ac:dyDescent="0.3">
      <c r="A172" s="15">
        <v>45292</v>
      </c>
      <c r="B172" t="s">
        <v>264</v>
      </c>
      <c r="C172" t="s">
        <v>110</v>
      </c>
      <c r="D172" t="s">
        <v>86</v>
      </c>
      <c r="E172" t="s">
        <v>97</v>
      </c>
      <c r="F172">
        <v>31500</v>
      </c>
      <c r="G172" t="s">
        <v>84</v>
      </c>
      <c r="H172" s="15">
        <v>45292</v>
      </c>
      <c r="I172">
        <v>0</v>
      </c>
      <c r="J172">
        <v>31500</v>
      </c>
    </row>
    <row r="173" spans="1:10" x14ac:dyDescent="0.3">
      <c r="A173" s="15">
        <v>45292</v>
      </c>
      <c r="B173" t="s">
        <v>265</v>
      </c>
      <c r="C173" t="s">
        <v>125</v>
      </c>
      <c r="D173" t="s">
        <v>86</v>
      </c>
      <c r="E173" t="s">
        <v>101</v>
      </c>
      <c r="F173">
        <v>92200</v>
      </c>
      <c r="G173" t="s">
        <v>84</v>
      </c>
      <c r="H173" s="15">
        <v>45292</v>
      </c>
      <c r="I173">
        <v>0</v>
      </c>
      <c r="J173">
        <v>92200</v>
      </c>
    </row>
    <row r="174" spans="1:10" x14ac:dyDescent="0.3">
      <c r="A174" s="15">
        <v>45292</v>
      </c>
      <c r="B174" t="s">
        <v>266</v>
      </c>
      <c r="C174" t="s">
        <v>81</v>
      </c>
      <c r="D174" t="s">
        <v>82</v>
      </c>
      <c r="E174" t="s">
        <v>83</v>
      </c>
      <c r="F174">
        <v>2200</v>
      </c>
      <c r="G174" t="s">
        <v>84</v>
      </c>
      <c r="H174" s="15">
        <v>45292</v>
      </c>
      <c r="I174">
        <v>0</v>
      </c>
      <c r="J174">
        <v>2200</v>
      </c>
    </row>
    <row r="175" spans="1:10" x14ac:dyDescent="0.3">
      <c r="A175" s="15">
        <v>45292</v>
      </c>
      <c r="B175" t="s">
        <v>267</v>
      </c>
      <c r="C175" t="s">
        <v>91</v>
      </c>
      <c r="D175" t="s">
        <v>82</v>
      </c>
      <c r="E175" t="s">
        <v>97</v>
      </c>
      <c r="F175">
        <v>6900</v>
      </c>
      <c r="G175" t="s">
        <v>84</v>
      </c>
      <c r="H175" s="15">
        <v>45292</v>
      </c>
      <c r="I175">
        <v>0</v>
      </c>
      <c r="J175">
        <v>6900</v>
      </c>
    </row>
    <row r="176" spans="1:10" x14ac:dyDescent="0.3">
      <c r="A176" s="15">
        <v>45292</v>
      </c>
      <c r="B176" t="s">
        <v>268</v>
      </c>
      <c r="C176" t="s">
        <v>91</v>
      </c>
      <c r="D176" t="s">
        <v>86</v>
      </c>
      <c r="E176" t="s">
        <v>89</v>
      </c>
      <c r="F176">
        <v>9200</v>
      </c>
      <c r="G176" t="s">
        <v>84</v>
      </c>
      <c r="H176" s="15">
        <v>45292</v>
      </c>
      <c r="I176">
        <v>0</v>
      </c>
      <c r="J176">
        <v>9200</v>
      </c>
    </row>
    <row r="177" spans="1:10" x14ac:dyDescent="0.3">
      <c r="A177" s="15">
        <v>45292</v>
      </c>
      <c r="B177" t="s">
        <v>269</v>
      </c>
      <c r="C177" t="s">
        <v>91</v>
      </c>
      <c r="D177" t="s">
        <v>82</v>
      </c>
      <c r="E177" t="s">
        <v>103</v>
      </c>
      <c r="F177">
        <v>9100</v>
      </c>
      <c r="G177" t="s">
        <v>84</v>
      </c>
      <c r="H177" s="15">
        <v>45292</v>
      </c>
      <c r="I177">
        <v>0</v>
      </c>
      <c r="J177">
        <v>9100</v>
      </c>
    </row>
    <row r="178" spans="1:10" x14ac:dyDescent="0.3">
      <c r="A178" s="15">
        <v>45292</v>
      </c>
      <c r="B178" t="s">
        <v>270</v>
      </c>
      <c r="C178" t="s">
        <v>110</v>
      </c>
      <c r="D178" t="s">
        <v>86</v>
      </c>
      <c r="E178" t="s">
        <v>87</v>
      </c>
      <c r="F178">
        <v>44200</v>
      </c>
      <c r="G178" t="s">
        <v>84</v>
      </c>
      <c r="H178" s="15">
        <v>45292</v>
      </c>
      <c r="I178">
        <v>0</v>
      </c>
      <c r="J178">
        <v>44200</v>
      </c>
    </row>
    <row r="179" spans="1:10" x14ac:dyDescent="0.3">
      <c r="A179" s="15">
        <v>45292</v>
      </c>
      <c r="B179" t="s">
        <v>271</v>
      </c>
      <c r="C179" t="s">
        <v>81</v>
      </c>
      <c r="D179" t="s">
        <v>82</v>
      </c>
      <c r="E179" t="s">
        <v>97</v>
      </c>
      <c r="F179">
        <v>2900</v>
      </c>
      <c r="G179" t="s">
        <v>84</v>
      </c>
      <c r="H179" s="15">
        <v>45292</v>
      </c>
      <c r="I179">
        <v>0</v>
      </c>
      <c r="J179">
        <v>2900</v>
      </c>
    </row>
    <row r="180" spans="1:10" x14ac:dyDescent="0.3">
      <c r="A180" s="15">
        <v>45292</v>
      </c>
      <c r="B180" t="s">
        <v>272</v>
      </c>
      <c r="C180" t="s">
        <v>125</v>
      </c>
      <c r="D180" t="s">
        <v>96</v>
      </c>
      <c r="E180" t="s">
        <v>103</v>
      </c>
      <c r="F180">
        <v>87600</v>
      </c>
      <c r="G180" t="s">
        <v>84</v>
      </c>
      <c r="H180" s="15">
        <v>45292</v>
      </c>
      <c r="I180">
        <v>0</v>
      </c>
      <c r="J180">
        <v>87600</v>
      </c>
    </row>
    <row r="181" spans="1:10" x14ac:dyDescent="0.3">
      <c r="A181" s="15">
        <v>45292</v>
      </c>
      <c r="B181" t="s">
        <v>273</v>
      </c>
      <c r="C181" t="s">
        <v>81</v>
      </c>
      <c r="D181" t="s">
        <v>82</v>
      </c>
      <c r="E181" t="s">
        <v>101</v>
      </c>
      <c r="F181">
        <v>3300</v>
      </c>
      <c r="G181" t="s">
        <v>84</v>
      </c>
      <c r="H181" s="15">
        <v>45292</v>
      </c>
      <c r="I181">
        <v>0</v>
      </c>
      <c r="J181">
        <v>3300</v>
      </c>
    </row>
    <row r="182" spans="1:10" x14ac:dyDescent="0.3">
      <c r="A182" s="15">
        <v>45292</v>
      </c>
      <c r="B182" t="s">
        <v>274</v>
      </c>
      <c r="C182" t="s">
        <v>91</v>
      </c>
      <c r="D182" t="s">
        <v>99</v>
      </c>
      <c r="E182" t="s">
        <v>87</v>
      </c>
      <c r="F182">
        <v>11400</v>
      </c>
      <c r="G182" t="s">
        <v>84</v>
      </c>
      <c r="H182" s="15">
        <v>45292</v>
      </c>
      <c r="I182">
        <v>0</v>
      </c>
      <c r="J182">
        <v>11400</v>
      </c>
    </row>
    <row r="183" spans="1:10" x14ac:dyDescent="0.3">
      <c r="A183" s="15">
        <v>45292</v>
      </c>
      <c r="B183" t="s">
        <v>275</v>
      </c>
      <c r="C183" t="s">
        <v>91</v>
      </c>
      <c r="D183" t="s">
        <v>99</v>
      </c>
      <c r="E183" t="s">
        <v>89</v>
      </c>
      <c r="F183">
        <v>6000</v>
      </c>
      <c r="G183" t="s">
        <v>84</v>
      </c>
      <c r="H183" s="15">
        <v>45292</v>
      </c>
      <c r="I183">
        <v>0</v>
      </c>
      <c r="J183">
        <v>6000</v>
      </c>
    </row>
    <row r="184" spans="1:10" x14ac:dyDescent="0.3">
      <c r="A184" s="15">
        <v>45292</v>
      </c>
      <c r="B184" t="s">
        <v>276</v>
      </c>
      <c r="C184" t="s">
        <v>81</v>
      </c>
      <c r="D184" t="s">
        <v>82</v>
      </c>
      <c r="E184" t="s">
        <v>103</v>
      </c>
      <c r="F184">
        <v>3300</v>
      </c>
      <c r="G184" t="s">
        <v>84</v>
      </c>
      <c r="H184" s="15">
        <v>45292</v>
      </c>
      <c r="I184">
        <v>0</v>
      </c>
      <c r="J184">
        <v>3300</v>
      </c>
    </row>
    <row r="185" spans="1:10" x14ac:dyDescent="0.3">
      <c r="A185" s="15">
        <v>45292</v>
      </c>
      <c r="B185" t="s">
        <v>277</v>
      </c>
      <c r="C185" t="s">
        <v>91</v>
      </c>
      <c r="D185" t="s">
        <v>86</v>
      </c>
      <c r="E185" t="s">
        <v>97</v>
      </c>
      <c r="F185">
        <v>8000</v>
      </c>
      <c r="G185" t="s">
        <v>84</v>
      </c>
      <c r="H185" s="15">
        <v>45292</v>
      </c>
      <c r="I185">
        <v>0</v>
      </c>
      <c r="J185">
        <v>8000</v>
      </c>
    </row>
    <row r="186" spans="1:10" x14ac:dyDescent="0.3">
      <c r="A186" s="15">
        <v>45292</v>
      </c>
      <c r="B186" t="s">
        <v>278</v>
      </c>
      <c r="C186" t="s">
        <v>81</v>
      </c>
      <c r="D186" t="s">
        <v>82</v>
      </c>
      <c r="E186" t="s">
        <v>92</v>
      </c>
      <c r="F186">
        <v>1900</v>
      </c>
      <c r="G186" t="s">
        <v>84</v>
      </c>
      <c r="H186" s="15">
        <v>45292</v>
      </c>
      <c r="I186">
        <v>0</v>
      </c>
      <c r="J186">
        <v>1900</v>
      </c>
    </row>
    <row r="187" spans="1:10" x14ac:dyDescent="0.3">
      <c r="A187" s="15">
        <v>45292</v>
      </c>
      <c r="B187" t="s">
        <v>279</v>
      </c>
      <c r="C187" t="s">
        <v>91</v>
      </c>
      <c r="D187" t="s">
        <v>99</v>
      </c>
      <c r="E187" t="s">
        <v>89</v>
      </c>
      <c r="F187">
        <v>9800</v>
      </c>
      <c r="G187" t="s">
        <v>84</v>
      </c>
      <c r="H187" s="15">
        <v>45292</v>
      </c>
      <c r="I187">
        <v>0</v>
      </c>
      <c r="J187">
        <v>9800</v>
      </c>
    </row>
    <row r="188" spans="1:10" x14ac:dyDescent="0.3">
      <c r="A188" s="15">
        <v>45292</v>
      </c>
      <c r="B188" t="s">
        <v>280</v>
      </c>
      <c r="C188" t="s">
        <v>91</v>
      </c>
      <c r="D188" t="s">
        <v>96</v>
      </c>
      <c r="E188" t="s">
        <v>83</v>
      </c>
      <c r="F188">
        <v>6300</v>
      </c>
      <c r="G188" t="s">
        <v>84</v>
      </c>
      <c r="H188" s="15">
        <v>45292</v>
      </c>
      <c r="I188">
        <v>0</v>
      </c>
      <c r="J188">
        <v>6300</v>
      </c>
    </row>
    <row r="189" spans="1:10" x14ac:dyDescent="0.3">
      <c r="A189" s="15">
        <v>45292</v>
      </c>
      <c r="B189" t="s">
        <v>281</v>
      </c>
      <c r="C189" t="s">
        <v>110</v>
      </c>
      <c r="D189" t="s">
        <v>86</v>
      </c>
      <c r="E189" t="s">
        <v>92</v>
      </c>
      <c r="F189">
        <v>46800</v>
      </c>
      <c r="G189" t="s">
        <v>84</v>
      </c>
      <c r="H189" s="15">
        <v>45292</v>
      </c>
      <c r="I189">
        <v>0</v>
      </c>
      <c r="J189">
        <v>46800</v>
      </c>
    </row>
    <row r="190" spans="1:10" x14ac:dyDescent="0.3">
      <c r="A190" s="15">
        <v>45292</v>
      </c>
      <c r="B190" t="s">
        <v>282</v>
      </c>
      <c r="C190" t="s">
        <v>91</v>
      </c>
      <c r="D190" t="s">
        <v>86</v>
      </c>
      <c r="E190" t="s">
        <v>92</v>
      </c>
      <c r="F190">
        <v>7000</v>
      </c>
      <c r="G190" t="s">
        <v>84</v>
      </c>
      <c r="H190" s="15">
        <v>45292</v>
      </c>
      <c r="I190">
        <v>0</v>
      </c>
      <c r="J190">
        <v>7000</v>
      </c>
    </row>
    <row r="191" spans="1:10" x14ac:dyDescent="0.3">
      <c r="A191" s="15">
        <v>45292</v>
      </c>
      <c r="B191" t="s">
        <v>283</v>
      </c>
      <c r="C191" t="s">
        <v>110</v>
      </c>
      <c r="D191" t="s">
        <v>82</v>
      </c>
      <c r="E191" t="s">
        <v>87</v>
      </c>
      <c r="F191">
        <v>34200</v>
      </c>
      <c r="G191" t="s">
        <v>84</v>
      </c>
      <c r="H191" s="15">
        <v>45292</v>
      </c>
      <c r="I191">
        <v>0</v>
      </c>
      <c r="J191">
        <v>34200</v>
      </c>
    </row>
    <row r="192" spans="1:10" x14ac:dyDescent="0.3">
      <c r="A192" s="15">
        <v>45292</v>
      </c>
      <c r="B192" t="s">
        <v>284</v>
      </c>
      <c r="C192" t="s">
        <v>81</v>
      </c>
      <c r="D192" t="s">
        <v>82</v>
      </c>
      <c r="E192" t="s">
        <v>101</v>
      </c>
      <c r="F192">
        <v>2400</v>
      </c>
      <c r="G192" t="s">
        <v>84</v>
      </c>
      <c r="H192" s="15">
        <v>45292</v>
      </c>
      <c r="I192">
        <v>0</v>
      </c>
      <c r="J192">
        <v>2400</v>
      </c>
    </row>
    <row r="193" spans="1:10" x14ac:dyDescent="0.3">
      <c r="A193" s="15">
        <v>45292</v>
      </c>
      <c r="B193" t="s">
        <v>285</v>
      </c>
      <c r="C193" t="s">
        <v>91</v>
      </c>
      <c r="D193" t="s">
        <v>82</v>
      </c>
      <c r="E193" t="s">
        <v>83</v>
      </c>
      <c r="F193">
        <v>10900</v>
      </c>
      <c r="G193" t="s">
        <v>84</v>
      </c>
      <c r="H193" s="15">
        <v>45292</v>
      </c>
      <c r="I193">
        <v>0</v>
      </c>
      <c r="J193">
        <v>10900</v>
      </c>
    </row>
    <row r="194" spans="1:10" x14ac:dyDescent="0.3">
      <c r="A194" s="15">
        <v>45292</v>
      </c>
      <c r="B194" t="s">
        <v>286</v>
      </c>
      <c r="C194" t="s">
        <v>125</v>
      </c>
      <c r="D194" t="s">
        <v>86</v>
      </c>
      <c r="E194" t="s">
        <v>92</v>
      </c>
      <c r="F194">
        <v>87000</v>
      </c>
      <c r="G194" t="s">
        <v>84</v>
      </c>
      <c r="H194" s="15">
        <v>45292</v>
      </c>
      <c r="I194">
        <v>0</v>
      </c>
      <c r="J194">
        <v>87000</v>
      </c>
    </row>
    <row r="195" spans="1:10" x14ac:dyDescent="0.3">
      <c r="A195" s="15">
        <v>45292</v>
      </c>
      <c r="B195" t="s">
        <v>287</v>
      </c>
      <c r="C195" t="s">
        <v>81</v>
      </c>
      <c r="D195" t="s">
        <v>99</v>
      </c>
      <c r="E195" t="s">
        <v>87</v>
      </c>
      <c r="F195">
        <v>2300</v>
      </c>
      <c r="G195" t="s">
        <v>84</v>
      </c>
      <c r="H195" s="15">
        <v>45292</v>
      </c>
      <c r="I195">
        <v>0</v>
      </c>
      <c r="J195">
        <v>2300</v>
      </c>
    </row>
    <row r="196" spans="1:10" x14ac:dyDescent="0.3">
      <c r="A196" s="15">
        <v>45292</v>
      </c>
      <c r="B196" t="s">
        <v>288</v>
      </c>
      <c r="C196" t="s">
        <v>81</v>
      </c>
      <c r="D196" t="s">
        <v>99</v>
      </c>
      <c r="E196" t="s">
        <v>97</v>
      </c>
      <c r="F196">
        <v>2600</v>
      </c>
      <c r="G196" t="s">
        <v>84</v>
      </c>
      <c r="H196" s="15">
        <v>45292</v>
      </c>
      <c r="I196">
        <v>0</v>
      </c>
      <c r="J196">
        <v>2600</v>
      </c>
    </row>
    <row r="197" spans="1:10" x14ac:dyDescent="0.3">
      <c r="A197" s="15">
        <v>45292</v>
      </c>
      <c r="B197" t="s">
        <v>289</v>
      </c>
      <c r="C197" t="s">
        <v>91</v>
      </c>
      <c r="D197" t="s">
        <v>86</v>
      </c>
      <c r="E197" t="s">
        <v>101</v>
      </c>
      <c r="F197">
        <v>9400</v>
      </c>
      <c r="G197" t="s">
        <v>84</v>
      </c>
      <c r="H197" s="15">
        <v>45292</v>
      </c>
      <c r="I197">
        <v>0</v>
      </c>
      <c r="J197">
        <v>9400</v>
      </c>
    </row>
    <row r="198" spans="1:10" x14ac:dyDescent="0.3">
      <c r="A198" s="15">
        <v>45292</v>
      </c>
      <c r="B198" t="s">
        <v>290</v>
      </c>
      <c r="C198" t="s">
        <v>81</v>
      </c>
      <c r="D198" t="s">
        <v>82</v>
      </c>
      <c r="E198" t="s">
        <v>103</v>
      </c>
      <c r="F198">
        <v>2800</v>
      </c>
      <c r="G198" t="s">
        <v>84</v>
      </c>
      <c r="H198" s="15">
        <v>45292</v>
      </c>
      <c r="I198">
        <v>0</v>
      </c>
      <c r="J198">
        <v>2800</v>
      </c>
    </row>
    <row r="199" spans="1:10" x14ac:dyDescent="0.3">
      <c r="A199" s="15">
        <v>45292</v>
      </c>
      <c r="B199" t="s">
        <v>291</v>
      </c>
      <c r="C199" t="s">
        <v>81</v>
      </c>
      <c r="D199" t="s">
        <v>82</v>
      </c>
      <c r="E199" t="s">
        <v>83</v>
      </c>
      <c r="F199">
        <v>3100</v>
      </c>
      <c r="G199" t="s">
        <v>84</v>
      </c>
      <c r="H199" s="15">
        <v>45292</v>
      </c>
      <c r="I199">
        <v>0</v>
      </c>
      <c r="J199">
        <v>3100</v>
      </c>
    </row>
    <row r="200" spans="1:10" x14ac:dyDescent="0.3">
      <c r="A200" s="15">
        <v>45292</v>
      </c>
      <c r="B200" t="s">
        <v>292</v>
      </c>
      <c r="C200" t="s">
        <v>91</v>
      </c>
      <c r="D200" t="s">
        <v>86</v>
      </c>
      <c r="E200" t="s">
        <v>89</v>
      </c>
      <c r="F200">
        <v>8600</v>
      </c>
      <c r="G200" t="s">
        <v>84</v>
      </c>
      <c r="H200" s="15">
        <v>45292</v>
      </c>
      <c r="I200">
        <v>0</v>
      </c>
      <c r="J200">
        <v>8600</v>
      </c>
    </row>
    <row r="201" spans="1:10" x14ac:dyDescent="0.3">
      <c r="A201" s="15">
        <v>45292</v>
      </c>
      <c r="B201" t="s">
        <v>293</v>
      </c>
      <c r="C201" t="s">
        <v>81</v>
      </c>
      <c r="D201" t="s">
        <v>86</v>
      </c>
      <c r="E201" t="s">
        <v>103</v>
      </c>
      <c r="F201">
        <v>2200</v>
      </c>
      <c r="G201" t="s">
        <v>84</v>
      </c>
      <c r="H201" s="15">
        <v>45292</v>
      </c>
      <c r="I201">
        <v>0</v>
      </c>
      <c r="J201">
        <v>2200</v>
      </c>
    </row>
    <row r="202" spans="1:10" x14ac:dyDescent="0.3">
      <c r="A202" s="15">
        <v>45292</v>
      </c>
      <c r="B202" t="s">
        <v>294</v>
      </c>
      <c r="C202" t="s">
        <v>91</v>
      </c>
      <c r="D202" t="s">
        <v>82</v>
      </c>
      <c r="E202" t="s">
        <v>97</v>
      </c>
      <c r="F202">
        <v>9500</v>
      </c>
      <c r="G202" t="s">
        <v>84</v>
      </c>
      <c r="H202" s="15">
        <v>45292</v>
      </c>
      <c r="I202">
        <v>0</v>
      </c>
      <c r="J202">
        <v>9500</v>
      </c>
    </row>
    <row r="203" spans="1:10" x14ac:dyDescent="0.3">
      <c r="A203" s="15">
        <v>45292</v>
      </c>
      <c r="B203" t="s">
        <v>295</v>
      </c>
      <c r="C203" t="s">
        <v>81</v>
      </c>
      <c r="D203" t="s">
        <v>82</v>
      </c>
      <c r="E203" t="s">
        <v>103</v>
      </c>
      <c r="F203">
        <v>2200</v>
      </c>
      <c r="G203" t="s">
        <v>84</v>
      </c>
      <c r="H203" s="15">
        <v>45292</v>
      </c>
      <c r="I203">
        <v>0</v>
      </c>
      <c r="J203">
        <v>2200</v>
      </c>
    </row>
    <row r="204" spans="1:10" x14ac:dyDescent="0.3">
      <c r="A204" s="15">
        <v>45292</v>
      </c>
      <c r="B204" t="s">
        <v>296</v>
      </c>
      <c r="C204" t="s">
        <v>81</v>
      </c>
      <c r="D204" t="s">
        <v>82</v>
      </c>
      <c r="E204" t="s">
        <v>103</v>
      </c>
      <c r="F204">
        <v>3200</v>
      </c>
      <c r="G204" t="s">
        <v>84</v>
      </c>
      <c r="H204" s="15">
        <v>45292</v>
      </c>
      <c r="I204">
        <v>0</v>
      </c>
      <c r="J204">
        <v>3200</v>
      </c>
    </row>
    <row r="205" spans="1:10" x14ac:dyDescent="0.3">
      <c r="A205" s="15">
        <v>45292</v>
      </c>
      <c r="B205" t="s">
        <v>297</v>
      </c>
      <c r="C205" t="s">
        <v>91</v>
      </c>
      <c r="D205" t="s">
        <v>86</v>
      </c>
      <c r="E205" t="s">
        <v>103</v>
      </c>
      <c r="F205">
        <v>9100</v>
      </c>
      <c r="G205" t="s">
        <v>84</v>
      </c>
      <c r="H205" s="15">
        <v>45292</v>
      </c>
      <c r="I205">
        <v>0</v>
      </c>
      <c r="J205">
        <v>9100</v>
      </c>
    </row>
    <row r="206" spans="1:10" x14ac:dyDescent="0.3">
      <c r="A206" s="15">
        <v>45292</v>
      </c>
      <c r="B206" t="s">
        <v>298</v>
      </c>
      <c r="C206" t="s">
        <v>81</v>
      </c>
      <c r="D206" t="s">
        <v>86</v>
      </c>
      <c r="E206" t="s">
        <v>89</v>
      </c>
      <c r="F206">
        <v>2700</v>
      </c>
      <c r="G206" t="s">
        <v>84</v>
      </c>
      <c r="H206" s="15">
        <v>45292</v>
      </c>
      <c r="I206">
        <v>0</v>
      </c>
      <c r="J206">
        <v>2700</v>
      </c>
    </row>
    <row r="207" spans="1:10" x14ac:dyDescent="0.3">
      <c r="A207" s="15">
        <v>45292</v>
      </c>
      <c r="B207" t="s">
        <v>299</v>
      </c>
      <c r="C207" t="s">
        <v>81</v>
      </c>
      <c r="D207" t="s">
        <v>99</v>
      </c>
      <c r="E207" t="s">
        <v>103</v>
      </c>
      <c r="F207">
        <v>2900</v>
      </c>
      <c r="G207" t="s">
        <v>84</v>
      </c>
      <c r="H207" s="15">
        <v>45292</v>
      </c>
      <c r="I207">
        <v>0</v>
      </c>
      <c r="J207">
        <v>2900</v>
      </c>
    </row>
    <row r="208" spans="1:10" x14ac:dyDescent="0.3">
      <c r="A208" s="15">
        <v>45292</v>
      </c>
      <c r="B208" t="s">
        <v>300</v>
      </c>
      <c r="C208" t="s">
        <v>91</v>
      </c>
      <c r="D208" t="s">
        <v>82</v>
      </c>
      <c r="E208" t="s">
        <v>89</v>
      </c>
      <c r="F208">
        <v>10900</v>
      </c>
      <c r="G208" t="s">
        <v>84</v>
      </c>
      <c r="H208" s="15">
        <v>45292</v>
      </c>
      <c r="I208">
        <v>0</v>
      </c>
      <c r="J208">
        <v>10900</v>
      </c>
    </row>
    <row r="209" spans="1:10" x14ac:dyDescent="0.3">
      <c r="A209" s="15">
        <v>45292</v>
      </c>
      <c r="B209" t="s">
        <v>301</v>
      </c>
      <c r="C209" t="s">
        <v>125</v>
      </c>
      <c r="D209" t="s">
        <v>82</v>
      </c>
      <c r="E209" t="s">
        <v>92</v>
      </c>
      <c r="F209">
        <v>116700</v>
      </c>
      <c r="G209" t="s">
        <v>84</v>
      </c>
      <c r="H209" s="15">
        <v>45292</v>
      </c>
      <c r="I209">
        <v>0</v>
      </c>
      <c r="J209">
        <v>116700</v>
      </c>
    </row>
    <row r="210" spans="1:10" x14ac:dyDescent="0.3">
      <c r="A210" s="15">
        <v>45292</v>
      </c>
      <c r="B210" t="s">
        <v>302</v>
      </c>
      <c r="C210" t="s">
        <v>81</v>
      </c>
      <c r="D210" t="s">
        <v>99</v>
      </c>
      <c r="E210" t="s">
        <v>83</v>
      </c>
      <c r="F210">
        <v>2200</v>
      </c>
      <c r="G210" t="s">
        <v>84</v>
      </c>
      <c r="H210" s="15">
        <v>45292</v>
      </c>
      <c r="I210">
        <v>0</v>
      </c>
      <c r="J210">
        <v>2200</v>
      </c>
    </row>
    <row r="211" spans="1:10" x14ac:dyDescent="0.3">
      <c r="A211" s="15">
        <v>45292</v>
      </c>
      <c r="B211" t="s">
        <v>303</v>
      </c>
      <c r="C211" t="s">
        <v>81</v>
      </c>
      <c r="D211" t="s">
        <v>82</v>
      </c>
      <c r="E211" t="s">
        <v>83</v>
      </c>
      <c r="F211">
        <v>1700</v>
      </c>
      <c r="G211" t="s">
        <v>84</v>
      </c>
      <c r="H211" s="15">
        <v>45292</v>
      </c>
      <c r="I211">
        <v>0</v>
      </c>
      <c r="J211">
        <v>1700</v>
      </c>
    </row>
    <row r="212" spans="1:10" x14ac:dyDescent="0.3">
      <c r="A212" s="15">
        <v>45292</v>
      </c>
      <c r="B212" t="s">
        <v>304</v>
      </c>
      <c r="C212" t="s">
        <v>81</v>
      </c>
      <c r="D212" t="s">
        <v>86</v>
      </c>
      <c r="E212" t="s">
        <v>92</v>
      </c>
      <c r="F212">
        <v>2100</v>
      </c>
      <c r="G212" t="s">
        <v>84</v>
      </c>
      <c r="H212" s="15">
        <v>45292</v>
      </c>
      <c r="I212">
        <v>0</v>
      </c>
      <c r="J212">
        <v>2100</v>
      </c>
    </row>
    <row r="213" spans="1:10" x14ac:dyDescent="0.3">
      <c r="A213" s="15">
        <v>45292</v>
      </c>
      <c r="B213" t="s">
        <v>305</v>
      </c>
      <c r="C213" t="s">
        <v>91</v>
      </c>
      <c r="D213" t="s">
        <v>82</v>
      </c>
      <c r="E213" t="s">
        <v>103</v>
      </c>
      <c r="F213">
        <v>7700</v>
      </c>
      <c r="G213" t="s">
        <v>84</v>
      </c>
      <c r="H213" s="15">
        <v>45292</v>
      </c>
      <c r="I213">
        <v>0</v>
      </c>
      <c r="J213">
        <v>7700</v>
      </c>
    </row>
    <row r="214" spans="1:10" x14ac:dyDescent="0.3">
      <c r="A214" s="15">
        <v>45292</v>
      </c>
      <c r="B214" t="s">
        <v>306</v>
      </c>
      <c r="C214" t="s">
        <v>91</v>
      </c>
      <c r="D214" t="s">
        <v>82</v>
      </c>
      <c r="E214" t="s">
        <v>87</v>
      </c>
      <c r="F214">
        <v>10500</v>
      </c>
      <c r="G214" t="s">
        <v>84</v>
      </c>
      <c r="H214" s="15">
        <v>45292</v>
      </c>
      <c r="I214">
        <v>0</v>
      </c>
      <c r="J214">
        <v>10500</v>
      </c>
    </row>
    <row r="215" spans="1:10" x14ac:dyDescent="0.3">
      <c r="A215" s="15">
        <v>45292</v>
      </c>
      <c r="B215" t="s">
        <v>307</v>
      </c>
      <c r="C215" t="s">
        <v>81</v>
      </c>
      <c r="D215" t="s">
        <v>86</v>
      </c>
      <c r="E215" t="s">
        <v>97</v>
      </c>
      <c r="F215">
        <v>2300</v>
      </c>
      <c r="G215" t="s">
        <v>84</v>
      </c>
      <c r="H215" s="15">
        <v>45292</v>
      </c>
      <c r="I215">
        <v>0</v>
      </c>
      <c r="J215">
        <v>2300</v>
      </c>
    </row>
    <row r="216" spans="1:10" x14ac:dyDescent="0.3">
      <c r="A216" s="15">
        <v>45292</v>
      </c>
      <c r="B216" t="s">
        <v>308</v>
      </c>
      <c r="C216" t="s">
        <v>91</v>
      </c>
      <c r="D216" t="s">
        <v>86</v>
      </c>
      <c r="E216" t="s">
        <v>92</v>
      </c>
      <c r="F216">
        <v>8000</v>
      </c>
      <c r="G216" t="s">
        <v>84</v>
      </c>
      <c r="H216" s="15">
        <v>45292</v>
      </c>
      <c r="I216">
        <v>0</v>
      </c>
      <c r="J216">
        <v>8000</v>
      </c>
    </row>
    <row r="217" spans="1:10" x14ac:dyDescent="0.3">
      <c r="A217" s="15">
        <v>45292</v>
      </c>
      <c r="B217" t="s">
        <v>309</v>
      </c>
      <c r="C217" t="s">
        <v>91</v>
      </c>
      <c r="D217" t="s">
        <v>82</v>
      </c>
      <c r="E217" t="s">
        <v>87</v>
      </c>
      <c r="F217">
        <v>9700</v>
      </c>
      <c r="G217" t="s">
        <v>84</v>
      </c>
      <c r="H217" s="15">
        <v>45292</v>
      </c>
      <c r="I217">
        <v>0</v>
      </c>
      <c r="J217">
        <v>9700</v>
      </c>
    </row>
    <row r="218" spans="1:10" x14ac:dyDescent="0.3">
      <c r="A218" s="15">
        <v>45292</v>
      </c>
      <c r="B218" t="s">
        <v>310</v>
      </c>
      <c r="C218" t="s">
        <v>91</v>
      </c>
      <c r="D218" t="s">
        <v>99</v>
      </c>
      <c r="E218" t="s">
        <v>87</v>
      </c>
      <c r="F218">
        <v>10000</v>
      </c>
      <c r="G218" t="s">
        <v>84</v>
      </c>
      <c r="H218" s="15">
        <v>45292</v>
      </c>
      <c r="I218">
        <v>0</v>
      </c>
      <c r="J218">
        <v>10000</v>
      </c>
    </row>
    <row r="219" spans="1:10" x14ac:dyDescent="0.3">
      <c r="A219" s="15">
        <v>45292</v>
      </c>
      <c r="B219" t="s">
        <v>311</v>
      </c>
      <c r="C219" t="s">
        <v>91</v>
      </c>
      <c r="D219" t="s">
        <v>82</v>
      </c>
      <c r="E219" t="s">
        <v>92</v>
      </c>
      <c r="F219">
        <v>6000</v>
      </c>
      <c r="G219" t="s">
        <v>84</v>
      </c>
      <c r="H219" s="15">
        <v>45292</v>
      </c>
      <c r="I219">
        <v>0</v>
      </c>
      <c r="J219">
        <v>6000</v>
      </c>
    </row>
    <row r="220" spans="1:10" x14ac:dyDescent="0.3">
      <c r="A220" s="15">
        <v>45292</v>
      </c>
      <c r="B220" t="s">
        <v>312</v>
      </c>
      <c r="C220" t="s">
        <v>91</v>
      </c>
      <c r="D220" t="s">
        <v>86</v>
      </c>
      <c r="E220" t="s">
        <v>103</v>
      </c>
      <c r="F220">
        <v>9400</v>
      </c>
      <c r="G220" t="s">
        <v>84</v>
      </c>
      <c r="H220" s="15">
        <v>45292</v>
      </c>
      <c r="I220">
        <v>0</v>
      </c>
      <c r="J220">
        <v>9400</v>
      </c>
    </row>
    <row r="221" spans="1:10" x14ac:dyDescent="0.3">
      <c r="A221" s="15">
        <v>45292</v>
      </c>
      <c r="B221" t="s">
        <v>313</v>
      </c>
      <c r="C221" t="s">
        <v>91</v>
      </c>
      <c r="D221" t="s">
        <v>82</v>
      </c>
      <c r="E221" t="s">
        <v>101</v>
      </c>
      <c r="F221">
        <v>12700</v>
      </c>
      <c r="G221" t="s">
        <v>84</v>
      </c>
      <c r="H221" s="15">
        <v>45292</v>
      </c>
      <c r="I221">
        <v>0</v>
      </c>
      <c r="J221">
        <v>12700</v>
      </c>
    </row>
    <row r="222" spans="1:10" x14ac:dyDescent="0.3">
      <c r="A222" s="15">
        <v>45292</v>
      </c>
      <c r="B222" t="s">
        <v>314</v>
      </c>
      <c r="C222" t="s">
        <v>91</v>
      </c>
      <c r="D222" t="s">
        <v>82</v>
      </c>
      <c r="E222" t="s">
        <v>103</v>
      </c>
      <c r="F222">
        <v>10100</v>
      </c>
      <c r="G222" t="s">
        <v>84</v>
      </c>
      <c r="H222" s="15">
        <v>45292</v>
      </c>
      <c r="I222">
        <v>0</v>
      </c>
      <c r="J222">
        <v>10100</v>
      </c>
    </row>
    <row r="223" spans="1:10" x14ac:dyDescent="0.3">
      <c r="A223" s="15">
        <v>45292</v>
      </c>
      <c r="B223" t="s">
        <v>315</v>
      </c>
      <c r="C223" t="s">
        <v>125</v>
      </c>
      <c r="D223" t="s">
        <v>86</v>
      </c>
      <c r="E223" t="s">
        <v>92</v>
      </c>
      <c r="F223">
        <v>76200</v>
      </c>
      <c r="G223" t="s">
        <v>84</v>
      </c>
      <c r="H223" s="15">
        <v>45292</v>
      </c>
      <c r="I223">
        <v>0</v>
      </c>
      <c r="J223">
        <v>76200</v>
      </c>
    </row>
    <row r="224" spans="1:10" x14ac:dyDescent="0.3">
      <c r="A224" s="15">
        <v>45292</v>
      </c>
      <c r="B224" t="s">
        <v>316</v>
      </c>
      <c r="C224" t="s">
        <v>81</v>
      </c>
      <c r="D224" t="s">
        <v>96</v>
      </c>
      <c r="E224" t="s">
        <v>92</v>
      </c>
      <c r="F224">
        <v>2500</v>
      </c>
      <c r="G224" t="s">
        <v>84</v>
      </c>
      <c r="H224" s="15">
        <v>45292</v>
      </c>
      <c r="I224">
        <v>0</v>
      </c>
      <c r="J224">
        <v>2500</v>
      </c>
    </row>
    <row r="225" spans="1:10" x14ac:dyDescent="0.3">
      <c r="A225" s="15">
        <v>45292</v>
      </c>
      <c r="B225" t="s">
        <v>317</v>
      </c>
      <c r="C225" t="s">
        <v>125</v>
      </c>
      <c r="D225" t="s">
        <v>82</v>
      </c>
      <c r="E225" t="s">
        <v>92</v>
      </c>
      <c r="F225">
        <v>73500</v>
      </c>
      <c r="G225" t="s">
        <v>84</v>
      </c>
      <c r="H225" s="15">
        <v>45292</v>
      </c>
      <c r="I225">
        <v>0</v>
      </c>
      <c r="J225">
        <v>73500</v>
      </c>
    </row>
    <row r="226" spans="1:10" x14ac:dyDescent="0.3">
      <c r="A226" s="15">
        <v>45292</v>
      </c>
      <c r="B226" t="s">
        <v>318</v>
      </c>
      <c r="C226" t="s">
        <v>110</v>
      </c>
      <c r="D226" t="s">
        <v>82</v>
      </c>
      <c r="E226" t="s">
        <v>97</v>
      </c>
      <c r="F226">
        <v>28100</v>
      </c>
      <c r="G226" t="s">
        <v>84</v>
      </c>
      <c r="H226" s="15">
        <v>45292</v>
      </c>
      <c r="I226">
        <v>0</v>
      </c>
      <c r="J226">
        <v>28100</v>
      </c>
    </row>
    <row r="227" spans="1:10" x14ac:dyDescent="0.3">
      <c r="A227" s="15">
        <v>45292</v>
      </c>
      <c r="B227" t="s">
        <v>319</v>
      </c>
      <c r="C227" t="s">
        <v>110</v>
      </c>
      <c r="D227" t="s">
        <v>86</v>
      </c>
      <c r="E227" t="s">
        <v>83</v>
      </c>
      <c r="F227">
        <v>49600</v>
      </c>
      <c r="G227" t="s">
        <v>84</v>
      </c>
      <c r="H227" s="15">
        <v>45292</v>
      </c>
      <c r="I227">
        <v>0</v>
      </c>
      <c r="J227">
        <v>49600</v>
      </c>
    </row>
    <row r="228" spans="1:10" x14ac:dyDescent="0.3">
      <c r="A228" s="15">
        <v>45292</v>
      </c>
      <c r="B228" t="s">
        <v>320</v>
      </c>
      <c r="C228" t="s">
        <v>91</v>
      </c>
      <c r="D228" t="s">
        <v>86</v>
      </c>
      <c r="E228" t="s">
        <v>97</v>
      </c>
      <c r="F228">
        <v>7700</v>
      </c>
      <c r="G228" t="s">
        <v>84</v>
      </c>
      <c r="H228" s="15">
        <v>45292</v>
      </c>
      <c r="I228">
        <v>0</v>
      </c>
      <c r="J228">
        <v>7700</v>
      </c>
    </row>
    <row r="229" spans="1:10" x14ac:dyDescent="0.3">
      <c r="A229" s="15">
        <v>45292</v>
      </c>
      <c r="B229" t="s">
        <v>321</v>
      </c>
      <c r="C229" t="s">
        <v>81</v>
      </c>
      <c r="D229" t="s">
        <v>99</v>
      </c>
      <c r="E229" t="s">
        <v>101</v>
      </c>
      <c r="F229">
        <v>3500</v>
      </c>
      <c r="G229" t="s">
        <v>84</v>
      </c>
      <c r="H229" s="15">
        <v>45292</v>
      </c>
      <c r="I229">
        <v>0</v>
      </c>
      <c r="J229">
        <v>3500</v>
      </c>
    </row>
    <row r="230" spans="1:10" x14ac:dyDescent="0.3">
      <c r="A230" s="15">
        <v>45292</v>
      </c>
      <c r="B230" t="s">
        <v>322</v>
      </c>
      <c r="C230" t="s">
        <v>81</v>
      </c>
      <c r="D230" t="s">
        <v>82</v>
      </c>
      <c r="E230" t="s">
        <v>103</v>
      </c>
      <c r="F230">
        <v>2000</v>
      </c>
      <c r="G230" t="s">
        <v>84</v>
      </c>
      <c r="H230" s="15">
        <v>45292</v>
      </c>
      <c r="I230">
        <v>0</v>
      </c>
      <c r="J230">
        <v>2000</v>
      </c>
    </row>
    <row r="231" spans="1:10" x14ac:dyDescent="0.3">
      <c r="A231" s="15">
        <v>45292</v>
      </c>
      <c r="B231" t="s">
        <v>323</v>
      </c>
      <c r="C231" t="s">
        <v>110</v>
      </c>
      <c r="D231" t="s">
        <v>82</v>
      </c>
      <c r="E231" t="s">
        <v>89</v>
      </c>
      <c r="F231">
        <v>23400</v>
      </c>
      <c r="G231" t="s">
        <v>84</v>
      </c>
      <c r="H231" s="15">
        <v>45292</v>
      </c>
      <c r="I231">
        <v>0</v>
      </c>
      <c r="J231">
        <v>23400</v>
      </c>
    </row>
    <row r="232" spans="1:10" x14ac:dyDescent="0.3">
      <c r="A232" s="15">
        <v>45292</v>
      </c>
      <c r="B232" t="s">
        <v>324</v>
      </c>
      <c r="C232" t="s">
        <v>81</v>
      </c>
      <c r="D232" t="s">
        <v>86</v>
      </c>
      <c r="E232" t="s">
        <v>87</v>
      </c>
      <c r="F232">
        <v>2700</v>
      </c>
      <c r="G232" t="s">
        <v>84</v>
      </c>
      <c r="H232" s="15">
        <v>45292</v>
      </c>
      <c r="I232">
        <v>0</v>
      </c>
      <c r="J232">
        <v>2700</v>
      </c>
    </row>
    <row r="233" spans="1:10" x14ac:dyDescent="0.3">
      <c r="A233" s="15">
        <v>45292</v>
      </c>
      <c r="B233" t="s">
        <v>325</v>
      </c>
      <c r="C233" t="s">
        <v>91</v>
      </c>
      <c r="D233" t="s">
        <v>86</v>
      </c>
      <c r="E233" t="s">
        <v>87</v>
      </c>
      <c r="F233">
        <v>8800</v>
      </c>
      <c r="G233" t="s">
        <v>84</v>
      </c>
      <c r="H233" s="15">
        <v>45292</v>
      </c>
      <c r="I233">
        <v>0</v>
      </c>
      <c r="J233">
        <v>8800</v>
      </c>
    </row>
    <row r="234" spans="1:10" x14ac:dyDescent="0.3">
      <c r="A234" s="15">
        <v>45292</v>
      </c>
      <c r="B234" t="s">
        <v>326</v>
      </c>
      <c r="C234" t="s">
        <v>91</v>
      </c>
      <c r="D234" t="s">
        <v>86</v>
      </c>
      <c r="E234" t="s">
        <v>92</v>
      </c>
      <c r="F234">
        <v>7900</v>
      </c>
      <c r="G234" t="s">
        <v>84</v>
      </c>
      <c r="H234" s="15">
        <v>45292</v>
      </c>
      <c r="I234">
        <v>0</v>
      </c>
      <c r="J234">
        <v>7900</v>
      </c>
    </row>
    <row r="235" spans="1:10" x14ac:dyDescent="0.3">
      <c r="A235" s="15">
        <v>45292</v>
      </c>
      <c r="B235" t="s">
        <v>327</v>
      </c>
      <c r="C235" t="s">
        <v>125</v>
      </c>
      <c r="D235" t="s">
        <v>99</v>
      </c>
      <c r="E235" t="s">
        <v>97</v>
      </c>
      <c r="F235">
        <v>77500</v>
      </c>
      <c r="G235" t="s">
        <v>84</v>
      </c>
      <c r="H235" s="15">
        <v>45292</v>
      </c>
      <c r="I235">
        <v>0</v>
      </c>
      <c r="J235">
        <v>77500</v>
      </c>
    </row>
    <row r="236" spans="1:10" x14ac:dyDescent="0.3">
      <c r="A236" s="15">
        <v>45292</v>
      </c>
      <c r="B236" t="s">
        <v>328</v>
      </c>
      <c r="C236" t="s">
        <v>91</v>
      </c>
      <c r="D236" t="s">
        <v>86</v>
      </c>
      <c r="E236" t="s">
        <v>92</v>
      </c>
      <c r="F236">
        <v>9400</v>
      </c>
      <c r="G236" t="s">
        <v>84</v>
      </c>
      <c r="H236" s="15">
        <v>45292</v>
      </c>
      <c r="I236">
        <v>0</v>
      </c>
      <c r="J236">
        <v>9400</v>
      </c>
    </row>
    <row r="237" spans="1:10" x14ac:dyDescent="0.3">
      <c r="A237" s="15">
        <v>45292</v>
      </c>
      <c r="B237" t="s">
        <v>329</v>
      </c>
      <c r="C237" t="s">
        <v>81</v>
      </c>
      <c r="D237" t="s">
        <v>86</v>
      </c>
      <c r="E237" t="s">
        <v>101</v>
      </c>
      <c r="F237">
        <v>2200</v>
      </c>
      <c r="G237" t="s">
        <v>84</v>
      </c>
      <c r="H237" s="15">
        <v>45292</v>
      </c>
      <c r="I237">
        <v>0</v>
      </c>
      <c r="J237">
        <v>2200</v>
      </c>
    </row>
    <row r="238" spans="1:10" x14ac:dyDescent="0.3">
      <c r="A238" s="15">
        <v>45292</v>
      </c>
      <c r="B238" t="s">
        <v>330</v>
      </c>
      <c r="C238" t="s">
        <v>125</v>
      </c>
      <c r="D238" t="s">
        <v>86</v>
      </c>
      <c r="E238" t="s">
        <v>87</v>
      </c>
      <c r="F238">
        <v>105400</v>
      </c>
      <c r="G238" t="s">
        <v>84</v>
      </c>
      <c r="H238" s="15">
        <v>45292</v>
      </c>
      <c r="I238">
        <v>0</v>
      </c>
      <c r="J238">
        <v>105400</v>
      </c>
    </row>
    <row r="239" spans="1:10" x14ac:dyDescent="0.3">
      <c r="A239" s="15">
        <v>45323</v>
      </c>
      <c r="B239" t="s">
        <v>80</v>
      </c>
      <c r="C239" t="s">
        <v>81</v>
      </c>
      <c r="D239" t="s">
        <v>82</v>
      </c>
      <c r="E239" t="s">
        <v>83</v>
      </c>
      <c r="F239">
        <v>1900</v>
      </c>
      <c r="G239" t="s">
        <v>331</v>
      </c>
      <c r="H239" s="15">
        <v>45292</v>
      </c>
      <c r="I239">
        <v>1900</v>
      </c>
      <c r="J239">
        <v>0</v>
      </c>
    </row>
    <row r="240" spans="1:10" x14ac:dyDescent="0.3">
      <c r="A240" s="15">
        <v>45323</v>
      </c>
      <c r="B240" t="s">
        <v>85</v>
      </c>
      <c r="C240" t="s">
        <v>81</v>
      </c>
      <c r="D240" t="s">
        <v>86</v>
      </c>
      <c r="E240" t="s">
        <v>87</v>
      </c>
      <c r="F240">
        <v>3200</v>
      </c>
      <c r="G240" t="s">
        <v>331</v>
      </c>
      <c r="H240" s="15">
        <v>45292</v>
      </c>
      <c r="I240">
        <v>3200</v>
      </c>
      <c r="J240">
        <v>0</v>
      </c>
    </row>
    <row r="241" spans="1:10" x14ac:dyDescent="0.3">
      <c r="A241" s="15">
        <v>45323</v>
      </c>
      <c r="B241" t="s">
        <v>88</v>
      </c>
      <c r="C241" t="s">
        <v>81</v>
      </c>
      <c r="D241" t="s">
        <v>86</v>
      </c>
      <c r="E241" t="s">
        <v>89</v>
      </c>
      <c r="F241">
        <v>2400</v>
      </c>
      <c r="G241" t="s">
        <v>331</v>
      </c>
      <c r="H241" s="15">
        <v>45292</v>
      </c>
      <c r="I241">
        <v>2400</v>
      </c>
      <c r="J241">
        <v>0</v>
      </c>
    </row>
    <row r="242" spans="1:10" x14ac:dyDescent="0.3">
      <c r="A242" s="15">
        <v>45323</v>
      </c>
      <c r="B242" t="s">
        <v>90</v>
      </c>
      <c r="C242" t="s">
        <v>91</v>
      </c>
      <c r="D242" t="s">
        <v>82</v>
      </c>
      <c r="E242" t="s">
        <v>92</v>
      </c>
      <c r="F242">
        <v>8300</v>
      </c>
      <c r="G242" t="s">
        <v>331</v>
      </c>
      <c r="H242" s="15">
        <v>45292</v>
      </c>
      <c r="I242">
        <v>8300</v>
      </c>
      <c r="J242">
        <v>0</v>
      </c>
    </row>
    <row r="243" spans="1:10" x14ac:dyDescent="0.3">
      <c r="A243" s="15">
        <v>45323</v>
      </c>
      <c r="B243" t="s">
        <v>93</v>
      </c>
      <c r="C243" t="s">
        <v>81</v>
      </c>
      <c r="D243" t="s">
        <v>86</v>
      </c>
      <c r="E243" t="s">
        <v>83</v>
      </c>
      <c r="F243">
        <v>2100</v>
      </c>
      <c r="G243" t="s">
        <v>331</v>
      </c>
      <c r="H243" s="15">
        <v>45292</v>
      </c>
      <c r="I243">
        <v>2100</v>
      </c>
      <c r="J243">
        <v>0</v>
      </c>
    </row>
    <row r="244" spans="1:10" x14ac:dyDescent="0.3">
      <c r="A244" s="15">
        <v>45323</v>
      </c>
      <c r="B244" t="s">
        <v>94</v>
      </c>
      <c r="C244" t="s">
        <v>91</v>
      </c>
      <c r="D244" t="s">
        <v>86</v>
      </c>
      <c r="E244" t="s">
        <v>83</v>
      </c>
      <c r="F244">
        <v>8100</v>
      </c>
      <c r="G244" t="s">
        <v>332</v>
      </c>
      <c r="H244" s="15">
        <v>45292</v>
      </c>
      <c r="I244">
        <v>7600</v>
      </c>
      <c r="J244">
        <v>500</v>
      </c>
    </row>
    <row r="245" spans="1:10" x14ac:dyDescent="0.3">
      <c r="A245" s="15">
        <v>45323</v>
      </c>
      <c r="B245" t="s">
        <v>95</v>
      </c>
      <c r="C245" t="s">
        <v>81</v>
      </c>
      <c r="D245" t="s">
        <v>96</v>
      </c>
      <c r="E245" t="s">
        <v>97</v>
      </c>
      <c r="F245">
        <v>3100</v>
      </c>
      <c r="G245" t="s">
        <v>331</v>
      </c>
      <c r="H245" s="15">
        <v>45292</v>
      </c>
      <c r="I245">
        <v>3100</v>
      </c>
      <c r="J245">
        <v>0</v>
      </c>
    </row>
    <row r="246" spans="1:10" x14ac:dyDescent="0.3">
      <c r="A246" s="15">
        <v>45323</v>
      </c>
      <c r="B246" t="s">
        <v>98</v>
      </c>
      <c r="C246" t="s">
        <v>81</v>
      </c>
      <c r="D246" t="s">
        <v>99</v>
      </c>
      <c r="E246" t="s">
        <v>92</v>
      </c>
      <c r="F246">
        <v>2500</v>
      </c>
      <c r="G246" t="s">
        <v>331</v>
      </c>
      <c r="H246" s="15">
        <v>45292</v>
      </c>
      <c r="I246">
        <v>2500</v>
      </c>
      <c r="J246">
        <v>0</v>
      </c>
    </row>
    <row r="247" spans="1:10" x14ac:dyDescent="0.3">
      <c r="A247" s="15">
        <v>45323</v>
      </c>
      <c r="B247" t="s">
        <v>100</v>
      </c>
      <c r="C247" t="s">
        <v>81</v>
      </c>
      <c r="D247" t="s">
        <v>86</v>
      </c>
      <c r="E247" t="s">
        <v>101</v>
      </c>
      <c r="F247">
        <v>1800</v>
      </c>
      <c r="G247" t="s">
        <v>331</v>
      </c>
      <c r="H247" s="15">
        <v>45292</v>
      </c>
      <c r="I247">
        <v>1800</v>
      </c>
      <c r="J247">
        <v>0</v>
      </c>
    </row>
    <row r="248" spans="1:10" x14ac:dyDescent="0.3">
      <c r="A248" s="15">
        <v>45323</v>
      </c>
      <c r="B248" t="s">
        <v>102</v>
      </c>
      <c r="C248" t="s">
        <v>81</v>
      </c>
      <c r="D248" t="s">
        <v>99</v>
      </c>
      <c r="E248" t="s">
        <v>103</v>
      </c>
      <c r="F248">
        <v>3600</v>
      </c>
      <c r="G248" t="s">
        <v>331</v>
      </c>
      <c r="H248" s="15">
        <v>45292</v>
      </c>
      <c r="I248">
        <v>3600</v>
      </c>
      <c r="J248">
        <v>0</v>
      </c>
    </row>
    <row r="249" spans="1:10" x14ac:dyDescent="0.3">
      <c r="A249" s="15">
        <v>45323</v>
      </c>
      <c r="B249" t="s">
        <v>104</v>
      </c>
      <c r="C249" t="s">
        <v>91</v>
      </c>
      <c r="D249" t="s">
        <v>99</v>
      </c>
      <c r="E249" t="s">
        <v>87</v>
      </c>
      <c r="F249">
        <v>7700</v>
      </c>
      <c r="G249" t="s">
        <v>331</v>
      </c>
      <c r="H249" s="15">
        <v>45292</v>
      </c>
      <c r="I249">
        <v>7700</v>
      </c>
      <c r="J249">
        <v>0</v>
      </c>
    </row>
    <row r="250" spans="1:10" x14ac:dyDescent="0.3">
      <c r="A250" s="15">
        <v>45323</v>
      </c>
      <c r="B250" t="s">
        <v>105</v>
      </c>
      <c r="C250" t="s">
        <v>91</v>
      </c>
      <c r="D250" t="s">
        <v>86</v>
      </c>
      <c r="E250" t="s">
        <v>89</v>
      </c>
      <c r="F250">
        <v>11400</v>
      </c>
      <c r="G250" t="s">
        <v>331</v>
      </c>
      <c r="H250" s="15">
        <v>45292</v>
      </c>
      <c r="I250">
        <v>11400</v>
      </c>
      <c r="J250">
        <v>0</v>
      </c>
    </row>
    <row r="251" spans="1:10" x14ac:dyDescent="0.3">
      <c r="A251" s="15">
        <v>45323</v>
      </c>
      <c r="B251" t="s">
        <v>106</v>
      </c>
      <c r="C251" t="s">
        <v>81</v>
      </c>
      <c r="D251" t="s">
        <v>99</v>
      </c>
      <c r="E251" t="s">
        <v>92</v>
      </c>
      <c r="F251">
        <v>2700</v>
      </c>
      <c r="G251" t="s">
        <v>331</v>
      </c>
      <c r="H251" s="15">
        <v>45292</v>
      </c>
      <c r="I251">
        <v>2700</v>
      </c>
      <c r="J251">
        <v>0</v>
      </c>
    </row>
    <row r="252" spans="1:10" x14ac:dyDescent="0.3">
      <c r="A252" s="15">
        <v>45323</v>
      </c>
      <c r="B252" t="s">
        <v>107</v>
      </c>
      <c r="C252" t="s">
        <v>91</v>
      </c>
      <c r="D252" t="s">
        <v>82</v>
      </c>
      <c r="E252" t="s">
        <v>89</v>
      </c>
      <c r="F252">
        <v>8000</v>
      </c>
      <c r="G252" t="s">
        <v>331</v>
      </c>
      <c r="H252" s="15">
        <v>45292</v>
      </c>
      <c r="I252">
        <v>8000</v>
      </c>
      <c r="J252">
        <v>0</v>
      </c>
    </row>
    <row r="253" spans="1:10" x14ac:dyDescent="0.3">
      <c r="A253" s="15">
        <v>45323</v>
      </c>
      <c r="B253" t="s">
        <v>108</v>
      </c>
      <c r="C253" t="s">
        <v>91</v>
      </c>
      <c r="D253" t="s">
        <v>86</v>
      </c>
      <c r="E253" t="s">
        <v>87</v>
      </c>
      <c r="F253">
        <v>9700</v>
      </c>
      <c r="G253" t="s">
        <v>331</v>
      </c>
      <c r="H253" s="15">
        <v>45292</v>
      </c>
      <c r="I253">
        <v>9700</v>
      </c>
      <c r="J253">
        <v>0</v>
      </c>
    </row>
    <row r="254" spans="1:10" x14ac:dyDescent="0.3">
      <c r="A254" s="15">
        <v>45323</v>
      </c>
      <c r="B254" t="s">
        <v>109</v>
      </c>
      <c r="C254" t="s">
        <v>110</v>
      </c>
      <c r="D254" t="s">
        <v>82</v>
      </c>
      <c r="E254" t="s">
        <v>103</v>
      </c>
      <c r="F254">
        <v>37800</v>
      </c>
      <c r="G254" t="s">
        <v>331</v>
      </c>
      <c r="H254" s="15">
        <v>45292</v>
      </c>
      <c r="I254">
        <v>37800</v>
      </c>
      <c r="J254">
        <v>0</v>
      </c>
    </row>
    <row r="255" spans="1:10" x14ac:dyDescent="0.3">
      <c r="A255" s="15">
        <v>45323</v>
      </c>
      <c r="B255" t="s">
        <v>111</v>
      </c>
      <c r="C255" t="s">
        <v>91</v>
      </c>
      <c r="D255" t="s">
        <v>82</v>
      </c>
      <c r="E255" t="s">
        <v>83</v>
      </c>
      <c r="F255">
        <v>8800</v>
      </c>
      <c r="G255" t="s">
        <v>331</v>
      </c>
      <c r="H255" s="15">
        <v>45292</v>
      </c>
      <c r="I255">
        <v>8800</v>
      </c>
      <c r="J255">
        <v>0</v>
      </c>
    </row>
    <row r="256" spans="1:10" x14ac:dyDescent="0.3">
      <c r="A256" s="15">
        <v>45323</v>
      </c>
      <c r="B256" t="s">
        <v>112</v>
      </c>
      <c r="C256" t="s">
        <v>91</v>
      </c>
      <c r="D256" t="s">
        <v>82</v>
      </c>
      <c r="E256" t="s">
        <v>92</v>
      </c>
      <c r="F256">
        <v>8600</v>
      </c>
      <c r="G256" t="s">
        <v>331</v>
      </c>
      <c r="H256" s="15">
        <v>45292</v>
      </c>
      <c r="I256">
        <v>8600</v>
      </c>
      <c r="J256">
        <v>0</v>
      </c>
    </row>
    <row r="257" spans="1:10" x14ac:dyDescent="0.3">
      <c r="A257" s="15">
        <v>45323</v>
      </c>
      <c r="B257" t="s">
        <v>113</v>
      </c>
      <c r="C257" t="s">
        <v>81</v>
      </c>
      <c r="D257" t="s">
        <v>96</v>
      </c>
      <c r="E257" t="s">
        <v>89</v>
      </c>
      <c r="F257">
        <v>2300</v>
      </c>
      <c r="G257" t="s">
        <v>331</v>
      </c>
      <c r="H257" s="15">
        <v>45292</v>
      </c>
      <c r="I257">
        <v>2300</v>
      </c>
      <c r="J257">
        <v>0</v>
      </c>
    </row>
    <row r="258" spans="1:10" x14ac:dyDescent="0.3">
      <c r="A258" s="15">
        <v>45323</v>
      </c>
      <c r="B258" t="s">
        <v>114</v>
      </c>
      <c r="C258" t="s">
        <v>110</v>
      </c>
      <c r="D258" t="s">
        <v>99</v>
      </c>
      <c r="E258" t="s">
        <v>97</v>
      </c>
      <c r="F258">
        <v>36200</v>
      </c>
      <c r="G258" t="s">
        <v>331</v>
      </c>
      <c r="H258" s="15">
        <v>45292</v>
      </c>
      <c r="I258">
        <v>36200</v>
      </c>
      <c r="J258">
        <v>0</v>
      </c>
    </row>
    <row r="259" spans="1:10" x14ac:dyDescent="0.3">
      <c r="A259" s="15">
        <v>45323</v>
      </c>
      <c r="B259" t="s">
        <v>115</v>
      </c>
      <c r="C259" t="s">
        <v>81</v>
      </c>
      <c r="D259" t="s">
        <v>82</v>
      </c>
      <c r="E259" t="s">
        <v>101</v>
      </c>
      <c r="F259">
        <v>2600</v>
      </c>
      <c r="G259" t="s">
        <v>331</v>
      </c>
      <c r="H259" s="15">
        <v>45292</v>
      </c>
      <c r="I259">
        <v>2600</v>
      </c>
      <c r="J259">
        <v>0</v>
      </c>
    </row>
    <row r="260" spans="1:10" x14ac:dyDescent="0.3">
      <c r="A260" s="15">
        <v>45323</v>
      </c>
      <c r="B260" t="s">
        <v>116</v>
      </c>
      <c r="C260" t="s">
        <v>81</v>
      </c>
      <c r="D260" t="s">
        <v>86</v>
      </c>
      <c r="E260" t="s">
        <v>87</v>
      </c>
      <c r="F260">
        <v>2900</v>
      </c>
      <c r="G260" t="s">
        <v>331</v>
      </c>
      <c r="H260" s="15">
        <v>45292</v>
      </c>
      <c r="I260">
        <v>2900</v>
      </c>
      <c r="J260">
        <v>0</v>
      </c>
    </row>
    <row r="261" spans="1:10" x14ac:dyDescent="0.3">
      <c r="A261" s="15">
        <v>45323</v>
      </c>
      <c r="B261" t="s">
        <v>117</v>
      </c>
      <c r="C261" t="s">
        <v>81</v>
      </c>
      <c r="D261" t="s">
        <v>86</v>
      </c>
      <c r="E261" t="s">
        <v>103</v>
      </c>
      <c r="F261">
        <v>2500</v>
      </c>
      <c r="G261" t="s">
        <v>331</v>
      </c>
      <c r="H261" s="15">
        <v>45292</v>
      </c>
      <c r="I261">
        <v>2500</v>
      </c>
      <c r="J261">
        <v>0</v>
      </c>
    </row>
    <row r="262" spans="1:10" x14ac:dyDescent="0.3">
      <c r="A262" s="15">
        <v>45323</v>
      </c>
      <c r="B262" t="s">
        <v>118</v>
      </c>
      <c r="C262" t="s">
        <v>81</v>
      </c>
      <c r="D262" t="s">
        <v>82</v>
      </c>
      <c r="E262" t="s">
        <v>103</v>
      </c>
      <c r="F262">
        <v>2500</v>
      </c>
      <c r="G262" t="s">
        <v>331</v>
      </c>
      <c r="H262" s="15">
        <v>45292</v>
      </c>
      <c r="I262">
        <v>2500</v>
      </c>
      <c r="J262">
        <v>0</v>
      </c>
    </row>
    <row r="263" spans="1:10" x14ac:dyDescent="0.3">
      <c r="A263" s="15">
        <v>45323</v>
      </c>
      <c r="B263" t="s">
        <v>119</v>
      </c>
      <c r="C263" t="s">
        <v>91</v>
      </c>
      <c r="D263" t="s">
        <v>96</v>
      </c>
      <c r="E263" t="s">
        <v>89</v>
      </c>
      <c r="F263">
        <v>12800</v>
      </c>
      <c r="G263" t="s">
        <v>331</v>
      </c>
      <c r="H263" s="15">
        <v>45292</v>
      </c>
      <c r="I263">
        <v>12800</v>
      </c>
      <c r="J263">
        <v>0</v>
      </c>
    </row>
    <row r="264" spans="1:10" x14ac:dyDescent="0.3">
      <c r="A264" s="15">
        <v>45323</v>
      </c>
      <c r="B264" t="s">
        <v>120</v>
      </c>
      <c r="C264" t="s">
        <v>81</v>
      </c>
      <c r="D264" t="s">
        <v>86</v>
      </c>
      <c r="E264" t="s">
        <v>101</v>
      </c>
      <c r="F264">
        <v>2200</v>
      </c>
      <c r="G264" t="s">
        <v>331</v>
      </c>
      <c r="H264" s="15">
        <v>45292</v>
      </c>
      <c r="I264">
        <v>2200</v>
      </c>
      <c r="J264">
        <v>0</v>
      </c>
    </row>
    <row r="265" spans="1:10" x14ac:dyDescent="0.3">
      <c r="A265" s="15">
        <v>45323</v>
      </c>
      <c r="B265" t="s">
        <v>121</v>
      </c>
      <c r="C265" t="s">
        <v>81</v>
      </c>
      <c r="D265" t="s">
        <v>99</v>
      </c>
      <c r="E265" t="s">
        <v>87</v>
      </c>
      <c r="F265">
        <v>0</v>
      </c>
      <c r="G265" t="s">
        <v>333</v>
      </c>
      <c r="H265" s="15">
        <v>45292</v>
      </c>
      <c r="I265">
        <v>2100</v>
      </c>
      <c r="J265">
        <v>-2100</v>
      </c>
    </row>
    <row r="266" spans="1:10" x14ac:dyDescent="0.3">
      <c r="A266" s="15">
        <v>45323</v>
      </c>
      <c r="B266" t="s">
        <v>122</v>
      </c>
      <c r="C266" t="s">
        <v>81</v>
      </c>
      <c r="D266" t="s">
        <v>96</v>
      </c>
      <c r="E266" t="s">
        <v>87</v>
      </c>
      <c r="F266">
        <v>2000</v>
      </c>
      <c r="G266" t="s">
        <v>331</v>
      </c>
      <c r="H266" s="15">
        <v>45292</v>
      </c>
      <c r="I266">
        <v>2000</v>
      </c>
      <c r="J266">
        <v>0</v>
      </c>
    </row>
    <row r="267" spans="1:10" x14ac:dyDescent="0.3">
      <c r="A267" s="15">
        <v>45323</v>
      </c>
      <c r="B267" t="s">
        <v>123</v>
      </c>
      <c r="C267" t="s">
        <v>81</v>
      </c>
      <c r="D267" t="s">
        <v>82</v>
      </c>
      <c r="E267" t="s">
        <v>92</v>
      </c>
      <c r="F267">
        <v>2200</v>
      </c>
      <c r="G267" t="s">
        <v>331</v>
      </c>
      <c r="H267" s="15">
        <v>45292</v>
      </c>
      <c r="I267">
        <v>2200</v>
      </c>
      <c r="J267">
        <v>0</v>
      </c>
    </row>
    <row r="268" spans="1:10" x14ac:dyDescent="0.3">
      <c r="A268" s="15">
        <v>45323</v>
      </c>
      <c r="B268" t="s">
        <v>124</v>
      </c>
      <c r="C268" t="s">
        <v>125</v>
      </c>
      <c r="D268" t="s">
        <v>82</v>
      </c>
      <c r="E268" t="s">
        <v>97</v>
      </c>
      <c r="F268">
        <v>82700</v>
      </c>
      <c r="G268" t="s">
        <v>331</v>
      </c>
      <c r="H268" s="15">
        <v>45292</v>
      </c>
      <c r="I268">
        <v>82700</v>
      </c>
      <c r="J268">
        <v>0</v>
      </c>
    </row>
    <row r="269" spans="1:10" x14ac:dyDescent="0.3">
      <c r="A269" s="15">
        <v>45323</v>
      </c>
      <c r="B269" t="s">
        <v>126</v>
      </c>
      <c r="C269" t="s">
        <v>91</v>
      </c>
      <c r="D269" t="s">
        <v>82</v>
      </c>
      <c r="E269" t="s">
        <v>83</v>
      </c>
      <c r="F269">
        <v>7700</v>
      </c>
      <c r="G269" t="s">
        <v>331</v>
      </c>
      <c r="H269" s="15">
        <v>45292</v>
      </c>
      <c r="I269">
        <v>7700</v>
      </c>
      <c r="J269">
        <v>0</v>
      </c>
    </row>
    <row r="270" spans="1:10" x14ac:dyDescent="0.3">
      <c r="A270" s="15">
        <v>45323</v>
      </c>
      <c r="B270" t="s">
        <v>127</v>
      </c>
      <c r="C270" t="s">
        <v>81</v>
      </c>
      <c r="D270" t="s">
        <v>82</v>
      </c>
      <c r="E270" t="s">
        <v>101</v>
      </c>
      <c r="F270">
        <v>2400</v>
      </c>
      <c r="G270" t="s">
        <v>331</v>
      </c>
      <c r="H270" s="15">
        <v>45292</v>
      </c>
      <c r="I270">
        <v>2400</v>
      </c>
      <c r="J270">
        <v>0</v>
      </c>
    </row>
    <row r="271" spans="1:10" x14ac:dyDescent="0.3">
      <c r="A271" s="15">
        <v>45323</v>
      </c>
      <c r="B271" t="s">
        <v>128</v>
      </c>
      <c r="C271" t="s">
        <v>81</v>
      </c>
      <c r="D271" t="s">
        <v>82</v>
      </c>
      <c r="E271" t="s">
        <v>92</v>
      </c>
      <c r="F271">
        <v>1700</v>
      </c>
      <c r="G271" t="s">
        <v>331</v>
      </c>
      <c r="H271" s="15">
        <v>45292</v>
      </c>
      <c r="I271">
        <v>1700</v>
      </c>
      <c r="J271">
        <v>0</v>
      </c>
    </row>
    <row r="272" spans="1:10" x14ac:dyDescent="0.3">
      <c r="A272" s="15">
        <v>45323</v>
      </c>
      <c r="B272" t="s">
        <v>129</v>
      </c>
      <c r="C272" t="s">
        <v>110</v>
      </c>
      <c r="D272" t="s">
        <v>86</v>
      </c>
      <c r="E272" t="s">
        <v>92</v>
      </c>
      <c r="F272">
        <v>36700</v>
      </c>
      <c r="G272" t="s">
        <v>331</v>
      </c>
      <c r="H272" s="15">
        <v>45292</v>
      </c>
      <c r="I272">
        <v>36700</v>
      </c>
      <c r="J272">
        <v>0</v>
      </c>
    </row>
    <row r="273" spans="1:10" x14ac:dyDescent="0.3">
      <c r="A273" s="15">
        <v>45323</v>
      </c>
      <c r="B273" t="s">
        <v>130</v>
      </c>
      <c r="C273" t="s">
        <v>91</v>
      </c>
      <c r="D273" t="s">
        <v>82</v>
      </c>
      <c r="E273" t="s">
        <v>92</v>
      </c>
      <c r="F273">
        <v>6700</v>
      </c>
      <c r="G273" t="s">
        <v>331</v>
      </c>
      <c r="H273" s="15">
        <v>45292</v>
      </c>
      <c r="I273">
        <v>6700</v>
      </c>
      <c r="J273">
        <v>0</v>
      </c>
    </row>
    <row r="274" spans="1:10" x14ac:dyDescent="0.3">
      <c r="A274" s="15">
        <v>45323</v>
      </c>
      <c r="B274" t="s">
        <v>131</v>
      </c>
      <c r="C274" t="s">
        <v>81</v>
      </c>
      <c r="D274" t="s">
        <v>86</v>
      </c>
      <c r="E274" t="s">
        <v>101</v>
      </c>
      <c r="F274">
        <v>1900</v>
      </c>
      <c r="G274" t="s">
        <v>331</v>
      </c>
      <c r="H274" s="15">
        <v>45292</v>
      </c>
      <c r="I274">
        <v>1900</v>
      </c>
      <c r="J274">
        <v>0</v>
      </c>
    </row>
    <row r="275" spans="1:10" x14ac:dyDescent="0.3">
      <c r="A275" s="15">
        <v>45323</v>
      </c>
      <c r="B275" t="s">
        <v>132</v>
      </c>
      <c r="C275" t="s">
        <v>91</v>
      </c>
      <c r="D275" t="s">
        <v>86</v>
      </c>
      <c r="E275" t="s">
        <v>92</v>
      </c>
      <c r="F275">
        <v>0</v>
      </c>
      <c r="G275" t="s">
        <v>333</v>
      </c>
      <c r="H275" s="15">
        <v>45292</v>
      </c>
      <c r="I275">
        <v>8400</v>
      </c>
      <c r="J275">
        <v>-8400</v>
      </c>
    </row>
    <row r="276" spans="1:10" x14ac:dyDescent="0.3">
      <c r="A276" s="15">
        <v>45323</v>
      </c>
      <c r="B276" t="s">
        <v>133</v>
      </c>
      <c r="C276" t="s">
        <v>81</v>
      </c>
      <c r="D276" t="s">
        <v>96</v>
      </c>
      <c r="E276" t="s">
        <v>87</v>
      </c>
      <c r="F276">
        <v>3200</v>
      </c>
      <c r="G276" t="s">
        <v>331</v>
      </c>
      <c r="H276" s="15">
        <v>45292</v>
      </c>
      <c r="I276">
        <v>3200</v>
      </c>
      <c r="J276">
        <v>0</v>
      </c>
    </row>
    <row r="277" spans="1:10" x14ac:dyDescent="0.3">
      <c r="A277" s="15">
        <v>45323</v>
      </c>
      <c r="B277" t="s">
        <v>134</v>
      </c>
      <c r="C277" t="s">
        <v>81</v>
      </c>
      <c r="D277" t="s">
        <v>82</v>
      </c>
      <c r="E277" t="s">
        <v>92</v>
      </c>
      <c r="F277">
        <v>2900</v>
      </c>
      <c r="G277" t="s">
        <v>331</v>
      </c>
      <c r="H277" s="15">
        <v>45292</v>
      </c>
      <c r="I277">
        <v>2900</v>
      </c>
      <c r="J277">
        <v>0</v>
      </c>
    </row>
    <row r="278" spans="1:10" x14ac:dyDescent="0.3">
      <c r="A278" s="15">
        <v>45323</v>
      </c>
      <c r="B278" t="s">
        <v>135</v>
      </c>
      <c r="C278" t="s">
        <v>81</v>
      </c>
      <c r="D278" t="s">
        <v>82</v>
      </c>
      <c r="E278" t="s">
        <v>103</v>
      </c>
      <c r="F278">
        <v>2400</v>
      </c>
      <c r="G278" t="s">
        <v>332</v>
      </c>
      <c r="H278" s="15">
        <v>45292</v>
      </c>
      <c r="I278">
        <v>2200</v>
      </c>
      <c r="J278">
        <v>200</v>
      </c>
    </row>
    <row r="279" spans="1:10" x14ac:dyDescent="0.3">
      <c r="A279" s="15">
        <v>45323</v>
      </c>
      <c r="B279" t="s">
        <v>136</v>
      </c>
      <c r="C279" t="s">
        <v>81</v>
      </c>
      <c r="D279" t="s">
        <v>82</v>
      </c>
      <c r="E279" t="s">
        <v>101</v>
      </c>
      <c r="F279">
        <v>2600</v>
      </c>
      <c r="G279" t="s">
        <v>331</v>
      </c>
      <c r="H279" s="15">
        <v>45292</v>
      </c>
      <c r="I279">
        <v>2600</v>
      </c>
      <c r="J279">
        <v>0</v>
      </c>
    </row>
    <row r="280" spans="1:10" x14ac:dyDescent="0.3">
      <c r="A280" s="15">
        <v>45323</v>
      </c>
      <c r="B280" t="s">
        <v>137</v>
      </c>
      <c r="C280" t="s">
        <v>81</v>
      </c>
      <c r="D280" t="s">
        <v>82</v>
      </c>
      <c r="E280" t="s">
        <v>89</v>
      </c>
      <c r="F280">
        <v>1700</v>
      </c>
      <c r="G280" t="s">
        <v>331</v>
      </c>
      <c r="H280" s="15">
        <v>45292</v>
      </c>
      <c r="I280">
        <v>1700</v>
      </c>
      <c r="J280">
        <v>0</v>
      </c>
    </row>
    <row r="281" spans="1:10" x14ac:dyDescent="0.3">
      <c r="A281" s="15">
        <v>45323</v>
      </c>
      <c r="B281" t="s">
        <v>138</v>
      </c>
      <c r="C281" t="s">
        <v>81</v>
      </c>
      <c r="D281" t="s">
        <v>86</v>
      </c>
      <c r="E281" t="s">
        <v>97</v>
      </c>
      <c r="F281">
        <v>3300</v>
      </c>
      <c r="G281" t="s">
        <v>331</v>
      </c>
      <c r="H281" s="15">
        <v>45292</v>
      </c>
      <c r="I281">
        <v>3300</v>
      </c>
      <c r="J281">
        <v>0</v>
      </c>
    </row>
    <row r="282" spans="1:10" x14ac:dyDescent="0.3">
      <c r="A282" s="15">
        <v>45323</v>
      </c>
      <c r="B282" t="s">
        <v>139</v>
      </c>
      <c r="C282" t="s">
        <v>91</v>
      </c>
      <c r="D282" t="s">
        <v>82</v>
      </c>
      <c r="E282" t="s">
        <v>103</v>
      </c>
      <c r="F282">
        <v>6800</v>
      </c>
      <c r="G282" t="s">
        <v>331</v>
      </c>
      <c r="H282" s="15">
        <v>45292</v>
      </c>
      <c r="I282">
        <v>6800</v>
      </c>
      <c r="J282">
        <v>0</v>
      </c>
    </row>
    <row r="283" spans="1:10" x14ac:dyDescent="0.3">
      <c r="A283" s="15">
        <v>45323</v>
      </c>
      <c r="B283" t="s">
        <v>140</v>
      </c>
      <c r="C283" t="s">
        <v>81</v>
      </c>
      <c r="D283" t="s">
        <v>99</v>
      </c>
      <c r="E283" t="s">
        <v>97</v>
      </c>
      <c r="F283">
        <v>1800</v>
      </c>
      <c r="G283" t="s">
        <v>331</v>
      </c>
      <c r="H283" s="15">
        <v>45292</v>
      </c>
      <c r="I283">
        <v>1800</v>
      </c>
      <c r="J283">
        <v>0</v>
      </c>
    </row>
    <row r="284" spans="1:10" x14ac:dyDescent="0.3">
      <c r="A284" s="15">
        <v>45323</v>
      </c>
      <c r="B284" t="s">
        <v>141</v>
      </c>
      <c r="C284" t="s">
        <v>125</v>
      </c>
      <c r="D284" t="s">
        <v>99</v>
      </c>
      <c r="E284" t="s">
        <v>103</v>
      </c>
      <c r="F284">
        <v>100200</v>
      </c>
      <c r="G284" t="s">
        <v>331</v>
      </c>
      <c r="H284" s="15">
        <v>45292</v>
      </c>
      <c r="I284">
        <v>100200</v>
      </c>
      <c r="J284">
        <v>0</v>
      </c>
    </row>
    <row r="285" spans="1:10" x14ac:dyDescent="0.3">
      <c r="A285" s="15">
        <v>45323</v>
      </c>
      <c r="B285" t="s">
        <v>142</v>
      </c>
      <c r="C285" t="s">
        <v>125</v>
      </c>
      <c r="D285" t="s">
        <v>82</v>
      </c>
      <c r="E285" t="s">
        <v>92</v>
      </c>
      <c r="F285">
        <v>81400</v>
      </c>
      <c r="G285" t="s">
        <v>331</v>
      </c>
      <c r="H285" s="15">
        <v>45292</v>
      </c>
      <c r="I285">
        <v>81400</v>
      </c>
      <c r="J285">
        <v>0</v>
      </c>
    </row>
    <row r="286" spans="1:10" x14ac:dyDescent="0.3">
      <c r="A286" s="15">
        <v>45323</v>
      </c>
      <c r="B286" t="s">
        <v>143</v>
      </c>
      <c r="C286" t="s">
        <v>91</v>
      </c>
      <c r="D286" t="s">
        <v>99</v>
      </c>
      <c r="E286" t="s">
        <v>103</v>
      </c>
      <c r="F286">
        <v>8000</v>
      </c>
      <c r="G286" t="s">
        <v>331</v>
      </c>
      <c r="H286" s="15">
        <v>45292</v>
      </c>
      <c r="I286">
        <v>8000</v>
      </c>
      <c r="J286">
        <v>0</v>
      </c>
    </row>
    <row r="287" spans="1:10" x14ac:dyDescent="0.3">
      <c r="A287" s="15">
        <v>45323</v>
      </c>
      <c r="B287" t="s">
        <v>144</v>
      </c>
      <c r="C287" t="s">
        <v>81</v>
      </c>
      <c r="D287" t="s">
        <v>82</v>
      </c>
      <c r="E287" t="s">
        <v>92</v>
      </c>
      <c r="F287">
        <v>3100</v>
      </c>
      <c r="G287" t="s">
        <v>331</v>
      </c>
      <c r="H287" s="15">
        <v>45292</v>
      </c>
      <c r="I287">
        <v>3100</v>
      </c>
      <c r="J287">
        <v>0</v>
      </c>
    </row>
    <row r="288" spans="1:10" x14ac:dyDescent="0.3">
      <c r="A288" s="15">
        <v>45323</v>
      </c>
      <c r="B288" t="s">
        <v>145</v>
      </c>
      <c r="C288" t="s">
        <v>91</v>
      </c>
      <c r="D288" t="s">
        <v>82</v>
      </c>
      <c r="E288" t="s">
        <v>87</v>
      </c>
      <c r="F288">
        <v>8200</v>
      </c>
      <c r="G288" t="s">
        <v>331</v>
      </c>
      <c r="H288" s="15">
        <v>45292</v>
      </c>
      <c r="I288">
        <v>8200</v>
      </c>
      <c r="J288">
        <v>0</v>
      </c>
    </row>
    <row r="289" spans="1:10" x14ac:dyDescent="0.3">
      <c r="A289" s="15">
        <v>45323</v>
      </c>
      <c r="B289" t="s">
        <v>146</v>
      </c>
      <c r="C289" t="s">
        <v>91</v>
      </c>
      <c r="D289" t="s">
        <v>86</v>
      </c>
      <c r="E289" t="s">
        <v>87</v>
      </c>
      <c r="F289">
        <v>9200</v>
      </c>
      <c r="G289" t="s">
        <v>331</v>
      </c>
      <c r="H289" s="15">
        <v>45292</v>
      </c>
      <c r="I289">
        <v>9200</v>
      </c>
      <c r="J289">
        <v>0</v>
      </c>
    </row>
    <row r="290" spans="1:10" x14ac:dyDescent="0.3">
      <c r="A290" s="15">
        <v>45323</v>
      </c>
      <c r="B290" t="s">
        <v>147</v>
      </c>
      <c r="C290" t="s">
        <v>81</v>
      </c>
      <c r="D290" t="s">
        <v>82</v>
      </c>
      <c r="E290" t="s">
        <v>92</v>
      </c>
      <c r="F290">
        <v>2600</v>
      </c>
      <c r="G290" t="s">
        <v>331</v>
      </c>
      <c r="H290" s="15">
        <v>45292</v>
      </c>
      <c r="I290">
        <v>2600</v>
      </c>
      <c r="J290">
        <v>0</v>
      </c>
    </row>
    <row r="291" spans="1:10" x14ac:dyDescent="0.3">
      <c r="A291" s="15">
        <v>45323</v>
      </c>
      <c r="B291" t="s">
        <v>148</v>
      </c>
      <c r="C291" t="s">
        <v>110</v>
      </c>
      <c r="D291" t="s">
        <v>86</v>
      </c>
      <c r="E291" t="s">
        <v>89</v>
      </c>
      <c r="F291">
        <v>23500</v>
      </c>
      <c r="G291" t="s">
        <v>331</v>
      </c>
      <c r="H291" s="15">
        <v>45292</v>
      </c>
      <c r="I291">
        <v>23500</v>
      </c>
      <c r="J291">
        <v>0</v>
      </c>
    </row>
    <row r="292" spans="1:10" x14ac:dyDescent="0.3">
      <c r="A292" s="15">
        <v>45323</v>
      </c>
      <c r="B292" t="s">
        <v>149</v>
      </c>
      <c r="C292" t="s">
        <v>110</v>
      </c>
      <c r="D292" t="s">
        <v>82</v>
      </c>
      <c r="E292" t="s">
        <v>103</v>
      </c>
      <c r="F292">
        <v>31000</v>
      </c>
      <c r="G292" t="s">
        <v>331</v>
      </c>
      <c r="H292" s="15">
        <v>45292</v>
      </c>
      <c r="I292">
        <v>31000</v>
      </c>
      <c r="J292">
        <v>0</v>
      </c>
    </row>
    <row r="293" spans="1:10" x14ac:dyDescent="0.3">
      <c r="A293" s="15">
        <v>45323</v>
      </c>
      <c r="B293" t="s">
        <v>150</v>
      </c>
      <c r="C293" t="s">
        <v>91</v>
      </c>
      <c r="D293" t="s">
        <v>99</v>
      </c>
      <c r="E293" t="s">
        <v>101</v>
      </c>
      <c r="F293">
        <v>8700</v>
      </c>
      <c r="G293" t="s">
        <v>331</v>
      </c>
      <c r="H293" s="15">
        <v>45292</v>
      </c>
      <c r="I293">
        <v>8700</v>
      </c>
      <c r="J293">
        <v>0</v>
      </c>
    </row>
    <row r="294" spans="1:10" x14ac:dyDescent="0.3">
      <c r="A294" s="15">
        <v>45323</v>
      </c>
      <c r="B294" t="s">
        <v>151</v>
      </c>
      <c r="C294" t="s">
        <v>91</v>
      </c>
      <c r="D294" t="s">
        <v>82</v>
      </c>
      <c r="E294" t="s">
        <v>97</v>
      </c>
      <c r="F294">
        <v>8200</v>
      </c>
      <c r="G294" t="s">
        <v>331</v>
      </c>
      <c r="H294" s="15">
        <v>45292</v>
      </c>
      <c r="I294">
        <v>8200</v>
      </c>
      <c r="J294">
        <v>0</v>
      </c>
    </row>
    <row r="295" spans="1:10" x14ac:dyDescent="0.3">
      <c r="A295" s="15">
        <v>45323</v>
      </c>
      <c r="B295" t="s">
        <v>152</v>
      </c>
      <c r="C295" t="s">
        <v>81</v>
      </c>
      <c r="D295" t="s">
        <v>99</v>
      </c>
      <c r="E295" t="s">
        <v>87</v>
      </c>
      <c r="F295">
        <v>3100</v>
      </c>
      <c r="G295" t="s">
        <v>331</v>
      </c>
      <c r="H295" s="15">
        <v>45292</v>
      </c>
      <c r="I295">
        <v>3100</v>
      </c>
      <c r="J295">
        <v>0</v>
      </c>
    </row>
    <row r="296" spans="1:10" x14ac:dyDescent="0.3">
      <c r="A296" s="15">
        <v>45323</v>
      </c>
      <c r="B296" t="s">
        <v>153</v>
      </c>
      <c r="C296" t="s">
        <v>110</v>
      </c>
      <c r="D296" t="s">
        <v>99</v>
      </c>
      <c r="E296" t="s">
        <v>87</v>
      </c>
      <c r="F296">
        <v>31500</v>
      </c>
      <c r="G296" t="s">
        <v>331</v>
      </c>
      <c r="H296" s="15">
        <v>45292</v>
      </c>
      <c r="I296">
        <v>31500</v>
      </c>
      <c r="J296">
        <v>0</v>
      </c>
    </row>
    <row r="297" spans="1:10" x14ac:dyDescent="0.3">
      <c r="A297" s="15">
        <v>45323</v>
      </c>
      <c r="B297" t="s">
        <v>154</v>
      </c>
      <c r="C297" t="s">
        <v>91</v>
      </c>
      <c r="D297" t="s">
        <v>86</v>
      </c>
      <c r="E297" t="s">
        <v>103</v>
      </c>
      <c r="F297">
        <v>8800</v>
      </c>
      <c r="G297" t="s">
        <v>331</v>
      </c>
      <c r="H297" s="15">
        <v>45292</v>
      </c>
      <c r="I297">
        <v>8800</v>
      </c>
      <c r="J297">
        <v>0</v>
      </c>
    </row>
    <row r="298" spans="1:10" x14ac:dyDescent="0.3">
      <c r="A298" s="15">
        <v>45323</v>
      </c>
      <c r="B298" t="s">
        <v>155</v>
      </c>
      <c r="C298" t="s">
        <v>91</v>
      </c>
      <c r="D298" t="s">
        <v>82</v>
      </c>
      <c r="E298" t="s">
        <v>92</v>
      </c>
      <c r="F298">
        <v>7100</v>
      </c>
      <c r="G298" t="s">
        <v>331</v>
      </c>
      <c r="H298" s="15">
        <v>45292</v>
      </c>
      <c r="I298">
        <v>7100</v>
      </c>
      <c r="J298">
        <v>0</v>
      </c>
    </row>
    <row r="299" spans="1:10" x14ac:dyDescent="0.3">
      <c r="A299" s="15">
        <v>45323</v>
      </c>
      <c r="B299" t="s">
        <v>156</v>
      </c>
      <c r="C299" t="s">
        <v>81</v>
      </c>
      <c r="D299" t="s">
        <v>86</v>
      </c>
      <c r="E299" t="s">
        <v>101</v>
      </c>
      <c r="F299">
        <v>2300</v>
      </c>
      <c r="G299" t="s">
        <v>331</v>
      </c>
      <c r="H299" s="15">
        <v>45292</v>
      </c>
      <c r="I299">
        <v>2300</v>
      </c>
      <c r="J299">
        <v>0</v>
      </c>
    </row>
    <row r="300" spans="1:10" x14ac:dyDescent="0.3">
      <c r="A300" s="15">
        <v>45323</v>
      </c>
      <c r="B300" t="s">
        <v>157</v>
      </c>
      <c r="C300" t="s">
        <v>81</v>
      </c>
      <c r="D300" t="s">
        <v>82</v>
      </c>
      <c r="E300" t="s">
        <v>92</v>
      </c>
      <c r="F300">
        <v>1800</v>
      </c>
      <c r="G300" t="s">
        <v>334</v>
      </c>
      <c r="H300" s="15">
        <v>45292</v>
      </c>
      <c r="I300">
        <v>2000</v>
      </c>
      <c r="J300">
        <v>-200</v>
      </c>
    </row>
    <row r="301" spans="1:10" x14ac:dyDescent="0.3">
      <c r="A301" s="15">
        <v>45323</v>
      </c>
      <c r="B301" t="s">
        <v>158</v>
      </c>
      <c r="C301" t="s">
        <v>91</v>
      </c>
      <c r="D301" t="s">
        <v>96</v>
      </c>
      <c r="E301" t="s">
        <v>83</v>
      </c>
      <c r="F301">
        <v>11400</v>
      </c>
      <c r="G301" t="s">
        <v>331</v>
      </c>
      <c r="H301" s="15">
        <v>45292</v>
      </c>
      <c r="I301">
        <v>11400</v>
      </c>
      <c r="J301">
        <v>0</v>
      </c>
    </row>
    <row r="302" spans="1:10" x14ac:dyDescent="0.3">
      <c r="A302" s="15">
        <v>45323</v>
      </c>
      <c r="B302" t="s">
        <v>159</v>
      </c>
      <c r="C302" t="s">
        <v>81</v>
      </c>
      <c r="D302" t="s">
        <v>86</v>
      </c>
      <c r="E302" t="s">
        <v>87</v>
      </c>
      <c r="F302">
        <v>2800</v>
      </c>
      <c r="G302" t="s">
        <v>331</v>
      </c>
      <c r="H302" s="15">
        <v>45292</v>
      </c>
      <c r="I302">
        <v>2800</v>
      </c>
      <c r="J302">
        <v>0</v>
      </c>
    </row>
    <row r="303" spans="1:10" x14ac:dyDescent="0.3">
      <c r="A303" s="15">
        <v>45323</v>
      </c>
      <c r="B303" t="s">
        <v>160</v>
      </c>
      <c r="C303" t="s">
        <v>81</v>
      </c>
      <c r="D303" t="s">
        <v>96</v>
      </c>
      <c r="E303" t="s">
        <v>97</v>
      </c>
      <c r="F303">
        <v>0</v>
      </c>
      <c r="G303" t="s">
        <v>333</v>
      </c>
      <c r="H303" s="15">
        <v>45292</v>
      </c>
      <c r="I303">
        <v>2300</v>
      </c>
      <c r="J303">
        <v>-2300</v>
      </c>
    </row>
    <row r="304" spans="1:10" x14ac:dyDescent="0.3">
      <c r="A304" s="15">
        <v>45323</v>
      </c>
      <c r="B304" t="s">
        <v>161</v>
      </c>
      <c r="C304" t="s">
        <v>91</v>
      </c>
      <c r="D304" t="s">
        <v>99</v>
      </c>
      <c r="E304" t="s">
        <v>83</v>
      </c>
      <c r="F304">
        <v>12100</v>
      </c>
      <c r="G304" t="s">
        <v>331</v>
      </c>
      <c r="H304" s="15">
        <v>45292</v>
      </c>
      <c r="I304">
        <v>12100</v>
      </c>
      <c r="J304">
        <v>0</v>
      </c>
    </row>
    <row r="305" spans="1:10" x14ac:dyDescent="0.3">
      <c r="A305" s="15">
        <v>45323</v>
      </c>
      <c r="B305" t="s">
        <v>162</v>
      </c>
      <c r="C305" t="s">
        <v>91</v>
      </c>
      <c r="D305" t="s">
        <v>82</v>
      </c>
      <c r="E305" t="s">
        <v>103</v>
      </c>
      <c r="F305">
        <v>12700</v>
      </c>
      <c r="G305" t="s">
        <v>332</v>
      </c>
      <c r="H305" s="15">
        <v>45292</v>
      </c>
      <c r="I305">
        <v>11300</v>
      </c>
      <c r="J305">
        <v>1400</v>
      </c>
    </row>
    <row r="306" spans="1:10" x14ac:dyDescent="0.3">
      <c r="A306" s="15">
        <v>45323</v>
      </c>
      <c r="B306" t="s">
        <v>163</v>
      </c>
      <c r="C306" t="s">
        <v>81</v>
      </c>
      <c r="D306" t="s">
        <v>86</v>
      </c>
      <c r="E306" t="s">
        <v>97</v>
      </c>
      <c r="F306">
        <v>2600</v>
      </c>
      <c r="G306" t="s">
        <v>331</v>
      </c>
      <c r="H306" s="15">
        <v>45292</v>
      </c>
      <c r="I306">
        <v>2600</v>
      </c>
      <c r="J306">
        <v>0</v>
      </c>
    </row>
    <row r="307" spans="1:10" x14ac:dyDescent="0.3">
      <c r="A307" s="15">
        <v>45323</v>
      </c>
      <c r="B307" t="s">
        <v>164</v>
      </c>
      <c r="C307" t="s">
        <v>81</v>
      </c>
      <c r="D307" t="s">
        <v>99</v>
      </c>
      <c r="E307" t="s">
        <v>89</v>
      </c>
      <c r="F307">
        <v>2500</v>
      </c>
      <c r="G307" t="s">
        <v>331</v>
      </c>
      <c r="H307" s="15">
        <v>45292</v>
      </c>
      <c r="I307">
        <v>2500</v>
      </c>
      <c r="J307">
        <v>0</v>
      </c>
    </row>
    <row r="308" spans="1:10" x14ac:dyDescent="0.3">
      <c r="A308" s="15">
        <v>45323</v>
      </c>
      <c r="B308" t="s">
        <v>165</v>
      </c>
      <c r="C308" t="s">
        <v>81</v>
      </c>
      <c r="D308" t="s">
        <v>82</v>
      </c>
      <c r="E308" t="s">
        <v>97</v>
      </c>
      <c r="F308">
        <v>3300</v>
      </c>
      <c r="G308" t="s">
        <v>331</v>
      </c>
      <c r="H308" s="15">
        <v>45292</v>
      </c>
      <c r="I308">
        <v>3300</v>
      </c>
      <c r="J308">
        <v>0</v>
      </c>
    </row>
    <row r="309" spans="1:10" x14ac:dyDescent="0.3">
      <c r="A309" s="15">
        <v>45323</v>
      </c>
      <c r="B309" t="s">
        <v>166</v>
      </c>
      <c r="C309" t="s">
        <v>81</v>
      </c>
      <c r="D309" t="s">
        <v>99</v>
      </c>
      <c r="E309" t="s">
        <v>103</v>
      </c>
      <c r="F309">
        <v>2300</v>
      </c>
      <c r="G309" t="s">
        <v>331</v>
      </c>
      <c r="H309" s="15">
        <v>45292</v>
      </c>
      <c r="I309">
        <v>2300</v>
      </c>
      <c r="J309">
        <v>0</v>
      </c>
    </row>
    <row r="310" spans="1:10" x14ac:dyDescent="0.3">
      <c r="A310" s="15">
        <v>45323</v>
      </c>
      <c r="B310" t="s">
        <v>167</v>
      </c>
      <c r="C310" t="s">
        <v>81</v>
      </c>
      <c r="D310" t="s">
        <v>82</v>
      </c>
      <c r="E310" t="s">
        <v>97</v>
      </c>
      <c r="F310">
        <v>2100</v>
      </c>
      <c r="G310" t="s">
        <v>331</v>
      </c>
      <c r="H310" s="15">
        <v>45292</v>
      </c>
      <c r="I310">
        <v>2100</v>
      </c>
      <c r="J310">
        <v>0</v>
      </c>
    </row>
    <row r="311" spans="1:10" x14ac:dyDescent="0.3">
      <c r="A311" s="15">
        <v>45323</v>
      </c>
      <c r="B311" t="s">
        <v>168</v>
      </c>
      <c r="C311" t="s">
        <v>91</v>
      </c>
      <c r="D311" t="s">
        <v>86</v>
      </c>
      <c r="E311" t="s">
        <v>103</v>
      </c>
      <c r="F311">
        <v>12300</v>
      </c>
      <c r="G311" t="s">
        <v>331</v>
      </c>
      <c r="H311" s="15">
        <v>45292</v>
      </c>
      <c r="I311">
        <v>12300</v>
      </c>
      <c r="J311">
        <v>0</v>
      </c>
    </row>
    <row r="312" spans="1:10" x14ac:dyDescent="0.3">
      <c r="A312" s="15">
        <v>45323</v>
      </c>
      <c r="B312" t="s">
        <v>169</v>
      </c>
      <c r="C312" t="s">
        <v>81</v>
      </c>
      <c r="D312" t="s">
        <v>86</v>
      </c>
      <c r="E312" t="s">
        <v>103</v>
      </c>
      <c r="F312">
        <v>2000</v>
      </c>
      <c r="G312" t="s">
        <v>331</v>
      </c>
      <c r="H312" s="15">
        <v>45292</v>
      </c>
      <c r="I312">
        <v>2000</v>
      </c>
      <c r="J312">
        <v>0</v>
      </c>
    </row>
    <row r="313" spans="1:10" x14ac:dyDescent="0.3">
      <c r="A313" s="15">
        <v>45323</v>
      </c>
      <c r="B313" t="s">
        <v>170</v>
      </c>
      <c r="C313" t="s">
        <v>91</v>
      </c>
      <c r="D313" t="s">
        <v>99</v>
      </c>
      <c r="E313" t="s">
        <v>83</v>
      </c>
      <c r="F313">
        <v>6500</v>
      </c>
      <c r="G313" t="s">
        <v>331</v>
      </c>
      <c r="H313" s="15">
        <v>45292</v>
      </c>
      <c r="I313">
        <v>6500</v>
      </c>
      <c r="J313">
        <v>0</v>
      </c>
    </row>
    <row r="314" spans="1:10" x14ac:dyDescent="0.3">
      <c r="A314" s="15">
        <v>45323</v>
      </c>
      <c r="B314" t="s">
        <v>171</v>
      </c>
      <c r="C314" t="s">
        <v>81</v>
      </c>
      <c r="D314" t="s">
        <v>99</v>
      </c>
      <c r="E314" t="s">
        <v>97</v>
      </c>
      <c r="F314">
        <v>2100</v>
      </c>
      <c r="G314" t="s">
        <v>331</v>
      </c>
      <c r="H314" s="15">
        <v>45292</v>
      </c>
      <c r="I314">
        <v>2100</v>
      </c>
      <c r="J314">
        <v>0</v>
      </c>
    </row>
    <row r="315" spans="1:10" x14ac:dyDescent="0.3">
      <c r="A315" s="15">
        <v>45323</v>
      </c>
      <c r="B315" t="s">
        <v>172</v>
      </c>
      <c r="C315" t="s">
        <v>91</v>
      </c>
      <c r="D315" t="s">
        <v>96</v>
      </c>
      <c r="E315" t="s">
        <v>101</v>
      </c>
      <c r="F315">
        <v>7700</v>
      </c>
      <c r="G315" t="s">
        <v>331</v>
      </c>
      <c r="H315" s="15">
        <v>45292</v>
      </c>
      <c r="I315">
        <v>7700</v>
      </c>
      <c r="J315">
        <v>0</v>
      </c>
    </row>
    <row r="316" spans="1:10" x14ac:dyDescent="0.3">
      <c r="A316" s="15">
        <v>45323</v>
      </c>
      <c r="B316" t="s">
        <v>173</v>
      </c>
      <c r="C316" t="s">
        <v>81</v>
      </c>
      <c r="D316" t="s">
        <v>86</v>
      </c>
      <c r="E316" t="s">
        <v>103</v>
      </c>
      <c r="F316">
        <v>3700</v>
      </c>
      <c r="G316" t="s">
        <v>331</v>
      </c>
      <c r="H316" s="15">
        <v>45292</v>
      </c>
      <c r="I316">
        <v>3700</v>
      </c>
      <c r="J316">
        <v>0</v>
      </c>
    </row>
    <row r="317" spans="1:10" x14ac:dyDescent="0.3">
      <c r="A317" s="15">
        <v>45323</v>
      </c>
      <c r="B317" t="s">
        <v>174</v>
      </c>
      <c r="C317" t="s">
        <v>81</v>
      </c>
      <c r="D317" t="s">
        <v>82</v>
      </c>
      <c r="E317" t="s">
        <v>92</v>
      </c>
      <c r="F317">
        <v>2100</v>
      </c>
      <c r="G317" t="s">
        <v>331</v>
      </c>
      <c r="H317" s="15">
        <v>45292</v>
      </c>
      <c r="I317">
        <v>2100</v>
      </c>
      <c r="J317">
        <v>0</v>
      </c>
    </row>
    <row r="318" spans="1:10" x14ac:dyDescent="0.3">
      <c r="A318" s="15">
        <v>45323</v>
      </c>
      <c r="B318" t="s">
        <v>175</v>
      </c>
      <c r="C318" t="s">
        <v>91</v>
      </c>
      <c r="D318" t="s">
        <v>96</v>
      </c>
      <c r="E318" t="s">
        <v>83</v>
      </c>
      <c r="F318">
        <v>8800</v>
      </c>
      <c r="G318" t="s">
        <v>331</v>
      </c>
      <c r="H318" s="15">
        <v>45292</v>
      </c>
      <c r="I318">
        <v>8800</v>
      </c>
      <c r="J318">
        <v>0</v>
      </c>
    </row>
    <row r="319" spans="1:10" x14ac:dyDescent="0.3">
      <c r="A319" s="15">
        <v>45323</v>
      </c>
      <c r="B319" t="s">
        <v>176</v>
      </c>
      <c r="C319" t="s">
        <v>81</v>
      </c>
      <c r="D319" t="s">
        <v>99</v>
      </c>
      <c r="E319" t="s">
        <v>92</v>
      </c>
      <c r="F319">
        <v>2700</v>
      </c>
      <c r="G319" t="s">
        <v>331</v>
      </c>
      <c r="H319" s="15">
        <v>45292</v>
      </c>
      <c r="I319">
        <v>2700</v>
      </c>
      <c r="J319">
        <v>0</v>
      </c>
    </row>
    <row r="320" spans="1:10" x14ac:dyDescent="0.3">
      <c r="A320" s="15">
        <v>45323</v>
      </c>
      <c r="B320" t="s">
        <v>177</v>
      </c>
      <c r="C320" t="s">
        <v>81</v>
      </c>
      <c r="D320" t="s">
        <v>96</v>
      </c>
      <c r="E320" t="s">
        <v>83</v>
      </c>
      <c r="F320">
        <v>2900</v>
      </c>
      <c r="G320" t="s">
        <v>331</v>
      </c>
      <c r="H320" s="15">
        <v>45292</v>
      </c>
      <c r="I320">
        <v>2900</v>
      </c>
      <c r="J320">
        <v>0</v>
      </c>
    </row>
    <row r="321" spans="1:10" x14ac:dyDescent="0.3">
      <c r="A321" s="15">
        <v>45323</v>
      </c>
      <c r="B321" t="s">
        <v>178</v>
      </c>
      <c r="C321" t="s">
        <v>91</v>
      </c>
      <c r="D321" t="s">
        <v>82</v>
      </c>
      <c r="E321" t="s">
        <v>89</v>
      </c>
      <c r="F321">
        <v>8400</v>
      </c>
      <c r="G321" t="s">
        <v>331</v>
      </c>
      <c r="H321" s="15">
        <v>45292</v>
      </c>
      <c r="I321">
        <v>8400</v>
      </c>
      <c r="J321">
        <v>0</v>
      </c>
    </row>
    <row r="322" spans="1:10" x14ac:dyDescent="0.3">
      <c r="A322" s="15">
        <v>45323</v>
      </c>
      <c r="B322" t="s">
        <v>179</v>
      </c>
      <c r="C322" t="s">
        <v>110</v>
      </c>
      <c r="D322" t="s">
        <v>86</v>
      </c>
      <c r="E322" t="s">
        <v>87</v>
      </c>
      <c r="F322">
        <v>28300</v>
      </c>
      <c r="G322" t="s">
        <v>331</v>
      </c>
      <c r="H322" s="15">
        <v>45292</v>
      </c>
      <c r="I322">
        <v>28300</v>
      </c>
      <c r="J322">
        <v>0</v>
      </c>
    </row>
    <row r="323" spans="1:10" x14ac:dyDescent="0.3">
      <c r="A323" s="15">
        <v>45323</v>
      </c>
      <c r="B323" t="s">
        <v>180</v>
      </c>
      <c r="C323" t="s">
        <v>91</v>
      </c>
      <c r="D323" t="s">
        <v>86</v>
      </c>
      <c r="E323" t="s">
        <v>83</v>
      </c>
      <c r="F323">
        <v>8500</v>
      </c>
      <c r="G323" t="s">
        <v>331</v>
      </c>
      <c r="H323" s="15">
        <v>45292</v>
      </c>
      <c r="I323">
        <v>8500</v>
      </c>
      <c r="J323">
        <v>0</v>
      </c>
    </row>
    <row r="324" spans="1:10" x14ac:dyDescent="0.3">
      <c r="A324" s="15">
        <v>45323</v>
      </c>
      <c r="B324" t="s">
        <v>181</v>
      </c>
      <c r="C324" t="s">
        <v>91</v>
      </c>
      <c r="D324" t="s">
        <v>82</v>
      </c>
      <c r="E324" t="s">
        <v>97</v>
      </c>
      <c r="F324">
        <v>10100</v>
      </c>
      <c r="G324" t="s">
        <v>331</v>
      </c>
      <c r="H324" s="15">
        <v>45292</v>
      </c>
      <c r="I324">
        <v>10100</v>
      </c>
      <c r="J324">
        <v>0</v>
      </c>
    </row>
    <row r="325" spans="1:10" x14ac:dyDescent="0.3">
      <c r="A325" s="15">
        <v>45323</v>
      </c>
      <c r="B325" t="s">
        <v>182</v>
      </c>
      <c r="C325" t="s">
        <v>125</v>
      </c>
      <c r="D325" t="s">
        <v>82</v>
      </c>
      <c r="E325" t="s">
        <v>92</v>
      </c>
      <c r="F325">
        <v>80700</v>
      </c>
      <c r="G325" t="s">
        <v>331</v>
      </c>
      <c r="H325" s="15">
        <v>45292</v>
      </c>
      <c r="I325">
        <v>80700</v>
      </c>
      <c r="J325">
        <v>0</v>
      </c>
    </row>
    <row r="326" spans="1:10" x14ac:dyDescent="0.3">
      <c r="A326" s="15">
        <v>45323</v>
      </c>
      <c r="B326" t="s">
        <v>183</v>
      </c>
      <c r="C326" t="s">
        <v>91</v>
      </c>
      <c r="D326" t="s">
        <v>96</v>
      </c>
      <c r="E326" t="s">
        <v>92</v>
      </c>
      <c r="F326">
        <v>9500</v>
      </c>
      <c r="G326" t="s">
        <v>331</v>
      </c>
      <c r="H326" s="15">
        <v>45292</v>
      </c>
      <c r="I326">
        <v>9500</v>
      </c>
      <c r="J326">
        <v>0</v>
      </c>
    </row>
    <row r="327" spans="1:10" x14ac:dyDescent="0.3">
      <c r="A327" s="15">
        <v>45323</v>
      </c>
      <c r="B327" t="s">
        <v>184</v>
      </c>
      <c r="C327" t="s">
        <v>81</v>
      </c>
      <c r="D327" t="s">
        <v>82</v>
      </c>
      <c r="E327" t="s">
        <v>83</v>
      </c>
      <c r="F327">
        <v>2600</v>
      </c>
      <c r="G327" t="s">
        <v>331</v>
      </c>
      <c r="H327" s="15">
        <v>45292</v>
      </c>
      <c r="I327">
        <v>2600</v>
      </c>
      <c r="J327">
        <v>0</v>
      </c>
    </row>
    <row r="328" spans="1:10" x14ac:dyDescent="0.3">
      <c r="A328" s="15">
        <v>45323</v>
      </c>
      <c r="B328" t="s">
        <v>185</v>
      </c>
      <c r="C328" t="s">
        <v>81</v>
      </c>
      <c r="D328" t="s">
        <v>96</v>
      </c>
      <c r="E328" t="s">
        <v>97</v>
      </c>
      <c r="F328">
        <v>2000</v>
      </c>
      <c r="G328" t="s">
        <v>331</v>
      </c>
      <c r="H328" s="15">
        <v>45292</v>
      </c>
      <c r="I328">
        <v>2000</v>
      </c>
      <c r="J328">
        <v>0</v>
      </c>
    </row>
    <row r="329" spans="1:10" x14ac:dyDescent="0.3">
      <c r="A329" s="15">
        <v>45323</v>
      </c>
      <c r="B329" t="s">
        <v>186</v>
      </c>
      <c r="C329" t="s">
        <v>91</v>
      </c>
      <c r="D329" t="s">
        <v>82</v>
      </c>
      <c r="E329" t="s">
        <v>103</v>
      </c>
      <c r="F329">
        <v>12100</v>
      </c>
      <c r="G329" t="s">
        <v>331</v>
      </c>
      <c r="H329" s="15">
        <v>45292</v>
      </c>
      <c r="I329">
        <v>12100</v>
      </c>
      <c r="J329">
        <v>0</v>
      </c>
    </row>
    <row r="330" spans="1:10" x14ac:dyDescent="0.3">
      <c r="A330" s="15">
        <v>45323</v>
      </c>
      <c r="B330" t="s">
        <v>187</v>
      </c>
      <c r="C330" t="s">
        <v>110</v>
      </c>
      <c r="D330" t="s">
        <v>86</v>
      </c>
      <c r="E330" t="s">
        <v>97</v>
      </c>
      <c r="F330">
        <v>32300</v>
      </c>
      <c r="G330" t="s">
        <v>331</v>
      </c>
      <c r="H330" s="15">
        <v>45292</v>
      </c>
      <c r="I330">
        <v>32300</v>
      </c>
      <c r="J330">
        <v>0</v>
      </c>
    </row>
    <row r="331" spans="1:10" x14ac:dyDescent="0.3">
      <c r="A331" s="15">
        <v>45323</v>
      </c>
      <c r="B331" t="s">
        <v>188</v>
      </c>
      <c r="C331" t="s">
        <v>91</v>
      </c>
      <c r="D331" t="s">
        <v>82</v>
      </c>
      <c r="E331" t="s">
        <v>92</v>
      </c>
      <c r="F331">
        <v>10900</v>
      </c>
      <c r="G331" t="s">
        <v>331</v>
      </c>
      <c r="H331" s="15">
        <v>45292</v>
      </c>
      <c r="I331">
        <v>10900</v>
      </c>
      <c r="J331">
        <v>0</v>
      </c>
    </row>
    <row r="332" spans="1:10" x14ac:dyDescent="0.3">
      <c r="A332" s="15">
        <v>45323</v>
      </c>
      <c r="B332" t="s">
        <v>189</v>
      </c>
      <c r="C332" t="s">
        <v>81</v>
      </c>
      <c r="D332" t="s">
        <v>86</v>
      </c>
      <c r="E332" t="s">
        <v>103</v>
      </c>
      <c r="F332">
        <v>2000</v>
      </c>
      <c r="G332" t="s">
        <v>331</v>
      </c>
      <c r="H332" s="15">
        <v>45292</v>
      </c>
      <c r="I332">
        <v>2000</v>
      </c>
      <c r="J332">
        <v>0</v>
      </c>
    </row>
    <row r="333" spans="1:10" x14ac:dyDescent="0.3">
      <c r="A333" s="15">
        <v>45323</v>
      </c>
      <c r="B333" t="s">
        <v>190</v>
      </c>
      <c r="C333" t="s">
        <v>81</v>
      </c>
      <c r="D333" t="s">
        <v>99</v>
      </c>
      <c r="E333" t="s">
        <v>89</v>
      </c>
      <c r="F333">
        <v>2000</v>
      </c>
      <c r="G333" t="s">
        <v>331</v>
      </c>
      <c r="H333" s="15">
        <v>45292</v>
      </c>
      <c r="I333">
        <v>2000</v>
      </c>
      <c r="J333">
        <v>0</v>
      </c>
    </row>
    <row r="334" spans="1:10" x14ac:dyDescent="0.3">
      <c r="A334" s="15">
        <v>45323</v>
      </c>
      <c r="B334" t="s">
        <v>191</v>
      </c>
      <c r="C334" t="s">
        <v>91</v>
      </c>
      <c r="D334" t="s">
        <v>86</v>
      </c>
      <c r="E334" t="s">
        <v>87</v>
      </c>
      <c r="F334">
        <v>6900</v>
      </c>
      <c r="G334" t="s">
        <v>331</v>
      </c>
      <c r="H334" s="15">
        <v>45292</v>
      </c>
      <c r="I334">
        <v>6900</v>
      </c>
      <c r="J334">
        <v>0</v>
      </c>
    </row>
    <row r="335" spans="1:10" x14ac:dyDescent="0.3">
      <c r="A335" s="15">
        <v>45323</v>
      </c>
      <c r="B335" t="s">
        <v>192</v>
      </c>
      <c r="C335" t="s">
        <v>81</v>
      </c>
      <c r="D335" t="s">
        <v>82</v>
      </c>
      <c r="E335" t="s">
        <v>97</v>
      </c>
      <c r="F335">
        <v>2700</v>
      </c>
      <c r="G335" t="s">
        <v>331</v>
      </c>
      <c r="H335" s="15">
        <v>45292</v>
      </c>
      <c r="I335">
        <v>2700</v>
      </c>
      <c r="J335">
        <v>0</v>
      </c>
    </row>
    <row r="336" spans="1:10" x14ac:dyDescent="0.3">
      <c r="A336" s="15">
        <v>45323</v>
      </c>
      <c r="B336" t="s">
        <v>193</v>
      </c>
      <c r="C336" t="s">
        <v>81</v>
      </c>
      <c r="D336" t="s">
        <v>82</v>
      </c>
      <c r="E336" t="s">
        <v>87</v>
      </c>
      <c r="F336">
        <v>3200</v>
      </c>
      <c r="G336" t="s">
        <v>331</v>
      </c>
      <c r="H336" s="15">
        <v>45292</v>
      </c>
      <c r="I336">
        <v>3200</v>
      </c>
      <c r="J336">
        <v>0</v>
      </c>
    </row>
    <row r="337" spans="1:10" x14ac:dyDescent="0.3">
      <c r="A337" s="15">
        <v>45323</v>
      </c>
      <c r="B337" t="s">
        <v>194</v>
      </c>
      <c r="C337" t="s">
        <v>91</v>
      </c>
      <c r="D337" t="s">
        <v>82</v>
      </c>
      <c r="E337" t="s">
        <v>101</v>
      </c>
      <c r="F337">
        <v>10400</v>
      </c>
      <c r="G337" t="s">
        <v>331</v>
      </c>
      <c r="H337" s="15">
        <v>45292</v>
      </c>
      <c r="I337">
        <v>10400</v>
      </c>
      <c r="J337">
        <v>0</v>
      </c>
    </row>
    <row r="338" spans="1:10" x14ac:dyDescent="0.3">
      <c r="A338" s="15">
        <v>45323</v>
      </c>
      <c r="B338" t="s">
        <v>195</v>
      </c>
      <c r="C338" t="s">
        <v>91</v>
      </c>
      <c r="D338" t="s">
        <v>86</v>
      </c>
      <c r="E338" t="s">
        <v>97</v>
      </c>
      <c r="F338">
        <v>6900</v>
      </c>
      <c r="G338" t="s">
        <v>331</v>
      </c>
      <c r="H338" s="15">
        <v>45292</v>
      </c>
      <c r="I338">
        <v>6900</v>
      </c>
      <c r="J338">
        <v>0</v>
      </c>
    </row>
    <row r="339" spans="1:10" x14ac:dyDescent="0.3">
      <c r="A339" s="15">
        <v>45323</v>
      </c>
      <c r="B339" t="s">
        <v>196</v>
      </c>
      <c r="C339" t="s">
        <v>81</v>
      </c>
      <c r="D339" t="s">
        <v>86</v>
      </c>
      <c r="E339" t="s">
        <v>87</v>
      </c>
      <c r="F339">
        <v>2600</v>
      </c>
      <c r="G339" t="s">
        <v>331</v>
      </c>
      <c r="H339" s="15">
        <v>45292</v>
      </c>
      <c r="I339">
        <v>2600</v>
      </c>
      <c r="J339">
        <v>0</v>
      </c>
    </row>
    <row r="340" spans="1:10" x14ac:dyDescent="0.3">
      <c r="A340" s="15">
        <v>45323</v>
      </c>
      <c r="B340" t="s">
        <v>197</v>
      </c>
      <c r="C340" t="s">
        <v>91</v>
      </c>
      <c r="D340" t="s">
        <v>82</v>
      </c>
      <c r="E340" t="s">
        <v>89</v>
      </c>
      <c r="F340">
        <v>9800</v>
      </c>
      <c r="G340" t="s">
        <v>331</v>
      </c>
      <c r="H340" s="15">
        <v>45292</v>
      </c>
      <c r="I340">
        <v>9800</v>
      </c>
      <c r="J340">
        <v>0</v>
      </c>
    </row>
    <row r="341" spans="1:10" x14ac:dyDescent="0.3">
      <c r="A341" s="15">
        <v>45323</v>
      </c>
      <c r="B341" t="s">
        <v>198</v>
      </c>
      <c r="C341" t="s">
        <v>81</v>
      </c>
      <c r="D341" t="s">
        <v>82</v>
      </c>
      <c r="E341" t="s">
        <v>89</v>
      </c>
      <c r="F341">
        <v>2900</v>
      </c>
      <c r="G341" t="s">
        <v>331</v>
      </c>
      <c r="H341" s="15">
        <v>45292</v>
      </c>
      <c r="I341">
        <v>2900</v>
      </c>
      <c r="J341">
        <v>0</v>
      </c>
    </row>
    <row r="342" spans="1:10" x14ac:dyDescent="0.3">
      <c r="A342" s="15">
        <v>45323</v>
      </c>
      <c r="B342" t="s">
        <v>199</v>
      </c>
      <c r="C342" t="s">
        <v>81</v>
      </c>
      <c r="D342" t="s">
        <v>86</v>
      </c>
      <c r="E342" t="s">
        <v>89</v>
      </c>
      <c r="F342">
        <v>2200</v>
      </c>
      <c r="G342" t="s">
        <v>331</v>
      </c>
      <c r="H342" s="15">
        <v>45292</v>
      </c>
      <c r="I342">
        <v>2200</v>
      </c>
      <c r="J342">
        <v>0</v>
      </c>
    </row>
    <row r="343" spans="1:10" x14ac:dyDescent="0.3">
      <c r="A343" s="15">
        <v>45323</v>
      </c>
      <c r="B343" t="s">
        <v>200</v>
      </c>
      <c r="C343" t="s">
        <v>91</v>
      </c>
      <c r="D343" t="s">
        <v>86</v>
      </c>
      <c r="E343" t="s">
        <v>92</v>
      </c>
      <c r="F343">
        <v>10100</v>
      </c>
      <c r="G343" t="s">
        <v>331</v>
      </c>
      <c r="H343" s="15">
        <v>45292</v>
      </c>
      <c r="I343">
        <v>10100</v>
      </c>
      <c r="J343">
        <v>0</v>
      </c>
    </row>
    <row r="344" spans="1:10" x14ac:dyDescent="0.3">
      <c r="A344" s="15">
        <v>45323</v>
      </c>
      <c r="B344" t="s">
        <v>201</v>
      </c>
      <c r="C344" t="s">
        <v>81</v>
      </c>
      <c r="D344" t="s">
        <v>86</v>
      </c>
      <c r="E344" t="s">
        <v>83</v>
      </c>
      <c r="F344">
        <v>1800</v>
      </c>
      <c r="G344" t="s">
        <v>331</v>
      </c>
      <c r="H344" s="15">
        <v>45292</v>
      </c>
      <c r="I344">
        <v>1800</v>
      </c>
      <c r="J344">
        <v>0</v>
      </c>
    </row>
    <row r="345" spans="1:10" x14ac:dyDescent="0.3">
      <c r="A345" s="15">
        <v>45323</v>
      </c>
      <c r="B345" t="s">
        <v>202</v>
      </c>
      <c r="C345" t="s">
        <v>91</v>
      </c>
      <c r="D345" t="s">
        <v>82</v>
      </c>
      <c r="E345" t="s">
        <v>92</v>
      </c>
      <c r="F345">
        <v>11000</v>
      </c>
      <c r="G345" t="s">
        <v>331</v>
      </c>
      <c r="H345" s="15">
        <v>45292</v>
      </c>
      <c r="I345">
        <v>11000</v>
      </c>
      <c r="J345">
        <v>0</v>
      </c>
    </row>
    <row r="346" spans="1:10" x14ac:dyDescent="0.3">
      <c r="A346" s="15">
        <v>45323</v>
      </c>
      <c r="B346" t="s">
        <v>203</v>
      </c>
      <c r="C346" t="s">
        <v>110</v>
      </c>
      <c r="D346" t="s">
        <v>86</v>
      </c>
      <c r="E346" t="s">
        <v>92</v>
      </c>
      <c r="F346">
        <v>32000</v>
      </c>
      <c r="G346" t="s">
        <v>331</v>
      </c>
      <c r="H346" s="15">
        <v>45292</v>
      </c>
      <c r="I346">
        <v>32000</v>
      </c>
      <c r="J346">
        <v>0</v>
      </c>
    </row>
    <row r="347" spans="1:10" x14ac:dyDescent="0.3">
      <c r="A347" s="15">
        <v>45323</v>
      </c>
      <c r="B347" t="s">
        <v>204</v>
      </c>
      <c r="C347" t="s">
        <v>81</v>
      </c>
      <c r="D347" t="s">
        <v>82</v>
      </c>
      <c r="E347" t="s">
        <v>87</v>
      </c>
      <c r="F347">
        <v>2200</v>
      </c>
      <c r="G347" t="s">
        <v>331</v>
      </c>
      <c r="H347" s="15">
        <v>45292</v>
      </c>
      <c r="I347">
        <v>2200</v>
      </c>
      <c r="J347">
        <v>0</v>
      </c>
    </row>
    <row r="348" spans="1:10" x14ac:dyDescent="0.3">
      <c r="A348" s="15">
        <v>45323</v>
      </c>
      <c r="B348" t="s">
        <v>205</v>
      </c>
      <c r="C348" t="s">
        <v>91</v>
      </c>
      <c r="D348" t="s">
        <v>86</v>
      </c>
      <c r="E348" t="s">
        <v>103</v>
      </c>
      <c r="F348">
        <v>10600</v>
      </c>
      <c r="G348" t="s">
        <v>331</v>
      </c>
      <c r="H348" s="15">
        <v>45292</v>
      </c>
      <c r="I348">
        <v>10600</v>
      </c>
      <c r="J348">
        <v>0</v>
      </c>
    </row>
    <row r="349" spans="1:10" x14ac:dyDescent="0.3">
      <c r="A349" s="15">
        <v>45323</v>
      </c>
      <c r="B349" t="s">
        <v>206</v>
      </c>
      <c r="C349" t="s">
        <v>81</v>
      </c>
      <c r="D349" t="s">
        <v>86</v>
      </c>
      <c r="E349" t="s">
        <v>89</v>
      </c>
      <c r="F349">
        <v>3000</v>
      </c>
      <c r="G349" t="s">
        <v>331</v>
      </c>
      <c r="H349" s="15">
        <v>45292</v>
      </c>
      <c r="I349">
        <v>3000</v>
      </c>
      <c r="J349">
        <v>0</v>
      </c>
    </row>
    <row r="350" spans="1:10" x14ac:dyDescent="0.3">
      <c r="A350" s="15">
        <v>45323</v>
      </c>
      <c r="B350" t="s">
        <v>207</v>
      </c>
      <c r="C350" t="s">
        <v>81</v>
      </c>
      <c r="D350" t="s">
        <v>82</v>
      </c>
      <c r="E350" t="s">
        <v>89</v>
      </c>
      <c r="F350">
        <v>3700</v>
      </c>
      <c r="G350" t="s">
        <v>331</v>
      </c>
      <c r="H350" s="15">
        <v>45292</v>
      </c>
      <c r="I350">
        <v>3700</v>
      </c>
      <c r="J350">
        <v>0</v>
      </c>
    </row>
    <row r="351" spans="1:10" x14ac:dyDescent="0.3">
      <c r="A351" s="15">
        <v>45323</v>
      </c>
      <c r="B351" t="s">
        <v>208</v>
      </c>
      <c r="C351" t="s">
        <v>91</v>
      </c>
      <c r="D351" t="s">
        <v>99</v>
      </c>
      <c r="E351" t="s">
        <v>89</v>
      </c>
      <c r="F351">
        <v>7300</v>
      </c>
      <c r="G351" t="s">
        <v>331</v>
      </c>
      <c r="H351" s="15">
        <v>45292</v>
      </c>
      <c r="I351">
        <v>7300</v>
      </c>
      <c r="J351">
        <v>0</v>
      </c>
    </row>
    <row r="352" spans="1:10" x14ac:dyDescent="0.3">
      <c r="A352" s="15">
        <v>45323</v>
      </c>
      <c r="B352" t="s">
        <v>209</v>
      </c>
      <c r="C352" t="s">
        <v>81</v>
      </c>
      <c r="D352" t="s">
        <v>86</v>
      </c>
      <c r="E352" t="s">
        <v>83</v>
      </c>
      <c r="F352">
        <v>2700</v>
      </c>
      <c r="G352" t="s">
        <v>331</v>
      </c>
      <c r="H352" s="15">
        <v>45292</v>
      </c>
      <c r="I352">
        <v>2700</v>
      </c>
      <c r="J352">
        <v>0</v>
      </c>
    </row>
    <row r="353" spans="1:10" x14ac:dyDescent="0.3">
      <c r="A353" s="15">
        <v>45323</v>
      </c>
      <c r="B353" t="s">
        <v>210</v>
      </c>
      <c r="C353" t="s">
        <v>125</v>
      </c>
      <c r="D353" t="s">
        <v>96</v>
      </c>
      <c r="E353" t="s">
        <v>89</v>
      </c>
      <c r="F353">
        <v>90300</v>
      </c>
      <c r="G353" t="s">
        <v>331</v>
      </c>
      <c r="H353" s="15">
        <v>45292</v>
      </c>
      <c r="I353">
        <v>90300</v>
      </c>
      <c r="J353">
        <v>0</v>
      </c>
    </row>
    <row r="354" spans="1:10" x14ac:dyDescent="0.3">
      <c r="A354" s="15">
        <v>45323</v>
      </c>
      <c r="B354" t="s">
        <v>211</v>
      </c>
      <c r="C354" t="s">
        <v>110</v>
      </c>
      <c r="D354" t="s">
        <v>82</v>
      </c>
      <c r="E354" t="s">
        <v>92</v>
      </c>
      <c r="F354">
        <v>28900</v>
      </c>
      <c r="G354" t="s">
        <v>331</v>
      </c>
      <c r="H354" s="15">
        <v>45292</v>
      </c>
      <c r="I354">
        <v>28900</v>
      </c>
      <c r="J354">
        <v>0</v>
      </c>
    </row>
    <row r="355" spans="1:10" x14ac:dyDescent="0.3">
      <c r="A355" s="15">
        <v>45323</v>
      </c>
      <c r="B355" t="s">
        <v>212</v>
      </c>
      <c r="C355" t="s">
        <v>81</v>
      </c>
      <c r="D355" t="s">
        <v>96</v>
      </c>
      <c r="E355" t="s">
        <v>101</v>
      </c>
      <c r="F355">
        <v>2700</v>
      </c>
      <c r="G355" t="s">
        <v>331</v>
      </c>
      <c r="H355" s="15">
        <v>45292</v>
      </c>
      <c r="I355">
        <v>2700</v>
      </c>
      <c r="J355">
        <v>0</v>
      </c>
    </row>
    <row r="356" spans="1:10" x14ac:dyDescent="0.3">
      <c r="A356" s="15">
        <v>45323</v>
      </c>
      <c r="B356" t="s">
        <v>213</v>
      </c>
      <c r="C356" t="s">
        <v>81</v>
      </c>
      <c r="D356" t="s">
        <v>82</v>
      </c>
      <c r="E356" t="s">
        <v>97</v>
      </c>
      <c r="F356">
        <v>3300</v>
      </c>
      <c r="G356" t="s">
        <v>331</v>
      </c>
      <c r="H356" s="15">
        <v>45292</v>
      </c>
      <c r="I356">
        <v>3300</v>
      </c>
      <c r="J356">
        <v>0</v>
      </c>
    </row>
    <row r="357" spans="1:10" x14ac:dyDescent="0.3">
      <c r="A357" s="15">
        <v>45323</v>
      </c>
      <c r="B357" t="s">
        <v>214</v>
      </c>
      <c r="C357" t="s">
        <v>91</v>
      </c>
      <c r="D357" t="s">
        <v>82</v>
      </c>
      <c r="E357" t="s">
        <v>89</v>
      </c>
      <c r="F357">
        <v>8700</v>
      </c>
      <c r="G357" t="s">
        <v>331</v>
      </c>
      <c r="H357" s="15">
        <v>45292</v>
      </c>
      <c r="I357">
        <v>8700</v>
      </c>
      <c r="J357">
        <v>0</v>
      </c>
    </row>
    <row r="358" spans="1:10" x14ac:dyDescent="0.3">
      <c r="A358" s="15">
        <v>45323</v>
      </c>
      <c r="B358" t="s">
        <v>215</v>
      </c>
      <c r="C358" t="s">
        <v>110</v>
      </c>
      <c r="D358" t="s">
        <v>99</v>
      </c>
      <c r="E358" t="s">
        <v>89</v>
      </c>
      <c r="F358">
        <v>39900</v>
      </c>
      <c r="G358" t="s">
        <v>331</v>
      </c>
      <c r="H358" s="15">
        <v>45292</v>
      </c>
      <c r="I358">
        <v>39900</v>
      </c>
      <c r="J358">
        <v>0</v>
      </c>
    </row>
    <row r="359" spans="1:10" x14ac:dyDescent="0.3">
      <c r="A359" s="15">
        <v>45323</v>
      </c>
      <c r="B359" t="s">
        <v>216</v>
      </c>
      <c r="C359" t="s">
        <v>81</v>
      </c>
      <c r="D359" t="s">
        <v>82</v>
      </c>
      <c r="E359" t="s">
        <v>97</v>
      </c>
      <c r="F359">
        <v>3100</v>
      </c>
      <c r="G359" t="s">
        <v>331</v>
      </c>
      <c r="H359" s="15">
        <v>45292</v>
      </c>
      <c r="I359">
        <v>3100</v>
      </c>
      <c r="J359">
        <v>0</v>
      </c>
    </row>
    <row r="360" spans="1:10" x14ac:dyDescent="0.3">
      <c r="A360" s="15">
        <v>45323</v>
      </c>
      <c r="B360" t="s">
        <v>217</v>
      </c>
      <c r="C360" t="s">
        <v>91</v>
      </c>
      <c r="D360" t="s">
        <v>82</v>
      </c>
      <c r="E360" t="s">
        <v>97</v>
      </c>
      <c r="F360">
        <v>8400</v>
      </c>
      <c r="G360" t="s">
        <v>331</v>
      </c>
      <c r="H360" s="15">
        <v>45292</v>
      </c>
      <c r="I360">
        <v>8400</v>
      </c>
      <c r="J360">
        <v>0</v>
      </c>
    </row>
    <row r="361" spans="1:10" x14ac:dyDescent="0.3">
      <c r="A361" s="15">
        <v>45323</v>
      </c>
      <c r="B361" t="s">
        <v>218</v>
      </c>
      <c r="C361" t="s">
        <v>110</v>
      </c>
      <c r="D361" t="s">
        <v>99</v>
      </c>
      <c r="E361" t="s">
        <v>92</v>
      </c>
      <c r="F361">
        <v>29900</v>
      </c>
      <c r="G361" t="s">
        <v>331</v>
      </c>
      <c r="H361" s="15">
        <v>45292</v>
      </c>
      <c r="I361">
        <v>29900</v>
      </c>
      <c r="J361">
        <v>0</v>
      </c>
    </row>
    <row r="362" spans="1:10" x14ac:dyDescent="0.3">
      <c r="A362" s="15">
        <v>45323</v>
      </c>
      <c r="B362" t="s">
        <v>219</v>
      </c>
      <c r="C362" t="s">
        <v>81</v>
      </c>
      <c r="D362" t="s">
        <v>99</v>
      </c>
      <c r="E362" t="s">
        <v>89</v>
      </c>
      <c r="F362">
        <v>2500</v>
      </c>
      <c r="G362" t="s">
        <v>331</v>
      </c>
      <c r="H362" s="15">
        <v>45292</v>
      </c>
      <c r="I362">
        <v>2500</v>
      </c>
      <c r="J362">
        <v>0</v>
      </c>
    </row>
    <row r="363" spans="1:10" x14ac:dyDescent="0.3">
      <c r="A363" s="15">
        <v>45323</v>
      </c>
      <c r="B363" t="s">
        <v>220</v>
      </c>
      <c r="C363" t="s">
        <v>110</v>
      </c>
      <c r="D363" t="s">
        <v>82</v>
      </c>
      <c r="E363" t="s">
        <v>89</v>
      </c>
      <c r="F363">
        <v>30800</v>
      </c>
      <c r="G363" t="s">
        <v>331</v>
      </c>
      <c r="H363" s="15">
        <v>45292</v>
      </c>
      <c r="I363">
        <v>30800</v>
      </c>
      <c r="J363">
        <v>0</v>
      </c>
    </row>
    <row r="364" spans="1:10" x14ac:dyDescent="0.3">
      <c r="A364" s="15">
        <v>45323</v>
      </c>
      <c r="B364" t="s">
        <v>221</v>
      </c>
      <c r="C364" t="s">
        <v>91</v>
      </c>
      <c r="D364" t="s">
        <v>96</v>
      </c>
      <c r="E364" t="s">
        <v>83</v>
      </c>
      <c r="F364">
        <v>8200</v>
      </c>
      <c r="G364" t="s">
        <v>331</v>
      </c>
      <c r="H364" s="15">
        <v>45292</v>
      </c>
      <c r="I364">
        <v>8200</v>
      </c>
      <c r="J364">
        <v>0</v>
      </c>
    </row>
    <row r="365" spans="1:10" x14ac:dyDescent="0.3">
      <c r="A365" s="15">
        <v>45323</v>
      </c>
      <c r="B365" t="s">
        <v>222</v>
      </c>
      <c r="C365" t="s">
        <v>110</v>
      </c>
      <c r="D365" t="s">
        <v>96</v>
      </c>
      <c r="E365" t="s">
        <v>97</v>
      </c>
      <c r="F365">
        <v>26100</v>
      </c>
      <c r="G365" t="s">
        <v>331</v>
      </c>
      <c r="H365" s="15">
        <v>45292</v>
      </c>
      <c r="I365">
        <v>26100</v>
      </c>
      <c r="J365">
        <v>0</v>
      </c>
    </row>
    <row r="366" spans="1:10" x14ac:dyDescent="0.3">
      <c r="A366" s="15">
        <v>45323</v>
      </c>
      <c r="B366" t="s">
        <v>223</v>
      </c>
      <c r="C366" t="s">
        <v>81</v>
      </c>
      <c r="D366" t="s">
        <v>99</v>
      </c>
      <c r="E366" t="s">
        <v>87</v>
      </c>
      <c r="F366">
        <v>2100</v>
      </c>
      <c r="G366" t="s">
        <v>331</v>
      </c>
      <c r="H366" s="15">
        <v>45292</v>
      </c>
      <c r="I366">
        <v>2100</v>
      </c>
      <c r="J366">
        <v>0</v>
      </c>
    </row>
    <row r="367" spans="1:10" x14ac:dyDescent="0.3">
      <c r="A367" s="15">
        <v>45323</v>
      </c>
      <c r="B367" t="s">
        <v>224</v>
      </c>
      <c r="C367" t="s">
        <v>91</v>
      </c>
      <c r="D367" t="s">
        <v>82</v>
      </c>
      <c r="E367" t="s">
        <v>101</v>
      </c>
      <c r="F367">
        <v>10300</v>
      </c>
      <c r="G367" t="s">
        <v>331</v>
      </c>
      <c r="H367" s="15">
        <v>45292</v>
      </c>
      <c r="I367">
        <v>10300</v>
      </c>
      <c r="J367">
        <v>0</v>
      </c>
    </row>
    <row r="368" spans="1:10" x14ac:dyDescent="0.3">
      <c r="A368" s="15">
        <v>45323</v>
      </c>
      <c r="B368" t="s">
        <v>225</v>
      </c>
      <c r="C368" t="s">
        <v>110</v>
      </c>
      <c r="D368" t="s">
        <v>99</v>
      </c>
      <c r="E368" t="s">
        <v>103</v>
      </c>
      <c r="F368">
        <v>42200</v>
      </c>
      <c r="G368" t="s">
        <v>331</v>
      </c>
      <c r="H368" s="15">
        <v>45292</v>
      </c>
      <c r="I368">
        <v>42200</v>
      </c>
      <c r="J368">
        <v>0</v>
      </c>
    </row>
    <row r="369" spans="1:10" x14ac:dyDescent="0.3">
      <c r="A369" s="15">
        <v>45323</v>
      </c>
      <c r="B369" t="s">
        <v>226</v>
      </c>
      <c r="C369" t="s">
        <v>91</v>
      </c>
      <c r="D369" t="s">
        <v>82</v>
      </c>
      <c r="E369" t="s">
        <v>103</v>
      </c>
      <c r="F369">
        <v>7100</v>
      </c>
      <c r="G369" t="s">
        <v>331</v>
      </c>
      <c r="H369" s="15">
        <v>45292</v>
      </c>
      <c r="I369">
        <v>7100</v>
      </c>
      <c r="J369">
        <v>0</v>
      </c>
    </row>
    <row r="370" spans="1:10" x14ac:dyDescent="0.3">
      <c r="A370" s="15">
        <v>45323</v>
      </c>
      <c r="B370" t="s">
        <v>227</v>
      </c>
      <c r="C370" t="s">
        <v>110</v>
      </c>
      <c r="D370" t="s">
        <v>86</v>
      </c>
      <c r="E370" t="s">
        <v>87</v>
      </c>
      <c r="F370">
        <v>25900</v>
      </c>
      <c r="G370" t="s">
        <v>331</v>
      </c>
      <c r="H370" s="15">
        <v>45292</v>
      </c>
      <c r="I370">
        <v>25900</v>
      </c>
      <c r="J370">
        <v>0</v>
      </c>
    </row>
    <row r="371" spans="1:10" x14ac:dyDescent="0.3">
      <c r="A371" s="15">
        <v>45323</v>
      </c>
      <c r="B371" t="s">
        <v>228</v>
      </c>
      <c r="C371" t="s">
        <v>91</v>
      </c>
      <c r="D371" t="s">
        <v>96</v>
      </c>
      <c r="E371" t="s">
        <v>89</v>
      </c>
      <c r="F371">
        <v>11400</v>
      </c>
      <c r="G371" t="s">
        <v>331</v>
      </c>
      <c r="H371" s="15">
        <v>45292</v>
      </c>
      <c r="I371">
        <v>11400</v>
      </c>
      <c r="J371">
        <v>0</v>
      </c>
    </row>
    <row r="372" spans="1:10" x14ac:dyDescent="0.3">
      <c r="A372" s="15">
        <v>45323</v>
      </c>
      <c r="B372" t="s">
        <v>229</v>
      </c>
      <c r="C372" t="s">
        <v>81</v>
      </c>
      <c r="D372" t="s">
        <v>82</v>
      </c>
      <c r="E372" t="s">
        <v>83</v>
      </c>
      <c r="F372">
        <v>3000</v>
      </c>
      <c r="G372" t="s">
        <v>331</v>
      </c>
      <c r="H372" s="15">
        <v>45292</v>
      </c>
      <c r="I372">
        <v>3000</v>
      </c>
      <c r="J372">
        <v>0</v>
      </c>
    </row>
    <row r="373" spans="1:10" x14ac:dyDescent="0.3">
      <c r="A373" s="15">
        <v>45323</v>
      </c>
      <c r="B373" t="s">
        <v>230</v>
      </c>
      <c r="C373" t="s">
        <v>81</v>
      </c>
      <c r="D373" t="s">
        <v>86</v>
      </c>
      <c r="E373" t="s">
        <v>101</v>
      </c>
      <c r="F373">
        <v>3400</v>
      </c>
      <c r="G373" t="s">
        <v>331</v>
      </c>
      <c r="H373" s="15">
        <v>45292</v>
      </c>
      <c r="I373">
        <v>3400</v>
      </c>
      <c r="J373">
        <v>0</v>
      </c>
    </row>
    <row r="374" spans="1:10" x14ac:dyDescent="0.3">
      <c r="A374" s="15">
        <v>45323</v>
      </c>
      <c r="B374" t="s">
        <v>231</v>
      </c>
      <c r="C374" t="s">
        <v>91</v>
      </c>
      <c r="D374" t="s">
        <v>82</v>
      </c>
      <c r="E374" t="s">
        <v>92</v>
      </c>
      <c r="F374">
        <v>6900</v>
      </c>
      <c r="G374" t="s">
        <v>332</v>
      </c>
      <c r="H374" s="15">
        <v>45292</v>
      </c>
      <c r="I374">
        <v>6200</v>
      </c>
      <c r="J374">
        <v>700</v>
      </c>
    </row>
    <row r="375" spans="1:10" x14ac:dyDescent="0.3">
      <c r="A375" s="15">
        <v>45323</v>
      </c>
      <c r="B375" t="s">
        <v>232</v>
      </c>
      <c r="C375" t="s">
        <v>125</v>
      </c>
      <c r="D375" t="s">
        <v>86</v>
      </c>
      <c r="E375" t="s">
        <v>83</v>
      </c>
      <c r="F375">
        <v>104900</v>
      </c>
      <c r="G375" t="s">
        <v>331</v>
      </c>
      <c r="H375" s="15">
        <v>45292</v>
      </c>
      <c r="I375">
        <v>104900</v>
      </c>
      <c r="J375">
        <v>0</v>
      </c>
    </row>
    <row r="376" spans="1:10" x14ac:dyDescent="0.3">
      <c r="A376" s="15">
        <v>45323</v>
      </c>
      <c r="B376" t="s">
        <v>233</v>
      </c>
      <c r="C376" t="s">
        <v>81</v>
      </c>
      <c r="D376" t="s">
        <v>82</v>
      </c>
      <c r="E376" t="s">
        <v>87</v>
      </c>
      <c r="F376">
        <v>3300</v>
      </c>
      <c r="G376" t="s">
        <v>331</v>
      </c>
      <c r="H376" s="15">
        <v>45292</v>
      </c>
      <c r="I376">
        <v>3300</v>
      </c>
      <c r="J376">
        <v>0</v>
      </c>
    </row>
    <row r="377" spans="1:10" x14ac:dyDescent="0.3">
      <c r="A377" s="15">
        <v>45323</v>
      </c>
      <c r="B377" t="s">
        <v>234</v>
      </c>
      <c r="C377" t="s">
        <v>110</v>
      </c>
      <c r="D377" t="s">
        <v>82</v>
      </c>
      <c r="E377" t="s">
        <v>103</v>
      </c>
      <c r="F377">
        <v>41200</v>
      </c>
      <c r="G377" t="s">
        <v>331</v>
      </c>
      <c r="H377" s="15">
        <v>45292</v>
      </c>
      <c r="I377">
        <v>41200</v>
      </c>
      <c r="J377">
        <v>0</v>
      </c>
    </row>
    <row r="378" spans="1:10" x14ac:dyDescent="0.3">
      <c r="A378" s="15">
        <v>45323</v>
      </c>
      <c r="B378" t="s">
        <v>235</v>
      </c>
      <c r="C378" t="s">
        <v>91</v>
      </c>
      <c r="D378" t="s">
        <v>96</v>
      </c>
      <c r="E378" t="s">
        <v>103</v>
      </c>
      <c r="F378">
        <v>10500</v>
      </c>
      <c r="G378" t="s">
        <v>331</v>
      </c>
      <c r="H378" s="15">
        <v>45292</v>
      </c>
      <c r="I378">
        <v>10500</v>
      </c>
      <c r="J378">
        <v>0</v>
      </c>
    </row>
    <row r="379" spans="1:10" x14ac:dyDescent="0.3">
      <c r="A379" s="15">
        <v>45323</v>
      </c>
      <c r="B379" t="s">
        <v>236</v>
      </c>
      <c r="C379" t="s">
        <v>110</v>
      </c>
      <c r="D379" t="s">
        <v>82</v>
      </c>
      <c r="E379" t="s">
        <v>97</v>
      </c>
      <c r="F379">
        <v>27200</v>
      </c>
      <c r="G379" t="s">
        <v>331</v>
      </c>
      <c r="H379" s="15">
        <v>45292</v>
      </c>
      <c r="I379">
        <v>27200</v>
      </c>
      <c r="J379">
        <v>0</v>
      </c>
    </row>
    <row r="380" spans="1:10" x14ac:dyDescent="0.3">
      <c r="A380" s="15">
        <v>45323</v>
      </c>
      <c r="B380" t="s">
        <v>237</v>
      </c>
      <c r="C380" t="s">
        <v>91</v>
      </c>
      <c r="D380" t="s">
        <v>82</v>
      </c>
      <c r="E380" t="s">
        <v>83</v>
      </c>
      <c r="F380">
        <v>8100</v>
      </c>
      <c r="G380" t="s">
        <v>331</v>
      </c>
      <c r="H380" s="15">
        <v>45292</v>
      </c>
      <c r="I380">
        <v>8100</v>
      </c>
      <c r="J380">
        <v>0</v>
      </c>
    </row>
    <row r="381" spans="1:10" x14ac:dyDescent="0.3">
      <c r="A381" s="15">
        <v>45323</v>
      </c>
      <c r="B381" t="s">
        <v>238</v>
      </c>
      <c r="C381" t="s">
        <v>81</v>
      </c>
      <c r="D381" t="s">
        <v>99</v>
      </c>
      <c r="E381" t="s">
        <v>97</v>
      </c>
      <c r="F381">
        <v>2600</v>
      </c>
      <c r="G381" t="s">
        <v>331</v>
      </c>
      <c r="H381" s="15">
        <v>45292</v>
      </c>
      <c r="I381">
        <v>2600</v>
      </c>
      <c r="J381">
        <v>0</v>
      </c>
    </row>
    <row r="382" spans="1:10" x14ac:dyDescent="0.3">
      <c r="A382" s="15">
        <v>45323</v>
      </c>
      <c r="B382" t="s">
        <v>239</v>
      </c>
      <c r="C382" t="s">
        <v>81</v>
      </c>
      <c r="D382" t="s">
        <v>82</v>
      </c>
      <c r="E382" t="s">
        <v>103</v>
      </c>
      <c r="F382">
        <v>2300</v>
      </c>
      <c r="G382" t="s">
        <v>331</v>
      </c>
      <c r="H382" s="15">
        <v>45292</v>
      </c>
      <c r="I382">
        <v>2300</v>
      </c>
      <c r="J382">
        <v>0</v>
      </c>
    </row>
    <row r="383" spans="1:10" x14ac:dyDescent="0.3">
      <c r="A383" s="15">
        <v>45323</v>
      </c>
      <c r="B383" t="s">
        <v>240</v>
      </c>
      <c r="C383" t="s">
        <v>81</v>
      </c>
      <c r="D383" t="s">
        <v>99</v>
      </c>
      <c r="E383" t="s">
        <v>103</v>
      </c>
      <c r="F383">
        <v>3000</v>
      </c>
      <c r="G383" t="s">
        <v>331</v>
      </c>
      <c r="H383" s="15">
        <v>45292</v>
      </c>
      <c r="I383">
        <v>3000</v>
      </c>
      <c r="J383">
        <v>0</v>
      </c>
    </row>
    <row r="384" spans="1:10" x14ac:dyDescent="0.3">
      <c r="A384" s="15">
        <v>45323</v>
      </c>
      <c r="B384" t="s">
        <v>241</v>
      </c>
      <c r="C384" t="s">
        <v>91</v>
      </c>
      <c r="D384" t="s">
        <v>96</v>
      </c>
      <c r="E384" t="s">
        <v>87</v>
      </c>
      <c r="F384">
        <v>11400</v>
      </c>
      <c r="G384" t="s">
        <v>331</v>
      </c>
      <c r="H384" s="15">
        <v>45292</v>
      </c>
      <c r="I384">
        <v>11400</v>
      </c>
      <c r="J384">
        <v>0</v>
      </c>
    </row>
    <row r="385" spans="1:10" x14ac:dyDescent="0.3">
      <c r="A385" s="15">
        <v>45323</v>
      </c>
      <c r="B385" t="s">
        <v>242</v>
      </c>
      <c r="C385" t="s">
        <v>110</v>
      </c>
      <c r="D385" t="s">
        <v>99</v>
      </c>
      <c r="E385" t="s">
        <v>101</v>
      </c>
      <c r="F385">
        <v>30900</v>
      </c>
      <c r="G385" t="s">
        <v>331</v>
      </c>
      <c r="H385" s="15">
        <v>45292</v>
      </c>
      <c r="I385">
        <v>30900</v>
      </c>
      <c r="J385">
        <v>0</v>
      </c>
    </row>
    <row r="386" spans="1:10" x14ac:dyDescent="0.3">
      <c r="A386" s="15">
        <v>45323</v>
      </c>
      <c r="B386" t="s">
        <v>243</v>
      </c>
      <c r="C386" t="s">
        <v>81</v>
      </c>
      <c r="D386" t="s">
        <v>86</v>
      </c>
      <c r="E386" t="s">
        <v>103</v>
      </c>
      <c r="F386">
        <v>0</v>
      </c>
      <c r="G386" t="s">
        <v>333</v>
      </c>
      <c r="H386" s="15">
        <v>45292</v>
      </c>
      <c r="I386">
        <v>2000</v>
      </c>
      <c r="J386">
        <v>-2000</v>
      </c>
    </row>
    <row r="387" spans="1:10" x14ac:dyDescent="0.3">
      <c r="A387" s="15">
        <v>45323</v>
      </c>
      <c r="B387" t="s">
        <v>244</v>
      </c>
      <c r="C387" t="s">
        <v>91</v>
      </c>
      <c r="D387" t="s">
        <v>82</v>
      </c>
      <c r="E387" t="s">
        <v>92</v>
      </c>
      <c r="F387">
        <v>7800</v>
      </c>
      <c r="G387" t="s">
        <v>331</v>
      </c>
      <c r="H387" s="15">
        <v>45292</v>
      </c>
      <c r="I387">
        <v>7800</v>
      </c>
      <c r="J387">
        <v>0</v>
      </c>
    </row>
    <row r="388" spans="1:10" x14ac:dyDescent="0.3">
      <c r="A388" s="15">
        <v>45323</v>
      </c>
      <c r="B388" t="s">
        <v>245</v>
      </c>
      <c r="C388" t="s">
        <v>81</v>
      </c>
      <c r="D388" t="s">
        <v>99</v>
      </c>
      <c r="E388" t="s">
        <v>97</v>
      </c>
      <c r="F388">
        <v>2600</v>
      </c>
      <c r="G388" t="s">
        <v>331</v>
      </c>
      <c r="H388" s="15">
        <v>45292</v>
      </c>
      <c r="I388">
        <v>2600</v>
      </c>
      <c r="J388">
        <v>0</v>
      </c>
    </row>
    <row r="389" spans="1:10" x14ac:dyDescent="0.3">
      <c r="A389" s="15">
        <v>45323</v>
      </c>
      <c r="B389" t="s">
        <v>246</v>
      </c>
      <c r="C389" t="s">
        <v>91</v>
      </c>
      <c r="D389" t="s">
        <v>86</v>
      </c>
      <c r="E389" t="s">
        <v>103</v>
      </c>
      <c r="F389">
        <v>10100</v>
      </c>
      <c r="G389" t="s">
        <v>331</v>
      </c>
      <c r="H389" s="15">
        <v>45292</v>
      </c>
      <c r="I389">
        <v>10100</v>
      </c>
      <c r="J389">
        <v>0</v>
      </c>
    </row>
    <row r="390" spans="1:10" x14ac:dyDescent="0.3">
      <c r="A390" s="15">
        <v>45323</v>
      </c>
      <c r="B390" t="s">
        <v>247</v>
      </c>
      <c r="C390" t="s">
        <v>91</v>
      </c>
      <c r="D390" t="s">
        <v>86</v>
      </c>
      <c r="E390" t="s">
        <v>89</v>
      </c>
      <c r="F390">
        <v>9100</v>
      </c>
      <c r="G390" t="s">
        <v>331</v>
      </c>
      <c r="H390" s="15">
        <v>45292</v>
      </c>
      <c r="I390">
        <v>9100</v>
      </c>
      <c r="J390">
        <v>0</v>
      </c>
    </row>
    <row r="391" spans="1:10" x14ac:dyDescent="0.3">
      <c r="A391" s="15">
        <v>45323</v>
      </c>
      <c r="B391" t="s">
        <v>248</v>
      </c>
      <c r="C391" t="s">
        <v>81</v>
      </c>
      <c r="D391" t="s">
        <v>82</v>
      </c>
      <c r="E391" t="s">
        <v>103</v>
      </c>
      <c r="F391">
        <v>2100</v>
      </c>
      <c r="G391" t="s">
        <v>331</v>
      </c>
      <c r="H391" s="15">
        <v>45292</v>
      </c>
      <c r="I391">
        <v>2100</v>
      </c>
      <c r="J391">
        <v>0</v>
      </c>
    </row>
    <row r="392" spans="1:10" x14ac:dyDescent="0.3">
      <c r="A392" s="15">
        <v>45323</v>
      </c>
      <c r="B392" t="s">
        <v>249</v>
      </c>
      <c r="C392" t="s">
        <v>91</v>
      </c>
      <c r="D392" t="s">
        <v>99</v>
      </c>
      <c r="E392" t="s">
        <v>103</v>
      </c>
      <c r="F392">
        <v>8700</v>
      </c>
      <c r="G392" t="s">
        <v>331</v>
      </c>
      <c r="H392" s="15">
        <v>45292</v>
      </c>
      <c r="I392">
        <v>8700</v>
      </c>
      <c r="J392">
        <v>0</v>
      </c>
    </row>
    <row r="393" spans="1:10" x14ac:dyDescent="0.3">
      <c r="A393" s="15">
        <v>45323</v>
      </c>
      <c r="B393" t="s">
        <v>250</v>
      </c>
      <c r="C393" t="s">
        <v>81</v>
      </c>
      <c r="D393" t="s">
        <v>86</v>
      </c>
      <c r="E393" t="s">
        <v>87</v>
      </c>
      <c r="F393">
        <v>3300</v>
      </c>
      <c r="G393" t="s">
        <v>331</v>
      </c>
      <c r="H393" s="15">
        <v>45292</v>
      </c>
      <c r="I393">
        <v>3300</v>
      </c>
      <c r="J393">
        <v>0</v>
      </c>
    </row>
    <row r="394" spans="1:10" x14ac:dyDescent="0.3">
      <c r="A394" s="15">
        <v>45323</v>
      </c>
      <c r="B394" t="s">
        <v>251</v>
      </c>
      <c r="C394" t="s">
        <v>91</v>
      </c>
      <c r="D394" t="s">
        <v>99</v>
      </c>
      <c r="E394" t="s">
        <v>103</v>
      </c>
      <c r="F394">
        <v>7700</v>
      </c>
      <c r="G394" t="s">
        <v>331</v>
      </c>
      <c r="H394" s="15">
        <v>45292</v>
      </c>
      <c r="I394">
        <v>7700</v>
      </c>
      <c r="J394">
        <v>0</v>
      </c>
    </row>
    <row r="395" spans="1:10" x14ac:dyDescent="0.3">
      <c r="A395" s="15">
        <v>45323</v>
      </c>
      <c r="B395" t="s">
        <v>252</v>
      </c>
      <c r="C395" t="s">
        <v>81</v>
      </c>
      <c r="D395" t="s">
        <v>99</v>
      </c>
      <c r="E395" t="s">
        <v>92</v>
      </c>
      <c r="F395">
        <v>3400</v>
      </c>
      <c r="G395" t="s">
        <v>331</v>
      </c>
      <c r="H395" s="15">
        <v>45292</v>
      </c>
      <c r="I395">
        <v>3400</v>
      </c>
      <c r="J395">
        <v>0</v>
      </c>
    </row>
    <row r="396" spans="1:10" x14ac:dyDescent="0.3">
      <c r="A396" s="15">
        <v>45323</v>
      </c>
      <c r="B396" t="s">
        <v>253</v>
      </c>
      <c r="C396" t="s">
        <v>81</v>
      </c>
      <c r="D396" t="s">
        <v>96</v>
      </c>
      <c r="E396" t="s">
        <v>89</v>
      </c>
      <c r="F396">
        <v>2400</v>
      </c>
      <c r="G396" t="s">
        <v>331</v>
      </c>
      <c r="H396" s="15">
        <v>45292</v>
      </c>
      <c r="I396">
        <v>2400</v>
      </c>
      <c r="J396">
        <v>0</v>
      </c>
    </row>
    <row r="397" spans="1:10" x14ac:dyDescent="0.3">
      <c r="A397" s="15">
        <v>45323</v>
      </c>
      <c r="B397" t="s">
        <v>254</v>
      </c>
      <c r="C397" t="s">
        <v>110</v>
      </c>
      <c r="D397" t="s">
        <v>86</v>
      </c>
      <c r="E397" t="s">
        <v>103</v>
      </c>
      <c r="F397">
        <v>56100</v>
      </c>
      <c r="G397" t="s">
        <v>331</v>
      </c>
      <c r="H397" s="15">
        <v>45292</v>
      </c>
      <c r="I397">
        <v>56100</v>
      </c>
      <c r="J397">
        <v>0</v>
      </c>
    </row>
    <row r="398" spans="1:10" x14ac:dyDescent="0.3">
      <c r="A398" s="15">
        <v>45323</v>
      </c>
      <c r="B398" t="s">
        <v>255</v>
      </c>
      <c r="C398" t="s">
        <v>91</v>
      </c>
      <c r="D398" t="s">
        <v>86</v>
      </c>
      <c r="E398" t="s">
        <v>89</v>
      </c>
      <c r="F398">
        <v>8600</v>
      </c>
      <c r="G398" t="s">
        <v>331</v>
      </c>
      <c r="H398" s="15">
        <v>45292</v>
      </c>
      <c r="I398">
        <v>8600</v>
      </c>
      <c r="J398">
        <v>0</v>
      </c>
    </row>
    <row r="399" spans="1:10" x14ac:dyDescent="0.3">
      <c r="A399" s="15">
        <v>45323</v>
      </c>
      <c r="B399" t="s">
        <v>256</v>
      </c>
      <c r="C399" t="s">
        <v>81</v>
      </c>
      <c r="D399" t="s">
        <v>82</v>
      </c>
      <c r="E399" t="s">
        <v>103</v>
      </c>
      <c r="F399">
        <v>2600</v>
      </c>
      <c r="G399" t="s">
        <v>332</v>
      </c>
      <c r="H399" s="15">
        <v>45292</v>
      </c>
      <c r="I399">
        <v>2300</v>
      </c>
      <c r="J399">
        <v>300</v>
      </c>
    </row>
    <row r="400" spans="1:10" x14ac:dyDescent="0.3">
      <c r="A400" s="15">
        <v>45323</v>
      </c>
      <c r="B400" t="s">
        <v>257</v>
      </c>
      <c r="C400" t="s">
        <v>91</v>
      </c>
      <c r="D400" t="s">
        <v>96</v>
      </c>
      <c r="E400" t="s">
        <v>87</v>
      </c>
      <c r="F400">
        <v>8400</v>
      </c>
      <c r="G400" t="s">
        <v>334</v>
      </c>
      <c r="H400" s="15">
        <v>45292</v>
      </c>
      <c r="I400">
        <v>9700</v>
      </c>
      <c r="J400">
        <v>-1300</v>
      </c>
    </row>
    <row r="401" spans="1:10" x14ac:dyDescent="0.3">
      <c r="A401" s="15">
        <v>45323</v>
      </c>
      <c r="B401" t="s">
        <v>258</v>
      </c>
      <c r="C401" t="s">
        <v>125</v>
      </c>
      <c r="D401" t="s">
        <v>86</v>
      </c>
      <c r="E401" t="s">
        <v>83</v>
      </c>
      <c r="F401">
        <v>96300</v>
      </c>
      <c r="G401" t="s">
        <v>331</v>
      </c>
      <c r="H401" s="15">
        <v>45292</v>
      </c>
      <c r="I401">
        <v>96300</v>
      </c>
      <c r="J401">
        <v>0</v>
      </c>
    </row>
    <row r="402" spans="1:10" x14ac:dyDescent="0.3">
      <c r="A402" s="15">
        <v>45323</v>
      </c>
      <c r="B402" t="s">
        <v>259</v>
      </c>
      <c r="C402" t="s">
        <v>81</v>
      </c>
      <c r="D402" t="s">
        <v>86</v>
      </c>
      <c r="E402" t="s">
        <v>89</v>
      </c>
      <c r="F402">
        <v>1900</v>
      </c>
      <c r="G402" t="s">
        <v>331</v>
      </c>
      <c r="H402" s="15">
        <v>45292</v>
      </c>
      <c r="I402">
        <v>1900</v>
      </c>
      <c r="J402">
        <v>0</v>
      </c>
    </row>
    <row r="403" spans="1:10" x14ac:dyDescent="0.3">
      <c r="A403" s="15">
        <v>45323</v>
      </c>
      <c r="B403" t="s">
        <v>260</v>
      </c>
      <c r="C403" t="s">
        <v>81</v>
      </c>
      <c r="D403" t="s">
        <v>86</v>
      </c>
      <c r="E403" t="s">
        <v>97</v>
      </c>
      <c r="F403">
        <v>2600</v>
      </c>
      <c r="G403" t="s">
        <v>331</v>
      </c>
      <c r="H403" s="15">
        <v>45292</v>
      </c>
      <c r="I403">
        <v>2600</v>
      </c>
      <c r="J403">
        <v>0</v>
      </c>
    </row>
    <row r="404" spans="1:10" x14ac:dyDescent="0.3">
      <c r="A404" s="15">
        <v>45323</v>
      </c>
      <c r="B404" t="s">
        <v>261</v>
      </c>
      <c r="C404" t="s">
        <v>81</v>
      </c>
      <c r="D404" t="s">
        <v>82</v>
      </c>
      <c r="E404" t="s">
        <v>103</v>
      </c>
      <c r="F404">
        <v>2200</v>
      </c>
      <c r="G404" t="s">
        <v>331</v>
      </c>
      <c r="H404" s="15">
        <v>45292</v>
      </c>
      <c r="I404">
        <v>2200</v>
      </c>
      <c r="J404">
        <v>0</v>
      </c>
    </row>
    <row r="405" spans="1:10" x14ac:dyDescent="0.3">
      <c r="A405" s="15">
        <v>45323</v>
      </c>
      <c r="B405" t="s">
        <v>262</v>
      </c>
      <c r="C405" t="s">
        <v>91</v>
      </c>
      <c r="D405" t="s">
        <v>82</v>
      </c>
      <c r="E405" t="s">
        <v>92</v>
      </c>
      <c r="F405">
        <v>8600</v>
      </c>
      <c r="G405" t="s">
        <v>331</v>
      </c>
      <c r="H405" s="15">
        <v>45292</v>
      </c>
      <c r="I405">
        <v>8600</v>
      </c>
      <c r="J405">
        <v>0</v>
      </c>
    </row>
    <row r="406" spans="1:10" x14ac:dyDescent="0.3">
      <c r="A406" s="15">
        <v>45323</v>
      </c>
      <c r="B406" t="s">
        <v>263</v>
      </c>
      <c r="C406" t="s">
        <v>81</v>
      </c>
      <c r="D406" t="s">
        <v>99</v>
      </c>
      <c r="E406" t="s">
        <v>89</v>
      </c>
      <c r="F406">
        <v>3200</v>
      </c>
      <c r="G406" t="s">
        <v>331</v>
      </c>
      <c r="H406" s="15">
        <v>45292</v>
      </c>
      <c r="I406">
        <v>3200</v>
      </c>
      <c r="J406">
        <v>0</v>
      </c>
    </row>
    <row r="407" spans="1:10" x14ac:dyDescent="0.3">
      <c r="A407" s="15">
        <v>45323</v>
      </c>
      <c r="B407" t="s">
        <v>264</v>
      </c>
      <c r="C407" t="s">
        <v>110</v>
      </c>
      <c r="D407" t="s">
        <v>86</v>
      </c>
      <c r="E407" t="s">
        <v>97</v>
      </c>
      <c r="F407">
        <v>31500</v>
      </c>
      <c r="G407" t="s">
        <v>331</v>
      </c>
      <c r="H407" s="15">
        <v>45292</v>
      </c>
      <c r="I407">
        <v>31500</v>
      </c>
      <c r="J407">
        <v>0</v>
      </c>
    </row>
    <row r="408" spans="1:10" x14ac:dyDescent="0.3">
      <c r="A408" s="15">
        <v>45323</v>
      </c>
      <c r="B408" t="s">
        <v>265</v>
      </c>
      <c r="C408" t="s">
        <v>125</v>
      </c>
      <c r="D408" t="s">
        <v>86</v>
      </c>
      <c r="E408" t="s">
        <v>101</v>
      </c>
      <c r="F408">
        <v>92200</v>
      </c>
      <c r="G408" t="s">
        <v>331</v>
      </c>
      <c r="H408" s="15">
        <v>45292</v>
      </c>
      <c r="I408">
        <v>92200</v>
      </c>
      <c r="J408">
        <v>0</v>
      </c>
    </row>
    <row r="409" spans="1:10" x14ac:dyDescent="0.3">
      <c r="A409" s="15">
        <v>45323</v>
      </c>
      <c r="B409" t="s">
        <v>266</v>
      </c>
      <c r="C409" t="s">
        <v>81</v>
      </c>
      <c r="D409" t="s">
        <v>82</v>
      </c>
      <c r="E409" t="s">
        <v>83</v>
      </c>
      <c r="F409">
        <v>2200</v>
      </c>
      <c r="G409" t="s">
        <v>331</v>
      </c>
      <c r="H409" s="15">
        <v>45292</v>
      </c>
      <c r="I409">
        <v>2200</v>
      </c>
      <c r="J409">
        <v>0</v>
      </c>
    </row>
    <row r="410" spans="1:10" x14ac:dyDescent="0.3">
      <c r="A410" s="15">
        <v>45323</v>
      </c>
      <c r="B410" t="s">
        <v>267</v>
      </c>
      <c r="C410" t="s">
        <v>91</v>
      </c>
      <c r="D410" t="s">
        <v>82</v>
      </c>
      <c r="E410" t="s">
        <v>97</v>
      </c>
      <c r="F410">
        <v>6900</v>
      </c>
      <c r="G410" t="s">
        <v>331</v>
      </c>
      <c r="H410" s="15">
        <v>45292</v>
      </c>
      <c r="I410">
        <v>6900</v>
      </c>
      <c r="J410">
        <v>0</v>
      </c>
    </row>
    <row r="411" spans="1:10" x14ac:dyDescent="0.3">
      <c r="A411" s="15">
        <v>45323</v>
      </c>
      <c r="B411" t="s">
        <v>268</v>
      </c>
      <c r="C411" t="s">
        <v>91</v>
      </c>
      <c r="D411" t="s">
        <v>86</v>
      </c>
      <c r="E411" t="s">
        <v>89</v>
      </c>
      <c r="F411">
        <v>0</v>
      </c>
      <c r="G411" t="s">
        <v>333</v>
      </c>
      <c r="H411" s="15">
        <v>45292</v>
      </c>
      <c r="I411">
        <v>9200</v>
      </c>
      <c r="J411">
        <v>-9200</v>
      </c>
    </row>
    <row r="412" spans="1:10" x14ac:dyDescent="0.3">
      <c r="A412" s="15">
        <v>45323</v>
      </c>
      <c r="B412" t="s">
        <v>269</v>
      </c>
      <c r="C412" t="s">
        <v>91</v>
      </c>
      <c r="D412" t="s">
        <v>82</v>
      </c>
      <c r="E412" t="s">
        <v>103</v>
      </c>
      <c r="F412">
        <v>9100</v>
      </c>
      <c r="G412" t="s">
        <v>331</v>
      </c>
      <c r="H412" s="15">
        <v>45292</v>
      </c>
      <c r="I412">
        <v>9100</v>
      </c>
      <c r="J412">
        <v>0</v>
      </c>
    </row>
    <row r="413" spans="1:10" x14ac:dyDescent="0.3">
      <c r="A413" s="15">
        <v>45323</v>
      </c>
      <c r="B413" t="s">
        <v>270</v>
      </c>
      <c r="C413" t="s">
        <v>110</v>
      </c>
      <c r="D413" t="s">
        <v>86</v>
      </c>
      <c r="E413" t="s">
        <v>87</v>
      </c>
      <c r="F413">
        <v>44200</v>
      </c>
      <c r="G413" t="s">
        <v>331</v>
      </c>
      <c r="H413" s="15">
        <v>45292</v>
      </c>
      <c r="I413">
        <v>44200</v>
      </c>
      <c r="J413">
        <v>0</v>
      </c>
    </row>
    <row r="414" spans="1:10" x14ac:dyDescent="0.3">
      <c r="A414" s="15">
        <v>45323</v>
      </c>
      <c r="B414" t="s">
        <v>271</v>
      </c>
      <c r="C414" t="s">
        <v>81</v>
      </c>
      <c r="D414" t="s">
        <v>82</v>
      </c>
      <c r="E414" t="s">
        <v>97</v>
      </c>
      <c r="F414">
        <v>2900</v>
      </c>
      <c r="G414" t="s">
        <v>331</v>
      </c>
      <c r="H414" s="15">
        <v>45292</v>
      </c>
      <c r="I414">
        <v>2900</v>
      </c>
      <c r="J414">
        <v>0</v>
      </c>
    </row>
    <row r="415" spans="1:10" x14ac:dyDescent="0.3">
      <c r="A415" s="15">
        <v>45323</v>
      </c>
      <c r="B415" t="s">
        <v>272</v>
      </c>
      <c r="C415" t="s">
        <v>125</v>
      </c>
      <c r="D415" t="s">
        <v>96</v>
      </c>
      <c r="E415" t="s">
        <v>103</v>
      </c>
      <c r="F415">
        <v>87600</v>
      </c>
      <c r="G415" t="s">
        <v>331</v>
      </c>
      <c r="H415" s="15">
        <v>45292</v>
      </c>
      <c r="I415">
        <v>87600</v>
      </c>
      <c r="J415">
        <v>0</v>
      </c>
    </row>
    <row r="416" spans="1:10" x14ac:dyDescent="0.3">
      <c r="A416" s="15">
        <v>45323</v>
      </c>
      <c r="B416" t="s">
        <v>273</v>
      </c>
      <c r="C416" t="s">
        <v>81</v>
      </c>
      <c r="D416" t="s">
        <v>82</v>
      </c>
      <c r="E416" t="s">
        <v>101</v>
      </c>
      <c r="F416">
        <v>3300</v>
      </c>
      <c r="G416" t="s">
        <v>331</v>
      </c>
      <c r="H416" s="15">
        <v>45292</v>
      </c>
      <c r="I416">
        <v>3300</v>
      </c>
      <c r="J416">
        <v>0</v>
      </c>
    </row>
    <row r="417" spans="1:10" x14ac:dyDescent="0.3">
      <c r="A417" s="15">
        <v>45323</v>
      </c>
      <c r="B417" t="s">
        <v>274</v>
      </c>
      <c r="C417" t="s">
        <v>91</v>
      </c>
      <c r="D417" t="s">
        <v>99</v>
      </c>
      <c r="E417" t="s">
        <v>87</v>
      </c>
      <c r="F417">
        <v>11400</v>
      </c>
      <c r="G417" t="s">
        <v>331</v>
      </c>
      <c r="H417" s="15">
        <v>45292</v>
      </c>
      <c r="I417">
        <v>11400</v>
      </c>
      <c r="J417">
        <v>0</v>
      </c>
    </row>
    <row r="418" spans="1:10" x14ac:dyDescent="0.3">
      <c r="A418" s="15">
        <v>45323</v>
      </c>
      <c r="B418" t="s">
        <v>275</v>
      </c>
      <c r="C418" t="s">
        <v>91</v>
      </c>
      <c r="D418" t="s">
        <v>99</v>
      </c>
      <c r="E418" t="s">
        <v>89</v>
      </c>
      <c r="F418">
        <v>6000</v>
      </c>
      <c r="G418" t="s">
        <v>331</v>
      </c>
      <c r="H418" s="15">
        <v>45292</v>
      </c>
      <c r="I418">
        <v>6000</v>
      </c>
      <c r="J418">
        <v>0</v>
      </c>
    </row>
    <row r="419" spans="1:10" x14ac:dyDescent="0.3">
      <c r="A419" s="15">
        <v>45323</v>
      </c>
      <c r="B419" t="s">
        <v>276</v>
      </c>
      <c r="C419" t="s">
        <v>81</v>
      </c>
      <c r="D419" t="s">
        <v>82</v>
      </c>
      <c r="E419" t="s">
        <v>103</v>
      </c>
      <c r="F419">
        <v>3300</v>
      </c>
      <c r="G419" t="s">
        <v>331</v>
      </c>
      <c r="H419" s="15">
        <v>45292</v>
      </c>
      <c r="I419">
        <v>3300</v>
      </c>
      <c r="J419">
        <v>0</v>
      </c>
    </row>
    <row r="420" spans="1:10" x14ac:dyDescent="0.3">
      <c r="A420" s="15">
        <v>45323</v>
      </c>
      <c r="B420" t="s">
        <v>277</v>
      </c>
      <c r="C420" t="s">
        <v>91</v>
      </c>
      <c r="D420" t="s">
        <v>86</v>
      </c>
      <c r="E420" t="s">
        <v>97</v>
      </c>
      <c r="F420">
        <v>8000</v>
      </c>
      <c r="G420" t="s">
        <v>331</v>
      </c>
      <c r="H420" s="15">
        <v>45292</v>
      </c>
      <c r="I420">
        <v>8000</v>
      </c>
      <c r="J420">
        <v>0</v>
      </c>
    </row>
    <row r="421" spans="1:10" x14ac:dyDescent="0.3">
      <c r="A421" s="15">
        <v>45323</v>
      </c>
      <c r="B421" t="s">
        <v>278</v>
      </c>
      <c r="C421" t="s">
        <v>81</v>
      </c>
      <c r="D421" t="s">
        <v>82</v>
      </c>
      <c r="E421" t="s">
        <v>92</v>
      </c>
      <c r="F421">
        <v>1900</v>
      </c>
      <c r="G421" t="s">
        <v>331</v>
      </c>
      <c r="H421" s="15">
        <v>45292</v>
      </c>
      <c r="I421">
        <v>1900</v>
      </c>
      <c r="J421">
        <v>0</v>
      </c>
    </row>
    <row r="422" spans="1:10" x14ac:dyDescent="0.3">
      <c r="A422" s="15">
        <v>45323</v>
      </c>
      <c r="B422" t="s">
        <v>279</v>
      </c>
      <c r="C422" t="s">
        <v>91</v>
      </c>
      <c r="D422" t="s">
        <v>99</v>
      </c>
      <c r="E422" t="s">
        <v>89</v>
      </c>
      <c r="F422">
        <v>9800</v>
      </c>
      <c r="G422" t="s">
        <v>331</v>
      </c>
      <c r="H422" s="15">
        <v>45292</v>
      </c>
      <c r="I422">
        <v>9800</v>
      </c>
      <c r="J422">
        <v>0</v>
      </c>
    </row>
    <row r="423" spans="1:10" x14ac:dyDescent="0.3">
      <c r="A423" s="15">
        <v>45323</v>
      </c>
      <c r="B423" t="s">
        <v>280</v>
      </c>
      <c r="C423" t="s">
        <v>91</v>
      </c>
      <c r="D423" t="s">
        <v>96</v>
      </c>
      <c r="E423" t="s">
        <v>83</v>
      </c>
      <c r="F423">
        <v>6300</v>
      </c>
      <c r="G423" t="s">
        <v>331</v>
      </c>
      <c r="H423" s="15">
        <v>45292</v>
      </c>
      <c r="I423">
        <v>6300</v>
      </c>
      <c r="J423">
        <v>0</v>
      </c>
    </row>
    <row r="424" spans="1:10" x14ac:dyDescent="0.3">
      <c r="A424" s="15">
        <v>45323</v>
      </c>
      <c r="B424" t="s">
        <v>281</v>
      </c>
      <c r="C424" t="s">
        <v>110</v>
      </c>
      <c r="D424" t="s">
        <v>86</v>
      </c>
      <c r="E424" t="s">
        <v>92</v>
      </c>
      <c r="F424">
        <v>46800</v>
      </c>
      <c r="G424" t="s">
        <v>331</v>
      </c>
      <c r="H424" s="15">
        <v>45292</v>
      </c>
      <c r="I424">
        <v>46800</v>
      </c>
      <c r="J424">
        <v>0</v>
      </c>
    </row>
    <row r="425" spans="1:10" x14ac:dyDescent="0.3">
      <c r="A425" s="15">
        <v>45323</v>
      </c>
      <c r="B425" t="s">
        <v>282</v>
      </c>
      <c r="C425" t="s">
        <v>91</v>
      </c>
      <c r="D425" t="s">
        <v>86</v>
      </c>
      <c r="E425" t="s">
        <v>92</v>
      </c>
      <c r="F425">
        <v>7000</v>
      </c>
      <c r="G425" t="s">
        <v>331</v>
      </c>
      <c r="H425" s="15">
        <v>45292</v>
      </c>
      <c r="I425">
        <v>7000</v>
      </c>
      <c r="J425">
        <v>0</v>
      </c>
    </row>
    <row r="426" spans="1:10" x14ac:dyDescent="0.3">
      <c r="A426" s="15">
        <v>45323</v>
      </c>
      <c r="B426" t="s">
        <v>283</v>
      </c>
      <c r="C426" t="s">
        <v>110</v>
      </c>
      <c r="D426" t="s">
        <v>82</v>
      </c>
      <c r="E426" t="s">
        <v>87</v>
      </c>
      <c r="F426">
        <v>34200</v>
      </c>
      <c r="G426" t="s">
        <v>331</v>
      </c>
      <c r="H426" s="15">
        <v>45292</v>
      </c>
      <c r="I426">
        <v>34200</v>
      </c>
      <c r="J426">
        <v>0</v>
      </c>
    </row>
    <row r="427" spans="1:10" x14ac:dyDescent="0.3">
      <c r="A427" s="15">
        <v>45323</v>
      </c>
      <c r="B427" t="s">
        <v>284</v>
      </c>
      <c r="C427" t="s">
        <v>81</v>
      </c>
      <c r="D427" t="s">
        <v>82</v>
      </c>
      <c r="E427" t="s">
        <v>101</v>
      </c>
      <c r="F427">
        <v>2400</v>
      </c>
      <c r="G427" t="s">
        <v>331</v>
      </c>
      <c r="H427" s="15">
        <v>45292</v>
      </c>
      <c r="I427">
        <v>2400</v>
      </c>
      <c r="J427">
        <v>0</v>
      </c>
    </row>
    <row r="428" spans="1:10" x14ac:dyDescent="0.3">
      <c r="A428" s="15">
        <v>45323</v>
      </c>
      <c r="B428" t="s">
        <v>285</v>
      </c>
      <c r="C428" t="s">
        <v>91</v>
      </c>
      <c r="D428" t="s">
        <v>82</v>
      </c>
      <c r="E428" t="s">
        <v>83</v>
      </c>
      <c r="F428">
        <v>10900</v>
      </c>
      <c r="G428" t="s">
        <v>331</v>
      </c>
      <c r="H428" s="15">
        <v>45292</v>
      </c>
      <c r="I428">
        <v>10900</v>
      </c>
      <c r="J428">
        <v>0</v>
      </c>
    </row>
    <row r="429" spans="1:10" x14ac:dyDescent="0.3">
      <c r="A429" s="15">
        <v>45323</v>
      </c>
      <c r="B429" t="s">
        <v>286</v>
      </c>
      <c r="C429" t="s">
        <v>125</v>
      </c>
      <c r="D429" t="s">
        <v>86</v>
      </c>
      <c r="E429" t="s">
        <v>92</v>
      </c>
      <c r="F429">
        <v>87000</v>
      </c>
      <c r="G429" t="s">
        <v>331</v>
      </c>
      <c r="H429" s="15">
        <v>45292</v>
      </c>
      <c r="I429">
        <v>87000</v>
      </c>
      <c r="J429">
        <v>0</v>
      </c>
    </row>
    <row r="430" spans="1:10" x14ac:dyDescent="0.3">
      <c r="A430" s="15">
        <v>45323</v>
      </c>
      <c r="B430" t="s">
        <v>287</v>
      </c>
      <c r="C430" t="s">
        <v>81</v>
      </c>
      <c r="D430" t="s">
        <v>99</v>
      </c>
      <c r="E430" t="s">
        <v>87</v>
      </c>
      <c r="F430">
        <v>2300</v>
      </c>
      <c r="G430" t="s">
        <v>331</v>
      </c>
      <c r="H430" s="15">
        <v>45292</v>
      </c>
      <c r="I430">
        <v>2300</v>
      </c>
      <c r="J430">
        <v>0</v>
      </c>
    </row>
    <row r="431" spans="1:10" x14ac:dyDescent="0.3">
      <c r="A431" s="15">
        <v>45323</v>
      </c>
      <c r="B431" t="s">
        <v>288</v>
      </c>
      <c r="C431" t="s">
        <v>81</v>
      </c>
      <c r="D431" t="s">
        <v>99</v>
      </c>
      <c r="E431" t="s">
        <v>97</v>
      </c>
      <c r="F431">
        <v>2600</v>
      </c>
      <c r="G431" t="s">
        <v>331</v>
      </c>
      <c r="H431" s="15">
        <v>45292</v>
      </c>
      <c r="I431">
        <v>2600</v>
      </c>
      <c r="J431">
        <v>0</v>
      </c>
    </row>
    <row r="432" spans="1:10" x14ac:dyDescent="0.3">
      <c r="A432" s="15">
        <v>45323</v>
      </c>
      <c r="B432" t="s">
        <v>289</v>
      </c>
      <c r="C432" t="s">
        <v>91</v>
      </c>
      <c r="D432" t="s">
        <v>86</v>
      </c>
      <c r="E432" t="s">
        <v>101</v>
      </c>
      <c r="F432">
        <v>9400</v>
      </c>
      <c r="G432" t="s">
        <v>331</v>
      </c>
      <c r="H432" s="15">
        <v>45292</v>
      </c>
      <c r="I432">
        <v>9400</v>
      </c>
      <c r="J432">
        <v>0</v>
      </c>
    </row>
    <row r="433" spans="1:10" x14ac:dyDescent="0.3">
      <c r="A433" s="15">
        <v>45323</v>
      </c>
      <c r="B433" t="s">
        <v>290</v>
      </c>
      <c r="C433" t="s">
        <v>81</v>
      </c>
      <c r="D433" t="s">
        <v>82</v>
      </c>
      <c r="E433" t="s">
        <v>103</v>
      </c>
      <c r="F433">
        <v>2800</v>
      </c>
      <c r="G433" t="s">
        <v>331</v>
      </c>
      <c r="H433" s="15">
        <v>45292</v>
      </c>
      <c r="I433">
        <v>2800</v>
      </c>
      <c r="J433">
        <v>0</v>
      </c>
    </row>
    <row r="434" spans="1:10" x14ac:dyDescent="0.3">
      <c r="A434" s="15">
        <v>45323</v>
      </c>
      <c r="B434" t="s">
        <v>291</v>
      </c>
      <c r="C434" t="s">
        <v>81</v>
      </c>
      <c r="D434" t="s">
        <v>82</v>
      </c>
      <c r="E434" t="s">
        <v>83</v>
      </c>
      <c r="F434">
        <v>3100</v>
      </c>
      <c r="G434" t="s">
        <v>331</v>
      </c>
      <c r="H434" s="15">
        <v>45292</v>
      </c>
      <c r="I434">
        <v>3100</v>
      </c>
      <c r="J434">
        <v>0</v>
      </c>
    </row>
    <row r="435" spans="1:10" x14ac:dyDescent="0.3">
      <c r="A435" s="15">
        <v>45323</v>
      </c>
      <c r="B435" t="s">
        <v>292</v>
      </c>
      <c r="C435" t="s">
        <v>91</v>
      </c>
      <c r="D435" t="s">
        <v>86</v>
      </c>
      <c r="E435" t="s">
        <v>89</v>
      </c>
      <c r="F435">
        <v>8600</v>
      </c>
      <c r="G435" t="s">
        <v>331</v>
      </c>
      <c r="H435" s="15">
        <v>45292</v>
      </c>
      <c r="I435">
        <v>8600</v>
      </c>
      <c r="J435">
        <v>0</v>
      </c>
    </row>
    <row r="436" spans="1:10" x14ac:dyDescent="0.3">
      <c r="A436" s="15">
        <v>45323</v>
      </c>
      <c r="B436" t="s">
        <v>293</v>
      </c>
      <c r="C436" t="s">
        <v>81</v>
      </c>
      <c r="D436" t="s">
        <v>86</v>
      </c>
      <c r="E436" t="s">
        <v>103</v>
      </c>
      <c r="F436">
        <v>2200</v>
      </c>
      <c r="G436" t="s">
        <v>331</v>
      </c>
      <c r="H436" s="15">
        <v>45292</v>
      </c>
      <c r="I436">
        <v>2200</v>
      </c>
      <c r="J436">
        <v>0</v>
      </c>
    </row>
    <row r="437" spans="1:10" x14ac:dyDescent="0.3">
      <c r="A437" s="15">
        <v>45323</v>
      </c>
      <c r="B437" t="s">
        <v>294</v>
      </c>
      <c r="C437" t="s">
        <v>91</v>
      </c>
      <c r="D437" t="s">
        <v>82</v>
      </c>
      <c r="E437" t="s">
        <v>97</v>
      </c>
      <c r="F437">
        <v>9500</v>
      </c>
      <c r="G437" t="s">
        <v>331</v>
      </c>
      <c r="H437" s="15">
        <v>45292</v>
      </c>
      <c r="I437">
        <v>9500</v>
      </c>
      <c r="J437">
        <v>0</v>
      </c>
    </row>
    <row r="438" spans="1:10" x14ac:dyDescent="0.3">
      <c r="A438" s="15">
        <v>45323</v>
      </c>
      <c r="B438" t="s">
        <v>295</v>
      </c>
      <c r="C438" t="s">
        <v>81</v>
      </c>
      <c r="D438" t="s">
        <v>82</v>
      </c>
      <c r="E438" t="s">
        <v>103</v>
      </c>
      <c r="F438">
        <v>2300</v>
      </c>
      <c r="G438" t="s">
        <v>332</v>
      </c>
      <c r="H438" s="15">
        <v>45292</v>
      </c>
      <c r="I438">
        <v>2200</v>
      </c>
      <c r="J438">
        <v>100</v>
      </c>
    </row>
    <row r="439" spans="1:10" x14ac:dyDescent="0.3">
      <c r="A439" s="15">
        <v>45323</v>
      </c>
      <c r="B439" t="s">
        <v>296</v>
      </c>
      <c r="C439" t="s">
        <v>81</v>
      </c>
      <c r="D439" t="s">
        <v>82</v>
      </c>
      <c r="E439" t="s">
        <v>103</v>
      </c>
      <c r="F439">
        <v>0</v>
      </c>
      <c r="G439" t="s">
        <v>333</v>
      </c>
      <c r="H439" s="15">
        <v>45292</v>
      </c>
      <c r="I439">
        <v>3200</v>
      </c>
      <c r="J439">
        <v>-3200</v>
      </c>
    </row>
    <row r="440" spans="1:10" x14ac:dyDescent="0.3">
      <c r="A440" s="15">
        <v>45323</v>
      </c>
      <c r="B440" t="s">
        <v>297</v>
      </c>
      <c r="C440" t="s">
        <v>91</v>
      </c>
      <c r="D440" t="s">
        <v>86</v>
      </c>
      <c r="E440" t="s">
        <v>103</v>
      </c>
      <c r="F440">
        <v>9100</v>
      </c>
      <c r="G440" t="s">
        <v>331</v>
      </c>
      <c r="H440" s="15">
        <v>45292</v>
      </c>
      <c r="I440">
        <v>9100</v>
      </c>
      <c r="J440">
        <v>0</v>
      </c>
    </row>
    <row r="441" spans="1:10" x14ac:dyDescent="0.3">
      <c r="A441" s="15">
        <v>45323</v>
      </c>
      <c r="B441" t="s">
        <v>298</v>
      </c>
      <c r="C441" t="s">
        <v>81</v>
      </c>
      <c r="D441" t="s">
        <v>86</v>
      </c>
      <c r="E441" t="s">
        <v>89</v>
      </c>
      <c r="F441">
        <v>2700</v>
      </c>
      <c r="G441" t="s">
        <v>331</v>
      </c>
      <c r="H441" s="15">
        <v>45292</v>
      </c>
      <c r="I441">
        <v>2700</v>
      </c>
      <c r="J441">
        <v>0</v>
      </c>
    </row>
    <row r="442" spans="1:10" x14ac:dyDescent="0.3">
      <c r="A442" s="15">
        <v>45323</v>
      </c>
      <c r="B442" t="s">
        <v>299</v>
      </c>
      <c r="C442" t="s">
        <v>81</v>
      </c>
      <c r="D442" t="s">
        <v>99</v>
      </c>
      <c r="E442" t="s">
        <v>103</v>
      </c>
      <c r="F442">
        <v>2900</v>
      </c>
      <c r="G442" t="s">
        <v>331</v>
      </c>
      <c r="H442" s="15">
        <v>45292</v>
      </c>
      <c r="I442">
        <v>2900</v>
      </c>
      <c r="J442">
        <v>0</v>
      </c>
    </row>
    <row r="443" spans="1:10" x14ac:dyDescent="0.3">
      <c r="A443" s="15">
        <v>45323</v>
      </c>
      <c r="B443" t="s">
        <v>300</v>
      </c>
      <c r="C443" t="s">
        <v>91</v>
      </c>
      <c r="D443" t="s">
        <v>82</v>
      </c>
      <c r="E443" t="s">
        <v>89</v>
      </c>
      <c r="F443">
        <v>10900</v>
      </c>
      <c r="G443" t="s">
        <v>331</v>
      </c>
      <c r="H443" s="15">
        <v>45292</v>
      </c>
      <c r="I443">
        <v>10900</v>
      </c>
      <c r="J443">
        <v>0</v>
      </c>
    </row>
    <row r="444" spans="1:10" x14ac:dyDescent="0.3">
      <c r="A444" s="15">
        <v>45323</v>
      </c>
      <c r="B444" t="s">
        <v>301</v>
      </c>
      <c r="C444" t="s">
        <v>125</v>
      </c>
      <c r="D444" t="s">
        <v>82</v>
      </c>
      <c r="E444" t="s">
        <v>92</v>
      </c>
      <c r="F444">
        <v>116700</v>
      </c>
      <c r="G444" t="s">
        <v>331</v>
      </c>
      <c r="H444" s="15">
        <v>45292</v>
      </c>
      <c r="I444">
        <v>116700</v>
      </c>
      <c r="J444">
        <v>0</v>
      </c>
    </row>
    <row r="445" spans="1:10" x14ac:dyDescent="0.3">
      <c r="A445" s="15">
        <v>45323</v>
      </c>
      <c r="B445" t="s">
        <v>302</v>
      </c>
      <c r="C445" t="s">
        <v>81</v>
      </c>
      <c r="D445" t="s">
        <v>99</v>
      </c>
      <c r="E445" t="s">
        <v>83</v>
      </c>
      <c r="F445">
        <v>2200</v>
      </c>
      <c r="G445" t="s">
        <v>331</v>
      </c>
      <c r="H445" s="15">
        <v>45292</v>
      </c>
      <c r="I445">
        <v>2200</v>
      </c>
      <c r="J445">
        <v>0</v>
      </c>
    </row>
    <row r="446" spans="1:10" x14ac:dyDescent="0.3">
      <c r="A446" s="15">
        <v>45323</v>
      </c>
      <c r="B446" t="s">
        <v>303</v>
      </c>
      <c r="C446" t="s">
        <v>81</v>
      </c>
      <c r="D446" t="s">
        <v>82</v>
      </c>
      <c r="E446" t="s">
        <v>83</v>
      </c>
      <c r="F446">
        <v>1700</v>
      </c>
      <c r="G446" t="s">
        <v>331</v>
      </c>
      <c r="H446" s="15">
        <v>45292</v>
      </c>
      <c r="I446">
        <v>1700</v>
      </c>
      <c r="J446">
        <v>0</v>
      </c>
    </row>
    <row r="447" spans="1:10" x14ac:dyDescent="0.3">
      <c r="A447" s="15">
        <v>45323</v>
      </c>
      <c r="B447" t="s">
        <v>304</v>
      </c>
      <c r="C447" t="s">
        <v>81</v>
      </c>
      <c r="D447" t="s">
        <v>86</v>
      </c>
      <c r="E447" t="s">
        <v>92</v>
      </c>
      <c r="F447">
        <v>2100</v>
      </c>
      <c r="G447" t="s">
        <v>331</v>
      </c>
      <c r="H447" s="15">
        <v>45292</v>
      </c>
      <c r="I447">
        <v>2100</v>
      </c>
      <c r="J447">
        <v>0</v>
      </c>
    </row>
    <row r="448" spans="1:10" x14ac:dyDescent="0.3">
      <c r="A448" s="15">
        <v>45323</v>
      </c>
      <c r="B448" t="s">
        <v>305</v>
      </c>
      <c r="C448" t="s">
        <v>91</v>
      </c>
      <c r="D448" t="s">
        <v>82</v>
      </c>
      <c r="E448" t="s">
        <v>103</v>
      </c>
      <c r="F448">
        <v>7700</v>
      </c>
      <c r="G448" t="s">
        <v>331</v>
      </c>
      <c r="H448" s="15">
        <v>45292</v>
      </c>
      <c r="I448">
        <v>7700</v>
      </c>
      <c r="J448">
        <v>0</v>
      </c>
    </row>
    <row r="449" spans="1:10" x14ac:dyDescent="0.3">
      <c r="A449" s="15">
        <v>45323</v>
      </c>
      <c r="B449" t="s">
        <v>306</v>
      </c>
      <c r="C449" t="s">
        <v>91</v>
      </c>
      <c r="D449" t="s">
        <v>82</v>
      </c>
      <c r="E449" t="s">
        <v>87</v>
      </c>
      <c r="F449">
        <v>10500</v>
      </c>
      <c r="G449" t="s">
        <v>331</v>
      </c>
      <c r="H449" s="15">
        <v>45292</v>
      </c>
      <c r="I449">
        <v>10500</v>
      </c>
      <c r="J449">
        <v>0</v>
      </c>
    </row>
    <row r="450" spans="1:10" x14ac:dyDescent="0.3">
      <c r="A450" s="15">
        <v>45323</v>
      </c>
      <c r="B450" t="s">
        <v>307</v>
      </c>
      <c r="C450" t="s">
        <v>81</v>
      </c>
      <c r="D450" t="s">
        <v>86</v>
      </c>
      <c r="E450" t="s">
        <v>97</v>
      </c>
      <c r="F450">
        <v>2300</v>
      </c>
      <c r="G450" t="s">
        <v>331</v>
      </c>
      <c r="H450" s="15">
        <v>45292</v>
      </c>
      <c r="I450">
        <v>2300</v>
      </c>
      <c r="J450">
        <v>0</v>
      </c>
    </row>
    <row r="451" spans="1:10" x14ac:dyDescent="0.3">
      <c r="A451" s="15">
        <v>45323</v>
      </c>
      <c r="B451" t="s">
        <v>308</v>
      </c>
      <c r="C451" t="s">
        <v>91</v>
      </c>
      <c r="D451" t="s">
        <v>86</v>
      </c>
      <c r="E451" t="s">
        <v>92</v>
      </c>
      <c r="F451">
        <v>8000</v>
      </c>
      <c r="G451" t="s">
        <v>331</v>
      </c>
      <c r="H451" s="15">
        <v>45292</v>
      </c>
      <c r="I451">
        <v>8000</v>
      </c>
      <c r="J451">
        <v>0</v>
      </c>
    </row>
    <row r="452" spans="1:10" x14ac:dyDescent="0.3">
      <c r="A452" s="15">
        <v>45323</v>
      </c>
      <c r="B452" t="s">
        <v>309</v>
      </c>
      <c r="C452" t="s">
        <v>91</v>
      </c>
      <c r="D452" t="s">
        <v>82</v>
      </c>
      <c r="E452" t="s">
        <v>87</v>
      </c>
      <c r="F452">
        <v>9700</v>
      </c>
      <c r="G452" t="s">
        <v>331</v>
      </c>
      <c r="H452" s="15">
        <v>45292</v>
      </c>
      <c r="I452">
        <v>9700</v>
      </c>
      <c r="J452">
        <v>0</v>
      </c>
    </row>
    <row r="453" spans="1:10" x14ac:dyDescent="0.3">
      <c r="A453" s="15">
        <v>45323</v>
      </c>
      <c r="B453" t="s">
        <v>310</v>
      </c>
      <c r="C453" t="s">
        <v>91</v>
      </c>
      <c r="D453" t="s">
        <v>99</v>
      </c>
      <c r="E453" t="s">
        <v>87</v>
      </c>
      <c r="F453">
        <v>10000</v>
      </c>
      <c r="G453" t="s">
        <v>331</v>
      </c>
      <c r="H453" s="15">
        <v>45292</v>
      </c>
      <c r="I453">
        <v>10000</v>
      </c>
      <c r="J453">
        <v>0</v>
      </c>
    </row>
    <row r="454" spans="1:10" x14ac:dyDescent="0.3">
      <c r="A454" s="15">
        <v>45323</v>
      </c>
      <c r="B454" t="s">
        <v>311</v>
      </c>
      <c r="C454" t="s">
        <v>91</v>
      </c>
      <c r="D454" t="s">
        <v>82</v>
      </c>
      <c r="E454" t="s">
        <v>92</v>
      </c>
      <c r="F454">
        <v>6000</v>
      </c>
      <c r="G454" t="s">
        <v>331</v>
      </c>
      <c r="H454" s="15">
        <v>45292</v>
      </c>
      <c r="I454">
        <v>6000</v>
      </c>
      <c r="J454">
        <v>0</v>
      </c>
    </row>
    <row r="455" spans="1:10" x14ac:dyDescent="0.3">
      <c r="A455" s="15">
        <v>45323</v>
      </c>
      <c r="B455" t="s">
        <v>312</v>
      </c>
      <c r="C455" t="s">
        <v>91</v>
      </c>
      <c r="D455" t="s">
        <v>86</v>
      </c>
      <c r="E455" t="s">
        <v>103</v>
      </c>
      <c r="F455">
        <v>9400</v>
      </c>
      <c r="G455" t="s">
        <v>331</v>
      </c>
      <c r="H455" s="15">
        <v>45292</v>
      </c>
      <c r="I455">
        <v>9400</v>
      </c>
      <c r="J455">
        <v>0</v>
      </c>
    </row>
    <row r="456" spans="1:10" x14ac:dyDescent="0.3">
      <c r="A456" s="15">
        <v>45323</v>
      </c>
      <c r="B456" t="s">
        <v>313</v>
      </c>
      <c r="C456" t="s">
        <v>91</v>
      </c>
      <c r="D456" t="s">
        <v>82</v>
      </c>
      <c r="E456" t="s">
        <v>101</v>
      </c>
      <c r="F456">
        <v>12700</v>
      </c>
      <c r="G456" t="s">
        <v>331</v>
      </c>
      <c r="H456" s="15">
        <v>45292</v>
      </c>
      <c r="I456">
        <v>12700</v>
      </c>
      <c r="J456">
        <v>0</v>
      </c>
    </row>
    <row r="457" spans="1:10" x14ac:dyDescent="0.3">
      <c r="A457" s="15">
        <v>45323</v>
      </c>
      <c r="B457" t="s">
        <v>314</v>
      </c>
      <c r="C457" t="s">
        <v>91</v>
      </c>
      <c r="D457" t="s">
        <v>82</v>
      </c>
      <c r="E457" t="s">
        <v>103</v>
      </c>
      <c r="F457">
        <v>10100</v>
      </c>
      <c r="G457" t="s">
        <v>331</v>
      </c>
      <c r="H457" s="15">
        <v>45292</v>
      </c>
      <c r="I457">
        <v>10100</v>
      </c>
      <c r="J457">
        <v>0</v>
      </c>
    </row>
    <row r="458" spans="1:10" x14ac:dyDescent="0.3">
      <c r="A458" s="15">
        <v>45323</v>
      </c>
      <c r="B458" t="s">
        <v>315</v>
      </c>
      <c r="C458" t="s">
        <v>125</v>
      </c>
      <c r="D458" t="s">
        <v>86</v>
      </c>
      <c r="E458" t="s">
        <v>92</v>
      </c>
      <c r="F458">
        <v>76200</v>
      </c>
      <c r="G458" t="s">
        <v>331</v>
      </c>
      <c r="H458" s="15">
        <v>45292</v>
      </c>
      <c r="I458">
        <v>76200</v>
      </c>
      <c r="J458">
        <v>0</v>
      </c>
    </row>
    <row r="459" spans="1:10" x14ac:dyDescent="0.3">
      <c r="A459" s="15">
        <v>45323</v>
      </c>
      <c r="B459" t="s">
        <v>316</v>
      </c>
      <c r="C459" t="s">
        <v>81</v>
      </c>
      <c r="D459" t="s">
        <v>96</v>
      </c>
      <c r="E459" t="s">
        <v>92</v>
      </c>
      <c r="F459">
        <v>2100</v>
      </c>
      <c r="G459" t="s">
        <v>334</v>
      </c>
      <c r="H459" s="15">
        <v>45292</v>
      </c>
      <c r="I459">
        <v>2500</v>
      </c>
      <c r="J459">
        <v>-400</v>
      </c>
    </row>
    <row r="460" spans="1:10" x14ac:dyDescent="0.3">
      <c r="A460" s="15">
        <v>45323</v>
      </c>
      <c r="B460" t="s">
        <v>317</v>
      </c>
      <c r="C460" t="s">
        <v>125</v>
      </c>
      <c r="D460" t="s">
        <v>82</v>
      </c>
      <c r="E460" t="s">
        <v>92</v>
      </c>
      <c r="F460">
        <v>73500</v>
      </c>
      <c r="G460" t="s">
        <v>331</v>
      </c>
      <c r="H460" s="15">
        <v>45292</v>
      </c>
      <c r="I460">
        <v>73500</v>
      </c>
      <c r="J460">
        <v>0</v>
      </c>
    </row>
    <row r="461" spans="1:10" x14ac:dyDescent="0.3">
      <c r="A461" s="15">
        <v>45323</v>
      </c>
      <c r="B461" t="s">
        <v>318</v>
      </c>
      <c r="C461" t="s">
        <v>110</v>
      </c>
      <c r="D461" t="s">
        <v>82</v>
      </c>
      <c r="E461" t="s">
        <v>97</v>
      </c>
      <c r="F461">
        <v>28100</v>
      </c>
      <c r="G461" t="s">
        <v>331</v>
      </c>
      <c r="H461" s="15">
        <v>45292</v>
      </c>
      <c r="I461">
        <v>28100</v>
      </c>
      <c r="J461">
        <v>0</v>
      </c>
    </row>
    <row r="462" spans="1:10" x14ac:dyDescent="0.3">
      <c r="A462" s="15">
        <v>45323</v>
      </c>
      <c r="B462" t="s">
        <v>319</v>
      </c>
      <c r="C462" t="s">
        <v>110</v>
      </c>
      <c r="D462" t="s">
        <v>86</v>
      </c>
      <c r="E462" t="s">
        <v>83</v>
      </c>
      <c r="F462">
        <v>49600</v>
      </c>
      <c r="G462" t="s">
        <v>331</v>
      </c>
      <c r="H462" s="15">
        <v>45292</v>
      </c>
      <c r="I462">
        <v>49600</v>
      </c>
      <c r="J462">
        <v>0</v>
      </c>
    </row>
    <row r="463" spans="1:10" x14ac:dyDescent="0.3">
      <c r="A463" s="15">
        <v>45323</v>
      </c>
      <c r="B463" t="s">
        <v>320</v>
      </c>
      <c r="C463" t="s">
        <v>91</v>
      </c>
      <c r="D463" t="s">
        <v>86</v>
      </c>
      <c r="E463" t="s">
        <v>97</v>
      </c>
      <c r="F463">
        <v>7700</v>
      </c>
      <c r="G463" t="s">
        <v>331</v>
      </c>
      <c r="H463" s="15">
        <v>45292</v>
      </c>
      <c r="I463">
        <v>7700</v>
      </c>
      <c r="J463">
        <v>0</v>
      </c>
    </row>
    <row r="464" spans="1:10" x14ac:dyDescent="0.3">
      <c r="A464" s="15">
        <v>45323</v>
      </c>
      <c r="B464" t="s">
        <v>321</v>
      </c>
      <c r="C464" t="s">
        <v>81</v>
      </c>
      <c r="D464" t="s">
        <v>99</v>
      </c>
      <c r="E464" t="s">
        <v>101</v>
      </c>
      <c r="F464">
        <v>3500</v>
      </c>
      <c r="G464" t="s">
        <v>331</v>
      </c>
      <c r="H464" s="15">
        <v>45292</v>
      </c>
      <c r="I464">
        <v>3500</v>
      </c>
      <c r="J464">
        <v>0</v>
      </c>
    </row>
    <row r="465" spans="1:10" x14ac:dyDescent="0.3">
      <c r="A465" s="15">
        <v>45323</v>
      </c>
      <c r="B465" t="s">
        <v>322</v>
      </c>
      <c r="C465" t="s">
        <v>81</v>
      </c>
      <c r="D465" t="s">
        <v>82</v>
      </c>
      <c r="E465" t="s">
        <v>103</v>
      </c>
      <c r="F465">
        <v>2000</v>
      </c>
      <c r="G465" t="s">
        <v>331</v>
      </c>
      <c r="H465" s="15">
        <v>45292</v>
      </c>
      <c r="I465">
        <v>2000</v>
      </c>
      <c r="J465">
        <v>0</v>
      </c>
    </row>
    <row r="466" spans="1:10" x14ac:dyDescent="0.3">
      <c r="A466" s="15">
        <v>45323</v>
      </c>
      <c r="B466" t="s">
        <v>323</v>
      </c>
      <c r="C466" t="s">
        <v>110</v>
      </c>
      <c r="D466" t="s">
        <v>82</v>
      </c>
      <c r="E466" t="s">
        <v>89</v>
      </c>
      <c r="F466">
        <v>23400</v>
      </c>
      <c r="G466" t="s">
        <v>331</v>
      </c>
      <c r="H466" s="15">
        <v>45292</v>
      </c>
      <c r="I466">
        <v>23400</v>
      </c>
      <c r="J466">
        <v>0</v>
      </c>
    </row>
    <row r="467" spans="1:10" x14ac:dyDescent="0.3">
      <c r="A467" s="15">
        <v>45323</v>
      </c>
      <c r="B467" t="s">
        <v>324</v>
      </c>
      <c r="C467" t="s">
        <v>81</v>
      </c>
      <c r="D467" t="s">
        <v>86</v>
      </c>
      <c r="E467" t="s">
        <v>87</v>
      </c>
      <c r="F467">
        <v>2700</v>
      </c>
      <c r="G467" t="s">
        <v>331</v>
      </c>
      <c r="H467" s="15">
        <v>45292</v>
      </c>
      <c r="I467">
        <v>2700</v>
      </c>
      <c r="J467">
        <v>0</v>
      </c>
    </row>
    <row r="468" spans="1:10" x14ac:dyDescent="0.3">
      <c r="A468" s="15">
        <v>45323</v>
      </c>
      <c r="B468" t="s">
        <v>325</v>
      </c>
      <c r="C468" t="s">
        <v>91</v>
      </c>
      <c r="D468" t="s">
        <v>86</v>
      </c>
      <c r="E468" t="s">
        <v>87</v>
      </c>
      <c r="F468">
        <v>8800</v>
      </c>
      <c r="G468" t="s">
        <v>331</v>
      </c>
      <c r="H468" s="15">
        <v>45292</v>
      </c>
      <c r="I468">
        <v>8800</v>
      </c>
      <c r="J468">
        <v>0</v>
      </c>
    </row>
    <row r="469" spans="1:10" x14ac:dyDescent="0.3">
      <c r="A469" s="15">
        <v>45323</v>
      </c>
      <c r="B469" t="s">
        <v>326</v>
      </c>
      <c r="C469" t="s">
        <v>91</v>
      </c>
      <c r="D469" t="s">
        <v>86</v>
      </c>
      <c r="E469" t="s">
        <v>92</v>
      </c>
      <c r="F469">
        <v>7900</v>
      </c>
      <c r="G469" t="s">
        <v>331</v>
      </c>
      <c r="H469" s="15">
        <v>45292</v>
      </c>
      <c r="I469">
        <v>7900</v>
      </c>
      <c r="J469">
        <v>0</v>
      </c>
    </row>
    <row r="470" spans="1:10" x14ac:dyDescent="0.3">
      <c r="A470" s="15">
        <v>45323</v>
      </c>
      <c r="B470" t="s">
        <v>327</v>
      </c>
      <c r="C470" t="s">
        <v>125</v>
      </c>
      <c r="D470" t="s">
        <v>99</v>
      </c>
      <c r="E470" t="s">
        <v>97</v>
      </c>
      <c r="F470">
        <v>77500</v>
      </c>
      <c r="G470" t="s">
        <v>331</v>
      </c>
      <c r="H470" s="15">
        <v>45292</v>
      </c>
      <c r="I470">
        <v>77500</v>
      </c>
      <c r="J470">
        <v>0</v>
      </c>
    </row>
    <row r="471" spans="1:10" x14ac:dyDescent="0.3">
      <c r="A471" s="15">
        <v>45323</v>
      </c>
      <c r="B471" t="s">
        <v>328</v>
      </c>
      <c r="C471" t="s">
        <v>91</v>
      </c>
      <c r="D471" t="s">
        <v>86</v>
      </c>
      <c r="E471" t="s">
        <v>92</v>
      </c>
      <c r="F471">
        <v>9400</v>
      </c>
      <c r="G471" t="s">
        <v>331</v>
      </c>
      <c r="H471" s="15">
        <v>45292</v>
      </c>
      <c r="I471">
        <v>9400</v>
      </c>
      <c r="J471">
        <v>0</v>
      </c>
    </row>
    <row r="472" spans="1:10" x14ac:dyDescent="0.3">
      <c r="A472" s="15">
        <v>45323</v>
      </c>
      <c r="B472" t="s">
        <v>329</v>
      </c>
      <c r="C472" t="s">
        <v>81</v>
      </c>
      <c r="D472" t="s">
        <v>86</v>
      </c>
      <c r="E472" t="s">
        <v>101</v>
      </c>
      <c r="F472">
        <v>2200</v>
      </c>
      <c r="G472" t="s">
        <v>331</v>
      </c>
      <c r="H472" s="15">
        <v>45292</v>
      </c>
      <c r="I472">
        <v>2200</v>
      </c>
      <c r="J472">
        <v>0</v>
      </c>
    </row>
    <row r="473" spans="1:10" x14ac:dyDescent="0.3">
      <c r="A473" s="15">
        <v>45323</v>
      </c>
      <c r="B473" t="s">
        <v>330</v>
      </c>
      <c r="C473" t="s">
        <v>125</v>
      </c>
      <c r="D473" t="s">
        <v>86</v>
      </c>
      <c r="E473" t="s">
        <v>87</v>
      </c>
      <c r="F473">
        <v>105400</v>
      </c>
      <c r="G473" t="s">
        <v>331</v>
      </c>
      <c r="H473" s="15">
        <v>45292</v>
      </c>
      <c r="I473">
        <v>105400</v>
      </c>
      <c r="J473">
        <v>0</v>
      </c>
    </row>
    <row r="474" spans="1:10" x14ac:dyDescent="0.3">
      <c r="A474" s="15">
        <v>45323</v>
      </c>
      <c r="B474" t="s">
        <v>335</v>
      </c>
      <c r="C474" t="s">
        <v>91</v>
      </c>
      <c r="D474" t="s">
        <v>86</v>
      </c>
      <c r="E474" t="s">
        <v>89</v>
      </c>
      <c r="F474">
        <v>7300</v>
      </c>
      <c r="G474" t="s">
        <v>84</v>
      </c>
      <c r="H474" s="15">
        <v>45323</v>
      </c>
      <c r="I474">
        <v>0</v>
      </c>
      <c r="J474">
        <v>7300</v>
      </c>
    </row>
    <row r="475" spans="1:10" x14ac:dyDescent="0.3">
      <c r="A475" s="15">
        <v>45323</v>
      </c>
      <c r="B475" t="s">
        <v>336</v>
      </c>
      <c r="C475" t="s">
        <v>81</v>
      </c>
      <c r="D475" t="s">
        <v>82</v>
      </c>
      <c r="E475" t="s">
        <v>103</v>
      </c>
      <c r="F475">
        <v>1500</v>
      </c>
      <c r="G475" t="s">
        <v>84</v>
      </c>
      <c r="H475" s="15">
        <v>45323</v>
      </c>
      <c r="I475">
        <v>0</v>
      </c>
      <c r="J475">
        <v>1500</v>
      </c>
    </row>
    <row r="476" spans="1:10" x14ac:dyDescent="0.3">
      <c r="A476" s="15">
        <v>45323</v>
      </c>
      <c r="B476" t="s">
        <v>337</v>
      </c>
      <c r="C476" t="s">
        <v>91</v>
      </c>
      <c r="D476" t="s">
        <v>82</v>
      </c>
      <c r="E476" t="s">
        <v>92</v>
      </c>
      <c r="F476">
        <v>6200</v>
      </c>
      <c r="G476" t="s">
        <v>84</v>
      </c>
      <c r="H476" s="15">
        <v>45323</v>
      </c>
      <c r="I476">
        <v>0</v>
      </c>
      <c r="J476">
        <v>6200</v>
      </c>
    </row>
    <row r="477" spans="1:10" x14ac:dyDescent="0.3">
      <c r="A477" s="15">
        <v>45323</v>
      </c>
      <c r="B477" t="s">
        <v>338</v>
      </c>
      <c r="C477" t="s">
        <v>91</v>
      </c>
      <c r="D477" t="s">
        <v>82</v>
      </c>
      <c r="E477" t="s">
        <v>103</v>
      </c>
      <c r="F477">
        <v>5700</v>
      </c>
      <c r="G477" t="s">
        <v>84</v>
      </c>
      <c r="H477" s="15">
        <v>45323</v>
      </c>
      <c r="I477">
        <v>0</v>
      </c>
      <c r="J477">
        <v>5700</v>
      </c>
    </row>
    <row r="478" spans="1:10" x14ac:dyDescent="0.3">
      <c r="A478" s="15">
        <v>45323</v>
      </c>
      <c r="B478" t="s">
        <v>339</v>
      </c>
      <c r="C478" t="s">
        <v>81</v>
      </c>
      <c r="D478" t="s">
        <v>82</v>
      </c>
      <c r="E478" t="s">
        <v>103</v>
      </c>
      <c r="F478">
        <v>1800</v>
      </c>
      <c r="G478" t="s">
        <v>84</v>
      </c>
      <c r="H478" s="15">
        <v>45323</v>
      </c>
      <c r="I478">
        <v>0</v>
      </c>
      <c r="J478">
        <v>1800</v>
      </c>
    </row>
    <row r="479" spans="1:10" x14ac:dyDescent="0.3">
      <c r="A479" s="15">
        <v>45323</v>
      </c>
      <c r="B479" t="s">
        <v>340</v>
      </c>
      <c r="C479" t="s">
        <v>81</v>
      </c>
      <c r="D479" t="s">
        <v>82</v>
      </c>
      <c r="E479" t="s">
        <v>87</v>
      </c>
      <c r="F479">
        <v>1800</v>
      </c>
      <c r="G479" t="s">
        <v>84</v>
      </c>
      <c r="H479" s="15">
        <v>45323</v>
      </c>
      <c r="I479">
        <v>0</v>
      </c>
      <c r="J479">
        <v>1800</v>
      </c>
    </row>
    <row r="480" spans="1:10" x14ac:dyDescent="0.3">
      <c r="A480" s="15">
        <v>45323</v>
      </c>
      <c r="B480" t="s">
        <v>341</v>
      </c>
      <c r="C480" t="s">
        <v>110</v>
      </c>
      <c r="D480" t="s">
        <v>82</v>
      </c>
      <c r="E480" t="s">
        <v>92</v>
      </c>
      <c r="F480">
        <v>18800</v>
      </c>
      <c r="G480" t="s">
        <v>84</v>
      </c>
      <c r="H480" s="15">
        <v>45323</v>
      </c>
      <c r="I480">
        <v>0</v>
      </c>
      <c r="J480">
        <v>18800</v>
      </c>
    </row>
    <row r="481" spans="1:10" x14ac:dyDescent="0.3">
      <c r="A481" s="15">
        <v>45352</v>
      </c>
      <c r="B481" t="s">
        <v>80</v>
      </c>
      <c r="C481" t="s">
        <v>81</v>
      </c>
      <c r="D481" t="s">
        <v>82</v>
      </c>
      <c r="E481" t="s">
        <v>83</v>
      </c>
      <c r="F481">
        <v>1900</v>
      </c>
      <c r="G481" t="s">
        <v>331</v>
      </c>
      <c r="H481" s="15">
        <v>45292</v>
      </c>
      <c r="I481">
        <v>1900</v>
      </c>
      <c r="J481">
        <v>0</v>
      </c>
    </row>
    <row r="482" spans="1:10" x14ac:dyDescent="0.3">
      <c r="A482" s="15">
        <v>45352</v>
      </c>
      <c r="B482" t="s">
        <v>85</v>
      </c>
      <c r="C482" t="s">
        <v>81</v>
      </c>
      <c r="D482" t="s">
        <v>86</v>
      </c>
      <c r="E482" t="s">
        <v>87</v>
      </c>
      <c r="F482">
        <v>3200</v>
      </c>
      <c r="G482" t="s">
        <v>331</v>
      </c>
      <c r="H482" s="15">
        <v>45292</v>
      </c>
      <c r="I482">
        <v>3200</v>
      </c>
      <c r="J482">
        <v>0</v>
      </c>
    </row>
    <row r="483" spans="1:10" x14ac:dyDescent="0.3">
      <c r="A483" s="15">
        <v>45352</v>
      </c>
      <c r="B483" t="s">
        <v>88</v>
      </c>
      <c r="C483" t="s">
        <v>81</v>
      </c>
      <c r="D483" t="s">
        <v>86</v>
      </c>
      <c r="E483" t="s">
        <v>89</v>
      </c>
      <c r="F483">
        <v>2400</v>
      </c>
      <c r="G483" t="s">
        <v>331</v>
      </c>
      <c r="H483" s="15">
        <v>45292</v>
      </c>
      <c r="I483">
        <v>2400</v>
      </c>
      <c r="J483">
        <v>0</v>
      </c>
    </row>
    <row r="484" spans="1:10" x14ac:dyDescent="0.3">
      <c r="A484" s="15">
        <v>45352</v>
      </c>
      <c r="B484" t="s">
        <v>90</v>
      </c>
      <c r="C484" t="s">
        <v>91</v>
      </c>
      <c r="D484" t="s">
        <v>82</v>
      </c>
      <c r="E484" t="s">
        <v>92</v>
      </c>
      <c r="F484">
        <v>8300</v>
      </c>
      <c r="G484" t="s">
        <v>331</v>
      </c>
      <c r="H484" s="15">
        <v>45292</v>
      </c>
      <c r="I484">
        <v>8300</v>
      </c>
      <c r="J484">
        <v>0</v>
      </c>
    </row>
    <row r="485" spans="1:10" x14ac:dyDescent="0.3">
      <c r="A485" s="15">
        <v>45352</v>
      </c>
      <c r="B485" t="s">
        <v>93</v>
      </c>
      <c r="C485" t="s">
        <v>81</v>
      </c>
      <c r="D485" t="s">
        <v>86</v>
      </c>
      <c r="E485" t="s">
        <v>83</v>
      </c>
      <c r="F485">
        <v>2200</v>
      </c>
      <c r="G485" t="s">
        <v>332</v>
      </c>
      <c r="H485" s="15">
        <v>45292</v>
      </c>
      <c r="I485">
        <v>2100</v>
      </c>
      <c r="J485">
        <v>100</v>
      </c>
    </row>
    <row r="486" spans="1:10" x14ac:dyDescent="0.3">
      <c r="A486" s="15">
        <v>45352</v>
      </c>
      <c r="B486" t="s">
        <v>94</v>
      </c>
      <c r="C486" t="s">
        <v>91</v>
      </c>
      <c r="D486" t="s">
        <v>86</v>
      </c>
      <c r="E486" t="s">
        <v>83</v>
      </c>
      <c r="F486">
        <v>8100</v>
      </c>
      <c r="G486" t="s">
        <v>331</v>
      </c>
      <c r="H486" s="15">
        <v>45292</v>
      </c>
      <c r="I486">
        <v>8100</v>
      </c>
      <c r="J486">
        <v>0</v>
      </c>
    </row>
    <row r="487" spans="1:10" x14ac:dyDescent="0.3">
      <c r="A487" s="15">
        <v>45352</v>
      </c>
      <c r="B487" t="s">
        <v>95</v>
      </c>
      <c r="C487" t="s">
        <v>81</v>
      </c>
      <c r="D487" t="s">
        <v>96</v>
      </c>
      <c r="E487" t="s">
        <v>97</v>
      </c>
      <c r="F487">
        <v>3100</v>
      </c>
      <c r="G487" t="s">
        <v>331</v>
      </c>
      <c r="H487" s="15">
        <v>45292</v>
      </c>
      <c r="I487">
        <v>3100</v>
      </c>
      <c r="J487">
        <v>0</v>
      </c>
    </row>
    <row r="488" spans="1:10" x14ac:dyDescent="0.3">
      <c r="A488" s="15">
        <v>45352</v>
      </c>
      <c r="B488" t="s">
        <v>98</v>
      </c>
      <c r="C488" t="s">
        <v>81</v>
      </c>
      <c r="D488" t="s">
        <v>99</v>
      </c>
      <c r="E488" t="s">
        <v>92</v>
      </c>
      <c r="F488">
        <v>2500</v>
      </c>
      <c r="G488" t="s">
        <v>331</v>
      </c>
      <c r="H488" s="15">
        <v>45292</v>
      </c>
      <c r="I488">
        <v>2500</v>
      </c>
      <c r="J488">
        <v>0</v>
      </c>
    </row>
    <row r="489" spans="1:10" x14ac:dyDescent="0.3">
      <c r="A489" s="15">
        <v>45352</v>
      </c>
      <c r="B489" t="s">
        <v>100</v>
      </c>
      <c r="C489" t="s">
        <v>81</v>
      </c>
      <c r="D489" t="s">
        <v>86</v>
      </c>
      <c r="E489" t="s">
        <v>101</v>
      </c>
      <c r="F489">
        <v>1800</v>
      </c>
      <c r="G489" t="s">
        <v>331</v>
      </c>
      <c r="H489" s="15">
        <v>45292</v>
      </c>
      <c r="I489">
        <v>1800</v>
      </c>
      <c r="J489">
        <v>0</v>
      </c>
    </row>
    <row r="490" spans="1:10" x14ac:dyDescent="0.3">
      <c r="A490" s="15">
        <v>45352</v>
      </c>
      <c r="B490" t="s">
        <v>102</v>
      </c>
      <c r="C490" t="s">
        <v>81</v>
      </c>
      <c r="D490" t="s">
        <v>99</v>
      </c>
      <c r="E490" t="s">
        <v>103</v>
      </c>
      <c r="F490">
        <v>3600</v>
      </c>
      <c r="G490" t="s">
        <v>331</v>
      </c>
      <c r="H490" s="15">
        <v>45292</v>
      </c>
      <c r="I490">
        <v>3600</v>
      </c>
      <c r="J490">
        <v>0</v>
      </c>
    </row>
    <row r="491" spans="1:10" x14ac:dyDescent="0.3">
      <c r="A491" s="15">
        <v>45352</v>
      </c>
      <c r="B491" t="s">
        <v>104</v>
      </c>
      <c r="C491" t="s">
        <v>91</v>
      </c>
      <c r="D491" t="s">
        <v>99</v>
      </c>
      <c r="E491" t="s">
        <v>87</v>
      </c>
      <c r="F491">
        <v>7000</v>
      </c>
      <c r="G491" t="s">
        <v>334</v>
      </c>
      <c r="H491" s="15">
        <v>45292</v>
      </c>
      <c r="I491">
        <v>7700</v>
      </c>
      <c r="J491">
        <v>-700</v>
      </c>
    </row>
    <row r="492" spans="1:10" x14ac:dyDescent="0.3">
      <c r="A492" s="15">
        <v>45352</v>
      </c>
      <c r="B492" t="s">
        <v>105</v>
      </c>
      <c r="C492" t="s">
        <v>91</v>
      </c>
      <c r="D492" t="s">
        <v>86</v>
      </c>
      <c r="E492" t="s">
        <v>89</v>
      </c>
      <c r="F492">
        <v>11400</v>
      </c>
      <c r="G492" t="s">
        <v>331</v>
      </c>
      <c r="H492" s="15">
        <v>45292</v>
      </c>
      <c r="I492">
        <v>11400</v>
      </c>
      <c r="J492">
        <v>0</v>
      </c>
    </row>
    <row r="493" spans="1:10" x14ac:dyDescent="0.3">
      <c r="A493" s="15">
        <v>45352</v>
      </c>
      <c r="B493" t="s">
        <v>106</v>
      </c>
      <c r="C493" t="s">
        <v>81</v>
      </c>
      <c r="D493" t="s">
        <v>99</v>
      </c>
      <c r="E493" t="s">
        <v>92</v>
      </c>
      <c r="F493">
        <v>2700</v>
      </c>
      <c r="G493" t="s">
        <v>331</v>
      </c>
      <c r="H493" s="15">
        <v>45292</v>
      </c>
      <c r="I493">
        <v>2700</v>
      </c>
      <c r="J493">
        <v>0</v>
      </c>
    </row>
    <row r="494" spans="1:10" x14ac:dyDescent="0.3">
      <c r="A494" s="15">
        <v>45352</v>
      </c>
      <c r="B494" t="s">
        <v>107</v>
      </c>
      <c r="C494" t="s">
        <v>91</v>
      </c>
      <c r="D494" t="s">
        <v>82</v>
      </c>
      <c r="E494" t="s">
        <v>89</v>
      </c>
      <c r="F494">
        <v>8000</v>
      </c>
      <c r="G494" t="s">
        <v>331</v>
      </c>
      <c r="H494" s="15">
        <v>45292</v>
      </c>
      <c r="I494">
        <v>8000</v>
      </c>
      <c r="J494">
        <v>0</v>
      </c>
    </row>
    <row r="495" spans="1:10" x14ac:dyDescent="0.3">
      <c r="A495" s="15">
        <v>45352</v>
      </c>
      <c r="B495" t="s">
        <v>108</v>
      </c>
      <c r="C495" t="s">
        <v>91</v>
      </c>
      <c r="D495" t="s">
        <v>86</v>
      </c>
      <c r="E495" t="s">
        <v>87</v>
      </c>
      <c r="F495">
        <v>9700</v>
      </c>
      <c r="G495" t="s">
        <v>331</v>
      </c>
      <c r="H495" s="15">
        <v>45292</v>
      </c>
      <c r="I495">
        <v>9700</v>
      </c>
      <c r="J495">
        <v>0</v>
      </c>
    </row>
    <row r="496" spans="1:10" x14ac:dyDescent="0.3">
      <c r="A496" s="15">
        <v>45352</v>
      </c>
      <c r="B496" t="s">
        <v>109</v>
      </c>
      <c r="C496" t="s">
        <v>110</v>
      </c>
      <c r="D496" t="s">
        <v>82</v>
      </c>
      <c r="E496" t="s">
        <v>103</v>
      </c>
      <c r="F496">
        <v>37800</v>
      </c>
      <c r="G496" t="s">
        <v>331</v>
      </c>
      <c r="H496" s="15">
        <v>45292</v>
      </c>
      <c r="I496">
        <v>37800</v>
      </c>
      <c r="J496">
        <v>0</v>
      </c>
    </row>
    <row r="497" spans="1:10" x14ac:dyDescent="0.3">
      <c r="A497" s="15">
        <v>45352</v>
      </c>
      <c r="B497" t="s">
        <v>111</v>
      </c>
      <c r="C497" t="s">
        <v>91</v>
      </c>
      <c r="D497" t="s">
        <v>82</v>
      </c>
      <c r="E497" t="s">
        <v>83</v>
      </c>
      <c r="F497">
        <v>8800</v>
      </c>
      <c r="G497" t="s">
        <v>331</v>
      </c>
      <c r="H497" s="15">
        <v>45292</v>
      </c>
      <c r="I497">
        <v>8800</v>
      </c>
      <c r="J497">
        <v>0</v>
      </c>
    </row>
    <row r="498" spans="1:10" x14ac:dyDescent="0.3">
      <c r="A498" s="15">
        <v>45352</v>
      </c>
      <c r="B498" t="s">
        <v>112</v>
      </c>
      <c r="C498" t="s">
        <v>91</v>
      </c>
      <c r="D498" t="s">
        <v>82</v>
      </c>
      <c r="E498" t="s">
        <v>92</v>
      </c>
      <c r="F498">
        <v>8600</v>
      </c>
      <c r="G498" t="s">
        <v>331</v>
      </c>
      <c r="H498" s="15">
        <v>45292</v>
      </c>
      <c r="I498">
        <v>8600</v>
      </c>
      <c r="J498">
        <v>0</v>
      </c>
    </row>
    <row r="499" spans="1:10" x14ac:dyDescent="0.3">
      <c r="A499" s="15">
        <v>45352</v>
      </c>
      <c r="B499" t="s">
        <v>113</v>
      </c>
      <c r="C499" t="s">
        <v>81</v>
      </c>
      <c r="D499" t="s">
        <v>96</v>
      </c>
      <c r="E499" t="s">
        <v>89</v>
      </c>
      <c r="F499">
        <v>2300</v>
      </c>
      <c r="G499" t="s">
        <v>331</v>
      </c>
      <c r="H499" s="15">
        <v>45292</v>
      </c>
      <c r="I499">
        <v>2300</v>
      </c>
      <c r="J499">
        <v>0</v>
      </c>
    </row>
    <row r="500" spans="1:10" x14ac:dyDescent="0.3">
      <c r="A500" s="15">
        <v>45352</v>
      </c>
      <c r="B500" t="s">
        <v>114</v>
      </c>
      <c r="C500" t="s">
        <v>110</v>
      </c>
      <c r="D500" t="s">
        <v>99</v>
      </c>
      <c r="E500" t="s">
        <v>97</v>
      </c>
      <c r="F500">
        <v>36200</v>
      </c>
      <c r="G500" t="s">
        <v>331</v>
      </c>
      <c r="H500" s="15">
        <v>45292</v>
      </c>
      <c r="I500">
        <v>36200</v>
      </c>
      <c r="J500">
        <v>0</v>
      </c>
    </row>
    <row r="501" spans="1:10" x14ac:dyDescent="0.3">
      <c r="A501" s="15">
        <v>45352</v>
      </c>
      <c r="B501" t="s">
        <v>115</v>
      </c>
      <c r="C501" t="s">
        <v>81</v>
      </c>
      <c r="D501" t="s">
        <v>82</v>
      </c>
      <c r="E501" t="s">
        <v>101</v>
      </c>
      <c r="F501">
        <v>2600</v>
      </c>
      <c r="G501" t="s">
        <v>331</v>
      </c>
      <c r="H501" s="15">
        <v>45292</v>
      </c>
      <c r="I501">
        <v>2600</v>
      </c>
      <c r="J501">
        <v>0</v>
      </c>
    </row>
    <row r="502" spans="1:10" x14ac:dyDescent="0.3">
      <c r="A502" s="15">
        <v>45352</v>
      </c>
      <c r="B502" t="s">
        <v>116</v>
      </c>
      <c r="C502" t="s">
        <v>81</v>
      </c>
      <c r="D502" t="s">
        <v>86</v>
      </c>
      <c r="E502" t="s">
        <v>87</v>
      </c>
      <c r="F502">
        <v>2900</v>
      </c>
      <c r="G502" t="s">
        <v>331</v>
      </c>
      <c r="H502" s="15">
        <v>45292</v>
      </c>
      <c r="I502">
        <v>2900</v>
      </c>
      <c r="J502">
        <v>0</v>
      </c>
    </row>
    <row r="503" spans="1:10" x14ac:dyDescent="0.3">
      <c r="A503" s="15">
        <v>45352</v>
      </c>
      <c r="B503" t="s">
        <v>117</v>
      </c>
      <c r="C503" t="s">
        <v>81</v>
      </c>
      <c r="D503" t="s">
        <v>86</v>
      </c>
      <c r="E503" t="s">
        <v>103</v>
      </c>
      <c r="F503">
        <v>2500</v>
      </c>
      <c r="G503" t="s">
        <v>331</v>
      </c>
      <c r="H503" s="15">
        <v>45292</v>
      </c>
      <c r="I503">
        <v>2500</v>
      </c>
      <c r="J503">
        <v>0</v>
      </c>
    </row>
    <row r="504" spans="1:10" x14ac:dyDescent="0.3">
      <c r="A504" s="15">
        <v>45352</v>
      </c>
      <c r="B504" t="s">
        <v>118</v>
      </c>
      <c r="C504" t="s">
        <v>81</v>
      </c>
      <c r="D504" t="s">
        <v>82</v>
      </c>
      <c r="E504" t="s">
        <v>103</v>
      </c>
      <c r="F504">
        <v>2500</v>
      </c>
      <c r="G504" t="s">
        <v>331</v>
      </c>
      <c r="H504" s="15">
        <v>45292</v>
      </c>
      <c r="I504">
        <v>2500</v>
      </c>
      <c r="J504">
        <v>0</v>
      </c>
    </row>
    <row r="505" spans="1:10" x14ac:dyDescent="0.3">
      <c r="A505" s="15">
        <v>45352</v>
      </c>
      <c r="B505" t="s">
        <v>119</v>
      </c>
      <c r="C505" t="s">
        <v>91</v>
      </c>
      <c r="D505" t="s">
        <v>96</v>
      </c>
      <c r="E505" t="s">
        <v>89</v>
      </c>
      <c r="F505">
        <v>12800</v>
      </c>
      <c r="G505" t="s">
        <v>331</v>
      </c>
      <c r="H505" s="15">
        <v>45292</v>
      </c>
      <c r="I505">
        <v>12800</v>
      </c>
      <c r="J505">
        <v>0</v>
      </c>
    </row>
    <row r="506" spans="1:10" x14ac:dyDescent="0.3">
      <c r="A506" s="15">
        <v>45352</v>
      </c>
      <c r="B506" t="s">
        <v>120</v>
      </c>
      <c r="C506" t="s">
        <v>81</v>
      </c>
      <c r="D506" t="s">
        <v>86</v>
      </c>
      <c r="E506" t="s">
        <v>101</v>
      </c>
      <c r="F506">
        <v>2200</v>
      </c>
      <c r="G506" t="s">
        <v>331</v>
      </c>
      <c r="H506" s="15">
        <v>45292</v>
      </c>
      <c r="I506">
        <v>2200</v>
      </c>
      <c r="J506">
        <v>0</v>
      </c>
    </row>
    <row r="507" spans="1:10" x14ac:dyDescent="0.3">
      <c r="A507" s="15">
        <v>45352</v>
      </c>
      <c r="B507" t="s">
        <v>122</v>
      </c>
      <c r="C507" t="s">
        <v>81</v>
      </c>
      <c r="D507" t="s">
        <v>96</v>
      </c>
      <c r="E507" t="s">
        <v>87</v>
      </c>
      <c r="F507">
        <v>2200</v>
      </c>
      <c r="G507" t="s">
        <v>332</v>
      </c>
      <c r="H507" s="15">
        <v>45292</v>
      </c>
      <c r="I507">
        <v>2000</v>
      </c>
      <c r="J507">
        <v>200</v>
      </c>
    </row>
    <row r="508" spans="1:10" x14ac:dyDescent="0.3">
      <c r="A508" s="15">
        <v>45352</v>
      </c>
      <c r="B508" t="s">
        <v>123</v>
      </c>
      <c r="C508" t="s">
        <v>81</v>
      </c>
      <c r="D508" t="s">
        <v>82</v>
      </c>
      <c r="E508" t="s">
        <v>92</v>
      </c>
      <c r="F508">
        <v>2200</v>
      </c>
      <c r="G508" t="s">
        <v>331</v>
      </c>
      <c r="H508" s="15">
        <v>45292</v>
      </c>
      <c r="I508">
        <v>2200</v>
      </c>
      <c r="J508">
        <v>0</v>
      </c>
    </row>
    <row r="509" spans="1:10" x14ac:dyDescent="0.3">
      <c r="A509" s="15">
        <v>45352</v>
      </c>
      <c r="B509" t="s">
        <v>124</v>
      </c>
      <c r="C509" t="s">
        <v>125</v>
      </c>
      <c r="D509" t="s">
        <v>82</v>
      </c>
      <c r="E509" t="s">
        <v>97</v>
      </c>
      <c r="F509">
        <v>82700</v>
      </c>
      <c r="G509" t="s">
        <v>331</v>
      </c>
      <c r="H509" s="15">
        <v>45292</v>
      </c>
      <c r="I509">
        <v>82700</v>
      </c>
      <c r="J509">
        <v>0</v>
      </c>
    </row>
    <row r="510" spans="1:10" x14ac:dyDescent="0.3">
      <c r="A510" s="15">
        <v>45352</v>
      </c>
      <c r="B510" t="s">
        <v>126</v>
      </c>
      <c r="C510" t="s">
        <v>91</v>
      </c>
      <c r="D510" t="s">
        <v>82</v>
      </c>
      <c r="E510" t="s">
        <v>83</v>
      </c>
      <c r="F510">
        <v>7700</v>
      </c>
      <c r="G510" t="s">
        <v>331</v>
      </c>
      <c r="H510" s="15">
        <v>45292</v>
      </c>
      <c r="I510">
        <v>7700</v>
      </c>
      <c r="J510">
        <v>0</v>
      </c>
    </row>
    <row r="511" spans="1:10" x14ac:dyDescent="0.3">
      <c r="A511" s="15">
        <v>45352</v>
      </c>
      <c r="B511" t="s">
        <v>127</v>
      </c>
      <c r="C511" t="s">
        <v>81</v>
      </c>
      <c r="D511" t="s">
        <v>82</v>
      </c>
      <c r="E511" t="s">
        <v>101</v>
      </c>
      <c r="F511">
        <v>2100</v>
      </c>
      <c r="G511" t="s">
        <v>334</v>
      </c>
      <c r="H511" s="15">
        <v>45292</v>
      </c>
      <c r="I511">
        <v>2400</v>
      </c>
      <c r="J511">
        <v>-300</v>
      </c>
    </row>
    <row r="512" spans="1:10" x14ac:dyDescent="0.3">
      <c r="A512" s="15">
        <v>45352</v>
      </c>
      <c r="B512" t="s">
        <v>128</v>
      </c>
      <c r="C512" t="s">
        <v>81</v>
      </c>
      <c r="D512" t="s">
        <v>82</v>
      </c>
      <c r="E512" t="s">
        <v>92</v>
      </c>
      <c r="F512">
        <v>1700</v>
      </c>
      <c r="G512" t="s">
        <v>331</v>
      </c>
      <c r="H512" s="15">
        <v>45292</v>
      </c>
      <c r="I512">
        <v>1700</v>
      </c>
      <c r="J512">
        <v>0</v>
      </c>
    </row>
    <row r="513" spans="1:10" x14ac:dyDescent="0.3">
      <c r="A513" s="15">
        <v>45352</v>
      </c>
      <c r="B513" t="s">
        <v>129</v>
      </c>
      <c r="C513" t="s">
        <v>110</v>
      </c>
      <c r="D513" t="s">
        <v>86</v>
      </c>
      <c r="E513" t="s">
        <v>92</v>
      </c>
      <c r="F513">
        <v>36700</v>
      </c>
      <c r="G513" t="s">
        <v>331</v>
      </c>
      <c r="H513" s="15">
        <v>45292</v>
      </c>
      <c r="I513">
        <v>36700</v>
      </c>
      <c r="J513">
        <v>0</v>
      </c>
    </row>
    <row r="514" spans="1:10" x14ac:dyDescent="0.3">
      <c r="A514" s="15">
        <v>45352</v>
      </c>
      <c r="B514" t="s">
        <v>130</v>
      </c>
      <c r="C514" t="s">
        <v>91</v>
      </c>
      <c r="D514" t="s">
        <v>82</v>
      </c>
      <c r="E514" t="s">
        <v>92</v>
      </c>
      <c r="F514">
        <v>0</v>
      </c>
      <c r="G514" t="s">
        <v>333</v>
      </c>
      <c r="H514" s="15">
        <v>45292</v>
      </c>
      <c r="I514">
        <v>6700</v>
      </c>
      <c r="J514">
        <v>-6700</v>
      </c>
    </row>
    <row r="515" spans="1:10" x14ac:dyDescent="0.3">
      <c r="A515" s="15">
        <v>45352</v>
      </c>
      <c r="B515" t="s">
        <v>131</v>
      </c>
      <c r="C515" t="s">
        <v>81</v>
      </c>
      <c r="D515" t="s">
        <v>86</v>
      </c>
      <c r="E515" t="s">
        <v>101</v>
      </c>
      <c r="F515">
        <v>1900</v>
      </c>
      <c r="G515" t="s">
        <v>331</v>
      </c>
      <c r="H515" s="15">
        <v>45292</v>
      </c>
      <c r="I515">
        <v>1900</v>
      </c>
      <c r="J515">
        <v>0</v>
      </c>
    </row>
    <row r="516" spans="1:10" x14ac:dyDescent="0.3">
      <c r="A516" s="15">
        <v>45352</v>
      </c>
      <c r="B516" t="s">
        <v>133</v>
      </c>
      <c r="C516" t="s">
        <v>81</v>
      </c>
      <c r="D516" t="s">
        <v>96</v>
      </c>
      <c r="E516" t="s">
        <v>87</v>
      </c>
      <c r="F516">
        <v>3200</v>
      </c>
      <c r="G516" t="s">
        <v>331</v>
      </c>
      <c r="H516" s="15">
        <v>45292</v>
      </c>
      <c r="I516">
        <v>3200</v>
      </c>
      <c r="J516">
        <v>0</v>
      </c>
    </row>
    <row r="517" spans="1:10" x14ac:dyDescent="0.3">
      <c r="A517" s="15">
        <v>45352</v>
      </c>
      <c r="B517" t="s">
        <v>134</v>
      </c>
      <c r="C517" t="s">
        <v>81</v>
      </c>
      <c r="D517" t="s">
        <v>82</v>
      </c>
      <c r="E517" t="s">
        <v>92</v>
      </c>
      <c r="F517">
        <v>2900</v>
      </c>
      <c r="G517" t="s">
        <v>331</v>
      </c>
      <c r="H517" s="15">
        <v>45292</v>
      </c>
      <c r="I517">
        <v>2900</v>
      </c>
      <c r="J517">
        <v>0</v>
      </c>
    </row>
    <row r="518" spans="1:10" x14ac:dyDescent="0.3">
      <c r="A518" s="15">
        <v>45352</v>
      </c>
      <c r="B518" t="s">
        <v>135</v>
      </c>
      <c r="C518" t="s">
        <v>81</v>
      </c>
      <c r="D518" t="s">
        <v>82</v>
      </c>
      <c r="E518" t="s">
        <v>103</v>
      </c>
      <c r="F518">
        <v>2400</v>
      </c>
      <c r="G518" t="s">
        <v>331</v>
      </c>
      <c r="H518" s="15">
        <v>45292</v>
      </c>
      <c r="I518">
        <v>2400</v>
      </c>
      <c r="J518">
        <v>0</v>
      </c>
    </row>
    <row r="519" spans="1:10" x14ac:dyDescent="0.3">
      <c r="A519" s="15">
        <v>45352</v>
      </c>
      <c r="B519" t="s">
        <v>136</v>
      </c>
      <c r="C519" t="s">
        <v>81</v>
      </c>
      <c r="D519" t="s">
        <v>82</v>
      </c>
      <c r="E519" t="s">
        <v>101</v>
      </c>
      <c r="F519">
        <v>2900</v>
      </c>
      <c r="G519" t="s">
        <v>332</v>
      </c>
      <c r="H519" s="15">
        <v>45292</v>
      </c>
      <c r="I519">
        <v>2600</v>
      </c>
      <c r="J519">
        <v>300</v>
      </c>
    </row>
    <row r="520" spans="1:10" x14ac:dyDescent="0.3">
      <c r="A520" s="15">
        <v>45352</v>
      </c>
      <c r="B520" t="s">
        <v>137</v>
      </c>
      <c r="C520" t="s">
        <v>81</v>
      </c>
      <c r="D520" t="s">
        <v>82</v>
      </c>
      <c r="E520" t="s">
        <v>89</v>
      </c>
      <c r="F520">
        <v>1700</v>
      </c>
      <c r="G520" t="s">
        <v>331</v>
      </c>
      <c r="H520" s="15">
        <v>45292</v>
      </c>
      <c r="I520">
        <v>1700</v>
      </c>
      <c r="J520">
        <v>0</v>
      </c>
    </row>
    <row r="521" spans="1:10" x14ac:dyDescent="0.3">
      <c r="A521" s="15">
        <v>45352</v>
      </c>
      <c r="B521" t="s">
        <v>138</v>
      </c>
      <c r="C521" t="s">
        <v>81</v>
      </c>
      <c r="D521" t="s">
        <v>86</v>
      </c>
      <c r="E521" t="s">
        <v>97</v>
      </c>
      <c r="F521">
        <v>3300</v>
      </c>
      <c r="G521" t="s">
        <v>331</v>
      </c>
      <c r="H521" s="15">
        <v>45292</v>
      </c>
      <c r="I521">
        <v>3300</v>
      </c>
      <c r="J521">
        <v>0</v>
      </c>
    </row>
    <row r="522" spans="1:10" x14ac:dyDescent="0.3">
      <c r="A522" s="15">
        <v>45352</v>
      </c>
      <c r="B522" t="s">
        <v>139</v>
      </c>
      <c r="C522" t="s">
        <v>91</v>
      </c>
      <c r="D522" t="s">
        <v>82</v>
      </c>
      <c r="E522" t="s">
        <v>103</v>
      </c>
      <c r="F522">
        <v>6800</v>
      </c>
      <c r="G522" t="s">
        <v>331</v>
      </c>
      <c r="H522" s="15">
        <v>45292</v>
      </c>
      <c r="I522">
        <v>6800</v>
      </c>
      <c r="J522">
        <v>0</v>
      </c>
    </row>
    <row r="523" spans="1:10" x14ac:dyDescent="0.3">
      <c r="A523" s="15">
        <v>45352</v>
      </c>
      <c r="B523" t="s">
        <v>140</v>
      </c>
      <c r="C523" t="s">
        <v>81</v>
      </c>
      <c r="D523" t="s">
        <v>99</v>
      </c>
      <c r="E523" t="s">
        <v>97</v>
      </c>
      <c r="F523">
        <v>1800</v>
      </c>
      <c r="G523" t="s">
        <v>331</v>
      </c>
      <c r="H523" s="15">
        <v>45292</v>
      </c>
      <c r="I523">
        <v>1800</v>
      </c>
      <c r="J523">
        <v>0</v>
      </c>
    </row>
    <row r="524" spans="1:10" x14ac:dyDescent="0.3">
      <c r="A524" s="15">
        <v>45352</v>
      </c>
      <c r="B524" t="s">
        <v>141</v>
      </c>
      <c r="C524" t="s">
        <v>125</v>
      </c>
      <c r="D524" t="s">
        <v>99</v>
      </c>
      <c r="E524" t="s">
        <v>103</v>
      </c>
      <c r="F524">
        <v>100200</v>
      </c>
      <c r="G524" t="s">
        <v>331</v>
      </c>
      <c r="H524" s="15">
        <v>45292</v>
      </c>
      <c r="I524">
        <v>100200</v>
      </c>
      <c r="J524">
        <v>0</v>
      </c>
    </row>
    <row r="525" spans="1:10" x14ac:dyDescent="0.3">
      <c r="A525" s="15">
        <v>45352</v>
      </c>
      <c r="B525" t="s">
        <v>142</v>
      </c>
      <c r="C525" t="s">
        <v>125</v>
      </c>
      <c r="D525" t="s">
        <v>82</v>
      </c>
      <c r="E525" t="s">
        <v>92</v>
      </c>
      <c r="F525">
        <v>93300</v>
      </c>
      <c r="G525" t="s">
        <v>332</v>
      </c>
      <c r="H525" s="15">
        <v>45292</v>
      </c>
      <c r="I525">
        <v>81400</v>
      </c>
      <c r="J525">
        <v>11900</v>
      </c>
    </row>
    <row r="526" spans="1:10" x14ac:dyDescent="0.3">
      <c r="A526" s="15">
        <v>45352</v>
      </c>
      <c r="B526" t="s">
        <v>143</v>
      </c>
      <c r="C526" t="s">
        <v>91</v>
      </c>
      <c r="D526" t="s">
        <v>99</v>
      </c>
      <c r="E526" t="s">
        <v>103</v>
      </c>
      <c r="F526">
        <v>8000</v>
      </c>
      <c r="G526" t="s">
        <v>331</v>
      </c>
      <c r="H526" s="15">
        <v>45292</v>
      </c>
      <c r="I526">
        <v>8000</v>
      </c>
      <c r="J526">
        <v>0</v>
      </c>
    </row>
    <row r="527" spans="1:10" x14ac:dyDescent="0.3">
      <c r="A527" s="15">
        <v>45352</v>
      </c>
      <c r="B527" t="s">
        <v>144</v>
      </c>
      <c r="C527" t="s">
        <v>81</v>
      </c>
      <c r="D527" t="s">
        <v>82</v>
      </c>
      <c r="E527" t="s">
        <v>92</v>
      </c>
      <c r="F527">
        <v>2600</v>
      </c>
      <c r="G527" t="s">
        <v>334</v>
      </c>
      <c r="H527" s="15">
        <v>45292</v>
      </c>
      <c r="I527">
        <v>3100</v>
      </c>
      <c r="J527">
        <v>-500</v>
      </c>
    </row>
    <row r="528" spans="1:10" x14ac:dyDescent="0.3">
      <c r="A528" s="15">
        <v>45352</v>
      </c>
      <c r="B528" t="s">
        <v>145</v>
      </c>
      <c r="C528" t="s">
        <v>91</v>
      </c>
      <c r="D528" t="s">
        <v>82</v>
      </c>
      <c r="E528" t="s">
        <v>87</v>
      </c>
      <c r="F528">
        <v>8200</v>
      </c>
      <c r="G528" t="s">
        <v>331</v>
      </c>
      <c r="H528" s="15">
        <v>45292</v>
      </c>
      <c r="I528">
        <v>8200</v>
      </c>
      <c r="J528">
        <v>0</v>
      </c>
    </row>
    <row r="529" spans="1:10" x14ac:dyDescent="0.3">
      <c r="A529" s="15">
        <v>45352</v>
      </c>
      <c r="B529" t="s">
        <v>146</v>
      </c>
      <c r="C529" t="s">
        <v>91</v>
      </c>
      <c r="D529" t="s">
        <v>86</v>
      </c>
      <c r="E529" t="s">
        <v>87</v>
      </c>
      <c r="F529">
        <v>9200</v>
      </c>
      <c r="G529" t="s">
        <v>331</v>
      </c>
      <c r="H529" s="15">
        <v>45292</v>
      </c>
      <c r="I529">
        <v>9200</v>
      </c>
      <c r="J529">
        <v>0</v>
      </c>
    </row>
    <row r="530" spans="1:10" x14ac:dyDescent="0.3">
      <c r="A530" s="15">
        <v>45352</v>
      </c>
      <c r="B530" t="s">
        <v>147</v>
      </c>
      <c r="C530" t="s">
        <v>81</v>
      </c>
      <c r="D530" t="s">
        <v>82</v>
      </c>
      <c r="E530" t="s">
        <v>92</v>
      </c>
      <c r="F530">
        <v>2600</v>
      </c>
      <c r="G530" t="s">
        <v>331</v>
      </c>
      <c r="H530" s="15">
        <v>45292</v>
      </c>
      <c r="I530">
        <v>2600</v>
      </c>
      <c r="J530">
        <v>0</v>
      </c>
    </row>
    <row r="531" spans="1:10" x14ac:dyDescent="0.3">
      <c r="A531" s="15">
        <v>45352</v>
      </c>
      <c r="B531" t="s">
        <v>148</v>
      </c>
      <c r="C531" t="s">
        <v>110</v>
      </c>
      <c r="D531" t="s">
        <v>86</v>
      </c>
      <c r="E531" t="s">
        <v>89</v>
      </c>
      <c r="F531">
        <v>23500</v>
      </c>
      <c r="G531" t="s">
        <v>331</v>
      </c>
      <c r="H531" s="15">
        <v>45292</v>
      </c>
      <c r="I531">
        <v>23500</v>
      </c>
      <c r="J531">
        <v>0</v>
      </c>
    </row>
    <row r="532" spans="1:10" x14ac:dyDescent="0.3">
      <c r="A532" s="15">
        <v>45352</v>
      </c>
      <c r="B532" t="s">
        <v>149</v>
      </c>
      <c r="C532" t="s">
        <v>110</v>
      </c>
      <c r="D532" t="s">
        <v>82</v>
      </c>
      <c r="E532" t="s">
        <v>103</v>
      </c>
      <c r="F532">
        <v>31000</v>
      </c>
      <c r="G532" t="s">
        <v>331</v>
      </c>
      <c r="H532" s="15">
        <v>45292</v>
      </c>
      <c r="I532">
        <v>31000</v>
      </c>
      <c r="J532">
        <v>0</v>
      </c>
    </row>
    <row r="533" spans="1:10" x14ac:dyDescent="0.3">
      <c r="A533" s="15">
        <v>45352</v>
      </c>
      <c r="B533" t="s">
        <v>150</v>
      </c>
      <c r="C533" t="s">
        <v>91</v>
      </c>
      <c r="D533" t="s">
        <v>99</v>
      </c>
      <c r="E533" t="s">
        <v>101</v>
      </c>
      <c r="F533">
        <v>8700</v>
      </c>
      <c r="G533" t="s">
        <v>331</v>
      </c>
      <c r="H533" s="15">
        <v>45292</v>
      </c>
      <c r="I533">
        <v>8700</v>
      </c>
      <c r="J533">
        <v>0</v>
      </c>
    </row>
    <row r="534" spans="1:10" x14ac:dyDescent="0.3">
      <c r="A534" s="15">
        <v>45352</v>
      </c>
      <c r="B534" t="s">
        <v>151</v>
      </c>
      <c r="C534" t="s">
        <v>91</v>
      </c>
      <c r="D534" t="s">
        <v>82</v>
      </c>
      <c r="E534" t="s">
        <v>97</v>
      </c>
      <c r="F534">
        <v>8200</v>
      </c>
      <c r="G534" t="s">
        <v>331</v>
      </c>
      <c r="H534" s="15">
        <v>45292</v>
      </c>
      <c r="I534">
        <v>8200</v>
      </c>
      <c r="J534">
        <v>0</v>
      </c>
    </row>
    <row r="535" spans="1:10" x14ac:dyDescent="0.3">
      <c r="A535" s="15">
        <v>45352</v>
      </c>
      <c r="B535" t="s">
        <v>152</v>
      </c>
      <c r="C535" t="s">
        <v>81</v>
      </c>
      <c r="D535" t="s">
        <v>99</v>
      </c>
      <c r="E535" t="s">
        <v>87</v>
      </c>
      <c r="F535">
        <v>3100</v>
      </c>
      <c r="G535" t="s">
        <v>331</v>
      </c>
      <c r="H535" s="15">
        <v>45292</v>
      </c>
      <c r="I535">
        <v>3100</v>
      </c>
      <c r="J535">
        <v>0</v>
      </c>
    </row>
    <row r="536" spans="1:10" x14ac:dyDescent="0.3">
      <c r="A536" s="15">
        <v>45352</v>
      </c>
      <c r="B536" t="s">
        <v>153</v>
      </c>
      <c r="C536" t="s">
        <v>110</v>
      </c>
      <c r="D536" t="s">
        <v>99</v>
      </c>
      <c r="E536" t="s">
        <v>87</v>
      </c>
      <c r="F536">
        <v>31500</v>
      </c>
      <c r="G536" t="s">
        <v>331</v>
      </c>
      <c r="H536" s="15">
        <v>45292</v>
      </c>
      <c r="I536">
        <v>31500</v>
      </c>
      <c r="J536">
        <v>0</v>
      </c>
    </row>
    <row r="537" spans="1:10" x14ac:dyDescent="0.3">
      <c r="A537" s="15">
        <v>45352</v>
      </c>
      <c r="B537" t="s">
        <v>154</v>
      </c>
      <c r="C537" t="s">
        <v>91</v>
      </c>
      <c r="D537" t="s">
        <v>86</v>
      </c>
      <c r="E537" t="s">
        <v>103</v>
      </c>
      <c r="F537">
        <v>8800</v>
      </c>
      <c r="G537" t="s">
        <v>331</v>
      </c>
      <c r="H537" s="15">
        <v>45292</v>
      </c>
      <c r="I537">
        <v>8800</v>
      </c>
      <c r="J537">
        <v>0</v>
      </c>
    </row>
    <row r="538" spans="1:10" x14ac:dyDescent="0.3">
      <c r="A538" s="15">
        <v>45352</v>
      </c>
      <c r="B538" t="s">
        <v>155</v>
      </c>
      <c r="C538" t="s">
        <v>91</v>
      </c>
      <c r="D538" t="s">
        <v>82</v>
      </c>
      <c r="E538" t="s">
        <v>92</v>
      </c>
      <c r="F538">
        <v>7100</v>
      </c>
      <c r="G538" t="s">
        <v>331</v>
      </c>
      <c r="H538" s="15">
        <v>45292</v>
      </c>
      <c r="I538">
        <v>7100</v>
      </c>
      <c r="J538">
        <v>0</v>
      </c>
    </row>
    <row r="539" spans="1:10" x14ac:dyDescent="0.3">
      <c r="A539" s="15">
        <v>45352</v>
      </c>
      <c r="B539" t="s">
        <v>156</v>
      </c>
      <c r="C539" t="s">
        <v>81</v>
      </c>
      <c r="D539" t="s">
        <v>86</v>
      </c>
      <c r="E539" t="s">
        <v>101</v>
      </c>
      <c r="F539">
        <v>2300</v>
      </c>
      <c r="G539" t="s">
        <v>331</v>
      </c>
      <c r="H539" s="15">
        <v>45292</v>
      </c>
      <c r="I539">
        <v>2300</v>
      </c>
      <c r="J539">
        <v>0</v>
      </c>
    </row>
    <row r="540" spans="1:10" x14ac:dyDescent="0.3">
      <c r="A540" s="15">
        <v>45352</v>
      </c>
      <c r="B540" t="s">
        <v>157</v>
      </c>
      <c r="C540" t="s">
        <v>81</v>
      </c>
      <c r="D540" t="s">
        <v>82</v>
      </c>
      <c r="E540" t="s">
        <v>92</v>
      </c>
      <c r="F540">
        <v>1800</v>
      </c>
      <c r="G540" t="s">
        <v>331</v>
      </c>
      <c r="H540" s="15">
        <v>45292</v>
      </c>
      <c r="I540">
        <v>1800</v>
      </c>
      <c r="J540">
        <v>0</v>
      </c>
    </row>
    <row r="541" spans="1:10" x14ac:dyDescent="0.3">
      <c r="A541" s="15">
        <v>45352</v>
      </c>
      <c r="B541" t="s">
        <v>158</v>
      </c>
      <c r="C541" t="s">
        <v>91</v>
      </c>
      <c r="D541" t="s">
        <v>96</v>
      </c>
      <c r="E541" t="s">
        <v>83</v>
      </c>
      <c r="F541">
        <v>11400</v>
      </c>
      <c r="G541" t="s">
        <v>331</v>
      </c>
      <c r="H541" s="15">
        <v>45292</v>
      </c>
      <c r="I541">
        <v>11400</v>
      </c>
      <c r="J541">
        <v>0</v>
      </c>
    </row>
    <row r="542" spans="1:10" x14ac:dyDescent="0.3">
      <c r="A542" s="15">
        <v>45352</v>
      </c>
      <c r="B542" t="s">
        <v>159</v>
      </c>
      <c r="C542" t="s">
        <v>81</v>
      </c>
      <c r="D542" t="s">
        <v>86</v>
      </c>
      <c r="E542" t="s">
        <v>87</v>
      </c>
      <c r="F542">
        <v>2400</v>
      </c>
      <c r="G542" t="s">
        <v>334</v>
      </c>
      <c r="H542" s="15">
        <v>45292</v>
      </c>
      <c r="I542">
        <v>2800</v>
      </c>
      <c r="J542">
        <v>-400</v>
      </c>
    </row>
    <row r="543" spans="1:10" x14ac:dyDescent="0.3">
      <c r="A543" s="15">
        <v>45352</v>
      </c>
      <c r="B543" t="s">
        <v>161</v>
      </c>
      <c r="C543" t="s">
        <v>91</v>
      </c>
      <c r="D543" t="s">
        <v>99</v>
      </c>
      <c r="E543" t="s">
        <v>83</v>
      </c>
      <c r="F543">
        <v>10100</v>
      </c>
      <c r="G543" t="s">
        <v>334</v>
      </c>
      <c r="H543" s="15">
        <v>45292</v>
      </c>
      <c r="I543">
        <v>12100</v>
      </c>
      <c r="J543">
        <v>-2000</v>
      </c>
    </row>
    <row r="544" spans="1:10" x14ac:dyDescent="0.3">
      <c r="A544" s="15">
        <v>45352</v>
      </c>
      <c r="B544" t="s">
        <v>162</v>
      </c>
      <c r="C544" t="s">
        <v>91</v>
      </c>
      <c r="D544" t="s">
        <v>82</v>
      </c>
      <c r="E544" t="s">
        <v>103</v>
      </c>
      <c r="F544">
        <v>12700</v>
      </c>
      <c r="G544" t="s">
        <v>331</v>
      </c>
      <c r="H544" s="15">
        <v>45292</v>
      </c>
      <c r="I544">
        <v>12700</v>
      </c>
      <c r="J544">
        <v>0</v>
      </c>
    </row>
    <row r="545" spans="1:10" x14ac:dyDescent="0.3">
      <c r="A545" s="15">
        <v>45352</v>
      </c>
      <c r="B545" t="s">
        <v>163</v>
      </c>
      <c r="C545" t="s">
        <v>81</v>
      </c>
      <c r="D545" t="s">
        <v>86</v>
      </c>
      <c r="E545" t="s">
        <v>97</v>
      </c>
      <c r="F545">
        <v>0</v>
      </c>
      <c r="G545" t="s">
        <v>333</v>
      </c>
      <c r="H545" s="15">
        <v>45292</v>
      </c>
      <c r="I545">
        <v>2600</v>
      </c>
      <c r="J545">
        <v>-2600</v>
      </c>
    </row>
    <row r="546" spans="1:10" x14ac:dyDescent="0.3">
      <c r="A546" s="15">
        <v>45352</v>
      </c>
      <c r="B546" t="s">
        <v>164</v>
      </c>
      <c r="C546" t="s">
        <v>81</v>
      </c>
      <c r="D546" t="s">
        <v>99</v>
      </c>
      <c r="E546" t="s">
        <v>89</v>
      </c>
      <c r="F546">
        <v>2500</v>
      </c>
      <c r="G546" t="s">
        <v>331</v>
      </c>
      <c r="H546" s="15">
        <v>45292</v>
      </c>
      <c r="I546">
        <v>2500</v>
      </c>
      <c r="J546">
        <v>0</v>
      </c>
    </row>
    <row r="547" spans="1:10" x14ac:dyDescent="0.3">
      <c r="A547" s="15">
        <v>45352</v>
      </c>
      <c r="B547" t="s">
        <v>165</v>
      </c>
      <c r="C547" t="s">
        <v>81</v>
      </c>
      <c r="D547" t="s">
        <v>82</v>
      </c>
      <c r="E547" t="s">
        <v>97</v>
      </c>
      <c r="F547">
        <v>3300</v>
      </c>
      <c r="G547" t="s">
        <v>331</v>
      </c>
      <c r="H547" s="15">
        <v>45292</v>
      </c>
      <c r="I547">
        <v>3300</v>
      </c>
      <c r="J547">
        <v>0</v>
      </c>
    </row>
    <row r="548" spans="1:10" x14ac:dyDescent="0.3">
      <c r="A548" s="15">
        <v>45352</v>
      </c>
      <c r="B548" t="s">
        <v>166</v>
      </c>
      <c r="C548" t="s">
        <v>81</v>
      </c>
      <c r="D548" t="s">
        <v>99</v>
      </c>
      <c r="E548" t="s">
        <v>103</v>
      </c>
      <c r="F548">
        <v>2300</v>
      </c>
      <c r="G548" t="s">
        <v>331</v>
      </c>
      <c r="H548" s="15">
        <v>45292</v>
      </c>
      <c r="I548">
        <v>2300</v>
      </c>
      <c r="J548">
        <v>0</v>
      </c>
    </row>
    <row r="549" spans="1:10" x14ac:dyDescent="0.3">
      <c r="A549" s="15">
        <v>45352</v>
      </c>
      <c r="B549" t="s">
        <v>167</v>
      </c>
      <c r="C549" t="s">
        <v>81</v>
      </c>
      <c r="D549" t="s">
        <v>82</v>
      </c>
      <c r="E549" t="s">
        <v>97</v>
      </c>
      <c r="F549">
        <v>2100</v>
      </c>
      <c r="G549" t="s">
        <v>331</v>
      </c>
      <c r="H549" s="15">
        <v>45292</v>
      </c>
      <c r="I549">
        <v>2100</v>
      </c>
      <c r="J549">
        <v>0</v>
      </c>
    </row>
    <row r="550" spans="1:10" x14ac:dyDescent="0.3">
      <c r="A550" s="15">
        <v>45352</v>
      </c>
      <c r="B550" t="s">
        <v>168</v>
      </c>
      <c r="C550" t="s">
        <v>91</v>
      </c>
      <c r="D550" t="s">
        <v>86</v>
      </c>
      <c r="E550" t="s">
        <v>103</v>
      </c>
      <c r="F550">
        <v>12300</v>
      </c>
      <c r="G550" t="s">
        <v>331</v>
      </c>
      <c r="H550" s="15">
        <v>45292</v>
      </c>
      <c r="I550">
        <v>12300</v>
      </c>
      <c r="J550">
        <v>0</v>
      </c>
    </row>
    <row r="551" spans="1:10" x14ac:dyDescent="0.3">
      <c r="A551" s="15">
        <v>45352</v>
      </c>
      <c r="B551" t="s">
        <v>169</v>
      </c>
      <c r="C551" t="s">
        <v>81</v>
      </c>
      <c r="D551" t="s">
        <v>86</v>
      </c>
      <c r="E551" t="s">
        <v>103</v>
      </c>
      <c r="F551">
        <v>2000</v>
      </c>
      <c r="G551" t="s">
        <v>331</v>
      </c>
      <c r="H551" s="15">
        <v>45292</v>
      </c>
      <c r="I551">
        <v>2000</v>
      </c>
      <c r="J551">
        <v>0</v>
      </c>
    </row>
    <row r="552" spans="1:10" x14ac:dyDescent="0.3">
      <c r="A552" s="15">
        <v>45352</v>
      </c>
      <c r="B552" t="s">
        <v>170</v>
      </c>
      <c r="C552" t="s">
        <v>91</v>
      </c>
      <c r="D552" t="s">
        <v>99</v>
      </c>
      <c r="E552" t="s">
        <v>83</v>
      </c>
      <c r="F552">
        <v>6500</v>
      </c>
      <c r="G552" t="s">
        <v>331</v>
      </c>
      <c r="H552" s="15">
        <v>45292</v>
      </c>
      <c r="I552">
        <v>6500</v>
      </c>
      <c r="J552">
        <v>0</v>
      </c>
    </row>
    <row r="553" spans="1:10" x14ac:dyDescent="0.3">
      <c r="A553" s="15">
        <v>45352</v>
      </c>
      <c r="B553" t="s">
        <v>171</v>
      </c>
      <c r="C553" t="s">
        <v>81</v>
      </c>
      <c r="D553" t="s">
        <v>99</v>
      </c>
      <c r="E553" t="s">
        <v>97</v>
      </c>
      <c r="F553">
        <v>2100</v>
      </c>
      <c r="G553" t="s">
        <v>331</v>
      </c>
      <c r="H553" s="15">
        <v>45292</v>
      </c>
      <c r="I553">
        <v>2100</v>
      </c>
      <c r="J553">
        <v>0</v>
      </c>
    </row>
    <row r="554" spans="1:10" x14ac:dyDescent="0.3">
      <c r="A554" s="15">
        <v>45352</v>
      </c>
      <c r="B554" t="s">
        <v>172</v>
      </c>
      <c r="C554" t="s">
        <v>91</v>
      </c>
      <c r="D554" t="s">
        <v>96</v>
      </c>
      <c r="E554" t="s">
        <v>101</v>
      </c>
      <c r="F554">
        <v>7700</v>
      </c>
      <c r="G554" t="s">
        <v>331</v>
      </c>
      <c r="H554" s="15">
        <v>45292</v>
      </c>
      <c r="I554">
        <v>7700</v>
      </c>
      <c r="J554">
        <v>0</v>
      </c>
    </row>
    <row r="555" spans="1:10" x14ac:dyDescent="0.3">
      <c r="A555" s="15">
        <v>45352</v>
      </c>
      <c r="B555" t="s">
        <v>173</v>
      </c>
      <c r="C555" t="s">
        <v>81</v>
      </c>
      <c r="D555" t="s">
        <v>86</v>
      </c>
      <c r="E555" t="s">
        <v>103</v>
      </c>
      <c r="F555">
        <v>3700</v>
      </c>
      <c r="G555" t="s">
        <v>331</v>
      </c>
      <c r="H555" s="15">
        <v>45292</v>
      </c>
      <c r="I555">
        <v>3700</v>
      </c>
      <c r="J555">
        <v>0</v>
      </c>
    </row>
    <row r="556" spans="1:10" x14ac:dyDescent="0.3">
      <c r="A556" s="15">
        <v>45352</v>
      </c>
      <c r="B556" t="s">
        <v>174</v>
      </c>
      <c r="C556" t="s">
        <v>81</v>
      </c>
      <c r="D556" t="s">
        <v>82</v>
      </c>
      <c r="E556" t="s">
        <v>92</v>
      </c>
      <c r="F556">
        <v>2100</v>
      </c>
      <c r="G556" t="s">
        <v>331</v>
      </c>
      <c r="H556" s="15">
        <v>45292</v>
      </c>
      <c r="I556">
        <v>2100</v>
      </c>
      <c r="J556">
        <v>0</v>
      </c>
    </row>
    <row r="557" spans="1:10" x14ac:dyDescent="0.3">
      <c r="A557" s="15">
        <v>45352</v>
      </c>
      <c r="B557" t="s">
        <v>175</v>
      </c>
      <c r="C557" t="s">
        <v>91</v>
      </c>
      <c r="D557" t="s">
        <v>96</v>
      </c>
      <c r="E557" t="s">
        <v>83</v>
      </c>
      <c r="F557">
        <v>8800</v>
      </c>
      <c r="G557" t="s">
        <v>331</v>
      </c>
      <c r="H557" s="15">
        <v>45292</v>
      </c>
      <c r="I557">
        <v>8800</v>
      </c>
      <c r="J557">
        <v>0</v>
      </c>
    </row>
    <row r="558" spans="1:10" x14ac:dyDescent="0.3">
      <c r="A558" s="15">
        <v>45352</v>
      </c>
      <c r="B558" t="s">
        <v>176</v>
      </c>
      <c r="C558" t="s">
        <v>81</v>
      </c>
      <c r="D558" t="s">
        <v>99</v>
      </c>
      <c r="E558" t="s">
        <v>92</v>
      </c>
      <c r="F558">
        <v>2700</v>
      </c>
      <c r="G558" t="s">
        <v>331</v>
      </c>
      <c r="H558" s="15">
        <v>45292</v>
      </c>
      <c r="I558">
        <v>2700</v>
      </c>
      <c r="J558">
        <v>0</v>
      </c>
    </row>
    <row r="559" spans="1:10" x14ac:dyDescent="0.3">
      <c r="A559" s="15">
        <v>45352</v>
      </c>
      <c r="B559" t="s">
        <v>177</v>
      </c>
      <c r="C559" t="s">
        <v>81</v>
      </c>
      <c r="D559" t="s">
        <v>96</v>
      </c>
      <c r="E559" t="s">
        <v>83</v>
      </c>
      <c r="F559">
        <v>2900</v>
      </c>
      <c r="G559" t="s">
        <v>331</v>
      </c>
      <c r="H559" s="15">
        <v>45292</v>
      </c>
      <c r="I559">
        <v>2900</v>
      </c>
      <c r="J559">
        <v>0</v>
      </c>
    </row>
    <row r="560" spans="1:10" x14ac:dyDescent="0.3">
      <c r="A560" s="15">
        <v>45352</v>
      </c>
      <c r="B560" t="s">
        <v>178</v>
      </c>
      <c r="C560" t="s">
        <v>91</v>
      </c>
      <c r="D560" t="s">
        <v>82</v>
      </c>
      <c r="E560" t="s">
        <v>89</v>
      </c>
      <c r="F560">
        <v>8400</v>
      </c>
      <c r="G560" t="s">
        <v>331</v>
      </c>
      <c r="H560" s="15">
        <v>45292</v>
      </c>
      <c r="I560">
        <v>8400</v>
      </c>
      <c r="J560">
        <v>0</v>
      </c>
    </row>
    <row r="561" spans="1:10" x14ac:dyDescent="0.3">
      <c r="A561" s="15">
        <v>45352</v>
      </c>
      <c r="B561" t="s">
        <v>179</v>
      </c>
      <c r="C561" t="s">
        <v>110</v>
      </c>
      <c r="D561" t="s">
        <v>86</v>
      </c>
      <c r="E561" t="s">
        <v>87</v>
      </c>
      <c r="F561">
        <v>30000</v>
      </c>
      <c r="G561" t="s">
        <v>332</v>
      </c>
      <c r="H561" s="15">
        <v>45292</v>
      </c>
      <c r="I561">
        <v>28300</v>
      </c>
      <c r="J561">
        <v>1700</v>
      </c>
    </row>
    <row r="562" spans="1:10" x14ac:dyDescent="0.3">
      <c r="A562" s="15">
        <v>45352</v>
      </c>
      <c r="B562" t="s">
        <v>180</v>
      </c>
      <c r="C562" t="s">
        <v>91</v>
      </c>
      <c r="D562" t="s">
        <v>86</v>
      </c>
      <c r="E562" t="s">
        <v>83</v>
      </c>
      <c r="F562">
        <v>8500</v>
      </c>
      <c r="G562" t="s">
        <v>331</v>
      </c>
      <c r="H562" s="15">
        <v>45292</v>
      </c>
      <c r="I562">
        <v>8500</v>
      </c>
      <c r="J562">
        <v>0</v>
      </c>
    </row>
    <row r="563" spans="1:10" x14ac:dyDescent="0.3">
      <c r="A563" s="15">
        <v>45352</v>
      </c>
      <c r="B563" t="s">
        <v>181</v>
      </c>
      <c r="C563" t="s">
        <v>91</v>
      </c>
      <c r="D563" t="s">
        <v>82</v>
      </c>
      <c r="E563" t="s">
        <v>97</v>
      </c>
      <c r="F563">
        <v>10100</v>
      </c>
      <c r="G563" t="s">
        <v>331</v>
      </c>
      <c r="H563" s="15">
        <v>45292</v>
      </c>
      <c r="I563">
        <v>10100</v>
      </c>
      <c r="J563">
        <v>0</v>
      </c>
    </row>
    <row r="564" spans="1:10" x14ac:dyDescent="0.3">
      <c r="A564" s="15">
        <v>45352</v>
      </c>
      <c r="B564" t="s">
        <v>182</v>
      </c>
      <c r="C564" t="s">
        <v>125</v>
      </c>
      <c r="D564" t="s">
        <v>82</v>
      </c>
      <c r="E564" t="s">
        <v>92</v>
      </c>
      <c r="F564">
        <v>80700</v>
      </c>
      <c r="G564" t="s">
        <v>331</v>
      </c>
      <c r="H564" s="15">
        <v>45292</v>
      </c>
      <c r="I564">
        <v>80700</v>
      </c>
      <c r="J564">
        <v>0</v>
      </c>
    </row>
    <row r="565" spans="1:10" x14ac:dyDescent="0.3">
      <c r="A565" s="15">
        <v>45352</v>
      </c>
      <c r="B565" t="s">
        <v>183</v>
      </c>
      <c r="C565" t="s">
        <v>91</v>
      </c>
      <c r="D565" t="s">
        <v>96</v>
      </c>
      <c r="E565" t="s">
        <v>92</v>
      </c>
      <c r="F565">
        <v>9500</v>
      </c>
      <c r="G565" t="s">
        <v>331</v>
      </c>
      <c r="H565" s="15">
        <v>45292</v>
      </c>
      <c r="I565">
        <v>9500</v>
      </c>
      <c r="J565">
        <v>0</v>
      </c>
    </row>
    <row r="566" spans="1:10" x14ac:dyDescent="0.3">
      <c r="A566" s="15">
        <v>45352</v>
      </c>
      <c r="B566" t="s">
        <v>184</v>
      </c>
      <c r="C566" t="s">
        <v>81</v>
      </c>
      <c r="D566" t="s">
        <v>82</v>
      </c>
      <c r="E566" t="s">
        <v>83</v>
      </c>
      <c r="F566">
        <v>2600</v>
      </c>
      <c r="G566" t="s">
        <v>331</v>
      </c>
      <c r="H566" s="15">
        <v>45292</v>
      </c>
      <c r="I566">
        <v>2600</v>
      </c>
      <c r="J566">
        <v>0</v>
      </c>
    </row>
    <row r="567" spans="1:10" x14ac:dyDescent="0.3">
      <c r="A567" s="15">
        <v>45352</v>
      </c>
      <c r="B567" t="s">
        <v>185</v>
      </c>
      <c r="C567" t="s">
        <v>81</v>
      </c>
      <c r="D567" t="s">
        <v>96</v>
      </c>
      <c r="E567" t="s">
        <v>97</v>
      </c>
      <c r="F567">
        <v>2000</v>
      </c>
      <c r="G567" t="s">
        <v>331</v>
      </c>
      <c r="H567" s="15">
        <v>45292</v>
      </c>
      <c r="I567">
        <v>2000</v>
      </c>
      <c r="J567">
        <v>0</v>
      </c>
    </row>
    <row r="568" spans="1:10" x14ac:dyDescent="0.3">
      <c r="A568" s="15">
        <v>45352</v>
      </c>
      <c r="B568" t="s">
        <v>186</v>
      </c>
      <c r="C568" t="s">
        <v>91</v>
      </c>
      <c r="D568" t="s">
        <v>82</v>
      </c>
      <c r="E568" t="s">
        <v>103</v>
      </c>
      <c r="F568">
        <v>12100</v>
      </c>
      <c r="G568" t="s">
        <v>331</v>
      </c>
      <c r="H568" s="15">
        <v>45292</v>
      </c>
      <c r="I568">
        <v>12100</v>
      </c>
      <c r="J568">
        <v>0</v>
      </c>
    </row>
    <row r="569" spans="1:10" x14ac:dyDescent="0.3">
      <c r="A569" s="15">
        <v>45352</v>
      </c>
      <c r="B569" t="s">
        <v>187</v>
      </c>
      <c r="C569" t="s">
        <v>110</v>
      </c>
      <c r="D569" t="s">
        <v>86</v>
      </c>
      <c r="E569" t="s">
        <v>97</v>
      </c>
      <c r="F569">
        <v>32300</v>
      </c>
      <c r="G569" t="s">
        <v>331</v>
      </c>
      <c r="H569" s="15">
        <v>45292</v>
      </c>
      <c r="I569">
        <v>32300</v>
      </c>
      <c r="J569">
        <v>0</v>
      </c>
    </row>
    <row r="570" spans="1:10" x14ac:dyDescent="0.3">
      <c r="A570" s="15">
        <v>45352</v>
      </c>
      <c r="B570" t="s">
        <v>188</v>
      </c>
      <c r="C570" t="s">
        <v>91</v>
      </c>
      <c r="D570" t="s">
        <v>82</v>
      </c>
      <c r="E570" t="s">
        <v>92</v>
      </c>
      <c r="F570">
        <v>12000</v>
      </c>
      <c r="G570" t="s">
        <v>332</v>
      </c>
      <c r="H570" s="15">
        <v>45292</v>
      </c>
      <c r="I570">
        <v>10900</v>
      </c>
      <c r="J570">
        <v>1100</v>
      </c>
    </row>
    <row r="571" spans="1:10" x14ac:dyDescent="0.3">
      <c r="A571" s="15">
        <v>45352</v>
      </c>
      <c r="B571" t="s">
        <v>189</v>
      </c>
      <c r="C571" t="s">
        <v>81</v>
      </c>
      <c r="D571" t="s">
        <v>86</v>
      </c>
      <c r="E571" t="s">
        <v>103</v>
      </c>
      <c r="F571">
        <v>2000</v>
      </c>
      <c r="G571" t="s">
        <v>331</v>
      </c>
      <c r="H571" s="15">
        <v>45292</v>
      </c>
      <c r="I571">
        <v>2000</v>
      </c>
      <c r="J571">
        <v>0</v>
      </c>
    </row>
    <row r="572" spans="1:10" x14ac:dyDescent="0.3">
      <c r="A572" s="15">
        <v>45352</v>
      </c>
      <c r="B572" t="s">
        <v>190</v>
      </c>
      <c r="C572" t="s">
        <v>81</v>
      </c>
      <c r="D572" t="s">
        <v>99</v>
      </c>
      <c r="E572" t="s">
        <v>89</v>
      </c>
      <c r="F572">
        <v>2000</v>
      </c>
      <c r="G572" t="s">
        <v>331</v>
      </c>
      <c r="H572" s="15">
        <v>45292</v>
      </c>
      <c r="I572">
        <v>2000</v>
      </c>
      <c r="J572">
        <v>0</v>
      </c>
    </row>
    <row r="573" spans="1:10" x14ac:dyDescent="0.3">
      <c r="A573" s="15">
        <v>45352</v>
      </c>
      <c r="B573" t="s">
        <v>191</v>
      </c>
      <c r="C573" t="s">
        <v>91</v>
      </c>
      <c r="D573" t="s">
        <v>86</v>
      </c>
      <c r="E573" t="s">
        <v>87</v>
      </c>
      <c r="F573">
        <v>6900</v>
      </c>
      <c r="G573" t="s">
        <v>331</v>
      </c>
      <c r="H573" s="15">
        <v>45292</v>
      </c>
      <c r="I573">
        <v>6900</v>
      </c>
      <c r="J573">
        <v>0</v>
      </c>
    </row>
    <row r="574" spans="1:10" x14ac:dyDescent="0.3">
      <c r="A574" s="15">
        <v>45352</v>
      </c>
      <c r="B574" t="s">
        <v>192</v>
      </c>
      <c r="C574" t="s">
        <v>81</v>
      </c>
      <c r="D574" t="s">
        <v>82</v>
      </c>
      <c r="E574" t="s">
        <v>97</v>
      </c>
      <c r="F574">
        <v>2700</v>
      </c>
      <c r="G574" t="s">
        <v>331</v>
      </c>
      <c r="H574" s="15">
        <v>45292</v>
      </c>
      <c r="I574">
        <v>2700</v>
      </c>
      <c r="J574">
        <v>0</v>
      </c>
    </row>
    <row r="575" spans="1:10" x14ac:dyDescent="0.3">
      <c r="A575" s="15">
        <v>45352</v>
      </c>
      <c r="B575" t="s">
        <v>193</v>
      </c>
      <c r="C575" t="s">
        <v>81</v>
      </c>
      <c r="D575" t="s">
        <v>82</v>
      </c>
      <c r="E575" t="s">
        <v>87</v>
      </c>
      <c r="F575">
        <v>3200</v>
      </c>
      <c r="G575" t="s">
        <v>331</v>
      </c>
      <c r="H575" s="15">
        <v>45292</v>
      </c>
      <c r="I575">
        <v>3200</v>
      </c>
      <c r="J575">
        <v>0</v>
      </c>
    </row>
    <row r="576" spans="1:10" x14ac:dyDescent="0.3">
      <c r="A576" s="15">
        <v>45352</v>
      </c>
      <c r="B576" t="s">
        <v>194</v>
      </c>
      <c r="C576" t="s">
        <v>91</v>
      </c>
      <c r="D576" t="s">
        <v>82</v>
      </c>
      <c r="E576" t="s">
        <v>101</v>
      </c>
      <c r="F576">
        <v>10400</v>
      </c>
      <c r="G576" t="s">
        <v>331</v>
      </c>
      <c r="H576" s="15">
        <v>45292</v>
      </c>
      <c r="I576">
        <v>10400</v>
      </c>
      <c r="J576">
        <v>0</v>
      </c>
    </row>
    <row r="577" spans="1:10" x14ac:dyDescent="0.3">
      <c r="A577" s="15">
        <v>45352</v>
      </c>
      <c r="B577" t="s">
        <v>195</v>
      </c>
      <c r="C577" t="s">
        <v>91</v>
      </c>
      <c r="D577" t="s">
        <v>86</v>
      </c>
      <c r="E577" t="s">
        <v>97</v>
      </c>
      <c r="F577">
        <v>6900</v>
      </c>
      <c r="G577" t="s">
        <v>331</v>
      </c>
      <c r="H577" s="15">
        <v>45292</v>
      </c>
      <c r="I577">
        <v>6900</v>
      </c>
      <c r="J577">
        <v>0</v>
      </c>
    </row>
    <row r="578" spans="1:10" x14ac:dyDescent="0.3">
      <c r="A578" s="15">
        <v>45352</v>
      </c>
      <c r="B578" t="s">
        <v>196</v>
      </c>
      <c r="C578" t="s">
        <v>81</v>
      </c>
      <c r="D578" t="s">
        <v>86</v>
      </c>
      <c r="E578" t="s">
        <v>87</v>
      </c>
      <c r="F578">
        <v>2600</v>
      </c>
      <c r="G578" t="s">
        <v>331</v>
      </c>
      <c r="H578" s="15">
        <v>45292</v>
      </c>
      <c r="I578">
        <v>2600</v>
      </c>
      <c r="J578">
        <v>0</v>
      </c>
    </row>
    <row r="579" spans="1:10" x14ac:dyDescent="0.3">
      <c r="A579" s="15">
        <v>45352</v>
      </c>
      <c r="B579" t="s">
        <v>197</v>
      </c>
      <c r="C579" t="s">
        <v>91</v>
      </c>
      <c r="D579" t="s">
        <v>82</v>
      </c>
      <c r="E579" t="s">
        <v>89</v>
      </c>
      <c r="F579">
        <v>10400</v>
      </c>
      <c r="G579" t="s">
        <v>332</v>
      </c>
      <c r="H579" s="15">
        <v>45292</v>
      </c>
      <c r="I579">
        <v>9800</v>
      </c>
      <c r="J579">
        <v>600</v>
      </c>
    </row>
    <row r="580" spans="1:10" x14ac:dyDescent="0.3">
      <c r="A580" s="15">
        <v>45352</v>
      </c>
      <c r="B580" t="s">
        <v>198</v>
      </c>
      <c r="C580" t="s">
        <v>81</v>
      </c>
      <c r="D580" t="s">
        <v>82</v>
      </c>
      <c r="E580" t="s">
        <v>89</v>
      </c>
      <c r="F580">
        <v>2900</v>
      </c>
      <c r="G580" t="s">
        <v>331</v>
      </c>
      <c r="H580" s="15">
        <v>45292</v>
      </c>
      <c r="I580">
        <v>2900</v>
      </c>
      <c r="J580">
        <v>0</v>
      </c>
    </row>
    <row r="581" spans="1:10" x14ac:dyDescent="0.3">
      <c r="A581" s="15">
        <v>45352</v>
      </c>
      <c r="B581" t="s">
        <v>199</v>
      </c>
      <c r="C581" t="s">
        <v>81</v>
      </c>
      <c r="D581" t="s">
        <v>86</v>
      </c>
      <c r="E581" t="s">
        <v>89</v>
      </c>
      <c r="F581">
        <v>2200</v>
      </c>
      <c r="G581" t="s">
        <v>331</v>
      </c>
      <c r="H581" s="15">
        <v>45292</v>
      </c>
      <c r="I581">
        <v>2200</v>
      </c>
      <c r="J581">
        <v>0</v>
      </c>
    </row>
    <row r="582" spans="1:10" x14ac:dyDescent="0.3">
      <c r="A582" s="15">
        <v>45352</v>
      </c>
      <c r="B582" t="s">
        <v>200</v>
      </c>
      <c r="C582" t="s">
        <v>91</v>
      </c>
      <c r="D582" t="s">
        <v>86</v>
      </c>
      <c r="E582" t="s">
        <v>92</v>
      </c>
      <c r="F582">
        <v>10100</v>
      </c>
      <c r="G582" t="s">
        <v>331</v>
      </c>
      <c r="H582" s="15">
        <v>45292</v>
      </c>
      <c r="I582">
        <v>10100</v>
      </c>
      <c r="J582">
        <v>0</v>
      </c>
    </row>
    <row r="583" spans="1:10" x14ac:dyDescent="0.3">
      <c r="A583" s="15">
        <v>45352</v>
      </c>
      <c r="B583" t="s">
        <v>201</v>
      </c>
      <c r="C583" t="s">
        <v>81</v>
      </c>
      <c r="D583" t="s">
        <v>86</v>
      </c>
      <c r="E583" t="s">
        <v>83</v>
      </c>
      <c r="F583">
        <v>1800</v>
      </c>
      <c r="G583" t="s">
        <v>331</v>
      </c>
      <c r="H583" s="15">
        <v>45292</v>
      </c>
      <c r="I583">
        <v>1800</v>
      </c>
      <c r="J583">
        <v>0</v>
      </c>
    </row>
    <row r="584" spans="1:10" x14ac:dyDescent="0.3">
      <c r="A584" s="15">
        <v>45352</v>
      </c>
      <c r="B584" t="s">
        <v>202</v>
      </c>
      <c r="C584" t="s">
        <v>91</v>
      </c>
      <c r="D584" t="s">
        <v>82</v>
      </c>
      <c r="E584" t="s">
        <v>92</v>
      </c>
      <c r="F584">
        <v>11000</v>
      </c>
      <c r="G584" t="s">
        <v>331</v>
      </c>
      <c r="H584" s="15">
        <v>45292</v>
      </c>
      <c r="I584">
        <v>11000</v>
      </c>
      <c r="J584">
        <v>0</v>
      </c>
    </row>
    <row r="585" spans="1:10" x14ac:dyDescent="0.3">
      <c r="A585" s="15">
        <v>45352</v>
      </c>
      <c r="B585" t="s">
        <v>203</v>
      </c>
      <c r="C585" t="s">
        <v>110</v>
      </c>
      <c r="D585" t="s">
        <v>86</v>
      </c>
      <c r="E585" t="s">
        <v>92</v>
      </c>
      <c r="F585">
        <v>32000</v>
      </c>
      <c r="G585" t="s">
        <v>331</v>
      </c>
      <c r="H585" s="15">
        <v>45292</v>
      </c>
      <c r="I585">
        <v>32000</v>
      </c>
      <c r="J585">
        <v>0</v>
      </c>
    </row>
    <row r="586" spans="1:10" x14ac:dyDescent="0.3">
      <c r="A586" s="15">
        <v>45352</v>
      </c>
      <c r="B586" t="s">
        <v>204</v>
      </c>
      <c r="C586" t="s">
        <v>81</v>
      </c>
      <c r="D586" t="s">
        <v>82</v>
      </c>
      <c r="E586" t="s">
        <v>87</v>
      </c>
      <c r="F586">
        <v>2200</v>
      </c>
      <c r="G586" t="s">
        <v>331</v>
      </c>
      <c r="H586" s="15">
        <v>45292</v>
      </c>
      <c r="I586">
        <v>2200</v>
      </c>
      <c r="J586">
        <v>0</v>
      </c>
    </row>
    <row r="587" spans="1:10" x14ac:dyDescent="0.3">
      <c r="A587" s="15">
        <v>45352</v>
      </c>
      <c r="B587" t="s">
        <v>205</v>
      </c>
      <c r="C587" t="s">
        <v>91</v>
      </c>
      <c r="D587" t="s">
        <v>86</v>
      </c>
      <c r="E587" t="s">
        <v>103</v>
      </c>
      <c r="F587">
        <v>10600</v>
      </c>
      <c r="G587" t="s">
        <v>331</v>
      </c>
      <c r="H587" s="15">
        <v>45292</v>
      </c>
      <c r="I587">
        <v>10600</v>
      </c>
      <c r="J587">
        <v>0</v>
      </c>
    </row>
    <row r="588" spans="1:10" x14ac:dyDescent="0.3">
      <c r="A588" s="15">
        <v>45352</v>
      </c>
      <c r="B588" t="s">
        <v>206</v>
      </c>
      <c r="C588" t="s">
        <v>81</v>
      </c>
      <c r="D588" t="s">
        <v>86</v>
      </c>
      <c r="E588" t="s">
        <v>89</v>
      </c>
      <c r="F588">
        <v>3000</v>
      </c>
      <c r="G588" t="s">
        <v>331</v>
      </c>
      <c r="H588" s="15">
        <v>45292</v>
      </c>
      <c r="I588">
        <v>3000</v>
      </c>
      <c r="J588">
        <v>0</v>
      </c>
    </row>
    <row r="589" spans="1:10" x14ac:dyDescent="0.3">
      <c r="A589" s="15">
        <v>45352</v>
      </c>
      <c r="B589" t="s">
        <v>207</v>
      </c>
      <c r="C589" t="s">
        <v>81</v>
      </c>
      <c r="D589" t="s">
        <v>82</v>
      </c>
      <c r="E589" t="s">
        <v>89</v>
      </c>
      <c r="F589">
        <v>3700</v>
      </c>
      <c r="G589" t="s">
        <v>331</v>
      </c>
      <c r="H589" s="15">
        <v>45292</v>
      </c>
      <c r="I589">
        <v>3700</v>
      </c>
      <c r="J589">
        <v>0</v>
      </c>
    </row>
    <row r="590" spans="1:10" x14ac:dyDescent="0.3">
      <c r="A590" s="15">
        <v>45352</v>
      </c>
      <c r="B590" t="s">
        <v>208</v>
      </c>
      <c r="C590" t="s">
        <v>91</v>
      </c>
      <c r="D590" t="s">
        <v>99</v>
      </c>
      <c r="E590" t="s">
        <v>89</v>
      </c>
      <c r="F590">
        <v>7300</v>
      </c>
      <c r="G590" t="s">
        <v>331</v>
      </c>
      <c r="H590" s="15">
        <v>45292</v>
      </c>
      <c r="I590">
        <v>7300</v>
      </c>
      <c r="J590">
        <v>0</v>
      </c>
    </row>
    <row r="591" spans="1:10" x14ac:dyDescent="0.3">
      <c r="A591" s="15">
        <v>45352</v>
      </c>
      <c r="B591" t="s">
        <v>209</v>
      </c>
      <c r="C591" t="s">
        <v>81</v>
      </c>
      <c r="D591" t="s">
        <v>86</v>
      </c>
      <c r="E591" t="s">
        <v>83</v>
      </c>
      <c r="F591">
        <v>2700</v>
      </c>
      <c r="G591" t="s">
        <v>331</v>
      </c>
      <c r="H591" s="15">
        <v>45292</v>
      </c>
      <c r="I591">
        <v>2700</v>
      </c>
      <c r="J591">
        <v>0</v>
      </c>
    </row>
    <row r="592" spans="1:10" x14ac:dyDescent="0.3">
      <c r="A592" s="15">
        <v>45352</v>
      </c>
      <c r="B592" t="s">
        <v>210</v>
      </c>
      <c r="C592" t="s">
        <v>125</v>
      </c>
      <c r="D592" t="s">
        <v>96</v>
      </c>
      <c r="E592" t="s">
        <v>89</v>
      </c>
      <c r="F592">
        <v>90300</v>
      </c>
      <c r="G592" t="s">
        <v>331</v>
      </c>
      <c r="H592" s="15">
        <v>45292</v>
      </c>
      <c r="I592">
        <v>90300</v>
      </c>
      <c r="J592">
        <v>0</v>
      </c>
    </row>
    <row r="593" spans="1:10" x14ac:dyDescent="0.3">
      <c r="A593" s="15">
        <v>45352</v>
      </c>
      <c r="B593" t="s">
        <v>211</v>
      </c>
      <c r="C593" t="s">
        <v>110</v>
      </c>
      <c r="D593" t="s">
        <v>82</v>
      </c>
      <c r="E593" t="s">
        <v>92</v>
      </c>
      <c r="F593">
        <v>28900</v>
      </c>
      <c r="G593" t="s">
        <v>331</v>
      </c>
      <c r="H593" s="15">
        <v>45292</v>
      </c>
      <c r="I593">
        <v>28900</v>
      </c>
      <c r="J593">
        <v>0</v>
      </c>
    </row>
    <row r="594" spans="1:10" x14ac:dyDescent="0.3">
      <c r="A594" s="15">
        <v>45352</v>
      </c>
      <c r="B594" t="s">
        <v>212</v>
      </c>
      <c r="C594" t="s">
        <v>81</v>
      </c>
      <c r="D594" t="s">
        <v>96</v>
      </c>
      <c r="E594" t="s">
        <v>101</v>
      </c>
      <c r="F594">
        <v>2700</v>
      </c>
      <c r="G594" t="s">
        <v>331</v>
      </c>
      <c r="H594" s="15">
        <v>45292</v>
      </c>
      <c r="I594">
        <v>2700</v>
      </c>
      <c r="J594">
        <v>0</v>
      </c>
    </row>
    <row r="595" spans="1:10" x14ac:dyDescent="0.3">
      <c r="A595" s="15">
        <v>45352</v>
      </c>
      <c r="B595" t="s">
        <v>213</v>
      </c>
      <c r="C595" t="s">
        <v>81</v>
      </c>
      <c r="D595" t="s">
        <v>82</v>
      </c>
      <c r="E595" t="s">
        <v>97</v>
      </c>
      <c r="F595">
        <v>3300</v>
      </c>
      <c r="G595" t="s">
        <v>331</v>
      </c>
      <c r="H595" s="15">
        <v>45292</v>
      </c>
      <c r="I595">
        <v>3300</v>
      </c>
      <c r="J595">
        <v>0</v>
      </c>
    </row>
    <row r="596" spans="1:10" x14ac:dyDescent="0.3">
      <c r="A596" s="15">
        <v>45352</v>
      </c>
      <c r="B596" t="s">
        <v>214</v>
      </c>
      <c r="C596" t="s">
        <v>91</v>
      </c>
      <c r="D596" t="s">
        <v>82</v>
      </c>
      <c r="E596" t="s">
        <v>89</v>
      </c>
      <c r="F596">
        <v>8700</v>
      </c>
      <c r="G596" t="s">
        <v>331</v>
      </c>
      <c r="H596" s="15">
        <v>45292</v>
      </c>
      <c r="I596">
        <v>8700</v>
      </c>
      <c r="J596">
        <v>0</v>
      </c>
    </row>
    <row r="597" spans="1:10" x14ac:dyDescent="0.3">
      <c r="A597" s="15">
        <v>45352</v>
      </c>
      <c r="B597" t="s">
        <v>215</v>
      </c>
      <c r="C597" t="s">
        <v>110</v>
      </c>
      <c r="D597" t="s">
        <v>99</v>
      </c>
      <c r="E597" t="s">
        <v>89</v>
      </c>
      <c r="F597">
        <v>39900</v>
      </c>
      <c r="G597" t="s">
        <v>331</v>
      </c>
      <c r="H597" s="15">
        <v>45292</v>
      </c>
      <c r="I597">
        <v>39900</v>
      </c>
      <c r="J597">
        <v>0</v>
      </c>
    </row>
    <row r="598" spans="1:10" x14ac:dyDescent="0.3">
      <c r="A598" s="15">
        <v>45352</v>
      </c>
      <c r="B598" t="s">
        <v>216</v>
      </c>
      <c r="C598" t="s">
        <v>81</v>
      </c>
      <c r="D598" t="s">
        <v>82</v>
      </c>
      <c r="E598" t="s">
        <v>97</v>
      </c>
      <c r="F598">
        <v>3100</v>
      </c>
      <c r="G598" t="s">
        <v>331</v>
      </c>
      <c r="H598" s="15">
        <v>45292</v>
      </c>
      <c r="I598">
        <v>3100</v>
      </c>
      <c r="J598">
        <v>0</v>
      </c>
    </row>
    <row r="599" spans="1:10" x14ac:dyDescent="0.3">
      <c r="A599" s="15">
        <v>45352</v>
      </c>
      <c r="B599" t="s">
        <v>217</v>
      </c>
      <c r="C599" t="s">
        <v>91</v>
      </c>
      <c r="D599" t="s">
        <v>82</v>
      </c>
      <c r="E599" t="s">
        <v>97</v>
      </c>
      <c r="F599">
        <v>8400</v>
      </c>
      <c r="G599" t="s">
        <v>331</v>
      </c>
      <c r="H599" s="15">
        <v>45292</v>
      </c>
      <c r="I599">
        <v>8400</v>
      </c>
      <c r="J599">
        <v>0</v>
      </c>
    </row>
    <row r="600" spans="1:10" x14ac:dyDescent="0.3">
      <c r="A600" s="15">
        <v>45352</v>
      </c>
      <c r="B600" t="s">
        <v>218</v>
      </c>
      <c r="C600" t="s">
        <v>110</v>
      </c>
      <c r="D600" t="s">
        <v>99</v>
      </c>
      <c r="E600" t="s">
        <v>92</v>
      </c>
      <c r="F600">
        <v>29900</v>
      </c>
      <c r="G600" t="s">
        <v>331</v>
      </c>
      <c r="H600" s="15">
        <v>45292</v>
      </c>
      <c r="I600">
        <v>29900</v>
      </c>
      <c r="J600">
        <v>0</v>
      </c>
    </row>
    <row r="601" spans="1:10" x14ac:dyDescent="0.3">
      <c r="A601" s="15">
        <v>45352</v>
      </c>
      <c r="B601" t="s">
        <v>219</v>
      </c>
      <c r="C601" t="s">
        <v>81</v>
      </c>
      <c r="D601" t="s">
        <v>99</v>
      </c>
      <c r="E601" t="s">
        <v>89</v>
      </c>
      <c r="F601">
        <v>2500</v>
      </c>
      <c r="G601" t="s">
        <v>331</v>
      </c>
      <c r="H601" s="15">
        <v>45292</v>
      </c>
      <c r="I601">
        <v>2500</v>
      </c>
      <c r="J601">
        <v>0</v>
      </c>
    </row>
    <row r="602" spans="1:10" x14ac:dyDescent="0.3">
      <c r="A602" s="15">
        <v>45352</v>
      </c>
      <c r="B602" t="s">
        <v>220</v>
      </c>
      <c r="C602" t="s">
        <v>110</v>
      </c>
      <c r="D602" t="s">
        <v>82</v>
      </c>
      <c r="E602" t="s">
        <v>89</v>
      </c>
      <c r="F602">
        <v>30800</v>
      </c>
      <c r="G602" t="s">
        <v>331</v>
      </c>
      <c r="H602" s="15">
        <v>45292</v>
      </c>
      <c r="I602">
        <v>30800</v>
      </c>
      <c r="J602">
        <v>0</v>
      </c>
    </row>
    <row r="603" spans="1:10" x14ac:dyDescent="0.3">
      <c r="A603" s="15">
        <v>45352</v>
      </c>
      <c r="B603" t="s">
        <v>221</v>
      </c>
      <c r="C603" t="s">
        <v>91</v>
      </c>
      <c r="D603" t="s">
        <v>96</v>
      </c>
      <c r="E603" t="s">
        <v>83</v>
      </c>
      <c r="F603">
        <v>8200</v>
      </c>
      <c r="G603" t="s">
        <v>331</v>
      </c>
      <c r="H603" s="15">
        <v>45292</v>
      </c>
      <c r="I603">
        <v>8200</v>
      </c>
      <c r="J603">
        <v>0</v>
      </c>
    </row>
    <row r="604" spans="1:10" x14ac:dyDescent="0.3">
      <c r="A604" s="15">
        <v>45352</v>
      </c>
      <c r="B604" t="s">
        <v>222</v>
      </c>
      <c r="C604" t="s">
        <v>110</v>
      </c>
      <c r="D604" t="s">
        <v>96</v>
      </c>
      <c r="E604" t="s">
        <v>97</v>
      </c>
      <c r="F604">
        <v>26100</v>
      </c>
      <c r="G604" t="s">
        <v>331</v>
      </c>
      <c r="H604" s="15">
        <v>45292</v>
      </c>
      <c r="I604">
        <v>26100</v>
      </c>
      <c r="J604">
        <v>0</v>
      </c>
    </row>
    <row r="605" spans="1:10" x14ac:dyDescent="0.3">
      <c r="A605" s="15">
        <v>45352</v>
      </c>
      <c r="B605" t="s">
        <v>223</v>
      </c>
      <c r="C605" t="s">
        <v>81</v>
      </c>
      <c r="D605" t="s">
        <v>99</v>
      </c>
      <c r="E605" t="s">
        <v>87</v>
      </c>
      <c r="F605">
        <v>2100</v>
      </c>
      <c r="G605" t="s">
        <v>331</v>
      </c>
      <c r="H605" s="15">
        <v>45292</v>
      </c>
      <c r="I605">
        <v>2100</v>
      </c>
      <c r="J605">
        <v>0</v>
      </c>
    </row>
    <row r="606" spans="1:10" x14ac:dyDescent="0.3">
      <c r="A606" s="15">
        <v>45352</v>
      </c>
      <c r="B606" t="s">
        <v>224</v>
      </c>
      <c r="C606" t="s">
        <v>91</v>
      </c>
      <c r="D606" t="s">
        <v>82</v>
      </c>
      <c r="E606" t="s">
        <v>101</v>
      </c>
      <c r="F606">
        <v>10300</v>
      </c>
      <c r="G606" t="s">
        <v>331</v>
      </c>
      <c r="H606" s="15">
        <v>45292</v>
      </c>
      <c r="I606">
        <v>10300</v>
      </c>
      <c r="J606">
        <v>0</v>
      </c>
    </row>
    <row r="607" spans="1:10" x14ac:dyDescent="0.3">
      <c r="A607" s="15">
        <v>45352</v>
      </c>
      <c r="B607" t="s">
        <v>225</v>
      </c>
      <c r="C607" t="s">
        <v>110</v>
      </c>
      <c r="D607" t="s">
        <v>99</v>
      </c>
      <c r="E607" t="s">
        <v>103</v>
      </c>
      <c r="F607">
        <v>42200</v>
      </c>
      <c r="G607" t="s">
        <v>331</v>
      </c>
      <c r="H607" s="15">
        <v>45292</v>
      </c>
      <c r="I607">
        <v>42200</v>
      </c>
      <c r="J607">
        <v>0</v>
      </c>
    </row>
    <row r="608" spans="1:10" x14ac:dyDescent="0.3">
      <c r="A608" s="15">
        <v>45352</v>
      </c>
      <c r="B608" t="s">
        <v>226</v>
      </c>
      <c r="C608" t="s">
        <v>91</v>
      </c>
      <c r="D608" t="s">
        <v>82</v>
      </c>
      <c r="E608" t="s">
        <v>103</v>
      </c>
      <c r="F608">
        <v>7100</v>
      </c>
      <c r="G608" t="s">
        <v>331</v>
      </c>
      <c r="H608" s="15">
        <v>45292</v>
      </c>
      <c r="I608">
        <v>7100</v>
      </c>
      <c r="J608">
        <v>0</v>
      </c>
    </row>
    <row r="609" spans="1:10" x14ac:dyDescent="0.3">
      <c r="A609" s="15">
        <v>45352</v>
      </c>
      <c r="B609" t="s">
        <v>227</v>
      </c>
      <c r="C609" t="s">
        <v>110</v>
      </c>
      <c r="D609" t="s">
        <v>86</v>
      </c>
      <c r="E609" t="s">
        <v>87</v>
      </c>
      <c r="F609">
        <v>25900</v>
      </c>
      <c r="G609" t="s">
        <v>331</v>
      </c>
      <c r="H609" s="15">
        <v>45292</v>
      </c>
      <c r="I609">
        <v>25900</v>
      </c>
      <c r="J609">
        <v>0</v>
      </c>
    </row>
    <row r="610" spans="1:10" x14ac:dyDescent="0.3">
      <c r="A610" s="15">
        <v>45352</v>
      </c>
      <c r="B610" t="s">
        <v>228</v>
      </c>
      <c r="C610" t="s">
        <v>91</v>
      </c>
      <c r="D610" t="s">
        <v>96</v>
      </c>
      <c r="E610" t="s">
        <v>89</v>
      </c>
      <c r="F610">
        <v>11400</v>
      </c>
      <c r="G610" t="s">
        <v>331</v>
      </c>
      <c r="H610" s="15">
        <v>45292</v>
      </c>
      <c r="I610">
        <v>11400</v>
      </c>
      <c r="J610">
        <v>0</v>
      </c>
    </row>
    <row r="611" spans="1:10" x14ac:dyDescent="0.3">
      <c r="A611" s="15">
        <v>45352</v>
      </c>
      <c r="B611" t="s">
        <v>229</v>
      </c>
      <c r="C611" t="s">
        <v>81</v>
      </c>
      <c r="D611" t="s">
        <v>82</v>
      </c>
      <c r="E611" t="s">
        <v>83</v>
      </c>
      <c r="F611">
        <v>3000</v>
      </c>
      <c r="G611" t="s">
        <v>331</v>
      </c>
      <c r="H611" s="15">
        <v>45292</v>
      </c>
      <c r="I611">
        <v>3000</v>
      </c>
      <c r="J611">
        <v>0</v>
      </c>
    </row>
    <row r="612" spans="1:10" x14ac:dyDescent="0.3">
      <c r="A612" s="15">
        <v>45352</v>
      </c>
      <c r="B612" t="s">
        <v>230</v>
      </c>
      <c r="C612" t="s">
        <v>81</v>
      </c>
      <c r="D612" t="s">
        <v>86</v>
      </c>
      <c r="E612" t="s">
        <v>101</v>
      </c>
      <c r="F612">
        <v>3400</v>
      </c>
      <c r="G612" t="s">
        <v>331</v>
      </c>
      <c r="H612" s="15">
        <v>45292</v>
      </c>
      <c r="I612">
        <v>3400</v>
      </c>
      <c r="J612">
        <v>0</v>
      </c>
    </row>
    <row r="613" spans="1:10" x14ac:dyDescent="0.3">
      <c r="A613" s="15">
        <v>45352</v>
      </c>
      <c r="B613" t="s">
        <v>231</v>
      </c>
      <c r="C613" t="s">
        <v>91</v>
      </c>
      <c r="D613" t="s">
        <v>82</v>
      </c>
      <c r="E613" t="s">
        <v>92</v>
      </c>
      <c r="F613">
        <v>6900</v>
      </c>
      <c r="G613" t="s">
        <v>331</v>
      </c>
      <c r="H613" s="15">
        <v>45292</v>
      </c>
      <c r="I613">
        <v>6900</v>
      </c>
      <c r="J613">
        <v>0</v>
      </c>
    </row>
    <row r="614" spans="1:10" x14ac:dyDescent="0.3">
      <c r="A614" s="15">
        <v>45352</v>
      </c>
      <c r="B614" t="s">
        <v>232</v>
      </c>
      <c r="C614" t="s">
        <v>125</v>
      </c>
      <c r="D614" t="s">
        <v>86</v>
      </c>
      <c r="E614" t="s">
        <v>83</v>
      </c>
      <c r="F614">
        <v>104900</v>
      </c>
      <c r="G614" t="s">
        <v>331</v>
      </c>
      <c r="H614" s="15">
        <v>45292</v>
      </c>
      <c r="I614">
        <v>104900</v>
      </c>
      <c r="J614">
        <v>0</v>
      </c>
    </row>
    <row r="615" spans="1:10" x14ac:dyDescent="0.3">
      <c r="A615" s="15">
        <v>45352</v>
      </c>
      <c r="B615" t="s">
        <v>233</v>
      </c>
      <c r="C615" t="s">
        <v>81</v>
      </c>
      <c r="D615" t="s">
        <v>82</v>
      </c>
      <c r="E615" t="s">
        <v>87</v>
      </c>
      <c r="F615">
        <v>3300</v>
      </c>
      <c r="G615" t="s">
        <v>331</v>
      </c>
      <c r="H615" s="15">
        <v>45292</v>
      </c>
      <c r="I615">
        <v>3300</v>
      </c>
      <c r="J615">
        <v>0</v>
      </c>
    </row>
    <row r="616" spans="1:10" x14ac:dyDescent="0.3">
      <c r="A616" s="15">
        <v>45352</v>
      </c>
      <c r="B616" t="s">
        <v>234</v>
      </c>
      <c r="C616" t="s">
        <v>110</v>
      </c>
      <c r="D616" t="s">
        <v>82</v>
      </c>
      <c r="E616" t="s">
        <v>103</v>
      </c>
      <c r="F616">
        <v>41200</v>
      </c>
      <c r="G616" t="s">
        <v>331</v>
      </c>
      <c r="H616" s="15">
        <v>45292</v>
      </c>
      <c r="I616">
        <v>41200</v>
      </c>
      <c r="J616">
        <v>0</v>
      </c>
    </row>
    <row r="617" spans="1:10" x14ac:dyDescent="0.3">
      <c r="A617" s="15">
        <v>45352</v>
      </c>
      <c r="B617" t="s">
        <v>235</v>
      </c>
      <c r="C617" t="s">
        <v>91</v>
      </c>
      <c r="D617" t="s">
        <v>96</v>
      </c>
      <c r="E617" t="s">
        <v>103</v>
      </c>
      <c r="F617">
        <v>10500</v>
      </c>
      <c r="G617" t="s">
        <v>331</v>
      </c>
      <c r="H617" s="15">
        <v>45292</v>
      </c>
      <c r="I617">
        <v>10500</v>
      </c>
      <c r="J617">
        <v>0</v>
      </c>
    </row>
    <row r="618" spans="1:10" x14ac:dyDescent="0.3">
      <c r="A618" s="15">
        <v>45352</v>
      </c>
      <c r="B618" t="s">
        <v>236</v>
      </c>
      <c r="C618" t="s">
        <v>110</v>
      </c>
      <c r="D618" t="s">
        <v>82</v>
      </c>
      <c r="E618" t="s">
        <v>97</v>
      </c>
      <c r="F618">
        <v>27200</v>
      </c>
      <c r="G618" t="s">
        <v>331</v>
      </c>
      <c r="H618" s="15">
        <v>45292</v>
      </c>
      <c r="I618">
        <v>27200</v>
      </c>
      <c r="J618">
        <v>0</v>
      </c>
    </row>
    <row r="619" spans="1:10" x14ac:dyDescent="0.3">
      <c r="A619" s="15">
        <v>45352</v>
      </c>
      <c r="B619" t="s">
        <v>237</v>
      </c>
      <c r="C619" t="s">
        <v>91</v>
      </c>
      <c r="D619" t="s">
        <v>82</v>
      </c>
      <c r="E619" t="s">
        <v>83</v>
      </c>
      <c r="F619">
        <v>8100</v>
      </c>
      <c r="G619" t="s">
        <v>331</v>
      </c>
      <c r="H619" s="15">
        <v>45292</v>
      </c>
      <c r="I619">
        <v>8100</v>
      </c>
      <c r="J619">
        <v>0</v>
      </c>
    </row>
    <row r="620" spans="1:10" x14ac:dyDescent="0.3">
      <c r="A620" s="15">
        <v>45352</v>
      </c>
      <c r="B620" t="s">
        <v>238</v>
      </c>
      <c r="C620" t="s">
        <v>81</v>
      </c>
      <c r="D620" t="s">
        <v>99</v>
      </c>
      <c r="E620" t="s">
        <v>97</v>
      </c>
      <c r="F620">
        <v>2600</v>
      </c>
      <c r="G620" t="s">
        <v>331</v>
      </c>
      <c r="H620" s="15">
        <v>45292</v>
      </c>
      <c r="I620">
        <v>2600</v>
      </c>
      <c r="J620">
        <v>0</v>
      </c>
    </row>
    <row r="621" spans="1:10" x14ac:dyDescent="0.3">
      <c r="A621" s="15">
        <v>45352</v>
      </c>
      <c r="B621" t="s">
        <v>239</v>
      </c>
      <c r="C621" t="s">
        <v>81</v>
      </c>
      <c r="D621" t="s">
        <v>82</v>
      </c>
      <c r="E621" t="s">
        <v>103</v>
      </c>
      <c r="F621">
        <v>2300</v>
      </c>
      <c r="G621" t="s">
        <v>331</v>
      </c>
      <c r="H621" s="15">
        <v>45292</v>
      </c>
      <c r="I621">
        <v>2300</v>
      </c>
      <c r="J621">
        <v>0</v>
      </c>
    </row>
    <row r="622" spans="1:10" x14ac:dyDescent="0.3">
      <c r="A622" s="15">
        <v>45352</v>
      </c>
      <c r="B622" t="s">
        <v>240</v>
      </c>
      <c r="C622" t="s">
        <v>81</v>
      </c>
      <c r="D622" t="s">
        <v>99</v>
      </c>
      <c r="E622" t="s">
        <v>103</v>
      </c>
      <c r="F622">
        <v>3000</v>
      </c>
      <c r="G622" t="s">
        <v>331</v>
      </c>
      <c r="H622" s="15">
        <v>45292</v>
      </c>
      <c r="I622">
        <v>3000</v>
      </c>
      <c r="J622">
        <v>0</v>
      </c>
    </row>
    <row r="623" spans="1:10" x14ac:dyDescent="0.3">
      <c r="A623" s="15">
        <v>45352</v>
      </c>
      <c r="B623" t="s">
        <v>241</v>
      </c>
      <c r="C623" t="s">
        <v>91</v>
      </c>
      <c r="D623" t="s">
        <v>96</v>
      </c>
      <c r="E623" t="s">
        <v>87</v>
      </c>
      <c r="F623">
        <v>12100</v>
      </c>
      <c r="G623" t="s">
        <v>332</v>
      </c>
      <c r="H623" s="15">
        <v>45292</v>
      </c>
      <c r="I623">
        <v>11400</v>
      </c>
      <c r="J623">
        <v>700</v>
      </c>
    </row>
    <row r="624" spans="1:10" x14ac:dyDescent="0.3">
      <c r="A624" s="15">
        <v>45352</v>
      </c>
      <c r="B624" t="s">
        <v>242</v>
      </c>
      <c r="C624" t="s">
        <v>110</v>
      </c>
      <c r="D624" t="s">
        <v>99</v>
      </c>
      <c r="E624" t="s">
        <v>101</v>
      </c>
      <c r="F624">
        <v>30900</v>
      </c>
      <c r="G624" t="s">
        <v>331</v>
      </c>
      <c r="H624" s="15">
        <v>45292</v>
      </c>
      <c r="I624">
        <v>30900</v>
      </c>
      <c r="J624">
        <v>0</v>
      </c>
    </row>
    <row r="625" spans="1:10" x14ac:dyDescent="0.3">
      <c r="A625" s="15">
        <v>45352</v>
      </c>
      <c r="B625" t="s">
        <v>244</v>
      </c>
      <c r="C625" t="s">
        <v>91</v>
      </c>
      <c r="D625" t="s">
        <v>82</v>
      </c>
      <c r="E625" t="s">
        <v>92</v>
      </c>
      <c r="F625">
        <v>7800</v>
      </c>
      <c r="G625" t="s">
        <v>331</v>
      </c>
      <c r="H625" s="15">
        <v>45292</v>
      </c>
      <c r="I625">
        <v>7800</v>
      </c>
      <c r="J625">
        <v>0</v>
      </c>
    </row>
    <row r="626" spans="1:10" x14ac:dyDescent="0.3">
      <c r="A626" s="15">
        <v>45352</v>
      </c>
      <c r="B626" t="s">
        <v>245</v>
      </c>
      <c r="C626" t="s">
        <v>81</v>
      </c>
      <c r="D626" t="s">
        <v>99</v>
      </c>
      <c r="E626" t="s">
        <v>97</v>
      </c>
      <c r="F626">
        <v>2600</v>
      </c>
      <c r="G626" t="s">
        <v>331</v>
      </c>
      <c r="H626" s="15">
        <v>45292</v>
      </c>
      <c r="I626">
        <v>2600</v>
      </c>
      <c r="J626">
        <v>0</v>
      </c>
    </row>
    <row r="627" spans="1:10" x14ac:dyDescent="0.3">
      <c r="A627" s="15">
        <v>45352</v>
      </c>
      <c r="B627" t="s">
        <v>246</v>
      </c>
      <c r="C627" t="s">
        <v>91</v>
      </c>
      <c r="D627" t="s">
        <v>86</v>
      </c>
      <c r="E627" t="s">
        <v>103</v>
      </c>
      <c r="F627">
        <v>10100</v>
      </c>
      <c r="G627" t="s">
        <v>331</v>
      </c>
      <c r="H627" s="15">
        <v>45292</v>
      </c>
      <c r="I627">
        <v>10100</v>
      </c>
      <c r="J627">
        <v>0</v>
      </c>
    </row>
    <row r="628" spans="1:10" x14ac:dyDescent="0.3">
      <c r="A628" s="15">
        <v>45352</v>
      </c>
      <c r="B628" t="s">
        <v>247</v>
      </c>
      <c r="C628" t="s">
        <v>91</v>
      </c>
      <c r="D628" t="s">
        <v>86</v>
      </c>
      <c r="E628" t="s">
        <v>89</v>
      </c>
      <c r="F628">
        <v>9100</v>
      </c>
      <c r="G628" t="s">
        <v>331</v>
      </c>
      <c r="H628" s="15">
        <v>45292</v>
      </c>
      <c r="I628">
        <v>9100</v>
      </c>
      <c r="J628">
        <v>0</v>
      </c>
    </row>
    <row r="629" spans="1:10" x14ac:dyDescent="0.3">
      <c r="A629" s="15">
        <v>45352</v>
      </c>
      <c r="B629" t="s">
        <v>248</v>
      </c>
      <c r="C629" t="s">
        <v>81</v>
      </c>
      <c r="D629" t="s">
        <v>82</v>
      </c>
      <c r="E629" t="s">
        <v>103</v>
      </c>
      <c r="F629">
        <v>2100</v>
      </c>
      <c r="G629" t="s">
        <v>331</v>
      </c>
      <c r="H629" s="15">
        <v>45292</v>
      </c>
      <c r="I629">
        <v>2100</v>
      </c>
      <c r="J629">
        <v>0</v>
      </c>
    </row>
    <row r="630" spans="1:10" x14ac:dyDescent="0.3">
      <c r="A630" s="15">
        <v>45352</v>
      </c>
      <c r="B630" t="s">
        <v>249</v>
      </c>
      <c r="C630" t="s">
        <v>91</v>
      </c>
      <c r="D630" t="s">
        <v>99</v>
      </c>
      <c r="E630" t="s">
        <v>103</v>
      </c>
      <c r="F630">
        <v>8700</v>
      </c>
      <c r="G630" t="s">
        <v>331</v>
      </c>
      <c r="H630" s="15">
        <v>45292</v>
      </c>
      <c r="I630">
        <v>8700</v>
      </c>
      <c r="J630">
        <v>0</v>
      </c>
    </row>
    <row r="631" spans="1:10" x14ac:dyDescent="0.3">
      <c r="A631" s="15">
        <v>45352</v>
      </c>
      <c r="B631" t="s">
        <v>250</v>
      </c>
      <c r="C631" t="s">
        <v>81</v>
      </c>
      <c r="D631" t="s">
        <v>86</v>
      </c>
      <c r="E631" t="s">
        <v>87</v>
      </c>
      <c r="F631">
        <v>3300</v>
      </c>
      <c r="G631" t="s">
        <v>331</v>
      </c>
      <c r="H631" s="15">
        <v>45292</v>
      </c>
      <c r="I631">
        <v>3300</v>
      </c>
      <c r="J631">
        <v>0</v>
      </c>
    </row>
    <row r="632" spans="1:10" x14ac:dyDescent="0.3">
      <c r="A632" s="15">
        <v>45352</v>
      </c>
      <c r="B632" t="s">
        <v>251</v>
      </c>
      <c r="C632" t="s">
        <v>91</v>
      </c>
      <c r="D632" t="s">
        <v>99</v>
      </c>
      <c r="E632" t="s">
        <v>103</v>
      </c>
      <c r="F632">
        <v>7700</v>
      </c>
      <c r="G632" t="s">
        <v>331</v>
      </c>
      <c r="H632" s="15">
        <v>45292</v>
      </c>
      <c r="I632">
        <v>7700</v>
      </c>
      <c r="J632">
        <v>0</v>
      </c>
    </row>
    <row r="633" spans="1:10" x14ac:dyDescent="0.3">
      <c r="A633" s="15">
        <v>45352</v>
      </c>
      <c r="B633" t="s">
        <v>252</v>
      </c>
      <c r="C633" t="s">
        <v>81</v>
      </c>
      <c r="D633" t="s">
        <v>99</v>
      </c>
      <c r="E633" t="s">
        <v>92</v>
      </c>
      <c r="F633">
        <v>3400</v>
      </c>
      <c r="G633" t="s">
        <v>331</v>
      </c>
      <c r="H633" s="15">
        <v>45292</v>
      </c>
      <c r="I633">
        <v>3400</v>
      </c>
      <c r="J633">
        <v>0</v>
      </c>
    </row>
    <row r="634" spans="1:10" x14ac:dyDescent="0.3">
      <c r="A634" s="15">
        <v>45352</v>
      </c>
      <c r="B634" t="s">
        <v>253</v>
      </c>
      <c r="C634" t="s">
        <v>81</v>
      </c>
      <c r="D634" t="s">
        <v>96</v>
      </c>
      <c r="E634" t="s">
        <v>89</v>
      </c>
      <c r="F634">
        <v>2400</v>
      </c>
      <c r="G634" t="s">
        <v>331</v>
      </c>
      <c r="H634" s="15">
        <v>45292</v>
      </c>
      <c r="I634">
        <v>2400</v>
      </c>
      <c r="J634">
        <v>0</v>
      </c>
    </row>
    <row r="635" spans="1:10" x14ac:dyDescent="0.3">
      <c r="A635" s="15">
        <v>45352</v>
      </c>
      <c r="B635" t="s">
        <v>254</v>
      </c>
      <c r="C635" t="s">
        <v>110</v>
      </c>
      <c r="D635" t="s">
        <v>86</v>
      </c>
      <c r="E635" t="s">
        <v>103</v>
      </c>
      <c r="F635">
        <v>56100</v>
      </c>
      <c r="G635" t="s">
        <v>331</v>
      </c>
      <c r="H635" s="15">
        <v>45292</v>
      </c>
      <c r="I635">
        <v>56100</v>
      </c>
      <c r="J635">
        <v>0</v>
      </c>
    </row>
    <row r="636" spans="1:10" x14ac:dyDescent="0.3">
      <c r="A636" s="15">
        <v>45352</v>
      </c>
      <c r="B636" t="s">
        <v>255</v>
      </c>
      <c r="C636" t="s">
        <v>91</v>
      </c>
      <c r="D636" t="s">
        <v>86</v>
      </c>
      <c r="E636" t="s">
        <v>89</v>
      </c>
      <c r="F636">
        <v>8600</v>
      </c>
      <c r="G636" t="s">
        <v>331</v>
      </c>
      <c r="H636" s="15">
        <v>45292</v>
      </c>
      <c r="I636">
        <v>8600</v>
      </c>
      <c r="J636">
        <v>0</v>
      </c>
    </row>
    <row r="637" spans="1:10" x14ac:dyDescent="0.3">
      <c r="A637" s="15">
        <v>45352</v>
      </c>
      <c r="B637" t="s">
        <v>256</v>
      </c>
      <c r="C637" t="s">
        <v>81</v>
      </c>
      <c r="D637" t="s">
        <v>82</v>
      </c>
      <c r="E637" t="s">
        <v>103</v>
      </c>
      <c r="F637">
        <v>2600</v>
      </c>
      <c r="G637" t="s">
        <v>331</v>
      </c>
      <c r="H637" s="15">
        <v>45292</v>
      </c>
      <c r="I637">
        <v>2600</v>
      </c>
      <c r="J637">
        <v>0</v>
      </c>
    </row>
    <row r="638" spans="1:10" x14ac:dyDescent="0.3">
      <c r="A638" s="15">
        <v>45352</v>
      </c>
      <c r="B638" t="s">
        <v>257</v>
      </c>
      <c r="C638" t="s">
        <v>91</v>
      </c>
      <c r="D638" t="s">
        <v>96</v>
      </c>
      <c r="E638" t="s">
        <v>87</v>
      </c>
      <c r="F638">
        <v>8400</v>
      </c>
      <c r="G638" t="s">
        <v>331</v>
      </c>
      <c r="H638" s="15">
        <v>45292</v>
      </c>
      <c r="I638">
        <v>8400</v>
      </c>
      <c r="J638">
        <v>0</v>
      </c>
    </row>
    <row r="639" spans="1:10" x14ac:dyDescent="0.3">
      <c r="A639" s="15">
        <v>45352</v>
      </c>
      <c r="B639" t="s">
        <v>258</v>
      </c>
      <c r="C639" t="s">
        <v>125</v>
      </c>
      <c r="D639" t="s">
        <v>86</v>
      </c>
      <c r="E639" t="s">
        <v>83</v>
      </c>
      <c r="F639">
        <v>96300</v>
      </c>
      <c r="G639" t="s">
        <v>331</v>
      </c>
      <c r="H639" s="15">
        <v>45292</v>
      </c>
      <c r="I639">
        <v>96300</v>
      </c>
      <c r="J639">
        <v>0</v>
      </c>
    </row>
    <row r="640" spans="1:10" x14ac:dyDescent="0.3">
      <c r="A640" s="15">
        <v>45352</v>
      </c>
      <c r="B640" t="s">
        <v>259</v>
      </c>
      <c r="C640" t="s">
        <v>81</v>
      </c>
      <c r="D640" t="s">
        <v>86</v>
      </c>
      <c r="E640" t="s">
        <v>89</v>
      </c>
      <c r="F640">
        <v>1900</v>
      </c>
      <c r="G640" t="s">
        <v>331</v>
      </c>
      <c r="H640" s="15">
        <v>45292</v>
      </c>
      <c r="I640">
        <v>1900</v>
      </c>
      <c r="J640">
        <v>0</v>
      </c>
    </row>
    <row r="641" spans="1:10" x14ac:dyDescent="0.3">
      <c r="A641" s="15">
        <v>45352</v>
      </c>
      <c r="B641" t="s">
        <v>260</v>
      </c>
      <c r="C641" t="s">
        <v>81</v>
      </c>
      <c r="D641" t="s">
        <v>86</v>
      </c>
      <c r="E641" t="s">
        <v>97</v>
      </c>
      <c r="F641">
        <v>2600</v>
      </c>
      <c r="G641" t="s">
        <v>331</v>
      </c>
      <c r="H641" s="15">
        <v>45292</v>
      </c>
      <c r="I641">
        <v>2600</v>
      </c>
      <c r="J641">
        <v>0</v>
      </c>
    </row>
    <row r="642" spans="1:10" x14ac:dyDescent="0.3">
      <c r="A642" s="15">
        <v>45352</v>
      </c>
      <c r="B642" t="s">
        <v>261</v>
      </c>
      <c r="C642" t="s">
        <v>81</v>
      </c>
      <c r="D642" t="s">
        <v>82</v>
      </c>
      <c r="E642" t="s">
        <v>103</v>
      </c>
      <c r="F642">
        <v>2200</v>
      </c>
      <c r="G642" t="s">
        <v>331</v>
      </c>
      <c r="H642" s="15">
        <v>45292</v>
      </c>
      <c r="I642">
        <v>2200</v>
      </c>
      <c r="J642">
        <v>0</v>
      </c>
    </row>
    <row r="643" spans="1:10" x14ac:dyDescent="0.3">
      <c r="A643" s="15">
        <v>45352</v>
      </c>
      <c r="B643" t="s">
        <v>262</v>
      </c>
      <c r="C643" t="s">
        <v>91</v>
      </c>
      <c r="D643" t="s">
        <v>82</v>
      </c>
      <c r="E643" t="s">
        <v>92</v>
      </c>
      <c r="F643">
        <v>8600</v>
      </c>
      <c r="G643" t="s">
        <v>331</v>
      </c>
      <c r="H643" s="15">
        <v>45292</v>
      </c>
      <c r="I643">
        <v>8600</v>
      </c>
      <c r="J643">
        <v>0</v>
      </c>
    </row>
    <row r="644" spans="1:10" x14ac:dyDescent="0.3">
      <c r="A644" s="15">
        <v>45352</v>
      </c>
      <c r="B644" t="s">
        <v>263</v>
      </c>
      <c r="C644" t="s">
        <v>81</v>
      </c>
      <c r="D644" t="s">
        <v>99</v>
      </c>
      <c r="E644" t="s">
        <v>89</v>
      </c>
      <c r="F644">
        <v>3200</v>
      </c>
      <c r="G644" t="s">
        <v>331</v>
      </c>
      <c r="H644" s="15">
        <v>45292</v>
      </c>
      <c r="I644">
        <v>3200</v>
      </c>
      <c r="J644">
        <v>0</v>
      </c>
    </row>
    <row r="645" spans="1:10" x14ac:dyDescent="0.3">
      <c r="A645" s="15">
        <v>45352</v>
      </c>
      <c r="B645" t="s">
        <v>264</v>
      </c>
      <c r="C645" t="s">
        <v>110</v>
      </c>
      <c r="D645" t="s">
        <v>86</v>
      </c>
      <c r="E645" t="s">
        <v>97</v>
      </c>
      <c r="F645">
        <v>31500</v>
      </c>
      <c r="G645" t="s">
        <v>331</v>
      </c>
      <c r="H645" s="15">
        <v>45292</v>
      </c>
      <c r="I645">
        <v>31500</v>
      </c>
      <c r="J645">
        <v>0</v>
      </c>
    </row>
    <row r="646" spans="1:10" x14ac:dyDescent="0.3">
      <c r="A646" s="15">
        <v>45352</v>
      </c>
      <c r="B646" t="s">
        <v>265</v>
      </c>
      <c r="C646" t="s">
        <v>125</v>
      </c>
      <c r="D646" t="s">
        <v>86</v>
      </c>
      <c r="E646" t="s">
        <v>101</v>
      </c>
      <c r="F646">
        <v>92200</v>
      </c>
      <c r="G646" t="s">
        <v>331</v>
      </c>
      <c r="H646" s="15">
        <v>45292</v>
      </c>
      <c r="I646">
        <v>92200</v>
      </c>
      <c r="J646">
        <v>0</v>
      </c>
    </row>
    <row r="647" spans="1:10" x14ac:dyDescent="0.3">
      <c r="A647" s="15">
        <v>45352</v>
      </c>
      <c r="B647" t="s">
        <v>266</v>
      </c>
      <c r="C647" t="s">
        <v>81</v>
      </c>
      <c r="D647" t="s">
        <v>82</v>
      </c>
      <c r="E647" t="s">
        <v>83</v>
      </c>
      <c r="F647">
        <v>2200</v>
      </c>
      <c r="G647" t="s">
        <v>331</v>
      </c>
      <c r="H647" s="15">
        <v>45292</v>
      </c>
      <c r="I647">
        <v>2200</v>
      </c>
      <c r="J647">
        <v>0</v>
      </c>
    </row>
    <row r="648" spans="1:10" x14ac:dyDescent="0.3">
      <c r="A648" s="15">
        <v>45352</v>
      </c>
      <c r="B648" t="s">
        <v>267</v>
      </c>
      <c r="C648" t="s">
        <v>91</v>
      </c>
      <c r="D648" t="s">
        <v>82</v>
      </c>
      <c r="E648" t="s">
        <v>97</v>
      </c>
      <c r="F648">
        <v>6900</v>
      </c>
      <c r="G648" t="s">
        <v>331</v>
      </c>
      <c r="H648" s="15">
        <v>45292</v>
      </c>
      <c r="I648">
        <v>6900</v>
      </c>
      <c r="J648">
        <v>0</v>
      </c>
    </row>
    <row r="649" spans="1:10" x14ac:dyDescent="0.3">
      <c r="A649" s="15">
        <v>45352</v>
      </c>
      <c r="B649" t="s">
        <v>269</v>
      </c>
      <c r="C649" t="s">
        <v>91</v>
      </c>
      <c r="D649" t="s">
        <v>82</v>
      </c>
      <c r="E649" t="s">
        <v>103</v>
      </c>
      <c r="F649">
        <v>9100</v>
      </c>
      <c r="G649" t="s">
        <v>331</v>
      </c>
      <c r="H649" s="15">
        <v>45292</v>
      </c>
      <c r="I649">
        <v>9100</v>
      </c>
      <c r="J649">
        <v>0</v>
      </c>
    </row>
    <row r="650" spans="1:10" x14ac:dyDescent="0.3">
      <c r="A650" s="15">
        <v>45352</v>
      </c>
      <c r="B650" t="s">
        <v>270</v>
      </c>
      <c r="C650" t="s">
        <v>110</v>
      </c>
      <c r="D650" t="s">
        <v>86</v>
      </c>
      <c r="E650" t="s">
        <v>87</v>
      </c>
      <c r="F650">
        <v>44200</v>
      </c>
      <c r="G650" t="s">
        <v>331</v>
      </c>
      <c r="H650" s="15">
        <v>45292</v>
      </c>
      <c r="I650">
        <v>44200</v>
      </c>
      <c r="J650">
        <v>0</v>
      </c>
    </row>
    <row r="651" spans="1:10" x14ac:dyDescent="0.3">
      <c r="A651" s="15">
        <v>45352</v>
      </c>
      <c r="B651" t="s">
        <v>271</v>
      </c>
      <c r="C651" t="s">
        <v>81</v>
      </c>
      <c r="D651" t="s">
        <v>82</v>
      </c>
      <c r="E651" t="s">
        <v>97</v>
      </c>
      <c r="F651">
        <v>2900</v>
      </c>
      <c r="G651" t="s">
        <v>331</v>
      </c>
      <c r="H651" s="15">
        <v>45292</v>
      </c>
      <c r="I651">
        <v>2900</v>
      </c>
      <c r="J651">
        <v>0</v>
      </c>
    </row>
    <row r="652" spans="1:10" x14ac:dyDescent="0.3">
      <c r="A652" s="15">
        <v>45352</v>
      </c>
      <c r="B652" t="s">
        <v>272</v>
      </c>
      <c r="C652" t="s">
        <v>125</v>
      </c>
      <c r="D652" t="s">
        <v>96</v>
      </c>
      <c r="E652" t="s">
        <v>103</v>
      </c>
      <c r="F652">
        <v>87600</v>
      </c>
      <c r="G652" t="s">
        <v>331</v>
      </c>
      <c r="H652" s="15">
        <v>45292</v>
      </c>
      <c r="I652">
        <v>87600</v>
      </c>
      <c r="J652">
        <v>0</v>
      </c>
    </row>
    <row r="653" spans="1:10" x14ac:dyDescent="0.3">
      <c r="A653" s="15">
        <v>45352</v>
      </c>
      <c r="B653" t="s">
        <v>273</v>
      </c>
      <c r="C653" t="s">
        <v>81</v>
      </c>
      <c r="D653" t="s">
        <v>82</v>
      </c>
      <c r="E653" t="s">
        <v>101</v>
      </c>
      <c r="F653">
        <v>3300</v>
      </c>
      <c r="G653" t="s">
        <v>331</v>
      </c>
      <c r="H653" s="15">
        <v>45292</v>
      </c>
      <c r="I653">
        <v>3300</v>
      </c>
      <c r="J653">
        <v>0</v>
      </c>
    </row>
    <row r="654" spans="1:10" x14ac:dyDescent="0.3">
      <c r="A654" s="15">
        <v>45352</v>
      </c>
      <c r="B654" t="s">
        <v>274</v>
      </c>
      <c r="C654" t="s">
        <v>91</v>
      </c>
      <c r="D654" t="s">
        <v>99</v>
      </c>
      <c r="E654" t="s">
        <v>87</v>
      </c>
      <c r="F654">
        <v>11400</v>
      </c>
      <c r="G654" t="s">
        <v>331</v>
      </c>
      <c r="H654" s="15">
        <v>45292</v>
      </c>
      <c r="I654">
        <v>11400</v>
      </c>
      <c r="J654">
        <v>0</v>
      </c>
    </row>
    <row r="655" spans="1:10" x14ac:dyDescent="0.3">
      <c r="A655" s="15">
        <v>45352</v>
      </c>
      <c r="B655" t="s">
        <v>275</v>
      </c>
      <c r="C655" t="s">
        <v>91</v>
      </c>
      <c r="D655" t="s">
        <v>99</v>
      </c>
      <c r="E655" t="s">
        <v>89</v>
      </c>
      <c r="F655">
        <v>0</v>
      </c>
      <c r="G655" t="s">
        <v>333</v>
      </c>
      <c r="H655" s="15">
        <v>45292</v>
      </c>
      <c r="I655">
        <v>6000</v>
      </c>
      <c r="J655">
        <v>-6000</v>
      </c>
    </row>
    <row r="656" spans="1:10" x14ac:dyDescent="0.3">
      <c r="A656" s="15">
        <v>45352</v>
      </c>
      <c r="B656" t="s">
        <v>276</v>
      </c>
      <c r="C656" t="s">
        <v>81</v>
      </c>
      <c r="D656" t="s">
        <v>82</v>
      </c>
      <c r="E656" t="s">
        <v>103</v>
      </c>
      <c r="F656">
        <v>3300</v>
      </c>
      <c r="G656" t="s">
        <v>331</v>
      </c>
      <c r="H656" s="15">
        <v>45292</v>
      </c>
      <c r="I656">
        <v>3300</v>
      </c>
      <c r="J656">
        <v>0</v>
      </c>
    </row>
    <row r="657" spans="1:10" x14ac:dyDescent="0.3">
      <c r="A657" s="15">
        <v>45352</v>
      </c>
      <c r="B657" t="s">
        <v>277</v>
      </c>
      <c r="C657" t="s">
        <v>91</v>
      </c>
      <c r="D657" t="s">
        <v>86</v>
      </c>
      <c r="E657" t="s">
        <v>97</v>
      </c>
      <c r="F657">
        <v>8000</v>
      </c>
      <c r="G657" t="s">
        <v>331</v>
      </c>
      <c r="H657" s="15">
        <v>45292</v>
      </c>
      <c r="I657">
        <v>8000</v>
      </c>
      <c r="J657">
        <v>0</v>
      </c>
    </row>
    <row r="658" spans="1:10" x14ac:dyDescent="0.3">
      <c r="A658" s="15">
        <v>45352</v>
      </c>
      <c r="B658" t="s">
        <v>278</v>
      </c>
      <c r="C658" t="s">
        <v>81</v>
      </c>
      <c r="D658" t="s">
        <v>82</v>
      </c>
      <c r="E658" t="s">
        <v>92</v>
      </c>
      <c r="F658">
        <v>1900</v>
      </c>
      <c r="G658" t="s">
        <v>331</v>
      </c>
      <c r="H658" s="15">
        <v>45292</v>
      </c>
      <c r="I658">
        <v>1900</v>
      </c>
      <c r="J658">
        <v>0</v>
      </c>
    </row>
    <row r="659" spans="1:10" x14ac:dyDescent="0.3">
      <c r="A659" s="15">
        <v>45352</v>
      </c>
      <c r="B659" t="s">
        <v>279</v>
      </c>
      <c r="C659" t="s">
        <v>91</v>
      </c>
      <c r="D659" t="s">
        <v>99</v>
      </c>
      <c r="E659" t="s">
        <v>89</v>
      </c>
      <c r="F659">
        <v>9800</v>
      </c>
      <c r="G659" t="s">
        <v>331</v>
      </c>
      <c r="H659" s="15">
        <v>45292</v>
      </c>
      <c r="I659">
        <v>9800</v>
      </c>
      <c r="J659">
        <v>0</v>
      </c>
    </row>
    <row r="660" spans="1:10" x14ac:dyDescent="0.3">
      <c r="A660" s="15">
        <v>45352</v>
      </c>
      <c r="B660" t="s">
        <v>280</v>
      </c>
      <c r="C660" t="s">
        <v>91</v>
      </c>
      <c r="D660" t="s">
        <v>96</v>
      </c>
      <c r="E660" t="s">
        <v>83</v>
      </c>
      <c r="F660">
        <v>6300</v>
      </c>
      <c r="G660" t="s">
        <v>331</v>
      </c>
      <c r="H660" s="15">
        <v>45292</v>
      </c>
      <c r="I660">
        <v>6300</v>
      </c>
      <c r="J660">
        <v>0</v>
      </c>
    </row>
    <row r="661" spans="1:10" x14ac:dyDescent="0.3">
      <c r="A661" s="15">
        <v>45352</v>
      </c>
      <c r="B661" t="s">
        <v>281</v>
      </c>
      <c r="C661" t="s">
        <v>110</v>
      </c>
      <c r="D661" t="s">
        <v>86</v>
      </c>
      <c r="E661" t="s">
        <v>92</v>
      </c>
      <c r="F661">
        <v>46800</v>
      </c>
      <c r="G661" t="s">
        <v>331</v>
      </c>
      <c r="H661" s="15">
        <v>45292</v>
      </c>
      <c r="I661">
        <v>46800</v>
      </c>
      <c r="J661">
        <v>0</v>
      </c>
    </row>
    <row r="662" spans="1:10" x14ac:dyDescent="0.3">
      <c r="A662" s="15">
        <v>45352</v>
      </c>
      <c r="B662" t="s">
        <v>282</v>
      </c>
      <c r="C662" t="s">
        <v>91</v>
      </c>
      <c r="D662" t="s">
        <v>86</v>
      </c>
      <c r="E662" t="s">
        <v>92</v>
      </c>
      <c r="F662">
        <v>7000</v>
      </c>
      <c r="G662" t="s">
        <v>331</v>
      </c>
      <c r="H662" s="15">
        <v>45292</v>
      </c>
      <c r="I662">
        <v>7000</v>
      </c>
      <c r="J662">
        <v>0</v>
      </c>
    </row>
    <row r="663" spans="1:10" x14ac:dyDescent="0.3">
      <c r="A663" s="15">
        <v>45352</v>
      </c>
      <c r="B663" t="s">
        <v>283</v>
      </c>
      <c r="C663" t="s">
        <v>110</v>
      </c>
      <c r="D663" t="s">
        <v>82</v>
      </c>
      <c r="E663" t="s">
        <v>87</v>
      </c>
      <c r="F663">
        <v>34200</v>
      </c>
      <c r="G663" t="s">
        <v>331</v>
      </c>
      <c r="H663" s="15">
        <v>45292</v>
      </c>
      <c r="I663">
        <v>34200</v>
      </c>
      <c r="J663">
        <v>0</v>
      </c>
    </row>
    <row r="664" spans="1:10" x14ac:dyDescent="0.3">
      <c r="A664" s="15">
        <v>45352</v>
      </c>
      <c r="B664" t="s">
        <v>284</v>
      </c>
      <c r="C664" t="s">
        <v>81</v>
      </c>
      <c r="D664" t="s">
        <v>82</v>
      </c>
      <c r="E664" t="s">
        <v>101</v>
      </c>
      <c r="F664">
        <v>2400</v>
      </c>
      <c r="G664" t="s">
        <v>331</v>
      </c>
      <c r="H664" s="15">
        <v>45292</v>
      </c>
      <c r="I664">
        <v>2400</v>
      </c>
      <c r="J664">
        <v>0</v>
      </c>
    </row>
    <row r="665" spans="1:10" x14ac:dyDescent="0.3">
      <c r="A665" s="15">
        <v>45352</v>
      </c>
      <c r="B665" t="s">
        <v>285</v>
      </c>
      <c r="C665" t="s">
        <v>91</v>
      </c>
      <c r="D665" t="s">
        <v>82</v>
      </c>
      <c r="E665" t="s">
        <v>83</v>
      </c>
      <c r="F665">
        <v>10900</v>
      </c>
      <c r="G665" t="s">
        <v>331</v>
      </c>
      <c r="H665" s="15">
        <v>45292</v>
      </c>
      <c r="I665">
        <v>10900</v>
      </c>
      <c r="J665">
        <v>0</v>
      </c>
    </row>
    <row r="666" spans="1:10" x14ac:dyDescent="0.3">
      <c r="A666" s="15">
        <v>45352</v>
      </c>
      <c r="B666" t="s">
        <v>286</v>
      </c>
      <c r="C666" t="s">
        <v>125</v>
      </c>
      <c r="D666" t="s">
        <v>86</v>
      </c>
      <c r="E666" t="s">
        <v>92</v>
      </c>
      <c r="F666">
        <v>87000</v>
      </c>
      <c r="G666" t="s">
        <v>331</v>
      </c>
      <c r="H666" s="15">
        <v>45292</v>
      </c>
      <c r="I666">
        <v>87000</v>
      </c>
      <c r="J666">
        <v>0</v>
      </c>
    </row>
    <row r="667" spans="1:10" x14ac:dyDescent="0.3">
      <c r="A667" s="15">
        <v>45352</v>
      </c>
      <c r="B667" t="s">
        <v>287</v>
      </c>
      <c r="C667" t="s">
        <v>81</v>
      </c>
      <c r="D667" t="s">
        <v>99</v>
      </c>
      <c r="E667" t="s">
        <v>87</v>
      </c>
      <c r="F667">
        <v>2300</v>
      </c>
      <c r="G667" t="s">
        <v>331</v>
      </c>
      <c r="H667" s="15">
        <v>45292</v>
      </c>
      <c r="I667">
        <v>2300</v>
      </c>
      <c r="J667">
        <v>0</v>
      </c>
    </row>
    <row r="668" spans="1:10" x14ac:dyDescent="0.3">
      <c r="A668" s="15">
        <v>45352</v>
      </c>
      <c r="B668" t="s">
        <v>288</v>
      </c>
      <c r="C668" t="s">
        <v>81</v>
      </c>
      <c r="D668" t="s">
        <v>99</v>
      </c>
      <c r="E668" t="s">
        <v>97</v>
      </c>
      <c r="F668">
        <v>2600</v>
      </c>
      <c r="G668" t="s">
        <v>331</v>
      </c>
      <c r="H668" s="15">
        <v>45292</v>
      </c>
      <c r="I668">
        <v>2600</v>
      </c>
      <c r="J668">
        <v>0</v>
      </c>
    </row>
    <row r="669" spans="1:10" x14ac:dyDescent="0.3">
      <c r="A669" s="15">
        <v>45352</v>
      </c>
      <c r="B669" t="s">
        <v>289</v>
      </c>
      <c r="C669" t="s">
        <v>91</v>
      </c>
      <c r="D669" t="s">
        <v>86</v>
      </c>
      <c r="E669" t="s">
        <v>101</v>
      </c>
      <c r="F669">
        <v>9400</v>
      </c>
      <c r="G669" t="s">
        <v>331</v>
      </c>
      <c r="H669" s="15">
        <v>45292</v>
      </c>
      <c r="I669">
        <v>9400</v>
      </c>
      <c r="J669">
        <v>0</v>
      </c>
    </row>
    <row r="670" spans="1:10" x14ac:dyDescent="0.3">
      <c r="A670" s="15">
        <v>45352</v>
      </c>
      <c r="B670" t="s">
        <v>290</v>
      </c>
      <c r="C670" t="s">
        <v>81</v>
      </c>
      <c r="D670" t="s">
        <v>82</v>
      </c>
      <c r="E670" t="s">
        <v>103</v>
      </c>
      <c r="F670">
        <v>2800</v>
      </c>
      <c r="G670" t="s">
        <v>331</v>
      </c>
      <c r="H670" s="15">
        <v>45292</v>
      </c>
      <c r="I670">
        <v>2800</v>
      </c>
      <c r="J670">
        <v>0</v>
      </c>
    </row>
    <row r="671" spans="1:10" x14ac:dyDescent="0.3">
      <c r="A671" s="15">
        <v>45352</v>
      </c>
      <c r="B671" t="s">
        <v>291</v>
      </c>
      <c r="C671" t="s">
        <v>81</v>
      </c>
      <c r="D671" t="s">
        <v>82</v>
      </c>
      <c r="E671" t="s">
        <v>83</v>
      </c>
      <c r="F671">
        <v>3100</v>
      </c>
      <c r="G671" t="s">
        <v>331</v>
      </c>
      <c r="H671" s="15">
        <v>45292</v>
      </c>
      <c r="I671">
        <v>3100</v>
      </c>
      <c r="J671">
        <v>0</v>
      </c>
    </row>
    <row r="672" spans="1:10" x14ac:dyDescent="0.3">
      <c r="A672" s="15">
        <v>45352</v>
      </c>
      <c r="B672" t="s">
        <v>292</v>
      </c>
      <c r="C672" t="s">
        <v>91</v>
      </c>
      <c r="D672" t="s">
        <v>86</v>
      </c>
      <c r="E672" t="s">
        <v>89</v>
      </c>
      <c r="F672">
        <v>8600</v>
      </c>
      <c r="G672" t="s">
        <v>331</v>
      </c>
      <c r="H672" s="15">
        <v>45292</v>
      </c>
      <c r="I672">
        <v>8600</v>
      </c>
      <c r="J672">
        <v>0</v>
      </c>
    </row>
    <row r="673" spans="1:10" x14ac:dyDescent="0.3">
      <c r="A673" s="15">
        <v>45352</v>
      </c>
      <c r="B673" t="s">
        <v>293</v>
      </c>
      <c r="C673" t="s">
        <v>81</v>
      </c>
      <c r="D673" t="s">
        <v>86</v>
      </c>
      <c r="E673" t="s">
        <v>103</v>
      </c>
      <c r="F673">
        <v>2200</v>
      </c>
      <c r="G673" t="s">
        <v>331</v>
      </c>
      <c r="H673" s="15">
        <v>45292</v>
      </c>
      <c r="I673">
        <v>2200</v>
      </c>
      <c r="J673">
        <v>0</v>
      </c>
    </row>
    <row r="674" spans="1:10" x14ac:dyDescent="0.3">
      <c r="A674" s="15">
        <v>45352</v>
      </c>
      <c r="B674" t="s">
        <v>294</v>
      </c>
      <c r="C674" t="s">
        <v>91</v>
      </c>
      <c r="D674" t="s">
        <v>82</v>
      </c>
      <c r="E674" t="s">
        <v>97</v>
      </c>
      <c r="F674">
        <v>9500</v>
      </c>
      <c r="G674" t="s">
        <v>331</v>
      </c>
      <c r="H674" s="15">
        <v>45292</v>
      </c>
      <c r="I674">
        <v>9500</v>
      </c>
      <c r="J674">
        <v>0</v>
      </c>
    </row>
    <row r="675" spans="1:10" x14ac:dyDescent="0.3">
      <c r="A675" s="15">
        <v>45352</v>
      </c>
      <c r="B675" t="s">
        <v>295</v>
      </c>
      <c r="C675" t="s">
        <v>81</v>
      </c>
      <c r="D675" t="s">
        <v>82</v>
      </c>
      <c r="E675" t="s">
        <v>103</v>
      </c>
      <c r="F675">
        <v>2300</v>
      </c>
      <c r="G675" t="s">
        <v>331</v>
      </c>
      <c r="H675" s="15">
        <v>45292</v>
      </c>
      <c r="I675">
        <v>2300</v>
      </c>
      <c r="J675">
        <v>0</v>
      </c>
    </row>
    <row r="676" spans="1:10" x14ac:dyDescent="0.3">
      <c r="A676" s="15">
        <v>45352</v>
      </c>
      <c r="B676" t="s">
        <v>297</v>
      </c>
      <c r="C676" t="s">
        <v>91</v>
      </c>
      <c r="D676" t="s">
        <v>86</v>
      </c>
      <c r="E676" t="s">
        <v>103</v>
      </c>
      <c r="F676">
        <v>9100</v>
      </c>
      <c r="G676" t="s">
        <v>331</v>
      </c>
      <c r="H676" s="15">
        <v>45292</v>
      </c>
      <c r="I676">
        <v>9100</v>
      </c>
      <c r="J676">
        <v>0</v>
      </c>
    </row>
    <row r="677" spans="1:10" x14ac:dyDescent="0.3">
      <c r="A677" s="15">
        <v>45352</v>
      </c>
      <c r="B677" t="s">
        <v>298</v>
      </c>
      <c r="C677" t="s">
        <v>81</v>
      </c>
      <c r="D677" t="s">
        <v>86</v>
      </c>
      <c r="E677" t="s">
        <v>89</v>
      </c>
      <c r="F677">
        <v>2700</v>
      </c>
      <c r="G677" t="s">
        <v>331</v>
      </c>
      <c r="H677" s="15">
        <v>45292</v>
      </c>
      <c r="I677">
        <v>2700</v>
      </c>
      <c r="J677">
        <v>0</v>
      </c>
    </row>
    <row r="678" spans="1:10" x14ac:dyDescent="0.3">
      <c r="A678" s="15">
        <v>45352</v>
      </c>
      <c r="B678" t="s">
        <v>299</v>
      </c>
      <c r="C678" t="s">
        <v>81</v>
      </c>
      <c r="D678" t="s">
        <v>99</v>
      </c>
      <c r="E678" t="s">
        <v>103</v>
      </c>
      <c r="F678">
        <v>2900</v>
      </c>
      <c r="G678" t="s">
        <v>331</v>
      </c>
      <c r="H678" s="15">
        <v>45292</v>
      </c>
      <c r="I678">
        <v>2900</v>
      </c>
      <c r="J678">
        <v>0</v>
      </c>
    </row>
    <row r="679" spans="1:10" x14ac:dyDescent="0.3">
      <c r="A679" s="15">
        <v>45352</v>
      </c>
      <c r="B679" t="s">
        <v>300</v>
      </c>
      <c r="C679" t="s">
        <v>91</v>
      </c>
      <c r="D679" t="s">
        <v>82</v>
      </c>
      <c r="E679" t="s">
        <v>89</v>
      </c>
      <c r="F679">
        <v>10900</v>
      </c>
      <c r="G679" t="s">
        <v>331</v>
      </c>
      <c r="H679" s="15">
        <v>45292</v>
      </c>
      <c r="I679">
        <v>10900</v>
      </c>
      <c r="J679">
        <v>0</v>
      </c>
    </row>
    <row r="680" spans="1:10" x14ac:dyDescent="0.3">
      <c r="A680" s="15">
        <v>45352</v>
      </c>
      <c r="B680" t="s">
        <v>301</v>
      </c>
      <c r="C680" t="s">
        <v>125</v>
      </c>
      <c r="D680" t="s">
        <v>82</v>
      </c>
      <c r="E680" t="s">
        <v>92</v>
      </c>
      <c r="F680">
        <v>116700</v>
      </c>
      <c r="G680" t="s">
        <v>331</v>
      </c>
      <c r="H680" s="15">
        <v>45292</v>
      </c>
      <c r="I680">
        <v>116700</v>
      </c>
      <c r="J680">
        <v>0</v>
      </c>
    </row>
    <row r="681" spans="1:10" x14ac:dyDescent="0.3">
      <c r="A681" s="15">
        <v>45352</v>
      </c>
      <c r="B681" t="s">
        <v>302</v>
      </c>
      <c r="C681" t="s">
        <v>81</v>
      </c>
      <c r="D681" t="s">
        <v>99</v>
      </c>
      <c r="E681" t="s">
        <v>83</v>
      </c>
      <c r="F681">
        <v>0</v>
      </c>
      <c r="G681" t="s">
        <v>333</v>
      </c>
      <c r="H681" s="15">
        <v>45292</v>
      </c>
      <c r="I681">
        <v>2200</v>
      </c>
      <c r="J681">
        <v>-2200</v>
      </c>
    </row>
    <row r="682" spans="1:10" x14ac:dyDescent="0.3">
      <c r="A682" s="15">
        <v>45352</v>
      </c>
      <c r="B682" t="s">
        <v>303</v>
      </c>
      <c r="C682" t="s">
        <v>81</v>
      </c>
      <c r="D682" t="s">
        <v>82</v>
      </c>
      <c r="E682" t="s">
        <v>83</v>
      </c>
      <c r="F682">
        <v>1700</v>
      </c>
      <c r="G682" t="s">
        <v>331</v>
      </c>
      <c r="H682" s="15">
        <v>45292</v>
      </c>
      <c r="I682">
        <v>1700</v>
      </c>
      <c r="J682">
        <v>0</v>
      </c>
    </row>
    <row r="683" spans="1:10" x14ac:dyDescent="0.3">
      <c r="A683" s="15">
        <v>45352</v>
      </c>
      <c r="B683" t="s">
        <v>304</v>
      </c>
      <c r="C683" t="s">
        <v>81</v>
      </c>
      <c r="D683" t="s">
        <v>86</v>
      </c>
      <c r="E683" t="s">
        <v>92</v>
      </c>
      <c r="F683">
        <v>2100</v>
      </c>
      <c r="G683" t="s">
        <v>331</v>
      </c>
      <c r="H683" s="15">
        <v>45292</v>
      </c>
      <c r="I683">
        <v>2100</v>
      </c>
      <c r="J683">
        <v>0</v>
      </c>
    </row>
    <row r="684" spans="1:10" x14ac:dyDescent="0.3">
      <c r="A684" s="15">
        <v>45352</v>
      </c>
      <c r="B684" t="s">
        <v>305</v>
      </c>
      <c r="C684" t="s">
        <v>91</v>
      </c>
      <c r="D684" t="s">
        <v>82</v>
      </c>
      <c r="E684" t="s">
        <v>103</v>
      </c>
      <c r="F684">
        <v>7700</v>
      </c>
      <c r="G684" t="s">
        <v>331</v>
      </c>
      <c r="H684" s="15">
        <v>45292</v>
      </c>
      <c r="I684">
        <v>7700</v>
      </c>
      <c r="J684">
        <v>0</v>
      </c>
    </row>
    <row r="685" spans="1:10" x14ac:dyDescent="0.3">
      <c r="A685" s="15">
        <v>45352</v>
      </c>
      <c r="B685" t="s">
        <v>306</v>
      </c>
      <c r="C685" t="s">
        <v>91</v>
      </c>
      <c r="D685" t="s">
        <v>82</v>
      </c>
      <c r="E685" t="s">
        <v>87</v>
      </c>
      <c r="F685">
        <v>10500</v>
      </c>
      <c r="G685" t="s">
        <v>331</v>
      </c>
      <c r="H685" s="15">
        <v>45292</v>
      </c>
      <c r="I685">
        <v>10500</v>
      </c>
      <c r="J685">
        <v>0</v>
      </c>
    </row>
    <row r="686" spans="1:10" x14ac:dyDescent="0.3">
      <c r="A686" s="15">
        <v>45352</v>
      </c>
      <c r="B686" t="s">
        <v>307</v>
      </c>
      <c r="C686" t="s">
        <v>81</v>
      </c>
      <c r="D686" t="s">
        <v>86</v>
      </c>
      <c r="E686" t="s">
        <v>97</v>
      </c>
      <c r="F686">
        <v>2300</v>
      </c>
      <c r="G686" t="s">
        <v>331</v>
      </c>
      <c r="H686" s="15">
        <v>45292</v>
      </c>
      <c r="I686">
        <v>2300</v>
      </c>
      <c r="J686">
        <v>0</v>
      </c>
    </row>
    <row r="687" spans="1:10" x14ac:dyDescent="0.3">
      <c r="A687" s="15">
        <v>45352</v>
      </c>
      <c r="B687" t="s">
        <v>308</v>
      </c>
      <c r="C687" t="s">
        <v>91</v>
      </c>
      <c r="D687" t="s">
        <v>86</v>
      </c>
      <c r="E687" t="s">
        <v>92</v>
      </c>
      <c r="F687">
        <v>8000</v>
      </c>
      <c r="G687" t="s">
        <v>331</v>
      </c>
      <c r="H687" s="15">
        <v>45292</v>
      </c>
      <c r="I687">
        <v>8000</v>
      </c>
      <c r="J687">
        <v>0</v>
      </c>
    </row>
    <row r="688" spans="1:10" x14ac:dyDescent="0.3">
      <c r="A688" s="15">
        <v>45352</v>
      </c>
      <c r="B688" t="s">
        <v>309</v>
      </c>
      <c r="C688" t="s">
        <v>91</v>
      </c>
      <c r="D688" t="s">
        <v>82</v>
      </c>
      <c r="E688" t="s">
        <v>87</v>
      </c>
      <c r="F688">
        <v>9700</v>
      </c>
      <c r="G688" t="s">
        <v>331</v>
      </c>
      <c r="H688" s="15">
        <v>45292</v>
      </c>
      <c r="I688">
        <v>9700</v>
      </c>
      <c r="J688">
        <v>0</v>
      </c>
    </row>
    <row r="689" spans="1:10" x14ac:dyDescent="0.3">
      <c r="A689" s="15">
        <v>45352</v>
      </c>
      <c r="B689" t="s">
        <v>310</v>
      </c>
      <c r="C689" t="s">
        <v>91</v>
      </c>
      <c r="D689" t="s">
        <v>99</v>
      </c>
      <c r="E689" t="s">
        <v>87</v>
      </c>
      <c r="F689">
        <v>10000</v>
      </c>
      <c r="G689" t="s">
        <v>331</v>
      </c>
      <c r="H689" s="15">
        <v>45292</v>
      </c>
      <c r="I689">
        <v>10000</v>
      </c>
      <c r="J689">
        <v>0</v>
      </c>
    </row>
    <row r="690" spans="1:10" x14ac:dyDescent="0.3">
      <c r="A690" s="15">
        <v>45352</v>
      </c>
      <c r="B690" t="s">
        <v>311</v>
      </c>
      <c r="C690" t="s">
        <v>91</v>
      </c>
      <c r="D690" t="s">
        <v>82</v>
      </c>
      <c r="E690" t="s">
        <v>92</v>
      </c>
      <c r="F690">
        <v>5600</v>
      </c>
      <c r="G690" t="s">
        <v>334</v>
      </c>
      <c r="H690" s="15">
        <v>45292</v>
      </c>
      <c r="I690">
        <v>6000</v>
      </c>
      <c r="J690">
        <v>-400</v>
      </c>
    </row>
    <row r="691" spans="1:10" x14ac:dyDescent="0.3">
      <c r="A691" s="15">
        <v>45352</v>
      </c>
      <c r="B691" t="s">
        <v>312</v>
      </c>
      <c r="C691" t="s">
        <v>91</v>
      </c>
      <c r="D691" t="s">
        <v>86</v>
      </c>
      <c r="E691" t="s">
        <v>103</v>
      </c>
      <c r="F691">
        <v>9400</v>
      </c>
      <c r="G691" t="s">
        <v>331</v>
      </c>
      <c r="H691" s="15">
        <v>45292</v>
      </c>
      <c r="I691">
        <v>9400</v>
      </c>
      <c r="J691">
        <v>0</v>
      </c>
    </row>
    <row r="692" spans="1:10" x14ac:dyDescent="0.3">
      <c r="A692" s="15">
        <v>45352</v>
      </c>
      <c r="B692" t="s">
        <v>313</v>
      </c>
      <c r="C692" t="s">
        <v>91</v>
      </c>
      <c r="D692" t="s">
        <v>82</v>
      </c>
      <c r="E692" t="s">
        <v>101</v>
      </c>
      <c r="F692">
        <v>12700</v>
      </c>
      <c r="G692" t="s">
        <v>331</v>
      </c>
      <c r="H692" s="15">
        <v>45292</v>
      </c>
      <c r="I692">
        <v>12700</v>
      </c>
      <c r="J692">
        <v>0</v>
      </c>
    </row>
    <row r="693" spans="1:10" x14ac:dyDescent="0.3">
      <c r="A693" s="15">
        <v>45352</v>
      </c>
      <c r="B693" t="s">
        <v>314</v>
      </c>
      <c r="C693" t="s">
        <v>91</v>
      </c>
      <c r="D693" t="s">
        <v>82</v>
      </c>
      <c r="E693" t="s">
        <v>103</v>
      </c>
      <c r="F693">
        <v>10100</v>
      </c>
      <c r="G693" t="s">
        <v>331</v>
      </c>
      <c r="H693" s="15">
        <v>45292</v>
      </c>
      <c r="I693">
        <v>10100</v>
      </c>
      <c r="J693">
        <v>0</v>
      </c>
    </row>
    <row r="694" spans="1:10" x14ac:dyDescent="0.3">
      <c r="A694" s="15">
        <v>45352</v>
      </c>
      <c r="B694" t="s">
        <v>315</v>
      </c>
      <c r="C694" t="s">
        <v>125</v>
      </c>
      <c r="D694" t="s">
        <v>86</v>
      </c>
      <c r="E694" t="s">
        <v>92</v>
      </c>
      <c r="F694">
        <v>76200</v>
      </c>
      <c r="G694" t="s">
        <v>331</v>
      </c>
      <c r="H694" s="15">
        <v>45292</v>
      </c>
      <c r="I694">
        <v>76200</v>
      </c>
      <c r="J694">
        <v>0</v>
      </c>
    </row>
    <row r="695" spans="1:10" x14ac:dyDescent="0.3">
      <c r="A695" s="15">
        <v>45352</v>
      </c>
      <c r="B695" t="s">
        <v>316</v>
      </c>
      <c r="C695" t="s">
        <v>81</v>
      </c>
      <c r="D695" t="s">
        <v>96</v>
      </c>
      <c r="E695" t="s">
        <v>92</v>
      </c>
      <c r="F695">
        <v>2100</v>
      </c>
      <c r="G695" t="s">
        <v>331</v>
      </c>
      <c r="H695" s="15">
        <v>45292</v>
      </c>
      <c r="I695">
        <v>2100</v>
      </c>
      <c r="J695">
        <v>0</v>
      </c>
    </row>
    <row r="696" spans="1:10" x14ac:dyDescent="0.3">
      <c r="A696" s="15">
        <v>45352</v>
      </c>
      <c r="B696" t="s">
        <v>317</v>
      </c>
      <c r="C696" t="s">
        <v>125</v>
      </c>
      <c r="D696" t="s">
        <v>82</v>
      </c>
      <c r="E696" t="s">
        <v>92</v>
      </c>
      <c r="F696">
        <v>73500</v>
      </c>
      <c r="G696" t="s">
        <v>331</v>
      </c>
      <c r="H696" s="15">
        <v>45292</v>
      </c>
      <c r="I696">
        <v>73500</v>
      </c>
      <c r="J696">
        <v>0</v>
      </c>
    </row>
    <row r="697" spans="1:10" x14ac:dyDescent="0.3">
      <c r="A697" s="15">
        <v>45352</v>
      </c>
      <c r="B697" t="s">
        <v>318</v>
      </c>
      <c r="C697" t="s">
        <v>110</v>
      </c>
      <c r="D697" t="s">
        <v>82</v>
      </c>
      <c r="E697" t="s">
        <v>97</v>
      </c>
      <c r="F697">
        <v>28100</v>
      </c>
      <c r="G697" t="s">
        <v>331</v>
      </c>
      <c r="H697" s="15">
        <v>45292</v>
      </c>
      <c r="I697">
        <v>28100</v>
      </c>
      <c r="J697">
        <v>0</v>
      </c>
    </row>
    <row r="698" spans="1:10" x14ac:dyDescent="0.3">
      <c r="A698" s="15">
        <v>45352</v>
      </c>
      <c r="B698" t="s">
        <v>319</v>
      </c>
      <c r="C698" t="s">
        <v>110</v>
      </c>
      <c r="D698" t="s">
        <v>86</v>
      </c>
      <c r="E698" t="s">
        <v>83</v>
      </c>
      <c r="F698">
        <v>0</v>
      </c>
      <c r="G698" t="s">
        <v>333</v>
      </c>
      <c r="H698" s="15">
        <v>45292</v>
      </c>
      <c r="I698">
        <v>49600</v>
      </c>
      <c r="J698">
        <v>-49600</v>
      </c>
    </row>
    <row r="699" spans="1:10" x14ac:dyDescent="0.3">
      <c r="A699" s="15">
        <v>45352</v>
      </c>
      <c r="B699" t="s">
        <v>320</v>
      </c>
      <c r="C699" t="s">
        <v>91</v>
      </c>
      <c r="D699" t="s">
        <v>86</v>
      </c>
      <c r="E699" t="s">
        <v>97</v>
      </c>
      <c r="F699">
        <v>7700</v>
      </c>
      <c r="G699" t="s">
        <v>331</v>
      </c>
      <c r="H699" s="15">
        <v>45292</v>
      </c>
      <c r="I699">
        <v>7700</v>
      </c>
      <c r="J699">
        <v>0</v>
      </c>
    </row>
    <row r="700" spans="1:10" x14ac:dyDescent="0.3">
      <c r="A700" s="15">
        <v>45352</v>
      </c>
      <c r="B700" t="s">
        <v>321</v>
      </c>
      <c r="C700" t="s">
        <v>81</v>
      </c>
      <c r="D700" t="s">
        <v>99</v>
      </c>
      <c r="E700" t="s">
        <v>101</v>
      </c>
      <c r="F700">
        <v>3500</v>
      </c>
      <c r="G700" t="s">
        <v>331</v>
      </c>
      <c r="H700" s="15">
        <v>45292</v>
      </c>
      <c r="I700">
        <v>3500</v>
      </c>
      <c r="J700">
        <v>0</v>
      </c>
    </row>
    <row r="701" spans="1:10" x14ac:dyDescent="0.3">
      <c r="A701" s="15">
        <v>45352</v>
      </c>
      <c r="B701" t="s">
        <v>322</v>
      </c>
      <c r="C701" t="s">
        <v>81</v>
      </c>
      <c r="D701" t="s">
        <v>82</v>
      </c>
      <c r="E701" t="s">
        <v>103</v>
      </c>
      <c r="F701">
        <v>2000</v>
      </c>
      <c r="G701" t="s">
        <v>331</v>
      </c>
      <c r="H701" s="15">
        <v>45292</v>
      </c>
      <c r="I701">
        <v>2000</v>
      </c>
      <c r="J701">
        <v>0</v>
      </c>
    </row>
    <row r="702" spans="1:10" x14ac:dyDescent="0.3">
      <c r="A702" s="15">
        <v>45352</v>
      </c>
      <c r="B702" t="s">
        <v>323</v>
      </c>
      <c r="C702" t="s">
        <v>110</v>
      </c>
      <c r="D702" t="s">
        <v>82</v>
      </c>
      <c r="E702" t="s">
        <v>89</v>
      </c>
      <c r="F702">
        <v>23400</v>
      </c>
      <c r="G702" t="s">
        <v>331</v>
      </c>
      <c r="H702" s="15">
        <v>45292</v>
      </c>
      <c r="I702">
        <v>23400</v>
      </c>
      <c r="J702">
        <v>0</v>
      </c>
    </row>
    <row r="703" spans="1:10" x14ac:dyDescent="0.3">
      <c r="A703" s="15">
        <v>45352</v>
      </c>
      <c r="B703" t="s">
        <v>324</v>
      </c>
      <c r="C703" t="s">
        <v>81</v>
      </c>
      <c r="D703" t="s">
        <v>86</v>
      </c>
      <c r="E703" t="s">
        <v>87</v>
      </c>
      <c r="F703">
        <v>2700</v>
      </c>
      <c r="G703" t="s">
        <v>331</v>
      </c>
      <c r="H703" s="15">
        <v>45292</v>
      </c>
      <c r="I703">
        <v>2700</v>
      </c>
      <c r="J703">
        <v>0</v>
      </c>
    </row>
    <row r="704" spans="1:10" x14ac:dyDescent="0.3">
      <c r="A704" s="15">
        <v>45352</v>
      </c>
      <c r="B704" t="s">
        <v>325</v>
      </c>
      <c r="C704" t="s">
        <v>91</v>
      </c>
      <c r="D704" t="s">
        <v>86</v>
      </c>
      <c r="E704" t="s">
        <v>87</v>
      </c>
      <c r="F704">
        <v>8800</v>
      </c>
      <c r="G704" t="s">
        <v>331</v>
      </c>
      <c r="H704" s="15">
        <v>45292</v>
      </c>
      <c r="I704">
        <v>8800</v>
      </c>
      <c r="J704">
        <v>0</v>
      </c>
    </row>
    <row r="705" spans="1:10" x14ac:dyDescent="0.3">
      <c r="A705" s="15">
        <v>45352</v>
      </c>
      <c r="B705" t="s">
        <v>326</v>
      </c>
      <c r="C705" t="s">
        <v>91</v>
      </c>
      <c r="D705" t="s">
        <v>86</v>
      </c>
      <c r="E705" t="s">
        <v>92</v>
      </c>
      <c r="F705">
        <v>7900</v>
      </c>
      <c r="G705" t="s">
        <v>331</v>
      </c>
      <c r="H705" s="15">
        <v>45292</v>
      </c>
      <c r="I705">
        <v>7900</v>
      </c>
      <c r="J705">
        <v>0</v>
      </c>
    </row>
    <row r="706" spans="1:10" x14ac:dyDescent="0.3">
      <c r="A706" s="15">
        <v>45352</v>
      </c>
      <c r="B706" t="s">
        <v>327</v>
      </c>
      <c r="C706" t="s">
        <v>125</v>
      </c>
      <c r="D706" t="s">
        <v>99</v>
      </c>
      <c r="E706" t="s">
        <v>97</v>
      </c>
      <c r="F706">
        <v>77500</v>
      </c>
      <c r="G706" t="s">
        <v>331</v>
      </c>
      <c r="H706" s="15">
        <v>45292</v>
      </c>
      <c r="I706">
        <v>77500</v>
      </c>
      <c r="J706">
        <v>0</v>
      </c>
    </row>
    <row r="707" spans="1:10" x14ac:dyDescent="0.3">
      <c r="A707" s="15">
        <v>45352</v>
      </c>
      <c r="B707" t="s">
        <v>328</v>
      </c>
      <c r="C707" t="s">
        <v>91</v>
      </c>
      <c r="D707" t="s">
        <v>86</v>
      </c>
      <c r="E707" t="s">
        <v>92</v>
      </c>
      <c r="F707">
        <v>9400</v>
      </c>
      <c r="G707" t="s">
        <v>331</v>
      </c>
      <c r="H707" s="15">
        <v>45292</v>
      </c>
      <c r="I707">
        <v>9400</v>
      </c>
      <c r="J707">
        <v>0</v>
      </c>
    </row>
    <row r="708" spans="1:10" x14ac:dyDescent="0.3">
      <c r="A708" s="15">
        <v>45352</v>
      </c>
      <c r="B708" t="s">
        <v>329</v>
      </c>
      <c r="C708" t="s">
        <v>81</v>
      </c>
      <c r="D708" t="s">
        <v>86</v>
      </c>
      <c r="E708" t="s">
        <v>101</v>
      </c>
      <c r="F708">
        <v>2200</v>
      </c>
      <c r="G708" t="s">
        <v>331</v>
      </c>
      <c r="H708" s="15">
        <v>45292</v>
      </c>
      <c r="I708">
        <v>2200</v>
      </c>
      <c r="J708">
        <v>0</v>
      </c>
    </row>
    <row r="709" spans="1:10" x14ac:dyDescent="0.3">
      <c r="A709" s="15">
        <v>45352</v>
      </c>
      <c r="B709" t="s">
        <v>330</v>
      </c>
      <c r="C709" t="s">
        <v>125</v>
      </c>
      <c r="D709" t="s">
        <v>86</v>
      </c>
      <c r="E709" t="s">
        <v>87</v>
      </c>
      <c r="F709">
        <v>105400</v>
      </c>
      <c r="G709" t="s">
        <v>331</v>
      </c>
      <c r="H709" s="15">
        <v>45292</v>
      </c>
      <c r="I709">
        <v>105400</v>
      </c>
      <c r="J709">
        <v>0</v>
      </c>
    </row>
    <row r="710" spans="1:10" x14ac:dyDescent="0.3">
      <c r="A710" s="15">
        <v>45352</v>
      </c>
      <c r="B710" t="s">
        <v>335</v>
      </c>
      <c r="C710" t="s">
        <v>91</v>
      </c>
      <c r="D710" t="s">
        <v>86</v>
      </c>
      <c r="E710" t="s">
        <v>89</v>
      </c>
      <c r="F710">
        <v>7300</v>
      </c>
      <c r="G710" t="s">
        <v>331</v>
      </c>
      <c r="H710" s="15">
        <v>45323</v>
      </c>
      <c r="I710">
        <v>7300</v>
      </c>
      <c r="J710">
        <v>0</v>
      </c>
    </row>
    <row r="711" spans="1:10" x14ac:dyDescent="0.3">
      <c r="A711" s="15">
        <v>45352</v>
      </c>
      <c r="B711" t="s">
        <v>336</v>
      </c>
      <c r="C711" t="s">
        <v>81</v>
      </c>
      <c r="D711" t="s">
        <v>82</v>
      </c>
      <c r="E711" t="s">
        <v>103</v>
      </c>
      <c r="F711">
        <v>1500</v>
      </c>
      <c r="G711" t="s">
        <v>331</v>
      </c>
      <c r="H711" s="15">
        <v>45323</v>
      </c>
      <c r="I711">
        <v>1500</v>
      </c>
      <c r="J711">
        <v>0</v>
      </c>
    </row>
    <row r="712" spans="1:10" x14ac:dyDescent="0.3">
      <c r="A712" s="15">
        <v>45352</v>
      </c>
      <c r="B712" t="s">
        <v>337</v>
      </c>
      <c r="C712" t="s">
        <v>91</v>
      </c>
      <c r="D712" t="s">
        <v>82</v>
      </c>
      <c r="E712" t="s">
        <v>92</v>
      </c>
      <c r="F712">
        <v>6200</v>
      </c>
      <c r="G712" t="s">
        <v>331</v>
      </c>
      <c r="H712" s="15">
        <v>45323</v>
      </c>
      <c r="I712">
        <v>6200</v>
      </c>
      <c r="J712">
        <v>0</v>
      </c>
    </row>
    <row r="713" spans="1:10" x14ac:dyDescent="0.3">
      <c r="A713" s="15">
        <v>45352</v>
      </c>
      <c r="B713" t="s">
        <v>338</v>
      </c>
      <c r="C713" t="s">
        <v>91</v>
      </c>
      <c r="D713" t="s">
        <v>82</v>
      </c>
      <c r="E713" t="s">
        <v>103</v>
      </c>
      <c r="F713">
        <v>5700</v>
      </c>
      <c r="G713" t="s">
        <v>331</v>
      </c>
      <c r="H713" s="15">
        <v>45323</v>
      </c>
      <c r="I713">
        <v>5700</v>
      </c>
      <c r="J713">
        <v>0</v>
      </c>
    </row>
    <row r="714" spans="1:10" x14ac:dyDescent="0.3">
      <c r="A714" s="15">
        <v>45352</v>
      </c>
      <c r="B714" t="s">
        <v>339</v>
      </c>
      <c r="C714" t="s">
        <v>81</v>
      </c>
      <c r="D714" t="s">
        <v>82</v>
      </c>
      <c r="E714" t="s">
        <v>103</v>
      </c>
      <c r="F714">
        <v>1800</v>
      </c>
      <c r="G714" t="s">
        <v>331</v>
      </c>
      <c r="H714" s="15">
        <v>45323</v>
      </c>
      <c r="I714">
        <v>1800</v>
      </c>
      <c r="J714">
        <v>0</v>
      </c>
    </row>
    <row r="715" spans="1:10" x14ac:dyDescent="0.3">
      <c r="A715" s="15">
        <v>45352</v>
      </c>
      <c r="B715" t="s">
        <v>340</v>
      </c>
      <c r="C715" t="s">
        <v>81</v>
      </c>
      <c r="D715" t="s">
        <v>82</v>
      </c>
      <c r="E715" t="s">
        <v>87</v>
      </c>
      <c r="F715">
        <v>1800</v>
      </c>
      <c r="G715" t="s">
        <v>331</v>
      </c>
      <c r="H715" s="15">
        <v>45323</v>
      </c>
      <c r="I715">
        <v>1800</v>
      </c>
      <c r="J715">
        <v>0</v>
      </c>
    </row>
    <row r="716" spans="1:10" x14ac:dyDescent="0.3">
      <c r="A716" s="15">
        <v>45352</v>
      </c>
      <c r="B716" t="s">
        <v>341</v>
      </c>
      <c r="C716" t="s">
        <v>110</v>
      </c>
      <c r="D716" t="s">
        <v>82</v>
      </c>
      <c r="E716" t="s">
        <v>92</v>
      </c>
      <c r="F716">
        <v>18800</v>
      </c>
      <c r="G716" t="s">
        <v>331</v>
      </c>
      <c r="H716" s="15">
        <v>45323</v>
      </c>
      <c r="I716">
        <v>18800</v>
      </c>
      <c r="J716">
        <v>0</v>
      </c>
    </row>
    <row r="717" spans="1:10" x14ac:dyDescent="0.3">
      <c r="A717" s="15">
        <v>45352</v>
      </c>
      <c r="B717" t="s">
        <v>342</v>
      </c>
      <c r="C717" t="s">
        <v>91</v>
      </c>
      <c r="D717" t="s">
        <v>82</v>
      </c>
      <c r="E717" t="s">
        <v>83</v>
      </c>
      <c r="F717">
        <v>7100</v>
      </c>
      <c r="G717" t="s">
        <v>84</v>
      </c>
      <c r="H717" s="15">
        <v>45352</v>
      </c>
      <c r="I717">
        <v>0</v>
      </c>
      <c r="J717">
        <v>7100</v>
      </c>
    </row>
    <row r="718" spans="1:10" x14ac:dyDescent="0.3">
      <c r="A718" s="15">
        <v>45352</v>
      </c>
      <c r="B718" t="s">
        <v>343</v>
      </c>
      <c r="C718" t="s">
        <v>81</v>
      </c>
      <c r="D718" t="s">
        <v>82</v>
      </c>
      <c r="E718" t="s">
        <v>89</v>
      </c>
      <c r="F718">
        <v>2500</v>
      </c>
      <c r="G718" t="s">
        <v>84</v>
      </c>
      <c r="H718" s="15">
        <v>45352</v>
      </c>
      <c r="I718">
        <v>0</v>
      </c>
      <c r="J718">
        <v>2500</v>
      </c>
    </row>
    <row r="719" spans="1:10" x14ac:dyDescent="0.3">
      <c r="A719" s="15">
        <v>45352</v>
      </c>
      <c r="B719" t="s">
        <v>344</v>
      </c>
      <c r="C719" t="s">
        <v>110</v>
      </c>
      <c r="D719" t="s">
        <v>86</v>
      </c>
      <c r="E719" t="s">
        <v>89</v>
      </c>
      <c r="F719">
        <v>21100</v>
      </c>
      <c r="G719" t="s">
        <v>84</v>
      </c>
      <c r="H719" s="15">
        <v>45352</v>
      </c>
      <c r="I719">
        <v>0</v>
      </c>
      <c r="J719">
        <v>21100</v>
      </c>
    </row>
    <row r="720" spans="1:10" x14ac:dyDescent="0.3">
      <c r="A720" s="15">
        <v>45352</v>
      </c>
      <c r="B720" t="s">
        <v>345</v>
      </c>
      <c r="C720" t="s">
        <v>91</v>
      </c>
      <c r="D720" t="s">
        <v>86</v>
      </c>
      <c r="E720" t="s">
        <v>83</v>
      </c>
      <c r="F720">
        <v>6000</v>
      </c>
      <c r="G720" t="s">
        <v>84</v>
      </c>
      <c r="H720" s="15">
        <v>45352</v>
      </c>
      <c r="I720">
        <v>0</v>
      </c>
      <c r="J720">
        <v>6000</v>
      </c>
    </row>
    <row r="721" spans="1:10" x14ac:dyDescent="0.3">
      <c r="A721" s="15">
        <v>45352</v>
      </c>
      <c r="B721" t="s">
        <v>346</v>
      </c>
      <c r="C721" t="s">
        <v>81</v>
      </c>
      <c r="D721" t="s">
        <v>86</v>
      </c>
      <c r="E721" t="s">
        <v>97</v>
      </c>
      <c r="F721">
        <v>1600</v>
      </c>
      <c r="G721" t="s">
        <v>84</v>
      </c>
      <c r="H721" s="15">
        <v>45352</v>
      </c>
      <c r="I721">
        <v>0</v>
      </c>
      <c r="J721">
        <v>1600</v>
      </c>
    </row>
    <row r="722" spans="1:10" x14ac:dyDescent="0.3">
      <c r="A722" s="15">
        <v>45383</v>
      </c>
      <c r="B722" t="s">
        <v>80</v>
      </c>
      <c r="C722" t="s">
        <v>81</v>
      </c>
      <c r="D722" t="s">
        <v>82</v>
      </c>
      <c r="E722" t="s">
        <v>83</v>
      </c>
      <c r="F722">
        <v>1900</v>
      </c>
      <c r="G722" t="s">
        <v>331</v>
      </c>
      <c r="H722" s="15">
        <v>45292</v>
      </c>
      <c r="I722">
        <v>1900</v>
      </c>
      <c r="J722">
        <v>0</v>
      </c>
    </row>
    <row r="723" spans="1:10" x14ac:dyDescent="0.3">
      <c r="A723" s="15">
        <v>45383</v>
      </c>
      <c r="B723" t="s">
        <v>85</v>
      </c>
      <c r="C723" t="s">
        <v>81</v>
      </c>
      <c r="D723" t="s">
        <v>86</v>
      </c>
      <c r="E723" t="s">
        <v>87</v>
      </c>
      <c r="F723">
        <v>3200</v>
      </c>
      <c r="G723" t="s">
        <v>331</v>
      </c>
      <c r="H723" s="15">
        <v>45292</v>
      </c>
      <c r="I723">
        <v>3200</v>
      </c>
      <c r="J723">
        <v>0</v>
      </c>
    </row>
    <row r="724" spans="1:10" x14ac:dyDescent="0.3">
      <c r="A724" s="15">
        <v>45383</v>
      </c>
      <c r="B724" t="s">
        <v>88</v>
      </c>
      <c r="C724" t="s">
        <v>81</v>
      </c>
      <c r="D724" t="s">
        <v>86</v>
      </c>
      <c r="E724" t="s">
        <v>89</v>
      </c>
      <c r="F724">
        <v>2400</v>
      </c>
      <c r="G724" t="s">
        <v>331</v>
      </c>
      <c r="H724" s="15">
        <v>45292</v>
      </c>
      <c r="I724">
        <v>2400</v>
      </c>
      <c r="J724">
        <v>0</v>
      </c>
    </row>
    <row r="725" spans="1:10" x14ac:dyDescent="0.3">
      <c r="A725" s="15">
        <v>45383</v>
      </c>
      <c r="B725" t="s">
        <v>90</v>
      </c>
      <c r="C725" t="s">
        <v>91</v>
      </c>
      <c r="D725" t="s">
        <v>82</v>
      </c>
      <c r="E725" t="s">
        <v>92</v>
      </c>
      <c r="F725">
        <v>8300</v>
      </c>
      <c r="G725" t="s">
        <v>331</v>
      </c>
      <c r="H725" s="15">
        <v>45292</v>
      </c>
      <c r="I725">
        <v>8300</v>
      </c>
      <c r="J725">
        <v>0</v>
      </c>
    </row>
    <row r="726" spans="1:10" x14ac:dyDescent="0.3">
      <c r="A726" s="15">
        <v>45383</v>
      </c>
      <c r="B726" t="s">
        <v>93</v>
      </c>
      <c r="C726" t="s">
        <v>81</v>
      </c>
      <c r="D726" t="s">
        <v>86</v>
      </c>
      <c r="E726" t="s">
        <v>83</v>
      </c>
      <c r="F726">
        <v>2200</v>
      </c>
      <c r="G726" t="s">
        <v>331</v>
      </c>
      <c r="H726" s="15">
        <v>45292</v>
      </c>
      <c r="I726">
        <v>2200</v>
      </c>
      <c r="J726">
        <v>0</v>
      </c>
    </row>
    <row r="727" spans="1:10" x14ac:dyDescent="0.3">
      <c r="A727" s="15">
        <v>45383</v>
      </c>
      <c r="B727" t="s">
        <v>94</v>
      </c>
      <c r="C727" t="s">
        <v>91</v>
      </c>
      <c r="D727" t="s">
        <v>86</v>
      </c>
      <c r="E727" t="s">
        <v>83</v>
      </c>
      <c r="F727">
        <v>6900</v>
      </c>
      <c r="G727" t="s">
        <v>334</v>
      </c>
      <c r="H727" s="15">
        <v>45292</v>
      </c>
      <c r="I727">
        <v>8100</v>
      </c>
      <c r="J727">
        <v>-1200</v>
      </c>
    </row>
    <row r="728" spans="1:10" x14ac:dyDescent="0.3">
      <c r="A728" s="15">
        <v>45383</v>
      </c>
      <c r="B728" t="s">
        <v>95</v>
      </c>
      <c r="C728" t="s">
        <v>81</v>
      </c>
      <c r="D728" t="s">
        <v>96</v>
      </c>
      <c r="E728" t="s">
        <v>97</v>
      </c>
      <c r="F728">
        <v>3100</v>
      </c>
      <c r="G728" t="s">
        <v>331</v>
      </c>
      <c r="H728" s="15">
        <v>45292</v>
      </c>
      <c r="I728">
        <v>3100</v>
      </c>
      <c r="J728">
        <v>0</v>
      </c>
    </row>
    <row r="729" spans="1:10" x14ac:dyDescent="0.3">
      <c r="A729" s="15">
        <v>45383</v>
      </c>
      <c r="B729" t="s">
        <v>98</v>
      </c>
      <c r="C729" t="s">
        <v>81</v>
      </c>
      <c r="D729" t="s">
        <v>99</v>
      </c>
      <c r="E729" t="s">
        <v>92</v>
      </c>
      <c r="F729">
        <v>2500</v>
      </c>
      <c r="G729" t="s">
        <v>331</v>
      </c>
      <c r="H729" s="15">
        <v>45292</v>
      </c>
      <c r="I729">
        <v>2500</v>
      </c>
      <c r="J729">
        <v>0</v>
      </c>
    </row>
    <row r="730" spans="1:10" x14ac:dyDescent="0.3">
      <c r="A730" s="15">
        <v>45383</v>
      </c>
      <c r="B730" t="s">
        <v>100</v>
      </c>
      <c r="C730" t="s">
        <v>81</v>
      </c>
      <c r="D730" t="s">
        <v>86</v>
      </c>
      <c r="E730" t="s">
        <v>101</v>
      </c>
      <c r="F730">
        <v>1800</v>
      </c>
      <c r="G730" t="s">
        <v>331</v>
      </c>
      <c r="H730" s="15">
        <v>45292</v>
      </c>
      <c r="I730">
        <v>1800</v>
      </c>
      <c r="J730">
        <v>0</v>
      </c>
    </row>
    <row r="731" spans="1:10" x14ac:dyDescent="0.3">
      <c r="A731" s="15">
        <v>45383</v>
      </c>
      <c r="B731" t="s">
        <v>102</v>
      </c>
      <c r="C731" t="s">
        <v>81</v>
      </c>
      <c r="D731" t="s">
        <v>99</v>
      </c>
      <c r="E731" t="s">
        <v>103</v>
      </c>
      <c r="F731">
        <v>4000</v>
      </c>
      <c r="G731" t="s">
        <v>332</v>
      </c>
      <c r="H731" s="15">
        <v>45292</v>
      </c>
      <c r="I731">
        <v>3600</v>
      </c>
      <c r="J731">
        <v>400</v>
      </c>
    </row>
    <row r="732" spans="1:10" x14ac:dyDescent="0.3">
      <c r="A732" s="15">
        <v>45383</v>
      </c>
      <c r="B732" t="s">
        <v>104</v>
      </c>
      <c r="C732" t="s">
        <v>91</v>
      </c>
      <c r="D732" t="s">
        <v>99</v>
      </c>
      <c r="E732" t="s">
        <v>87</v>
      </c>
      <c r="F732">
        <v>7000</v>
      </c>
      <c r="G732" t="s">
        <v>331</v>
      </c>
      <c r="H732" s="15">
        <v>45292</v>
      </c>
      <c r="I732">
        <v>7000</v>
      </c>
      <c r="J732">
        <v>0</v>
      </c>
    </row>
    <row r="733" spans="1:10" x14ac:dyDescent="0.3">
      <c r="A733" s="15">
        <v>45383</v>
      </c>
      <c r="B733" t="s">
        <v>105</v>
      </c>
      <c r="C733" t="s">
        <v>91</v>
      </c>
      <c r="D733" t="s">
        <v>86</v>
      </c>
      <c r="E733" t="s">
        <v>89</v>
      </c>
      <c r="F733">
        <v>11400</v>
      </c>
      <c r="G733" t="s">
        <v>331</v>
      </c>
      <c r="H733" s="15">
        <v>45292</v>
      </c>
      <c r="I733">
        <v>11400</v>
      </c>
      <c r="J733">
        <v>0</v>
      </c>
    </row>
    <row r="734" spans="1:10" x14ac:dyDescent="0.3">
      <c r="A734" s="15">
        <v>45383</v>
      </c>
      <c r="B734" t="s">
        <v>106</v>
      </c>
      <c r="C734" t="s">
        <v>81</v>
      </c>
      <c r="D734" t="s">
        <v>99</v>
      </c>
      <c r="E734" t="s">
        <v>92</v>
      </c>
      <c r="F734">
        <v>2700</v>
      </c>
      <c r="G734" t="s">
        <v>331</v>
      </c>
      <c r="H734" s="15">
        <v>45292</v>
      </c>
      <c r="I734">
        <v>2700</v>
      </c>
      <c r="J734">
        <v>0</v>
      </c>
    </row>
    <row r="735" spans="1:10" x14ac:dyDescent="0.3">
      <c r="A735" s="15">
        <v>45383</v>
      </c>
      <c r="B735" t="s">
        <v>107</v>
      </c>
      <c r="C735" t="s">
        <v>91</v>
      </c>
      <c r="D735" t="s">
        <v>82</v>
      </c>
      <c r="E735" t="s">
        <v>89</v>
      </c>
      <c r="F735">
        <v>8000</v>
      </c>
      <c r="G735" t="s">
        <v>331</v>
      </c>
      <c r="H735" s="15">
        <v>45292</v>
      </c>
      <c r="I735">
        <v>8000</v>
      </c>
      <c r="J735">
        <v>0</v>
      </c>
    </row>
    <row r="736" spans="1:10" x14ac:dyDescent="0.3">
      <c r="A736" s="15">
        <v>45383</v>
      </c>
      <c r="B736" t="s">
        <v>108</v>
      </c>
      <c r="C736" t="s">
        <v>91</v>
      </c>
      <c r="D736" t="s">
        <v>86</v>
      </c>
      <c r="E736" t="s">
        <v>87</v>
      </c>
      <c r="F736">
        <v>8500</v>
      </c>
      <c r="G736" t="s">
        <v>334</v>
      </c>
      <c r="H736" s="15">
        <v>45292</v>
      </c>
      <c r="I736">
        <v>9700</v>
      </c>
      <c r="J736">
        <v>-1200</v>
      </c>
    </row>
    <row r="737" spans="1:10" x14ac:dyDescent="0.3">
      <c r="A737" s="15">
        <v>45383</v>
      </c>
      <c r="B737" t="s">
        <v>109</v>
      </c>
      <c r="C737" t="s">
        <v>110</v>
      </c>
      <c r="D737" t="s">
        <v>82</v>
      </c>
      <c r="E737" t="s">
        <v>103</v>
      </c>
      <c r="F737">
        <v>37800</v>
      </c>
      <c r="G737" t="s">
        <v>331</v>
      </c>
      <c r="H737" s="15">
        <v>45292</v>
      </c>
      <c r="I737">
        <v>37800</v>
      </c>
      <c r="J737">
        <v>0</v>
      </c>
    </row>
    <row r="738" spans="1:10" x14ac:dyDescent="0.3">
      <c r="A738" s="15">
        <v>45383</v>
      </c>
      <c r="B738" t="s">
        <v>111</v>
      </c>
      <c r="C738" t="s">
        <v>91</v>
      </c>
      <c r="D738" t="s">
        <v>82</v>
      </c>
      <c r="E738" t="s">
        <v>83</v>
      </c>
      <c r="F738">
        <v>8800</v>
      </c>
      <c r="G738" t="s">
        <v>331</v>
      </c>
      <c r="H738" s="15">
        <v>45292</v>
      </c>
      <c r="I738">
        <v>8800</v>
      </c>
      <c r="J738">
        <v>0</v>
      </c>
    </row>
    <row r="739" spans="1:10" x14ac:dyDescent="0.3">
      <c r="A739" s="15">
        <v>45383</v>
      </c>
      <c r="B739" t="s">
        <v>112</v>
      </c>
      <c r="C739" t="s">
        <v>91</v>
      </c>
      <c r="D739" t="s">
        <v>82</v>
      </c>
      <c r="E739" t="s">
        <v>92</v>
      </c>
      <c r="F739">
        <v>8600</v>
      </c>
      <c r="G739" t="s">
        <v>331</v>
      </c>
      <c r="H739" s="15">
        <v>45292</v>
      </c>
      <c r="I739">
        <v>8600</v>
      </c>
      <c r="J739">
        <v>0</v>
      </c>
    </row>
    <row r="740" spans="1:10" x14ac:dyDescent="0.3">
      <c r="A740" s="15">
        <v>45383</v>
      </c>
      <c r="B740" t="s">
        <v>113</v>
      </c>
      <c r="C740" t="s">
        <v>81</v>
      </c>
      <c r="D740" t="s">
        <v>96</v>
      </c>
      <c r="E740" t="s">
        <v>89</v>
      </c>
      <c r="F740">
        <v>2300</v>
      </c>
      <c r="G740" t="s">
        <v>331</v>
      </c>
      <c r="H740" s="15">
        <v>45292</v>
      </c>
      <c r="I740">
        <v>2300</v>
      </c>
      <c r="J740">
        <v>0</v>
      </c>
    </row>
    <row r="741" spans="1:10" x14ac:dyDescent="0.3">
      <c r="A741" s="15">
        <v>45383</v>
      </c>
      <c r="B741" t="s">
        <v>114</v>
      </c>
      <c r="C741" t="s">
        <v>110</v>
      </c>
      <c r="D741" t="s">
        <v>99</v>
      </c>
      <c r="E741" t="s">
        <v>97</v>
      </c>
      <c r="F741">
        <v>36200</v>
      </c>
      <c r="G741" t="s">
        <v>331</v>
      </c>
      <c r="H741" s="15">
        <v>45292</v>
      </c>
      <c r="I741">
        <v>36200</v>
      </c>
      <c r="J741">
        <v>0</v>
      </c>
    </row>
    <row r="742" spans="1:10" x14ac:dyDescent="0.3">
      <c r="A742" s="15">
        <v>45383</v>
      </c>
      <c r="B742" t="s">
        <v>115</v>
      </c>
      <c r="C742" t="s">
        <v>81</v>
      </c>
      <c r="D742" t="s">
        <v>82</v>
      </c>
      <c r="E742" t="s">
        <v>101</v>
      </c>
      <c r="F742">
        <v>2600</v>
      </c>
      <c r="G742" t="s">
        <v>331</v>
      </c>
      <c r="H742" s="15">
        <v>45292</v>
      </c>
      <c r="I742">
        <v>2600</v>
      </c>
      <c r="J742">
        <v>0</v>
      </c>
    </row>
    <row r="743" spans="1:10" x14ac:dyDescent="0.3">
      <c r="A743" s="15">
        <v>45383</v>
      </c>
      <c r="B743" t="s">
        <v>116</v>
      </c>
      <c r="C743" t="s">
        <v>81</v>
      </c>
      <c r="D743" t="s">
        <v>86</v>
      </c>
      <c r="E743" t="s">
        <v>87</v>
      </c>
      <c r="F743">
        <v>2900</v>
      </c>
      <c r="G743" t="s">
        <v>331</v>
      </c>
      <c r="H743" s="15">
        <v>45292</v>
      </c>
      <c r="I743">
        <v>2900</v>
      </c>
      <c r="J743">
        <v>0</v>
      </c>
    </row>
    <row r="744" spans="1:10" x14ac:dyDescent="0.3">
      <c r="A744" s="15">
        <v>45383</v>
      </c>
      <c r="B744" t="s">
        <v>117</v>
      </c>
      <c r="C744" t="s">
        <v>81</v>
      </c>
      <c r="D744" t="s">
        <v>86</v>
      </c>
      <c r="E744" t="s">
        <v>103</v>
      </c>
      <c r="F744">
        <v>2500</v>
      </c>
      <c r="G744" t="s">
        <v>331</v>
      </c>
      <c r="H744" s="15">
        <v>45292</v>
      </c>
      <c r="I744">
        <v>2500</v>
      </c>
      <c r="J744">
        <v>0</v>
      </c>
    </row>
    <row r="745" spans="1:10" x14ac:dyDescent="0.3">
      <c r="A745" s="15">
        <v>45383</v>
      </c>
      <c r="B745" t="s">
        <v>118</v>
      </c>
      <c r="C745" t="s">
        <v>81</v>
      </c>
      <c r="D745" t="s">
        <v>82</v>
      </c>
      <c r="E745" t="s">
        <v>103</v>
      </c>
      <c r="F745">
        <v>2500</v>
      </c>
      <c r="G745" t="s">
        <v>331</v>
      </c>
      <c r="H745" s="15">
        <v>45292</v>
      </c>
      <c r="I745">
        <v>2500</v>
      </c>
      <c r="J745">
        <v>0</v>
      </c>
    </row>
    <row r="746" spans="1:10" x14ac:dyDescent="0.3">
      <c r="A746" s="15">
        <v>45383</v>
      </c>
      <c r="B746" t="s">
        <v>119</v>
      </c>
      <c r="C746" t="s">
        <v>91</v>
      </c>
      <c r="D746" t="s">
        <v>96</v>
      </c>
      <c r="E746" t="s">
        <v>89</v>
      </c>
      <c r="F746">
        <v>12800</v>
      </c>
      <c r="G746" t="s">
        <v>331</v>
      </c>
      <c r="H746" s="15">
        <v>45292</v>
      </c>
      <c r="I746">
        <v>12800</v>
      </c>
      <c r="J746">
        <v>0</v>
      </c>
    </row>
    <row r="747" spans="1:10" x14ac:dyDescent="0.3">
      <c r="A747" s="15">
        <v>45383</v>
      </c>
      <c r="B747" t="s">
        <v>120</v>
      </c>
      <c r="C747" t="s">
        <v>81</v>
      </c>
      <c r="D747" t="s">
        <v>86</v>
      </c>
      <c r="E747" t="s">
        <v>101</v>
      </c>
      <c r="F747">
        <v>2200</v>
      </c>
      <c r="G747" t="s">
        <v>331</v>
      </c>
      <c r="H747" s="15">
        <v>45292</v>
      </c>
      <c r="I747">
        <v>2200</v>
      </c>
      <c r="J747">
        <v>0</v>
      </c>
    </row>
    <row r="748" spans="1:10" x14ac:dyDescent="0.3">
      <c r="A748" s="15">
        <v>45383</v>
      </c>
      <c r="B748" t="s">
        <v>122</v>
      </c>
      <c r="C748" t="s">
        <v>81</v>
      </c>
      <c r="D748" t="s">
        <v>96</v>
      </c>
      <c r="E748" t="s">
        <v>87</v>
      </c>
      <c r="F748">
        <v>0</v>
      </c>
      <c r="G748" t="s">
        <v>333</v>
      </c>
      <c r="H748" s="15">
        <v>45292</v>
      </c>
      <c r="I748">
        <v>2200</v>
      </c>
      <c r="J748">
        <v>-2200</v>
      </c>
    </row>
    <row r="749" spans="1:10" x14ac:dyDescent="0.3">
      <c r="A749" s="15">
        <v>45383</v>
      </c>
      <c r="B749" t="s">
        <v>123</v>
      </c>
      <c r="C749" t="s">
        <v>81</v>
      </c>
      <c r="D749" t="s">
        <v>82</v>
      </c>
      <c r="E749" t="s">
        <v>92</v>
      </c>
      <c r="F749">
        <v>2200</v>
      </c>
      <c r="G749" t="s">
        <v>331</v>
      </c>
      <c r="H749" s="15">
        <v>45292</v>
      </c>
      <c r="I749">
        <v>2200</v>
      </c>
      <c r="J749">
        <v>0</v>
      </c>
    </row>
    <row r="750" spans="1:10" x14ac:dyDescent="0.3">
      <c r="A750" s="15">
        <v>45383</v>
      </c>
      <c r="B750" t="s">
        <v>124</v>
      </c>
      <c r="C750" t="s">
        <v>125</v>
      </c>
      <c r="D750" t="s">
        <v>82</v>
      </c>
      <c r="E750" t="s">
        <v>97</v>
      </c>
      <c r="F750">
        <v>82700</v>
      </c>
      <c r="G750" t="s">
        <v>331</v>
      </c>
      <c r="H750" s="15">
        <v>45292</v>
      </c>
      <c r="I750">
        <v>82700</v>
      </c>
      <c r="J750">
        <v>0</v>
      </c>
    </row>
    <row r="751" spans="1:10" x14ac:dyDescent="0.3">
      <c r="A751" s="15">
        <v>45383</v>
      </c>
      <c r="B751" t="s">
        <v>126</v>
      </c>
      <c r="C751" t="s">
        <v>91</v>
      </c>
      <c r="D751" t="s">
        <v>82</v>
      </c>
      <c r="E751" t="s">
        <v>83</v>
      </c>
      <c r="F751">
        <v>7700</v>
      </c>
      <c r="G751" t="s">
        <v>331</v>
      </c>
      <c r="H751" s="15">
        <v>45292</v>
      </c>
      <c r="I751">
        <v>7700</v>
      </c>
      <c r="J751">
        <v>0</v>
      </c>
    </row>
    <row r="752" spans="1:10" x14ac:dyDescent="0.3">
      <c r="A752" s="15">
        <v>45383</v>
      </c>
      <c r="B752" t="s">
        <v>127</v>
      </c>
      <c r="C752" t="s">
        <v>81</v>
      </c>
      <c r="D752" t="s">
        <v>82</v>
      </c>
      <c r="E752" t="s">
        <v>101</v>
      </c>
      <c r="F752">
        <v>2100</v>
      </c>
      <c r="G752" t="s">
        <v>331</v>
      </c>
      <c r="H752" s="15">
        <v>45292</v>
      </c>
      <c r="I752">
        <v>2100</v>
      </c>
      <c r="J752">
        <v>0</v>
      </c>
    </row>
    <row r="753" spans="1:10" x14ac:dyDescent="0.3">
      <c r="A753" s="15">
        <v>45383</v>
      </c>
      <c r="B753" t="s">
        <v>128</v>
      </c>
      <c r="C753" t="s">
        <v>81</v>
      </c>
      <c r="D753" t="s">
        <v>82</v>
      </c>
      <c r="E753" t="s">
        <v>92</v>
      </c>
      <c r="F753">
        <v>1700</v>
      </c>
      <c r="G753" t="s">
        <v>331</v>
      </c>
      <c r="H753" s="15">
        <v>45292</v>
      </c>
      <c r="I753">
        <v>1700</v>
      </c>
      <c r="J753">
        <v>0</v>
      </c>
    </row>
    <row r="754" spans="1:10" x14ac:dyDescent="0.3">
      <c r="A754" s="15">
        <v>45383</v>
      </c>
      <c r="B754" t="s">
        <v>129</v>
      </c>
      <c r="C754" t="s">
        <v>110</v>
      </c>
      <c r="D754" t="s">
        <v>86</v>
      </c>
      <c r="E754" t="s">
        <v>92</v>
      </c>
      <c r="F754">
        <v>36700</v>
      </c>
      <c r="G754" t="s">
        <v>331</v>
      </c>
      <c r="H754" s="15">
        <v>45292</v>
      </c>
      <c r="I754">
        <v>36700</v>
      </c>
      <c r="J754">
        <v>0</v>
      </c>
    </row>
    <row r="755" spans="1:10" x14ac:dyDescent="0.3">
      <c r="A755" s="15">
        <v>45383</v>
      </c>
      <c r="B755" t="s">
        <v>131</v>
      </c>
      <c r="C755" t="s">
        <v>81</v>
      </c>
      <c r="D755" t="s">
        <v>86</v>
      </c>
      <c r="E755" t="s">
        <v>101</v>
      </c>
      <c r="F755">
        <v>1900</v>
      </c>
      <c r="G755" t="s">
        <v>331</v>
      </c>
      <c r="H755" s="15">
        <v>45292</v>
      </c>
      <c r="I755">
        <v>1900</v>
      </c>
      <c r="J755">
        <v>0</v>
      </c>
    </row>
    <row r="756" spans="1:10" x14ac:dyDescent="0.3">
      <c r="A756" s="15">
        <v>45383</v>
      </c>
      <c r="B756" t="s">
        <v>133</v>
      </c>
      <c r="C756" t="s">
        <v>81</v>
      </c>
      <c r="D756" t="s">
        <v>96</v>
      </c>
      <c r="E756" t="s">
        <v>87</v>
      </c>
      <c r="F756">
        <v>3200</v>
      </c>
      <c r="G756" t="s">
        <v>331</v>
      </c>
      <c r="H756" s="15">
        <v>45292</v>
      </c>
      <c r="I756">
        <v>3200</v>
      </c>
      <c r="J756">
        <v>0</v>
      </c>
    </row>
    <row r="757" spans="1:10" x14ac:dyDescent="0.3">
      <c r="A757" s="15">
        <v>45383</v>
      </c>
      <c r="B757" t="s">
        <v>134</v>
      </c>
      <c r="C757" t="s">
        <v>81</v>
      </c>
      <c r="D757" t="s">
        <v>82</v>
      </c>
      <c r="E757" t="s">
        <v>92</v>
      </c>
      <c r="F757">
        <v>2900</v>
      </c>
      <c r="G757" t="s">
        <v>331</v>
      </c>
      <c r="H757" s="15">
        <v>45292</v>
      </c>
      <c r="I757">
        <v>2900</v>
      </c>
      <c r="J757">
        <v>0</v>
      </c>
    </row>
    <row r="758" spans="1:10" x14ac:dyDescent="0.3">
      <c r="A758" s="15">
        <v>45383</v>
      </c>
      <c r="B758" t="s">
        <v>135</v>
      </c>
      <c r="C758" t="s">
        <v>81</v>
      </c>
      <c r="D758" t="s">
        <v>82</v>
      </c>
      <c r="E758" t="s">
        <v>103</v>
      </c>
      <c r="F758">
        <v>2400</v>
      </c>
      <c r="G758" t="s">
        <v>331</v>
      </c>
      <c r="H758" s="15">
        <v>45292</v>
      </c>
      <c r="I758">
        <v>2400</v>
      </c>
      <c r="J758">
        <v>0</v>
      </c>
    </row>
    <row r="759" spans="1:10" x14ac:dyDescent="0.3">
      <c r="A759" s="15">
        <v>45383</v>
      </c>
      <c r="B759" t="s">
        <v>136</v>
      </c>
      <c r="C759" t="s">
        <v>81</v>
      </c>
      <c r="D759" t="s">
        <v>82</v>
      </c>
      <c r="E759" t="s">
        <v>101</v>
      </c>
      <c r="F759">
        <v>2900</v>
      </c>
      <c r="G759" t="s">
        <v>331</v>
      </c>
      <c r="H759" s="15">
        <v>45292</v>
      </c>
      <c r="I759">
        <v>2900</v>
      </c>
      <c r="J759">
        <v>0</v>
      </c>
    </row>
    <row r="760" spans="1:10" x14ac:dyDescent="0.3">
      <c r="A760" s="15">
        <v>45383</v>
      </c>
      <c r="B760" t="s">
        <v>137</v>
      </c>
      <c r="C760" t="s">
        <v>81</v>
      </c>
      <c r="D760" t="s">
        <v>82</v>
      </c>
      <c r="E760" t="s">
        <v>89</v>
      </c>
      <c r="F760">
        <v>1700</v>
      </c>
      <c r="G760" t="s">
        <v>331</v>
      </c>
      <c r="H760" s="15">
        <v>45292</v>
      </c>
      <c r="I760">
        <v>1700</v>
      </c>
      <c r="J760">
        <v>0</v>
      </c>
    </row>
    <row r="761" spans="1:10" x14ac:dyDescent="0.3">
      <c r="A761" s="15">
        <v>45383</v>
      </c>
      <c r="B761" t="s">
        <v>138</v>
      </c>
      <c r="C761" t="s">
        <v>81</v>
      </c>
      <c r="D761" t="s">
        <v>86</v>
      </c>
      <c r="E761" t="s">
        <v>97</v>
      </c>
      <c r="F761">
        <v>3300</v>
      </c>
      <c r="G761" t="s">
        <v>331</v>
      </c>
      <c r="H761" s="15">
        <v>45292</v>
      </c>
      <c r="I761">
        <v>3300</v>
      </c>
      <c r="J761">
        <v>0</v>
      </c>
    </row>
    <row r="762" spans="1:10" x14ac:dyDescent="0.3">
      <c r="A762" s="15">
        <v>45383</v>
      </c>
      <c r="B762" t="s">
        <v>139</v>
      </c>
      <c r="C762" t="s">
        <v>91</v>
      </c>
      <c r="D762" t="s">
        <v>82</v>
      </c>
      <c r="E762" t="s">
        <v>103</v>
      </c>
      <c r="F762">
        <v>6800</v>
      </c>
      <c r="G762" t="s">
        <v>331</v>
      </c>
      <c r="H762" s="15">
        <v>45292</v>
      </c>
      <c r="I762">
        <v>6800</v>
      </c>
      <c r="J762">
        <v>0</v>
      </c>
    </row>
    <row r="763" spans="1:10" x14ac:dyDescent="0.3">
      <c r="A763" s="15">
        <v>45383</v>
      </c>
      <c r="B763" t="s">
        <v>140</v>
      </c>
      <c r="C763" t="s">
        <v>81</v>
      </c>
      <c r="D763" t="s">
        <v>99</v>
      </c>
      <c r="E763" t="s">
        <v>97</v>
      </c>
      <c r="F763">
        <v>1800</v>
      </c>
      <c r="G763" t="s">
        <v>331</v>
      </c>
      <c r="H763" s="15">
        <v>45292</v>
      </c>
      <c r="I763">
        <v>1800</v>
      </c>
      <c r="J763">
        <v>0</v>
      </c>
    </row>
    <row r="764" spans="1:10" x14ac:dyDescent="0.3">
      <c r="A764" s="15">
        <v>45383</v>
      </c>
      <c r="B764" t="s">
        <v>141</v>
      </c>
      <c r="C764" t="s">
        <v>125</v>
      </c>
      <c r="D764" t="s">
        <v>99</v>
      </c>
      <c r="E764" t="s">
        <v>103</v>
      </c>
      <c r="F764">
        <v>100200</v>
      </c>
      <c r="G764" t="s">
        <v>331</v>
      </c>
      <c r="H764" s="15">
        <v>45292</v>
      </c>
      <c r="I764">
        <v>100200</v>
      </c>
      <c r="J764">
        <v>0</v>
      </c>
    </row>
    <row r="765" spans="1:10" x14ac:dyDescent="0.3">
      <c r="A765" s="15">
        <v>45383</v>
      </c>
      <c r="B765" t="s">
        <v>142</v>
      </c>
      <c r="C765" t="s">
        <v>125</v>
      </c>
      <c r="D765" t="s">
        <v>82</v>
      </c>
      <c r="E765" t="s">
        <v>92</v>
      </c>
      <c r="F765">
        <v>93300</v>
      </c>
      <c r="G765" t="s">
        <v>331</v>
      </c>
      <c r="H765" s="15">
        <v>45292</v>
      </c>
      <c r="I765">
        <v>93300</v>
      </c>
      <c r="J765">
        <v>0</v>
      </c>
    </row>
    <row r="766" spans="1:10" x14ac:dyDescent="0.3">
      <c r="A766" s="15">
        <v>45383</v>
      </c>
      <c r="B766" t="s">
        <v>143</v>
      </c>
      <c r="C766" t="s">
        <v>91</v>
      </c>
      <c r="D766" t="s">
        <v>99</v>
      </c>
      <c r="E766" t="s">
        <v>103</v>
      </c>
      <c r="F766">
        <v>8000</v>
      </c>
      <c r="G766" t="s">
        <v>331</v>
      </c>
      <c r="H766" s="15">
        <v>45292</v>
      </c>
      <c r="I766">
        <v>8000</v>
      </c>
      <c r="J766">
        <v>0</v>
      </c>
    </row>
    <row r="767" spans="1:10" x14ac:dyDescent="0.3">
      <c r="A767" s="15">
        <v>45383</v>
      </c>
      <c r="B767" t="s">
        <v>144</v>
      </c>
      <c r="C767" t="s">
        <v>81</v>
      </c>
      <c r="D767" t="s">
        <v>82</v>
      </c>
      <c r="E767" t="s">
        <v>92</v>
      </c>
      <c r="F767">
        <v>2600</v>
      </c>
      <c r="G767" t="s">
        <v>331</v>
      </c>
      <c r="H767" s="15">
        <v>45292</v>
      </c>
      <c r="I767">
        <v>2600</v>
      </c>
      <c r="J767">
        <v>0</v>
      </c>
    </row>
    <row r="768" spans="1:10" x14ac:dyDescent="0.3">
      <c r="A768" s="15">
        <v>45383</v>
      </c>
      <c r="B768" t="s">
        <v>145</v>
      </c>
      <c r="C768" t="s">
        <v>91</v>
      </c>
      <c r="D768" t="s">
        <v>82</v>
      </c>
      <c r="E768" t="s">
        <v>87</v>
      </c>
      <c r="F768">
        <v>8200</v>
      </c>
      <c r="G768" t="s">
        <v>331</v>
      </c>
      <c r="H768" s="15">
        <v>45292</v>
      </c>
      <c r="I768">
        <v>8200</v>
      </c>
      <c r="J768">
        <v>0</v>
      </c>
    </row>
    <row r="769" spans="1:10" x14ac:dyDescent="0.3">
      <c r="A769" s="15">
        <v>45383</v>
      </c>
      <c r="B769" t="s">
        <v>146</v>
      </c>
      <c r="C769" t="s">
        <v>91</v>
      </c>
      <c r="D769" t="s">
        <v>86</v>
      </c>
      <c r="E769" t="s">
        <v>87</v>
      </c>
      <c r="F769">
        <v>9200</v>
      </c>
      <c r="G769" t="s">
        <v>331</v>
      </c>
      <c r="H769" s="15">
        <v>45292</v>
      </c>
      <c r="I769">
        <v>9200</v>
      </c>
      <c r="J769">
        <v>0</v>
      </c>
    </row>
    <row r="770" spans="1:10" x14ac:dyDescent="0.3">
      <c r="A770" s="15">
        <v>45383</v>
      </c>
      <c r="B770" t="s">
        <v>147</v>
      </c>
      <c r="C770" t="s">
        <v>81</v>
      </c>
      <c r="D770" t="s">
        <v>82</v>
      </c>
      <c r="E770" t="s">
        <v>92</v>
      </c>
      <c r="F770">
        <v>2600</v>
      </c>
      <c r="G770" t="s">
        <v>331</v>
      </c>
      <c r="H770" s="15">
        <v>45292</v>
      </c>
      <c r="I770">
        <v>2600</v>
      </c>
      <c r="J770">
        <v>0</v>
      </c>
    </row>
    <row r="771" spans="1:10" x14ac:dyDescent="0.3">
      <c r="A771" s="15">
        <v>45383</v>
      </c>
      <c r="B771" t="s">
        <v>148</v>
      </c>
      <c r="C771" t="s">
        <v>110</v>
      </c>
      <c r="D771" t="s">
        <v>86</v>
      </c>
      <c r="E771" t="s">
        <v>89</v>
      </c>
      <c r="F771">
        <v>23500</v>
      </c>
      <c r="G771" t="s">
        <v>331</v>
      </c>
      <c r="H771" s="15">
        <v>45292</v>
      </c>
      <c r="I771">
        <v>23500</v>
      </c>
      <c r="J771">
        <v>0</v>
      </c>
    </row>
    <row r="772" spans="1:10" x14ac:dyDescent="0.3">
      <c r="A772" s="15">
        <v>45383</v>
      </c>
      <c r="B772" t="s">
        <v>149</v>
      </c>
      <c r="C772" t="s">
        <v>110</v>
      </c>
      <c r="D772" t="s">
        <v>82</v>
      </c>
      <c r="E772" t="s">
        <v>103</v>
      </c>
      <c r="F772">
        <v>31000</v>
      </c>
      <c r="G772" t="s">
        <v>331</v>
      </c>
      <c r="H772" s="15">
        <v>45292</v>
      </c>
      <c r="I772">
        <v>31000</v>
      </c>
      <c r="J772">
        <v>0</v>
      </c>
    </row>
    <row r="773" spans="1:10" x14ac:dyDescent="0.3">
      <c r="A773" s="15">
        <v>45383</v>
      </c>
      <c r="B773" t="s">
        <v>150</v>
      </c>
      <c r="C773" t="s">
        <v>91</v>
      </c>
      <c r="D773" t="s">
        <v>99</v>
      </c>
      <c r="E773" t="s">
        <v>101</v>
      </c>
      <c r="F773">
        <v>8700</v>
      </c>
      <c r="G773" t="s">
        <v>331</v>
      </c>
      <c r="H773" s="15">
        <v>45292</v>
      </c>
      <c r="I773">
        <v>8700</v>
      </c>
      <c r="J773">
        <v>0</v>
      </c>
    </row>
    <row r="774" spans="1:10" x14ac:dyDescent="0.3">
      <c r="A774" s="15">
        <v>45383</v>
      </c>
      <c r="B774" t="s">
        <v>151</v>
      </c>
      <c r="C774" t="s">
        <v>91</v>
      </c>
      <c r="D774" t="s">
        <v>82</v>
      </c>
      <c r="E774" t="s">
        <v>97</v>
      </c>
      <c r="F774">
        <v>8200</v>
      </c>
      <c r="G774" t="s">
        <v>331</v>
      </c>
      <c r="H774" s="15">
        <v>45292</v>
      </c>
      <c r="I774">
        <v>8200</v>
      </c>
      <c r="J774">
        <v>0</v>
      </c>
    </row>
    <row r="775" spans="1:10" x14ac:dyDescent="0.3">
      <c r="A775" s="15">
        <v>45383</v>
      </c>
      <c r="B775" t="s">
        <v>152</v>
      </c>
      <c r="C775" t="s">
        <v>81</v>
      </c>
      <c r="D775" t="s">
        <v>99</v>
      </c>
      <c r="E775" t="s">
        <v>87</v>
      </c>
      <c r="F775">
        <v>3100</v>
      </c>
      <c r="G775" t="s">
        <v>331</v>
      </c>
      <c r="H775" s="15">
        <v>45292</v>
      </c>
      <c r="I775">
        <v>3100</v>
      </c>
      <c r="J775">
        <v>0</v>
      </c>
    </row>
    <row r="776" spans="1:10" x14ac:dyDescent="0.3">
      <c r="A776" s="15">
        <v>45383</v>
      </c>
      <c r="B776" t="s">
        <v>153</v>
      </c>
      <c r="C776" t="s">
        <v>110</v>
      </c>
      <c r="D776" t="s">
        <v>99</v>
      </c>
      <c r="E776" t="s">
        <v>87</v>
      </c>
      <c r="F776">
        <v>31500</v>
      </c>
      <c r="G776" t="s">
        <v>331</v>
      </c>
      <c r="H776" s="15">
        <v>45292</v>
      </c>
      <c r="I776">
        <v>31500</v>
      </c>
      <c r="J776">
        <v>0</v>
      </c>
    </row>
    <row r="777" spans="1:10" x14ac:dyDescent="0.3">
      <c r="A777" s="15">
        <v>45383</v>
      </c>
      <c r="B777" t="s">
        <v>154</v>
      </c>
      <c r="C777" t="s">
        <v>91</v>
      </c>
      <c r="D777" t="s">
        <v>86</v>
      </c>
      <c r="E777" t="s">
        <v>103</v>
      </c>
      <c r="F777">
        <v>8800</v>
      </c>
      <c r="G777" t="s">
        <v>331</v>
      </c>
      <c r="H777" s="15">
        <v>45292</v>
      </c>
      <c r="I777">
        <v>8800</v>
      </c>
      <c r="J777">
        <v>0</v>
      </c>
    </row>
    <row r="778" spans="1:10" x14ac:dyDescent="0.3">
      <c r="A778" s="15">
        <v>45383</v>
      </c>
      <c r="B778" t="s">
        <v>155</v>
      </c>
      <c r="C778" t="s">
        <v>91</v>
      </c>
      <c r="D778" t="s">
        <v>82</v>
      </c>
      <c r="E778" t="s">
        <v>92</v>
      </c>
      <c r="F778">
        <v>7100</v>
      </c>
      <c r="G778" t="s">
        <v>331</v>
      </c>
      <c r="H778" s="15">
        <v>45292</v>
      </c>
      <c r="I778">
        <v>7100</v>
      </c>
      <c r="J778">
        <v>0</v>
      </c>
    </row>
    <row r="779" spans="1:10" x14ac:dyDescent="0.3">
      <c r="A779" s="15">
        <v>45383</v>
      </c>
      <c r="B779" t="s">
        <v>156</v>
      </c>
      <c r="C779" t="s">
        <v>81</v>
      </c>
      <c r="D779" t="s">
        <v>86</v>
      </c>
      <c r="E779" t="s">
        <v>101</v>
      </c>
      <c r="F779">
        <v>2300</v>
      </c>
      <c r="G779" t="s">
        <v>331</v>
      </c>
      <c r="H779" s="15">
        <v>45292</v>
      </c>
      <c r="I779">
        <v>2300</v>
      </c>
      <c r="J779">
        <v>0</v>
      </c>
    </row>
    <row r="780" spans="1:10" x14ac:dyDescent="0.3">
      <c r="A780" s="15">
        <v>45383</v>
      </c>
      <c r="B780" t="s">
        <v>157</v>
      </c>
      <c r="C780" t="s">
        <v>81</v>
      </c>
      <c r="D780" t="s">
        <v>82</v>
      </c>
      <c r="E780" t="s">
        <v>92</v>
      </c>
      <c r="F780">
        <v>1800</v>
      </c>
      <c r="G780" t="s">
        <v>331</v>
      </c>
      <c r="H780" s="15">
        <v>45292</v>
      </c>
      <c r="I780">
        <v>1800</v>
      </c>
      <c r="J780">
        <v>0</v>
      </c>
    </row>
    <row r="781" spans="1:10" x14ac:dyDescent="0.3">
      <c r="A781" s="15">
        <v>45383</v>
      </c>
      <c r="B781" t="s">
        <v>158</v>
      </c>
      <c r="C781" t="s">
        <v>91</v>
      </c>
      <c r="D781" t="s">
        <v>96</v>
      </c>
      <c r="E781" t="s">
        <v>83</v>
      </c>
      <c r="F781">
        <v>11400</v>
      </c>
      <c r="G781" t="s">
        <v>331</v>
      </c>
      <c r="H781" s="15">
        <v>45292</v>
      </c>
      <c r="I781">
        <v>11400</v>
      </c>
      <c r="J781">
        <v>0</v>
      </c>
    </row>
    <row r="782" spans="1:10" x14ac:dyDescent="0.3">
      <c r="A782" s="15">
        <v>45383</v>
      </c>
      <c r="B782" t="s">
        <v>159</v>
      </c>
      <c r="C782" t="s">
        <v>81</v>
      </c>
      <c r="D782" t="s">
        <v>86</v>
      </c>
      <c r="E782" t="s">
        <v>87</v>
      </c>
      <c r="F782">
        <v>2400</v>
      </c>
      <c r="G782" t="s">
        <v>331</v>
      </c>
      <c r="H782" s="15">
        <v>45292</v>
      </c>
      <c r="I782">
        <v>2400</v>
      </c>
      <c r="J782">
        <v>0</v>
      </c>
    </row>
    <row r="783" spans="1:10" x14ac:dyDescent="0.3">
      <c r="A783" s="15">
        <v>45383</v>
      </c>
      <c r="B783" t="s">
        <v>161</v>
      </c>
      <c r="C783" t="s">
        <v>91</v>
      </c>
      <c r="D783" t="s">
        <v>99</v>
      </c>
      <c r="E783" t="s">
        <v>83</v>
      </c>
      <c r="F783">
        <v>10100</v>
      </c>
      <c r="G783" t="s">
        <v>331</v>
      </c>
      <c r="H783" s="15">
        <v>45292</v>
      </c>
      <c r="I783">
        <v>10100</v>
      </c>
      <c r="J783">
        <v>0</v>
      </c>
    </row>
    <row r="784" spans="1:10" x14ac:dyDescent="0.3">
      <c r="A784" s="15">
        <v>45383</v>
      </c>
      <c r="B784" t="s">
        <v>162</v>
      </c>
      <c r="C784" t="s">
        <v>91</v>
      </c>
      <c r="D784" t="s">
        <v>82</v>
      </c>
      <c r="E784" t="s">
        <v>103</v>
      </c>
      <c r="F784">
        <v>12700</v>
      </c>
      <c r="G784" t="s">
        <v>331</v>
      </c>
      <c r="H784" s="15">
        <v>45292</v>
      </c>
      <c r="I784">
        <v>12700</v>
      </c>
      <c r="J784">
        <v>0</v>
      </c>
    </row>
    <row r="785" spans="1:10" x14ac:dyDescent="0.3">
      <c r="A785" s="15">
        <v>45383</v>
      </c>
      <c r="B785" t="s">
        <v>164</v>
      </c>
      <c r="C785" t="s">
        <v>81</v>
      </c>
      <c r="D785" t="s">
        <v>99</v>
      </c>
      <c r="E785" t="s">
        <v>89</v>
      </c>
      <c r="F785">
        <v>2500</v>
      </c>
      <c r="G785" t="s">
        <v>331</v>
      </c>
      <c r="H785" s="15">
        <v>45292</v>
      </c>
      <c r="I785">
        <v>2500</v>
      </c>
      <c r="J785">
        <v>0</v>
      </c>
    </row>
    <row r="786" spans="1:10" x14ac:dyDescent="0.3">
      <c r="A786" s="15">
        <v>45383</v>
      </c>
      <c r="B786" t="s">
        <v>165</v>
      </c>
      <c r="C786" t="s">
        <v>81</v>
      </c>
      <c r="D786" t="s">
        <v>82</v>
      </c>
      <c r="E786" t="s">
        <v>97</v>
      </c>
      <c r="F786">
        <v>2700</v>
      </c>
      <c r="G786" t="s">
        <v>334</v>
      </c>
      <c r="H786" s="15">
        <v>45292</v>
      </c>
      <c r="I786">
        <v>3300</v>
      </c>
      <c r="J786">
        <v>-600</v>
      </c>
    </row>
    <row r="787" spans="1:10" x14ac:dyDescent="0.3">
      <c r="A787" s="15">
        <v>45383</v>
      </c>
      <c r="B787" t="s">
        <v>166</v>
      </c>
      <c r="C787" t="s">
        <v>81</v>
      </c>
      <c r="D787" t="s">
        <v>99</v>
      </c>
      <c r="E787" t="s">
        <v>103</v>
      </c>
      <c r="F787">
        <v>2300</v>
      </c>
      <c r="G787" t="s">
        <v>331</v>
      </c>
      <c r="H787" s="15">
        <v>45292</v>
      </c>
      <c r="I787">
        <v>2300</v>
      </c>
      <c r="J787">
        <v>0</v>
      </c>
    </row>
    <row r="788" spans="1:10" x14ac:dyDescent="0.3">
      <c r="A788" s="15">
        <v>45383</v>
      </c>
      <c r="B788" t="s">
        <v>167</v>
      </c>
      <c r="C788" t="s">
        <v>81</v>
      </c>
      <c r="D788" t="s">
        <v>82</v>
      </c>
      <c r="E788" t="s">
        <v>97</v>
      </c>
      <c r="F788">
        <v>2100</v>
      </c>
      <c r="G788" t="s">
        <v>331</v>
      </c>
      <c r="H788" s="15">
        <v>45292</v>
      </c>
      <c r="I788">
        <v>2100</v>
      </c>
      <c r="J788">
        <v>0</v>
      </c>
    </row>
    <row r="789" spans="1:10" x14ac:dyDescent="0.3">
      <c r="A789" s="15">
        <v>45383</v>
      </c>
      <c r="B789" t="s">
        <v>168</v>
      </c>
      <c r="C789" t="s">
        <v>91</v>
      </c>
      <c r="D789" t="s">
        <v>86</v>
      </c>
      <c r="E789" t="s">
        <v>103</v>
      </c>
      <c r="F789">
        <v>12300</v>
      </c>
      <c r="G789" t="s">
        <v>331</v>
      </c>
      <c r="H789" s="15">
        <v>45292</v>
      </c>
      <c r="I789">
        <v>12300</v>
      </c>
      <c r="J789">
        <v>0</v>
      </c>
    </row>
    <row r="790" spans="1:10" x14ac:dyDescent="0.3">
      <c r="A790" s="15">
        <v>45383</v>
      </c>
      <c r="B790" t="s">
        <v>169</v>
      </c>
      <c r="C790" t="s">
        <v>81</v>
      </c>
      <c r="D790" t="s">
        <v>86</v>
      </c>
      <c r="E790" t="s">
        <v>103</v>
      </c>
      <c r="F790">
        <v>2000</v>
      </c>
      <c r="G790" t="s">
        <v>331</v>
      </c>
      <c r="H790" s="15">
        <v>45292</v>
      </c>
      <c r="I790">
        <v>2000</v>
      </c>
      <c r="J790">
        <v>0</v>
      </c>
    </row>
    <row r="791" spans="1:10" x14ac:dyDescent="0.3">
      <c r="A791" s="15">
        <v>45383</v>
      </c>
      <c r="B791" t="s">
        <v>170</v>
      </c>
      <c r="C791" t="s">
        <v>91</v>
      </c>
      <c r="D791" t="s">
        <v>99</v>
      </c>
      <c r="E791" t="s">
        <v>83</v>
      </c>
      <c r="F791">
        <v>6500</v>
      </c>
      <c r="G791" t="s">
        <v>331</v>
      </c>
      <c r="H791" s="15">
        <v>45292</v>
      </c>
      <c r="I791">
        <v>6500</v>
      </c>
      <c r="J791">
        <v>0</v>
      </c>
    </row>
    <row r="792" spans="1:10" x14ac:dyDescent="0.3">
      <c r="A792" s="15">
        <v>45383</v>
      </c>
      <c r="B792" t="s">
        <v>171</v>
      </c>
      <c r="C792" t="s">
        <v>81</v>
      </c>
      <c r="D792" t="s">
        <v>99</v>
      </c>
      <c r="E792" t="s">
        <v>97</v>
      </c>
      <c r="F792">
        <v>2100</v>
      </c>
      <c r="G792" t="s">
        <v>331</v>
      </c>
      <c r="H792" s="15">
        <v>45292</v>
      </c>
      <c r="I792">
        <v>2100</v>
      </c>
      <c r="J792">
        <v>0</v>
      </c>
    </row>
    <row r="793" spans="1:10" x14ac:dyDescent="0.3">
      <c r="A793" s="15">
        <v>45383</v>
      </c>
      <c r="B793" t="s">
        <v>172</v>
      </c>
      <c r="C793" t="s">
        <v>91</v>
      </c>
      <c r="D793" t="s">
        <v>96</v>
      </c>
      <c r="E793" t="s">
        <v>101</v>
      </c>
      <c r="F793">
        <v>7700</v>
      </c>
      <c r="G793" t="s">
        <v>331</v>
      </c>
      <c r="H793" s="15">
        <v>45292</v>
      </c>
      <c r="I793">
        <v>7700</v>
      </c>
      <c r="J793">
        <v>0</v>
      </c>
    </row>
    <row r="794" spans="1:10" x14ac:dyDescent="0.3">
      <c r="A794" s="15">
        <v>45383</v>
      </c>
      <c r="B794" t="s">
        <v>173</v>
      </c>
      <c r="C794" t="s">
        <v>81</v>
      </c>
      <c r="D794" t="s">
        <v>86</v>
      </c>
      <c r="E794" t="s">
        <v>103</v>
      </c>
      <c r="F794">
        <v>3700</v>
      </c>
      <c r="G794" t="s">
        <v>331</v>
      </c>
      <c r="H794" s="15">
        <v>45292</v>
      </c>
      <c r="I794">
        <v>3700</v>
      </c>
      <c r="J794">
        <v>0</v>
      </c>
    </row>
    <row r="795" spans="1:10" x14ac:dyDescent="0.3">
      <c r="A795" s="15">
        <v>45383</v>
      </c>
      <c r="B795" t="s">
        <v>174</v>
      </c>
      <c r="C795" t="s">
        <v>81</v>
      </c>
      <c r="D795" t="s">
        <v>82</v>
      </c>
      <c r="E795" t="s">
        <v>92</v>
      </c>
      <c r="F795">
        <v>2100</v>
      </c>
      <c r="G795" t="s">
        <v>331</v>
      </c>
      <c r="H795" s="15">
        <v>45292</v>
      </c>
      <c r="I795">
        <v>2100</v>
      </c>
      <c r="J795">
        <v>0</v>
      </c>
    </row>
    <row r="796" spans="1:10" x14ac:dyDescent="0.3">
      <c r="A796" s="15">
        <v>45383</v>
      </c>
      <c r="B796" t="s">
        <v>175</v>
      </c>
      <c r="C796" t="s">
        <v>91</v>
      </c>
      <c r="D796" t="s">
        <v>96</v>
      </c>
      <c r="E796" t="s">
        <v>83</v>
      </c>
      <c r="F796">
        <v>8800</v>
      </c>
      <c r="G796" t="s">
        <v>331</v>
      </c>
      <c r="H796" s="15">
        <v>45292</v>
      </c>
      <c r="I796">
        <v>8800</v>
      </c>
      <c r="J796">
        <v>0</v>
      </c>
    </row>
    <row r="797" spans="1:10" x14ac:dyDescent="0.3">
      <c r="A797" s="15">
        <v>45383</v>
      </c>
      <c r="B797" t="s">
        <v>176</v>
      </c>
      <c r="C797" t="s">
        <v>81</v>
      </c>
      <c r="D797" t="s">
        <v>99</v>
      </c>
      <c r="E797" t="s">
        <v>92</v>
      </c>
      <c r="F797">
        <v>2900</v>
      </c>
      <c r="G797" t="s">
        <v>332</v>
      </c>
      <c r="H797" s="15">
        <v>45292</v>
      </c>
      <c r="I797">
        <v>2700</v>
      </c>
      <c r="J797">
        <v>200</v>
      </c>
    </row>
    <row r="798" spans="1:10" x14ac:dyDescent="0.3">
      <c r="A798" s="15">
        <v>45383</v>
      </c>
      <c r="B798" t="s">
        <v>177</v>
      </c>
      <c r="C798" t="s">
        <v>81</v>
      </c>
      <c r="D798" t="s">
        <v>96</v>
      </c>
      <c r="E798" t="s">
        <v>83</v>
      </c>
      <c r="F798">
        <v>2900</v>
      </c>
      <c r="G798" t="s">
        <v>331</v>
      </c>
      <c r="H798" s="15">
        <v>45292</v>
      </c>
      <c r="I798">
        <v>2900</v>
      </c>
      <c r="J798">
        <v>0</v>
      </c>
    </row>
    <row r="799" spans="1:10" x14ac:dyDescent="0.3">
      <c r="A799" s="15">
        <v>45383</v>
      </c>
      <c r="B799" t="s">
        <v>178</v>
      </c>
      <c r="C799" t="s">
        <v>91</v>
      </c>
      <c r="D799" t="s">
        <v>82</v>
      </c>
      <c r="E799" t="s">
        <v>89</v>
      </c>
      <c r="F799">
        <v>8400</v>
      </c>
      <c r="G799" t="s">
        <v>331</v>
      </c>
      <c r="H799" s="15">
        <v>45292</v>
      </c>
      <c r="I799">
        <v>8400</v>
      </c>
      <c r="J799">
        <v>0</v>
      </c>
    </row>
    <row r="800" spans="1:10" x14ac:dyDescent="0.3">
      <c r="A800" s="15">
        <v>45383</v>
      </c>
      <c r="B800" t="s">
        <v>179</v>
      </c>
      <c r="C800" t="s">
        <v>110</v>
      </c>
      <c r="D800" t="s">
        <v>86</v>
      </c>
      <c r="E800" t="s">
        <v>87</v>
      </c>
      <c r="F800">
        <v>30000</v>
      </c>
      <c r="G800" t="s">
        <v>331</v>
      </c>
      <c r="H800" s="15">
        <v>45292</v>
      </c>
      <c r="I800">
        <v>30000</v>
      </c>
      <c r="J800">
        <v>0</v>
      </c>
    </row>
    <row r="801" spans="1:10" x14ac:dyDescent="0.3">
      <c r="A801" s="15">
        <v>45383</v>
      </c>
      <c r="B801" t="s">
        <v>180</v>
      </c>
      <c r="C801" t="s">
        <v>91</v>
      </c>
      <c r="D801" t="s">
        <v>86</v>
      </c>
      <c r="E801" t="s">
        <v>83</v>
      </c>
      <c r="F801">
        <v>8500</v>
      </c>
      <c r="G801" t="s">
        <v>331</v>
      </c>
      <c r="H801" s="15">
        <v>45292</v>
      </c>
      <c r="I801">
        <v>8500</v>
      </c>
      <c r="J801">
        <v>0</v>
      </c>
    </row>
    <row r="802" spans="1:10" x14ac:dyDescent="0.3">
      <c r="A802" s="15">
        <v>45383</v>
      </c>
      <c r="B802" t="s">
        <v>181</v>
      </c>
      <c r="C802" t="s">
        <v>91</v>
      </c>
      <c r="D802" t="s">
        <v>82</v>
      </c>
      <c r="E802" t="s">
        <v>97</v>
      </c>
      <c r="F802">
        <v>10100</v>
      </c>
      <c r="G802" t="s">
        <v>331</v>
      </c>
      <c r="H802" s="15">
        <v>45292</v>
      </c>
      <c r="I802">
        <v>10100</v>
      </c>
      <c r="J802">
        <v>0</v>
      </c>
    </row>
    <row r="803" spans="1:10" x14ac:dyDescent="0.3">
      <c r="A803" s="15">
        <v>45383</v>
      </c>
      <c r="B803" t="s">
        <v>182</v>
      </c>
      <c r="C803" t="s">
        <v>125</v>
      </c>
      <c r="D803" t="s">
        <v>82</v>
      </c>
      <c r="E803" t="s">
        <v>92</v>
      </c>
      <c r="F803">
        <v>80700</v>
      </c>
      <c r="G803" t="s">
        <v>331</v>
      </c>
      <c r="H803" s="15">
        <v>45292</v>
      </c>
      <c r="I803">
        <v>80700</v>
      </c>
      <c r="J803">
        <v>0</v>
      </c>
    </row>
    <row r="804" spans="1:10" x14ac:dyDescent="0.3">
      <c r="A804" s="15">
        <v>45383</v>
      </c>
      <c r="B804" t="s">
        <v>183</v>
      </c>
      <c r="C804" t="s">
        <v>91</v>
      </c>
      <c r="D804" t="s">
        <v>96</v>
      </c>
      <c r="E804" t="s">
        <v>92</v>
      </c>
      <c r="F804">
        <v>9500</v>
      </c>
      <c r="G804" t="s">
        <v>331</v>
      </c>
      <c r="H804" s="15">
        <v>45292</v>
      </c>
      <c r="I804">
        <v>9500</v>
      </c>
      <c r="J804">
        <v>0</v>
      </c>
    </row>
    <row r="805" spans="1:10" x14ac:dyDescent="0.3">
      <c r="A805" s="15">
        <v>45383</v>
      </c>
      <c r="B805" t="s">
        <v>184</v>
      </c>
      <c r="C805" t="s">
        <v>81</v>
      </c>
      <c r="D805" t="s">
        <v>82</v>
      </c>
      <c r="E805" t="s">
        <v>83</v>
      </c>
      <c r="F805">
        <v>2600</v>
      </c>
      <c r="G805" t="s">
        <v>331</v>
      </c>
      <c r="H805" s="15">
        <v>45292</v>
      </c>
      <c r="I805">
        <v>2600</v>
      </c>
      <c r="J805">
        <v>0</v>
      </c>
    </row>
    <row r="806" spans="1:10" x14ac:dyDescent="0.3">
      <c r="A806" s="15">
        <v>45383</v>
      </c>
      <c r="B806" t="s">
        <v>185</v>
      </c>
      <c r="C806" t="s">
        <v>81</v>
      </c>
      <c r="D806" t="s">
        <v>96</v>
      </c>
      <c r="E806" t="s">
        <v>97</v>
      </c>
      <c r="F806">
        <v>2000</v>
      </c>
      <c r="G806" t="s">
        <v>331</v>
      </c>
      <c r="H806" s="15">
        <v>45292</v>
      </c>
      <c r="I806">
        <v>2000</v>
      </c>
      <c r="J806">
        <v>0</v>
      </c>
    </row>
    <row r="807" spans="1:10" x14ac:dyDescent="0.3">
      <c r="A807" s="15">
        <v>45383</v>
      </c>
      <c r="B807" t="s">
        <v>186</v>
      </c>
      <c r="C807" t="s">
        <v>91</v>
      </c>
      <c r="D807" t="s">
        <v>82</v>
      </c>
      <c r="E807" t="s">
        <v>103</v>
      </c>
      <c r="F807">
        <v>12100</v>
      </c>
      <c r="G807" t="s">
        <v>331</v>
      </c>
      <c r="H807" s="15">
        <v>45292</v>
      </c>
      <c r="I807">
        <v>12100</v>
      </c>
      <c r="J807">
        <v>0</v>
      </c>
    </row>
    <row r="808" spans="1:10" x14ac:dyDescent="0.3">
      <c r="A808" s="15">
        <v>45383</v>
      </c>
      <c r="B808" t="s">
        <v>187</v>
      </c>
      <c r="C808" t="s">
        <v>110</v>
      </c>
      <c r="D808" t="s">
        <v>86</v>
      </c>
      <c r="E808" t="s">
        <v>97</v>
      </c>
      <c r="F808">
        <v>32300</v>
      </c>
      <c r="G808" t="s">
        <v>331</v>
      </c>
      <c r="H808" s="15">
        <v>45292</v>
      </c>
      <c r="I808">
        <v>32300</v>
      </c>
      <c r="J808">
        <v>0</v>
      </c>
    </row>
    <row r="809" spans="1:10" x14ac:dyDescent="0.3">
      <c r="A809" s="15">
        <v>45383</v>
      </c>
      <c r="B809" t="s">
        <v>188</v>
      </c>
      <c r="C809" t="s">
        <v>91</v>
      </c>
      <c r="D809" t="s">
        <v>82</v>
      </c>
      <c r="E809" t="s">
        <v>92</v>
      </c>
      <c r="F809">
        <v>12000</v>
      </c>
      <c r="G809" t="s">
        <v>331</v>
      </c>
      <c r="H809" s="15">
        <v>45292</v>
      </c>
      <c r="I809">
        <v>12000</v>
      </c>
      <c r="J809">
        <v>0</v>
      </c>
    </row>
    <row r="810" spans="1:10" x14ac:dyDescent="0.3">
      <c r="A810" s="15">
        <v>45383</v>
      </c>
      <c r="B810" t="s">
        <v>189</v>
      </c>
      <c r="C810" t="s">
        <v>81</v>
      </c>
      <c r="D810" t="s">
        <v>86</v>
      </c>
      <c r="E810" t="s">
        <v>103</v>
      </c>
      <c r="F810">
        <v>2000</v>
      </c>
      <c r="G810" t="s">
        <v>331</v>
      </c>
      <c r="H810" s="15">
        <v>45292</v>
      </c>
      <c r="I810">
        <v>2000</v>
      </c>
      <c r="J810">
        <v>0</v>
      </c>
    </row>
    <row r="811" spans="1:10" x14ac:dyDescent="0.3">
      <c r="A811" s="15">
        <v>45383</v>
      </c>
      <c r="B811" t="s">
        <v>190</v>
      </c>
      <c r="C811" t="s">
        <v>81</v>
      </c>
      <c r="D811" t="s">
        <v>99</v>
      </c>
      <c r="E811" t="s">
        <v>89</v>
      </c>
      <c r="F811">
        <v>2000</v>
      </c>
      <c r="G811" t="s">
        <v>331</v>
      </c>
      <c r="H811" s="15">
        <v>45292</v>
      </c>
      <c r="I811">
        <v>2000</v>
      </c>
      <c r="J811">
        <v>0</v>
      </c>
    </row>
    <row r="812" spans="1:10" x14ac:dyDescent="0.3">
      <c r="A812" s="15">
        <v>45383</v>
      </c>
      <c r="B812" t="s">
        <v>191</v>
      </c>
      <c r="C812" t="s">
        <v>91</v>
      </c>
      <c r="D812" t="s">
        <v>86</v>
      </c>
      <c r="E812" t="s">
        <v>87</v>
      </c>
      <c r="F812">
        <v>6900</v>
      </c>
      <c r="G812" t="s">
        <v>331</v>
      </c>
      <c r="H812" s="15">
        <v>45292</v>
      </c>
      <c r="I812">
        <v>6900</v>
      </c>
      <c r="J812">
        <v>0</v>
      </c>
    </row>
    <row r="813" spans="1:10" x14ac:dyDescent="0.3">
      <c r="A813" s="15">
        <v>45383</v>
      </c>
      <c r="B813" t="s">
        <v>192</v>
      </c>
      <c r="C813" t="s">
        <v>81</v>
      </c>
      <c r="D813" t="s">
        <v>82</v>
      </c>
      <c r="E813" t="s">
        <v>97</v>
      </c>
      <c r="F813">
        <v>2700</v>
      </c>
      <c r="G813" t="s">
        <v>331</v>
      </c>
      <c r="H813" s="15">
        <v>45292</v>
      </c>
      <c r="I813">
        <v>2700</v>
      </c>
      <c r="J813">
        <v>0</v>
      </c>
    </row>
    <row r="814" spans="1:10" x14ac:dyDescent="0.3">
      <c r="A814" s="15">
        <v>45383</v>
      </c>
      <c r="B814" t="s">
        <v>193</v>
      </c>
      <c r="C814" t="s">
        <v>81</v>
      </c>
      <c r="D814" t="s">
        <v>82</v>
      </c>
      <c r="E814" t="s">
        <v>87</v>
      </c>
      <c r="F814">
        <v>3200</v>
      </c>
      <c r="G814" t="s">
        <v>331</v>
      </c>
      <c r="H814" s="15">
        <v>45292</v>
      </c>
      <c r="I814">
        <v>3200</v>
      </c>
      <c r="J814">
        <v>0</v>
      </c>
    </row>
    <row r="815" spans="1:10" x14ac:dyDescent="0.3">
      <c r="A815" s="15">
        <v>45383</v>
      </c>
      <c r="B815" t="s">
        <v>194</v>
      </c>
      <c r="C815" t="s">
        <v>91</v>
      </c>
      <c r="D815" t="s">
        <v>82</v>
      </c>
      <c r="E815" t="s">
        <v>101</v>
      </c>
      <c r="F815">
        <v>10400</v>
      </c>
      <c r="G815" t="s">
        <v>331</v>
      </c>
      <c r="H815" s="15">
        <v>45292</v>
      </c>
      <c r="I815">
        <v>10400</v>
      </c>
      <c r="J815">
        <v>0</v>
      </c>
    </row>
    <row r="816" spans="1:10" x14ac:dyDescent="0.3">
      <c r="A816" s="15">
        <v>45383</v>
      </c>
      <c r="B816" t="s">
        <v>195</v>
      </c>
      <c r="C816" t="s">
        <v>91</v>
      </c>
      <c r="D816" t="s">
        <v>86</v>
      </c>
      <c r="E816" t="s">
        <v>97</v>
      </c>
      <c r="F816">
        <v>6400</v>
      </c>
      <c r="G816" t="s">
        <v>334</v>
      </c>
      <c r="H816" s="15">
        <v>45292</v>
      </c>
      <c r="I816">
        <v>6900</v>
      </c>
      <c r="J816">
        <v>-500</v>
      </c>
    </row>
    <row r="817" spans="1:10" x14ac:dyDescent="0.3">
      <c r="A817" s="15">
        <v>45383</v>
      </c>
      <c r="B817" t="s">
        <v>196</v>
      </c>
      <c r="C817" t="s">
        <v>81</v>
      </c>
      <c r="D817" t="s">
        <v>86</v>
      </c>
      <c r="E817" t="s">
        <v>87</v>
      </c>
      <c r="F817">
        <v>2600</v>
      </c>
      <c r="G817" t="s">
        <v>331</v>
      </c>
      <c r="H817" s="15">
        <v>45292</v>
      </c>
      <c r="I817">
        <v>2600</v>
      </c>
      <c r="J817">
        <v>0</v>
      </c>
    </row>
    <row r="818" spans="1:10" x14ac:dyDescent="0.3">
      <c r="A818" s="15">
        <v>45383</v>
      </c>
      <c r="B818" t="s">
        <v>197</v>
      </c>
      <c r="C818" t="s">
        <v>91</v>
      </c>
      <c r="D818" t="s">
        <v>82</v>
      </c>
      <c r="E818" t="s">
        <v>89</v>
      </c>
      <c r="F818">
        <v>10400</v>
      </c>
      <c r="G818" t="s">
        <v>331</v>
      </c>
      <c r="H818" s="15">
        <v>45292</v>
      </c>
      <c r="I818">
        <v>10400</v>
      </c>
      <c r="J818">
        <v>0</v>
      </c>
    </row>
    <row r="819" spans="1:10" x14ac:dyDescent="0.3">
      <c r="A819" s="15">
        <v>45383</v>
      </c>
      <c r="B819" t="s">
        <v>198</v>
      </c>
      <c r="C819" t="s">
        <v>81</v>
      </c>
      <c r="D819" t="s">
        <v>82</v>
      </c>
      <c r="E819" t="s">
        <v>89</v>
      </c>
      <c r="F819">
        <v>2900</v>
      </c>
      <c r="G819" t="s">
        <v>331</v>
      </c>
      <c r="H819" s="15">
        <v>45292</v>
      </c>
      <c r="I819">
        <v>2900</v>
      </c>
      <c r="J819">
        <v>0</v>
      </c>
    </row>
    <row r="820" spans="1:10" x14ac:dyDescent="0.3">
      <c r="A820" s="15">
        <v>45383</v>
      </c>
      <c r="B820" t="s">
        <v>199</v>
      </c>
      <c r="C820" t="s">
        <v>81</v>
      </c>
      <c r="D820" t="s">
        <v>86</v>
      </c>
      <c r="E820" t="s">
        <v>89</v>
      </c>
      <c r="F820">
        <v>2200</v>
      </c>
      <c r="G820" t="s">
        <v>331</v>
      </c>
      <c r="H820" s="15">
        <v>45292</v>
      </c>
      <c r="I820">
        <v>2200</v>
      </c>
      <c r="J820">
        <v>0</v>
      </c>
    </row>
    <row r="821" spans="1:10" x14ac:dyDescent="0.3">
      <c r="A821" s="15">
        <v>45383</v>
      </c>
      <c r="B821" t="s">
        <v>200</v>
      </c>
      <c r="C821" t="s">
        <v>91</v>
      </c>
      <c r="D821" t="s">
        <v>86</v>
      </c>
      <c r="E821" t="s">
        <v>92</v>
      </c>
      <c r="F821">
        <v>8400</v>
      </c>
      <c r="G821" t="s">
        <v>334</v>
      </c>
      <c r="H821" s="15">
        <v>45292</v>
      </c>
      <c r="I821">
        <v>10100</v>
      </c>
      <c r="J821">
        <v>-1700</v>
      </c>
    </row>
    <row r="822" spans="1:10" x14ac:dyDescent="0.3">
      <c r="A822" s="15">
        <v>45383</v>
      </c>
      <c r="B822" t="s">
        <v>201</v>
      </c>
      <c r="C822" t="s">
        <v>81</v>
      </c>
      <c r="D822" t="s">
        <v>86</v>
      </c>
      <c r="E822" t="s">
        <v>83</v>
      </c>
      <c r="F822">
        <v>1800</v>
      </c>
      <c r="G822" t="s">
        <v>331</v>
      </c>
      <c r="H822" s="15">
        <v>45292</v>
      </c>
      <c r="I822">
        <v>1800</v>
      </c>
      <c r="J822">
        <v>0</v>
      </c>
    </row>
    <row r="823" spans="1:10" x14ac:dyDescent="0.3">
      <c r="A823" s="15">
        <v>45383</v>
      </c>
      <c r="B823" t="s">
        <v>202</v>
      </c>
      <c r="C823" t="s">
        <v>91</v>
      </c>
      <c r="D823" t="s">
        <v>82</v>
      </c>
      <c r="E823" t="s">
        <v>92</v>
      </c>
      <c r="F823">
        <v>11000</v>
      </c>
      <c r="G823" t="s">
        <v>331</v>
      </c>
      <c r="H823" s="15">
        <v>45292</v>
      </c>
      <c r="I823">
        <v>11000</v>
      </c>
      <c r="J823">
        <v>0</v>
      </c>
    </row>
    <row r="824" spans="1:10" x14ac:dyDescent="0.3">
      <c r="A824" s="15">
        <v>45383</v>
      </c>
      <c r="B824" t="s">
        <v>203</v>
      </c>
      <c r="C824" t="s">
        <v>110</v>
      </c>
      <c r="D824" t="s">
        <v>86</v>
      </c>
      <c r="E824" t="s">
        <v>92</v>
      </c>
      <c r="F824">
        <v>32000</v>
      </c>
      <c r="G824" t="s">
        <v>331</v>
      </c>
      <c r="H824" s="15">
        <v>45292</v>
      </c>
      <c r="I824">
        <v>32000</v>
      </c>
      <c r="J824">
        <v>0</v>
      </c>
    </row>
    <row r="825" spans="1:10" x14ac:dyDescent="0.3">
      <c r="A825" s="15">
        <v>45383</v>
      </c>
      <c r="B825" t="s">
        <v>204</v>
      </c>
      <c r="C825" t="s">
        <v>81</v>
      </c>
      <c r="D825" t="s">
        <v>82</v>
      </c>
      <c r="E825" t="s">
        <v>87</v>
      </c>
      <c r="F825">
        <v>2200</v>
      </c>
      <c r="G825" t="s">
        <v>331</v>
      </c>
      <c r="H825" s="15">
        <v>45292</v>
      </c>
      <c r="I825">
        <v>2200</v>
      </c>
      <c r="J825">
        <v>0</v>
      </c>
    </row>
    <row r="826" spans="1:10" x14ac:dyDescent="0.3">
      <c r="A826" s="15">
        <v>45383</v>
      </c>
      <c r="B826" t="s">
        <v>205</v>
      </c>
      <c r="C826" t="s">
        <v>91</v>
      </c>
      <c r="D826" t="s">
        <v>86</v>
      </c>
      <c r="E826" t="s">
        <v>103</v>
      </c>
      <c r="F826">
        <v>10600</v>
      </c>
      <c r="G826" t="s">
        <v>331</v>
      </c>
      <c r="H826" s="15">
        <v>45292</v>
      </c>
      <c r="I826">
        <v>10600</v>
      </c>
      <c r="J826">
        <v>0</v>
      </c>
    </row>
    <row r="827" spans="1:10" x14ac:dyDescent="0.3">
      <c r="A827" s="15">
        <v>45383</v>
      </c>
      <c r="B827" t="s">
        <v>206</v>
      </c>
      <c r="C827" t="s">
        <v>81</v>
      </c>
      <c r="D827" t="s">
        <v>86</v>
      </c>
      <c r="E827" t="s">
        <v>89</v>
      </c>
      <c r="F827">
        <v>3000</v>
      </c>
      <c r="G827" t="s">
        <v>331</v>
      </c>
      <c r="H827" s="15">
        <v>45292</v>
      </c>
      <c r="I827">
        <v>3000</v>
      </c>
      <c r="J827">
        <v>0</v>
      </c>
    </row>
    <row r="828" spans="1:10" x14ac:dyDescent="0.3">
      <c r="A828" s="15">
        <v>45383</v>
      </c>
      <c r="B828" t="s">
        <v>207</v>
      </c>
      <c r="C828" t="s">
        <v>81</v>
      </c>
      <c r="D828" t="s">
        <v>82</v>
      </c>
      <c r="E828" t="s">
        <v>89</v>
      </c>
      <c r="F828">
        <v>3700</v>
      </c>
      <c r="G828" t="s">
        <v>331</v>
      </c>
      <c r="H828" s="15">
        <v>45292</v>
      </c>
      <c r="I828">
        <v>3700</v>
      </c>
      <c r="J828">
        <v>0</v>
      </c>
    </row>
    <row r="829" spans="1:10" x14ac:dyDescent="0.3">
      <c r="A829" s="15">
        <v>45383</v>
      </c>
      <c r="B829" t="s">
        <v>208</v>
      </c>
      <c r="C829" t="s">
        <v>91</v>
      </c>
      <c r="D829" t="s">
        <v>99</v>
      </c>
      <c r="E829" t="s">
        <v>89</v>
      </c>
      <c r="F829">
        <v>7300</v>
      </c>
      <c r="G829" t="s">
        <v>331</v>
      </c>
      <c r="H829" s="15">
        <v>45292</v>
      </c>
      <c r="I829">
        <v>7300</v>
      </c>
      <c r="J829">
        <v>0</v>
      </c>
    </row>
    <row r="830" spans="1:10" x14ac:dyDescent="0.3">
      <c r="A830" s="15">
        <v>45383</v>
      </c>
      <c r="B830" t="s">
        <v>209</v>
      </c>
      <c r="C830" t="s">
        <v>81</v>
      </c>
      <c r="D830" t="s">
        <v>86</v>
      </c>
      <c r="E830" t="s">
        <v>83</v>
      </c>
      <c r="F830">
        <v>2700</v>
      </c>
      <c r="G830" t="s">
        <v>331</v>
      </c>
      <c r="H830" s="15">
        <v>45292</v>
      </c>
      <c r="I830">
        <v>2700</v>
      </c>
      <c r="J830">
        <v>0</v>
      </c>
    </row>
    <row r="831" spans="1:10" x14ac:dyDescent="0.3">
      <c r="A831" s="15">
        <v>45383</v>
      </c>
      <c r="B831" t="s">
        <v>210</v>
      </c>
      <c r="C831" t="s">
        <v>125</v>
      </c>
      <c r="D831" t="s">
        <v>96</v>
      </c>
      <c r="E831" t="s">
        <v>89</v>
      </c>
      <c r="F831">
        <v>90300</v>
      </c>
      <c r="G831" t="s">
        <v>331</v>
      </c>
      <c r="H831" s="15">
        <v>45292</v>
      </c>
      <c r="I831">
        <v>90300</v>
      </c>
      <c r="J831">
        <v>0</v>
      </c>
    </row>
    <row r="832" spans="1:10" x14ac:dyDescent="0.3">
      <c r="A832" s="15">
        <v>45383</v>
      </c>
      <c r="B832" t="s">
        <v>211</v>
      </c>
      <c r="C832" t="s">
        <v>110</v>
      </c>
      <c r="D832" t="s">
        <v>82</v>
      </c>
      <c r="E832" t="s">
        <v>92</v>
      </c>
      <c r="F832">
        <v>28900</v>
      </c>
      <c r="G832" t="s">
        <v>331</v>
      </c>
      <c r="H832" s="15">
        <v>45292</v>
      </c>
      <c r="I832">
        <v>28900</v>
      </c>
      <c r="J832">
        <v>0</v>
      </c>
    </row>
    <row r="833" spans="1:10" x14ac:dyDescent="0.3">
      <c r="A833" s="15">
        <v>45383</v>
      </c>
      <c r="B833" t="s">
        <v>212</v>
      </c>
      <c r="C833" t="s">
        <v>81</v>
      </c>
      <c r="D833" t="s">
        <v>96</v>
      </c>
      <c r="E833" t="s">
        <v>101</v>
      </c>
      <c r="F833">
        <v>2700</v>
      </c>
      <c r="G833" t="s">
        <v>331</v>
      </c>
      <c r="H833" s="15">
        <v>45292</v>
      </c>
      <c r="I833">
        <v>2700</v>
      </c>
      <c r="J833">
        <v>0</v>
      </c>
    </row>
    <row r="834" spans="1:10" x14ac:dyDescent="0.3">
      <c r="A834" s="15">
        <v>45383</v>
      </c>
      <c r="B834" t="s">
        <v>213</v>
      </c>
      <c r="C834" t="s">
        <v>81</v>
      </c>
      <c r="D834" t="s">
        <v>82</v>
      </c>
      <c r="E834" t="s">
        <v>97</v>
      </c>
      <c r="F834">
        <v>3300</v>
      </c>
      <c r="G834" t="s">
        <v>331</v>
      </c>
      <c r="H834" s="15">
        <v>45292</v>
      </c>
      <c r="I834">
        <v>3300</v>
      </c>
      <c r="J834">
        <v>0</v>
      </c>
    </row>
    <row r="835" spans="1:10" x14ac:dyDescent="0.3">
      <c r="A835" s="15">
        <v>45383</v>
      </c>
      <c r="B835" t="s">
        <v>214</v>
      </c>
      <c r="C835" t="s">
        <v>91</v>
      </c>
      <c r="D835" t="s">
        <v>82</v>
      </c>
      <c r="E835" t="s">
        <v>89</v>
      </c>
      <c r="F835">
        <v>8700</v>
      </c>
      <c r="G835" t="s">
        <v>331</v>
      </c>
      <c r="H835" s="15">
        <v>45292</v>
      </c>
      <c r="I835">
        <v>8700</v>
      </c>
      <c r="J835">
        <v>0</v>
      </c>
    </row>
    <row r="836" spans="1:10" x14ac:dyDescent="0.3">
      <c r="A836" s="15">
        <v>45383</v>
      </c>
      <c r="B836" t="s">
        <v>215</v>
      </c>
      <c r="C836" t="s">
        <v>110</v>
      </c>
      <c r="D836" t="s">
        <v>99</v>
      </c>
      <c r="E836" t="s">
        <v>89</v>
      </c>
      <c r="F836">
        <v>42900</v>
      </c>
      <c r="G836" t="s">
        <v>332</v>
      </c>
      <c r="H836" s="15">
        <v>45292</v>
      </c>
      <c r="I836">
        <v>39900</v>
      </c>
      <c r="J836">
        <v>3000</v>
      </c>
    </row>
    <row r="837" spans="1:10" x14ac:dyDescent="0.3">
      <c r="A837" s="15">
        <v>45383</v>
      </c>
      <c r="B837" t="s">
        <v>216</v>
      </c>
      <c r="C837" t="s">
        <v>81</v>
      </c>
      <c r="D837" t="s">
        <v>82</v>
      </c>
      <c r="E837" t="s">
        <v>97</v>
      </c>
      <c r="F837">
        <v>3100</v>
      </c>
      <c r="G837" t="s">
        <v>331</v>
      </c>
      <c r="H837" s="15">
        <v>45292</v>
      </c>
      <c r="I837">
        <v>3100</v>
      </c>
      <c r="J837">
        <v>0</v>
      </c>
    </row>
    <row r="838" spans="1:10" x14ac:dyDescent="0.3">
      <c r="A838" s="15">
        <v>45383</v>
      </c>
      <c r="B838" t="s">
        <v>217</v>
      </c>
      <c r="C838" t="s">
        <v>91</v>
      </c>
      <c r="D838" t="s">
        <v>82</v>
      </c>
      <c r="E838" t="s">
        <v>97</v>
      </c>
      <c r="F838">
        <v>8400</v>
      </c>
      <c r="G838" t="s">
        <v>331</v>
      </c>
      <c r="H838" s="15">
        <v>45292</v>
      </c>
      <c r="I838">
        <v>8400</v>
      </c>
      <c r="J838">
        <v>0</v>
      </c>
    </row>
    <row r="839" spans="1:10" x14ac:dyDescent="0.3">
      <c r="A839" s="15">
        <v>45383</v>
      </c>
      <c r="B839" t="s">
        <v>218</v>
      </c>
      <c r="C839" t="s">
        <v>110</v>
      </c>
      <c r="D839" t="s">
        <v>99</v>
      </c>
      <c r="E839" t="s">
        <v>92</v>
      </c>
      <c r="F839">
        <v>29900</v>
      </c>
      <c r="G839" t="s">
        <v>331</v>
      </c>
      <c r="H839" s="15">
        <v>45292</v>
      </c>
      <c r="I839">
        <v>29900</v>
      </c>
      <c r="J839">
        <v>0</v>
      </c>
    </row>
    <row r="840" spans="1:10" x14ac:dyDescent="0.3">
      <c r="A840" s="15">
        <v>45383</v>
      </c>
      <c r="B840" t="s">
        <v>219</v>
      </c>
      <c r="C840" t="s">
        <v>81</v>
      </c>
      <c r="D840" t="s">
        <v>99</v>
      </c>
      <c r="E840" t="s">
        <v>89</v>
      </c>
      <c r="F840">
        <v>2500</v>
      </c>
      <c r="G840" t="s">
        <v>331</v>
      </c>
      <c r="H840" s="15">
        <v>45292</v>
      </c>
      <c r="I840">
        <v>2500</v>
      </c>
      <c r="J840">
        <v>0</v>
      </c>
    </row>
    <row r="841" spans="1:10" x14ac:dyDescent="0.3">
      <c r="A841" s="15">
        <v>45383</v>
      </c>
      <c r="B841" t="s">
        <v>220</v>
      </c>
      <c r="C841" t="s">
        <v>110</v>
      </c>
      <c r="D841" t="s">
        <v>82</v>
      </c>
      <c r="E841" t="s">
        <v>89</v>
      </c>
      <c r="F841">
        <v>30800</v>
      </c>
      <c r="G841" t="s">
        <v>331</v>
      </c>
      <c r="H841" s="15">
        <v>45292</v>
      </c>
      <c r="I841">
        <v>30800</v>
      </c>
      <c r="J841">
        <v>0</v>
      </c>
    </row>
    <row r="842" spans="1:10" x14ac:dyDescent="0.3">
      <c r="A842" s="15">
        <v>45383</v>
      </c>
      <c r="B842" t="s">
        <v>221</v>
      </c>
      <c r="C842" t="s">
        <v>91</v>
      </c>
      <c r="D842" t="s">
        <v>96</v>
      </c>
      <c r="E842" t="s">
        <v>83</v>
      </c>
      <c r="F842">
        <v>8200</v>
      </c>
      <c r="G842" t="s">
        <v>331</v>
      </c>
      <c r="H842" s="15">
        <v>45292</v>
      </c>
      <c r="I842">
        <v>8200</v>
      </c>
      <c r="J842">
        <v>0</v>
      </c>
    </row>
    <row r="843" spans="1:10" x14ac:dyDescent="0.3">
      <c r="A843" s="15">
        <v>45383</v>
      </c>
      <c r="B843" t="s">
        <v>222</v>
      </c>
      <c r="C843" t="s">
        <v>110</v>
      </c>
      <c r="D843" t="s">
        <v>96</v>
      </c>
      <c r="E843" t="s">
        <v>97</v>
      </c>
      <c r="F843">
        <v>26100</v>
      </c>
      <c r="G843" t="s">
        <v>331</v>
      </c>
      <c r="H843" s="15">
        <v>45292</v>
      </c>
      <c r="I843">
        <v>26100</v>
      </c>
      <c r="J843">
        <v>0</v>
      </c>
    </row>
    <row r="844" spans="1:10" x14ac:dyDescent="0.3">
      <c r="A844" s="15">
        <v>45383</v>
      </c>
      <c r="B844" t="s">
        <v>223</v>
      </c>
      <c r="C844" t="s">
        <v>81</v>
      </c>
      <c r="D844" t="s">
        <v>99</v>
      </c>
      <c r="E844" t="s">
        <v>87</v>
      </c>
      <c r="F844">
        <v>2100</v>
      </c>
      <c r="G844" t="s">
        <v>331</v>
      </c>
      <c r="H844" s="15">
        <v>45292</v>
      </c>
      <c r="I844">
        <v>2100</v>
      </c>
      <c r="J844">
        <v>0</v>
      </c>
    </row>
    <row r="845" spans="1:10" x14ac:dyDescent="0.3">
      <c r="A845" s="15">
        <v>45383</v>
      </c>
      <c r="B845" t="s">
        <v>224</v>
      </c>
      <c r="C845" t="s">
        <v>91</v>
      </c>
      <c r="D845" t="s">
        <v>82</v>
      </c>
      <c r="E845" t="s">
        <v>101</v>
      </c>
      <c r="F845">
        <v>10300</v>
      </c>
      <c r="G845" t="s">
        <v>331</v>
      </c>
      <c r="H845" s="15">
        <v>45292</v>
      </c>
      <c r="I845">
        <v>10300</v>
      </c>
      <c r="J845">
        <v>0</v>
      </c>
    </row>
    <row r="846" spans="1:10" x14ac:dyDescent="0.3">
      <c r="A846" s="15">
        <v>45383</v>
      </c>
      <c r="B846" t="s">
        <v>225</v>
      </c>
      <c r="C846" t="s">
        <v>110</v>
      </c>
      <c r="D846" t="s">
        <v>99</v>
      </c>
      <c r="E846" t="s">
        <v>103</v>
      </c>
      <c r="F846">
        <v>42200</v>
      </c>
      <c r="G846" t="s">
        <v>331</v>
      </c>
      <c r="H846" s="15">
        <v>45292</v>
      </c>
      <c r="I846">
        <v>42200</v>
      </c>
      <c r="J846">
        <v>0</v>
      </c>
    </row>
    <row r="847" spans="1:10" x14ac:dyDescent="0.3">
      <c r="A847" s="15">
        <v>45383</v>
      </c>
      <c r="B847" t="s">
        <v>226</v>
      </c>
      <c r="C847" t="s">
        <v>91</v>
      </c>
      <c r="D847" t="s">
        <v>82</v>
      </c>
      <c r="E847" t="s">
        <v>103</v>
      </c>
      <c r="F847">
        <v>7100</v>
      </c>
      <c r="G847" t="s">
        <v>331</v>
      </c>
      <c r="H847" s="15">
        <v>45292</v>
      </c>
      <c r="I847">
        <v>7100</v>
      </c>
      <c r="J847">
        <v>0</v>
      </c>
    </row>
    <row r="848" spans="1:10" x14ac:dyDescent="0.3">
      <c r="A848" s="15">
        <v>45383</v>
      </c>
      <c r="B848" t="s">
        <v>227</v>
      </c>
      <c r="C848" t="s">
        <v>110</v>
      </c>
      <c r="D848" t="s">
        <v>86</v>
      </c>
      <c r="E848" t="s">
        <v>87</v>
      </c>
      <c r="F848">
        <v>25900</v>
      </c>
      <c r="G848" t="s">
        <v>331</v>
      </c>
      <c r="H848" s="15">
        <v>45292</v>
      </c>
      <c r="I848">
        <v>25900</v>
      </c>
      <c r="J848">
        <v>0</v>
      </c>
    </row>
    <row r="849" spans="1:10" x14ac:dyDescent="0.3">
      <c r="A849" s="15">
        <v>45383</v>
      </c>
      <c r="B849" t="s">
        <v>228</v>
      </c>
      <c r="C849" t="s">
        <v>91</v>
      </c>
      <c r="D849" t="s">
        <v>96</v>
      </c>
      <c r="E849" t="s">
        <v>89</v>
      </c>
      <c r="F849">
        <v>11400</v>
      </c>
      <c r="G849" t="s">
        <v>331</v>
      </c>
      <c r="H849" s="15">
        <v>45292</v>
      </c>
      <c r="I849">
        <v>11400</v>
      </c>
      <c r="J849">
        <v>0</v>
      </c>
    </row>
    <row r="850" spans="1:10" x14ac:dyDescent="0.3">
      <c r="A850" s="15">
        <v>45383</v>
      </c>
      <c r="B850" t="s">
        <v>229</v>
      </c>
      <c r="C850" t="s">
        <v>81</v>
      </c>
      <c r="D850" t="s">
        <v>82</v>
      </c>
      <c r="E850" t="s">
        <v>83</v>
      </c>
      <c r="F850">
        <v>3000</v>
      </c>
      <c r="G850" t="s">
        <v>331</v>
      </c>
      <c r="H850" s="15">
        <v>45292</v>
      </c>
      <c r="I850">
        <v>3000</v>
      </c>
      <c r="J850">
        <v>0</v>
      </c>
    </row>
    <row r="851" spans="1:10" x14ac:dyDescent="0.3">
      <c r="A851" s="15">
        <v>45383</v>
      </c>
      <c r="B851" t="s">
        <v>230</v>
      </c>
      <c r="C851" t="s">
        <v>81</v>
      </c>
      <c r="D851" t="s">
        <v>86</v>
      </c>
      <c r="E851" t="s">
        <v>101</v>
      </c>
      <c r="F851">
        <v>3400</v>
      </c>
      <c r="G851" t="s">
        <v>331</v>
      </c>
      <c r="H851" s="15">
        <v>45292</v>
      </c>
      <c r="I851">
        <v>3400</v>
      </c>
      <c r="J851">
        <v>0</v>
      </c>
    </row>
    <row r="852" spans="1:10" x14ac:dyDescent="0.3">
      <c r="A852" s="15">
        <v>45383</v>
      </c>
      <c r="B852" t="s">
        <v>231</v>
      </c>
      <c r="C852" t="s">
        <v>91</v>
      </c>
      <c r="D852" t="s">
        <v>82</v>
      </c>
      <c r="E852" t="s">
        <v>92</v>
      </c>
      <c r="F852">
        <v>6900</v>
      </c>
      <c r="G852" t="s">
        <v>331</v>
      </c>
      <c r="H852" s="15">
        <v>45292</v>
      </c>
      <c r="I852">
        <v>6900</v>
      </c>
      <c r="J852">
        <v>0</v>
      </c>
    </row>
    <row r="853" spans="1:10" x14ac:dyDescent="0.3">
      <c r="A853" s="15">
        <v>45383</v>
      </c>
      <c r="B853" t="s">
        <v>232</v>
      </c>
      <c r="C853" t="s">
        <v>125</v>
      </c>
      <c r="D853" t="s">
        <v>86</v>
      </c>
      <c r="E853" t="s">
        <v>83</v>
      </c>
      <c r="F853">
        <v>104900</v>
      </c>
      <c r="G853" t="s">
        <v>331</v>
      </c>
      <c r="H853" s="15">
        <v>45292</v>
      </c>
      <c r="I853">
        <v>104900</v>
      </c>
      <c r="J853">
        <v>0</v>
      </c>
    </row>
    <row r="854" spans="1:10" x14ac:dyDescent="0.3">
      <c r="A854" s="15">
        <v>45383</v>
      </c>
      <c r="B854" t="s">
        <v>233</v>
      </c>
      <c r="C854" t="s">
        <v>81</v>
      </c>
      <c r="D854" t="s">
        <v>82</v>
      </c>
      <c r="E854" t="s">
        <v>87</v>
      </c>
      <c r="F854">
        <v>3300</v>
      </c>
      <c r="G854" t="s">
        <v>331</v>
      </c>
      <c r="H854" s="15">
        <v>45292</v>
      </c>
      <c r="I854">
        <v>3300</v>
      </c>
      <c r="J854">
        <v>0</v>
      </c>
    </row>
    <row r="855" spans="1:10" x14ac:dyDescent="0.3">
      <c r="A855" s="15">
        <v>45383</v>
      </c>
      <c r="B855" t="s">
        <v>234</v>
      </c>
      <c r="C855" t="s">
        <v>110</v>
      </c>
      <c r="D855" t="s">
        <v>82</v>
      </c>
      <c r="E855" t="s">
        <v>103</v>
      </c>
      <c r="F855">
        <v>41200</v>
      </c>
      <c r="G855" t="s">
        <v>331</v>
      </c>
      <c r="H855" s="15">
        <v>45292</v>
      </c>
      <c r="I855">
        <v>41200</v>
      </c>
      <c r="J855">
        <v>0</v>
      </c>
    </row>
    <row r="856" spans="1:10" x14ac:dyDescent="0.3">
      <c r="A856" s="15">
        <v>45383</v>
      </c>
      <c r="B856" t="s">
        <v>235</v>
      </c>
      <c r="C856" t="s">
        <v>91</v>
      </c>
      <c r="D856" t="s">
        <v>96</v>
      </c>
      <c r="E856" t="s">
        <v>103</v>
      </c>
      <c r="F856">
        <v>10500</v>
      </c>
      <c r="G856" t="s">
        <v>331</v>
      </c>
      <c r="H856" s="15">
        <v>45292</v>
      </c>
      <c r="I856">
        <v>10500</v>
      </c>
      <c r="J856">
        <v>0</v>
      </c>
    </row>
    <row r="857" spans="1:10" x14ac:dyDescent="0.3">
      <c r="A857" s="15">
        <v>45383</v>
      </c>
      <c r="B857" t="s">
        <v>236</v>
      </c>
      <c r="C857" t="s">
        <v>110</v>
      </c>
      <c r="D857" t="s">
        <v>82</v>
      </c>
      <c r="E857" t="s">
        <v>97</v>
      </c>
      <c r="F857">
        <v>27200</v>
      </c>
      <c r="G857" t="s">
        <v>331</v>
      </c>
      <c r="H857" s="15">
        <v>45292</v>
      </c>
      <c r="I857">
        <v>27200</v>
      </c>
      <c r="J857">
        <v>0</v>
      </c>
    </row>
    <row r="858" spans="1:10" x14ac:dyDescent="0.3">
      <c r="A858" s="15">
        <v>45383</v>
      </c>
      <c r="B858" t="s">
        <v>237</v>
      </c>
      <c r="C858" t="s">
        <v>91</v>
      </c>
      <c r="D858" t="s">
        <v>82</v>
      </c>
      <c r="E858" t="s">
        <v>83</v>
      </c>
      <c r="F858">
        <v>8100</v>
      </c>
      <c r="G858" t="s">
        <v>331</v>
      </c>
      <c r="H858" s="15">
        <v>45292</v>
      </c>
      <c r="I858">
        <v>8100</v>
      </c>
      <c r="J858">
        <v>0</v>
      </c>
    </row>
    <row r="859" spans="1:10" x14ac:dyDescent="0.3">
      <c r="A859" s="15">
        <v>45383</v>
      </c>
      <c r="B859" t="s">
        <v>238</v>
      </c>
      <c r="C859" t="s">
        <v>81</v>
      </c>
      <c r="D859" t="s">
        <v>99</v>
      </c>
      <c r="E859" t="s">
        <v>97</v>
      </c>
      <c r="F859">
        <v>2600</v>
      </c>
      <c r="G859" t="s">
        <v>331</v>
      </c>
      <c r="H859" s="15">
        <v>45292</v>
      </c>
      <c r="I859">
        <v>2600</v>
      </c>
      <c r="J859">
        <v>0</v>
      </c>
    </row>
    <row r="860" spans="1:10" x14ac:dyDescent="0.3">
      <c r="A860" s="15">
        <v>45383</v>
      </c>
      <c r="B860" t="s">
        <v>239</v>
      </c>
      <c r="C860" t="s">
        <v>81</v>
      </c>
      <c r="D860" t="s">
        <v>82</v>
      </c>
      <c r="E860" t="s">
        <v>103</v>
      </c>
      <c r="F860">
        <v>2300</v>
      </c>
      <c r="G860" t="s">
        <v>331</v>
      </c>
      <c r="H860" s="15">
        <v>45292</v>
      </c>
      <c r="I860">
        <v>2300</v>
      </c>
      <c r="J860">
        <v>0</v>
      </c>
    </row>
    <row r="861" spans="1:10" x14ac:dyDescent="0.3">
      <c r="A861" s="15">
        <v>45383</v>
      </c>
      <c r="B861" t="s">
        <v>240</v>
      </c>
      <c r="C861" t="s">
        <v>81</v>
      </c>
      <c r="D861" t="s">
        <v>99</v>
      </c>
      <c r="E861" t="s">
        <v>103</v>
      </c>
      <c r="F861">
        <v>3000</v>
      </c>
      <c r="G861" t="s">
        <v>331</v>
      </c>
      <c r="H861" s="15">
        <v>45292</v>
      </c>
      <c r="I861">
        <v>3000</v>
      </c>
      <c r="J861">
        <v>0</v>
      </c>
    </row>
    <row r="862" spans="1:10" x14ac:dyDescent="0.3">
      <c r="A862" s="15">
        <v>45383</v>
      </c>
      <c r="B862" t="s">
        <v>241</v>
      </c>
      <c r="C862" t="s">
        <v>91</v>
      </c>
      <c r="D862" t="s">
        <v>96</v>
      </c>
      <c r="E862" t="s">
        <v>87</v>
      </c>
      <c r="F862">
        <v>12100</v>
      </c>
      <c r="G862" t="s">
        <v>331</v>
      </c>
      <c r="H862" s="15">
        <v>45292</v>
      </c>
      <c r="I862">
        <v>12100</v>
      </c>
      <c r="J862">
        <v>0</v>
      </c>
    </row>
    <row r="863" spans="1:10" x14ac:dyDescent="0.3">
      <c r="A863" s="15">
        <v>45383</v>
      </c>
      <c r="B863" t="s">
        <v>242</v>
      </c>
      <c r="C863" t="s">
        <v>110</v>
      </c>
      <c r="D863" t="s">
        <v>99</v>
      </c>
      <c r="E863" t="s">
        <v>101</v>
      </c>
      <c r="F863">
        <v>34800</v>
      </c>
      <c r="G863" t="s">
        <v>332</v>
      </c>
      <c r="H863" s="15">
        <v>45292</v>
      </c>
      <c r="I863">
        <v>30900</v>
      </c>
      <c r="J863">
        <v>3900</v>
      </c>
    </row>
    <row r="864" spans="1:10" x14ac:dyDescent="0.3">
      <c r="A864" s="15">
        <v>45383</v>
      </c>
      <c r="B864" t="s">
        <v>244</v>
      </c>
      <c r="C864" t="s">
        <v>91</v>
      </c>
      <c r="D864" t="s">
        <v>82</v>
      </c>
      <c r="E864" t="s">
        <v>92</v>
      </c>
      <c r="F864">
        <v>7800</v>
      </c>
      <c r="G864" t="s">
        <v>331</v>
      </c>
      <c r="H864" s="15">
        <v>45292</v>
      </c>
      <c r="I864">
        <v>7800</v>
      </c>
      <c r="J864">
        <v>0</v>
      </c>
    </row>
    <row r="865" spans="1:10" x14ac:dyDescent="0.3">
      <c r="A865" s="15">
        <v>45383</v>
      </c>
      <c r="B865" t="s">
        <v>245</v>
      </c>
      <c r="C865" t="s">
        <v>81</v>
      </c>
      <c r="D865" t="s">
        <v>99</v>
      </c>
      <c r="E865" t="s">
        <v>97</v>
      </c>
      <c r="F865">
        <v>2600</v>
      </c>
      <c r="G865" t="s">
        <v>331</v>
      </c>
      <c r="H865" s="15">
        <v>45292</v>
      </c>
      <c r="I865">
        <v>2600</v>
      </c>
      <c r="J865">
        <v>0</v>
      </c>
    </row>
    <row r="866" spans="1:10" x14ac:dyDescent="0.3">
      <c r="A866" s="15">
        <v>45383</v>
      </c>
      <c r="B866" t="s">
        <v>246</v>
      </c>
      <c r="C866" t="s">
        <v>91</v>
      </c>
      <c r="D866" t="s">
        <v>86</v>
      </c>
      <c r="E866" t="s">
        <v>103</v>
      </c>
      <c r="F866">
        <v>10100</v>
      </c>
      <c r="G866" t="s">
        <v>331</v>
      </c>
      <c r="H866" s="15">
        <v>45292</v>
      </c>
      <c r="I866">
        <v>10100</v>
      </c>
      <c r="J866">
        <v>0</v>
      </c>
    </row>
    <row r="867" spans="1:10" x14ac:dyDescent="0.3">
      <c r="A867" s="15">
        <v>45383</v>
      </c>
      <c r="B867" t="s">
        <v>247</v>
      </c>
      <c r="C867" t="s">
        <v>91</v>
      </c>
      <c r="D867" t="s">
        <v>86</v>
      </c>
      <c r="E867" t="s">
        <v>89</v>
      </c>
      <c r="F867">
        <v>9100</v>
      </c>
      <c r="G867" t="s">
        <v>331</v>
      </c>
      <c r="H867" s="15">
        <v>45292</v>
      </c>
      <c r="I867">
        <v>9100</v>
      </c>
      <c r="J867">
        <v>0</v>
      </c>
    </row>
    <row r="868" spans="1:10" x14ac:dyDescent="0.3">
      <c r="A868" s="15">
        <v>45383</v>
      </c>
      <c r="B868" t="s">
        <v>248</v>
      </c>
      <c r="C868" t="s">
        <v>81</v>
      </c>
      <c r="D868" t="s">
        <v>82</v>
      </c>
      <c r="E868" t="s">
        <v>103</v>
      </c>
      <c r="F868">
        <v>2100</v>
      </c>
      <c r="G868" t="s">
        <v>331</v>
      </c>
      <c r="H868" s="15">
        <v>45292</v>
      </c>
      <c r="I868">
        <v>2100</v>
      </c>
      <c r="J868">
        <v>0</v>
      </c>
    </row>
    <row r="869" spans="1:10" x14ac:dyDescent="0.3">
      <c r="A869" s="15">
        <v>45383</v>
      </c>
      <c r="B869" t="s">
        <v>249</v>
      </c>
      <c r="C869" t="s">
        <v>91</v>
      </c>
      <c r="D869" t="s">
        <v>99</v>
      </c>
      <c r="E869" t="s">
        <v>103</v>
      </c>
      <c r="F869">
        <v>8700</v>
      </c>
      <c r="G869" t="s">
        <v>331</v>
      </c>
      <c r="H869" s="15">
        <v>45292</v>
      </c>
      <c r="I869">
        <v>8700</v>
      </c>
      <c r="J869">
        <v>0</v>
      </c>
    </row>
    <row r="870" spans="1:10" x14ac:dyDescent="0.3">
      <c r="A870" s="15">
        <v>45383</v>
      </c>
      <c r="B870" t="s">
        <v>250</v>
      </c>
      <c r="C870" t="s">
        <v>81</v>
      </c>
      <c r="D870" t="s">
        <v>86</v>
      </c>
      <c r="E870" t="s">
        <v>87</v>
      </c>
      <c r="F870">
        <v>3300</v>
      </c>
      <c r="G870" t="s">
        <v>331</v>
      </c>
      <c r="H870" s="15">
        <v>45292</v>
      </c>
      <c r="I870">
        <v>3300</v>
      </c>
      <c r="J870">
        <v>0</v>
      </c>
    </row>
    <row r="871" spans="1:10" x14ac:dyDescent="0.3">
      <c r="A871" s="15">
        <v>45383</v>
      </c>
      <c r="B871" t="s">
        <v>251</v>
      </c>
      <c r="C871" t="s">
        <v>91</v>
      </c>
      <c r="D871" t="s">
        <v>99</v>
      </c>
      <c r="E871" t="s">
        <v>103</v>
      </c>
      <c r="F871">
        <v>7700</v>
      </c>
      <c r="G871" t="s">
        <v>331</v>
      </c>
      <c r="H871" s="15">
        <v>45292</v>
      </c>
      <c r="I871">
        <v>7700</v>
      </c>
      <c r="J871">
        <v>0</v>
      </c>
    </row>
    <row r="872" spans="1:10" x14ac:dyDescent="0.3">
      <c r="A872" s="15">
        <v>45383</v>
      </c>
      <c r="B872" t="s">
        <v>252</v>
      </c>
      <c r="C872" t="s">
        <v>81</v>
      </c>
      <c r="D872" t="s">
        <v>99</v>
      </c>
      <c r="E872" t="s">
        <v>92</v>
      </c>
      <c r="F872">
        <v>3400</v>
      </c>
      <c r="G872" t="s">
        <v>331</v>
      </c>
      <c r="H872" s="15">
        <v>45292</v>
      </c>
      <c r="I872">
        <v>3400</v>
      </c>
      <c r="J872">
        <v>0</v>
      </c>
    </row>
    <row r="873" spans="1:10" x14ac:dyDescent="0.3">
      <c r="A873" s="15">
        <v>45383</v>
      </c>
      <c r="B873" t="s">
        <v>253</v>
      </c>
      <c r="C873" t="s">
        <v>81</v>
      </c>
      <c r="D873" t="s">
        <v>96</v>
      </c>
      <c r="E873" t="s">
        <v>89</v>
      </c>
      <c r="F873">
        <v>2400</v>
      </c>
      <c r="G873" t="s">
        <v>331</v>
      </c>
      <c r="H873" s="15">
        <v>45292</v>
      </c>
      <c r="I873">
        <v>2400</v>
      </c>
      <c r="J873">
        <v>0</v>
      </c>
    </row>
    <row r="874" spans="1:10" x14ac:dyDescent="0.3">
      <c r="A874" s="15">
        <v>45383</v>
      </c>
      <c r="B874" t="s">
        <v>254</v>
      </c>
      <c r="C874" t="s">
        <v>110</v>
      </c>
      <c r="D874" t="s">
        <v>86</v>
      </c>
      <c r="E874" t="s">
        <v>103</v>
      </c>
      <c r="F874">
        <v>56100</v>
      </c>
      <c r="G874" t="s">
        <v>331</v>
      </c>
      <c r="H874" s="15">
        <v>45292</v>
      </c>
      <c r="I874">
        <v>56100</v>
      </c>
      <c r="J874">
        <v>0</v>
      </c>
    </row>
    <row r="875" spans="1:10" x14ac:dyDescent="0.3">
      <c r="A875" s="15">
        <v>45383</v>
      </c>
      <c r="B875" t="s">
        <v>255</v>
      </c>
      <c r="C875" t="s">
        <v>91</v>
      </c>
      <c r="D875" t="s">
        <v>86</v>
      </c>
      <c r="E875" t="s">
        <v>89</v>
      </c>
      <c r="F875">
        <v>8600</v>
      </c>
      <c r="G875" t="s">
        <v>331</v>
      </c>
      <c r="H875" s="15">
        <v>45292</v>
      </c>
      <c r="I875">
        <v>8600</v>
      </c>
      <c r="J875">
        <v>0</v>
      </c>
    </row>
    <row r="876" spans="1:10" x14ac:dyDescent="0.3">
      <c r="A876" s="15">
        <v>45383</v>
      </c>
      <c r="B876" t="s">
        <v>256</v>
      </c>
      <c r="C876" t="s">
        <v>81</v>
      </c>
      <c r="D876" t="s">
        <v>82</v>
      </c>
      <c r="E876" t="s">
        <v>103</v>
      </c>
      <c r="F876">
        <v>2600</v>
      </c>
      <c r="G876" t="s">
        <v>331</v>
      </c>
      <c r="H876" s="15">
        <v>45292</v>
      </c>
      <c r="I876">
        <v>2600</v>
      </c>
      <c r="J876">
        <v>0</v>
      </c>
    </row>
    <row r="877" spans="1:10" x14ac:dyDescent="0.3">
      <c r="A877" s="15">
        <v>45383</v>
      </c>
      <c r="B877" t="s">
        <v>257</v>
      </c>
      <c r="C877" t="s">
        <v>91</v>
      </c>
      <c r="D877" t="s">
        <v>96</v>
      </c>
      <c r="E877" t="s">
        <v>87</v>
      </c>
      <c r="F877">
        <v>8400</v>
      </c>
      <c r="G877" t="s">
        <v>331</v>
      </c>
      <c r="H877" s="15">
        <v>45292</v>
      </c>
      <c r="I877">
        <v>8400</v>
      </c>
      <c r="J877">
        <v>0</v>
      </c>
    </row>
    <row r="878" spans="1:10" x14ac:dyDescent="0.3">
      <c r="A878" s="15">
        <v>45383</v>
      </c>
      <c r="B878" t="s">
        <v>258</v>
      </c>
      <c r="C878" t="s">
        <v>125</v>
      </c>
      <c r="D878" t="s">
        <v>86</v>
      </c>
      <c r="E878" t="s">
        <v>83</v>
      </c>
      <c r="F878">
        <v>96300</v>
      </c>
      <c r="G878" t="s">
        <v>331</v>
      </c>
      <c r="H878" s="15">
        <v>45292</v>
      </c>
      <c r="I878">
        <v>96300</v>
      </c>
      <c r="J878">
        <v>0</v>
      </c>
    </row>
    <row r="879" spans="1:10" x14ac:dyDescent="0.3">
      <c r="A879" s="15">
        <v>45383</v>
      </c>
      <c r="B879" t="s">
        <v>259</v>
      </c>
      <c r="C879" t="s">
        <v>81</v>
      </c>
      <c r="D879" t="s">
        <v>86</v>
      </c>
      <c r="E879" t="s">
        <v>89</v>
      </c>
      <c r="F879">
        <v>1900</v>
      </c>
      <c r="G879" t="s">
        <v>331</v>
      </c>
      <c r="H879" s="15">
        <v>45292</v>
      </c>
      <c r="I879">
        <v>1900</v>
      </c>
      <c r="J879">
        <v>0</v>
      </c>
    </row>
    <row r="880" spans="1:10" x14ac:dyDescent="0.3">
      <c r="A880" s="15">
        <v>45383</v>
      </c>
      <c r="B880" t="s">
        <v>260</v>
      </c>
      <c r="C880" t="s">
        <v>81</v>
      </c>
      <c r="D880" t="s">
        <v>86</v>
      </c>
      <c r="E880" t="s">
        <v>97</v>
      </c>
      <c r="F880">
        <v>2600</v>
      </c>
      <c r="G880" t="s">
        <v>331</v>
      </c>
      <c r="H880" s="15">
        <v>45292</v>
      </c>
      <c r="I880">
        <v>2600</v>
      </c>
      <c r="J880">
        <v>0</v>
      </c>
    </row>
    <row r="881" spans="1:10" x14ac:dyDescent="0.3">
      <c r="A881" s="15">
        <v>45383</v>
      </c>
      <c r="B881" t="s">
        <v>261</v>
      </c>
      <c r="C881" t="s">
        <v>81</v>
      </c>
      <c r="D881" t="s">
        <v>82</v>
      </c>
      <c r="E881" t="s">
        <v>103</v>
      </c>
      <c r="F881">
        <v>0</v>
      </c>
      <c r="G881" t="s">
        <v>333</v>
      </c>
      <c r="H881" s="15">
        <v>45292</v>
      </c>
      <c r="I881">
        <v>2200</v>
      </c>
      <c r="J881">
        <v>-2200</v>
      </c>
    </row>
    <row r="882" spans="1:10" x14ac:dyDescent="0.3">
      <c r="A882" s="15">
        <v>45383</v>
      </c>
      <c r="B882" t="s">
        <v>262</v>
      </c>
      <c r="C882" t="s">
        <v>91</v>
      </c>
      <c r="D882" t="s">
        <v>82</v>
      </c>
      <c r="E882" t="s">
        <v>92</v>
      </c>
      <c r="F882">
        <v>8600</v>
      </c>
      <c r="G882" t="s">
        <v>331</v>
      </c>
      <c r="H882" s="15">
        <v>45292</v>
      </c>
      <c r="I882">
        <v>8600</v>
      </c>
      <c r="J882">
        <v>0</v>
      </c>
    </row>
    <row r="883" spans="1:10" x14ac:dyDescent="0.3">
      <c r="A883" s="15">
        <v>45383</v>
      </c>
      <c r="B883" t="s">
        <v>263</v>
      </c>
      <c r="C883" t="s">
        <v>81</v>
      </c>
      <c r="D883" t="s">
        <v>99</v>
      </c>
      <c r="E883" t="s">
        <v>89</v>
      </c>
      <c r="F883">
        <v>3200</v>
      </c>
      <c r="G883" t="s">
        <v>331</v>
      </c>
      <c r="H883" s="15">
        <v>45292</v>
      </c>
      <c r="I883">
        <v>3200</v>
      </c>
      <c r="J883">
        <v>0</v>
      </c>
    </row>
    <row r="884" spans="1:10" x14ac:dyDescent="0.3">
      <c r="A884" s="15">
        <v>45383</v>
      </c>
      <c r="B884" t="s">
        <v>264</v>
      </c>
      <c r="C884" t="s">
        <v>110</v>
      </c>
      <c r="D884" t="s">
        <v>86</v>
      </c>
      <c r="E884" t="s">
        <v>97</v>
      </c>
      <c r="F884">
        <v>31500</v>
      </c>
      <c r="G884" t="s">
        <v>331</v>
      </c>
      <c r="H884" s="15">
        <v>45292</v>
      </c>
      <c r="I884">
        <v>31500</v>
      </c>
      <c r="J884">
        <v>0</v>
      </c>
    </row>
    <row r="885" spans="1:10" x14ac:dyDescent="0.3">
      <c r="A885" s="15">
        <v>45383</v>
      </c>
      <c r="B885" t="s">
        <v>265</v>
      </c>
      <c r="C885" t="s">
        <v>125</v>
      </c>
      <c r="D885" t="s">
        <v>86</v>
      </c>
      <c r="E885" t="s">
        <v>101</v>
      </c>
      <c r="F885">
        <v>92200</v>
      </c>
      <c r="G885" t="s">
        <v>331</v>
      </c>
      <c r="H885" s="15">
        <v>45292</v>
      </c>
      <c r="I885">
        <v>92200</v>
      </c>
      <c r="J885">
        <v>0</v>
      </c>
    </row>
    <row r="886" spans="1:10" x14ac:dyDescent="0.3">
      <c r="A886" s="15">
        <v>45383</v>
      </c>
      <c r="B886" t="s">
        <v>266</v>
      </c>
      <c r="C886" t="s">
        <v>81</v>
      </c>
      <c r="D886" t="s">
        <v>82</v>
      </c>
      <c r="E886" t="s">
        <v>83</v>
      </c>
      <c r="F886">
        <v>2200</v>
      </c>
      <c r="G886" t="s">
        <v>331</v>
      </c>
      <c r="H886" s="15">
        <v>45292</v>
      </c>
      <c r="I886">
        <v>2200</v>
      </c>
      <c r="J886">
        <v>0</v>
      </c>
    </row>
    <row r="887" spans="1:10" x14ac:dyDescent="0.3">
      <c r="A887" s="15">
        <v>45383</v>
      </c>
      <c r="B887" t="s">
        <v>267</v>
      </c>
      <c r="C887" t="s">
        <v>91</v>
      </c>
      <c r="D887" t="s">
        <v>82</v>
      </c>
      <c r="E887" t="s">
        <v>97</v>
      </c>
      <c r="F887">
        <v>6900</v>
      </c>
      <c r="G887" t="s">
        <v>331</v>
      </c>
      <c r="H887" s="15">
        <v>45292</v>
      </c>
      <c r="I887">
        <v>6900</v>
      </c>
      <c r="J887">
        <v>0</v>
      </c>
    </row>
    <row r="888" spans="1:10" x14ac:dyDescent="0.3">
      <c r="A888" s="15">
        <v>45383</v>
      </c>
      <c r="B888" t="s">
        <v>269</v>
      </c>
      <c r="C888" t="s">
        <v>91</v>
      </c>
      <c r="D888" t="s">
        <v>82</v>
      </c>
      <c r="E888" t="s">
        <v>103</v>
      </c>
      <c r="F888">
        <v>0</v>
      </c>
      <c r="G888" t="s">
        <v>333</v>
      </c>
      <c r="H888" s="15">
        <v>45292</v>
      </c>
      <c r="I888">
        <v>9100</v>
      </c>
      <c r="J888">
        <v>-9100</v>
      </c>
    </row>
    <row r="889" spans="1:10" x14ac:dyDescent="0.3">
      <c r="A889" s="15">
        <v>45383</v>
      </c>
      <c r="B889" t="s">
        <v>270</v>
      </c>
      <c r="C889" t="s">
        <v>110</v>
      </c>
      <c r="D889" t="s">
        <v>86</v>
      </c>
      <c r="E889" t="s">
        <v>87</v>
      </c>
      <c r="F889">
        <v>44200</v>
      </c>
      <c r="G889" t="s">
        <v>331</v>
      </c>
      <c r="H889" s="15">
        <v>45292</v>
      </c>
      <c r="I889">
        <v>44200</v>
      </c>
      <c r="J889">
        <v>0</v>
      </c>
    </row>
    <row r="890" spans="1:10" x14ac:dyDescent="0.3">
      <c r="A890" s="15">
        <v>45383</v>
      </c>
      <c r="B890" t="s">
        <v>271</v>
      </c>
      <c r="C890" t="s">
        <v>81</v>
      </c>
      <c r="D890" t="s">
        <v>82</v>
      </c>
      <c r="E890" t="s">
        <v>97</v>
      </c>
      <c r="F890">
        <v>2900</v>
      </c>
      <c r="G890" t="s">
        <v>331</v>
      </c>
      <c r="H890" s="15">
        <v>45292</v>
      </c>
      <c r="I890">
        <v>2900</v>
      </c>
      <c r="J890">
        <v>0</v>
      </c>
    </row>
    <row r="891" spans="1:10" x14ac:dyDescent="0.3">
      <c r="A891" s="15">
        <v>45383</v>
      </c>
      <c r="B891" t="s">
        <v>272</v>
      </c>
      <c r="C891" t="s">
        <v>125</v>
      </c>
      <c r="D891" t="s">
        <v>96</v>
      </c>
      <c r="E891" t="s">
        <v>103</v>
      </c>
      <c r="F891">
        <v>87600</v>
      </c>
      <c r="G891" t="s">
        <v>331</v>
      </c>
      <c r="H891" s="15">
        <v>45292</v>
      </c>
      <c r="I891">
        <v>87600</v>
      </c>
      <c r="J891">
        <v>0</v>
      </c>
    </row>
    <row r="892" spans="1:10" x14ac:dyDescent="0.3">
      <c r="A892" s="15">
        <v>45383</v>
      </c>
      <c r="B892" t="s">
        <v>273</v>
      </c>
      <c r="C892" t="s">
        <v>81</v>
      </c>
      <c r="D892" t="s">
        <v>82</v>
      </c>
      <c r="E892" t="s">
        <v>101</v>
      </c>
      <c r="F892">
        <v>3300</v>
      </c>
      <c r="G892" t="s">
        <v>331</v>
      </c>
      <c r="H892" s="15">
        <v>45292</v>
      </c>
      <c r="I892">
        <v>3300</v>
      </c>
      <c r="J892">
        <v>0</v>
      </c>
    </row>
    <row r="893" spans="1:10" x14ac:dyDescent="0.3">
      <c r="A893" s="15">
        <v>45383</v>
      </c>
      <c r="B893" t="s">
        <v>274</v>
      </c>
      <c r="C893" t="s">
        <v>91</v>
      </c>
      <c r="D893" t="s">
        <v>99</v>
      </c>
      <c r="E893" t="s">
        <v>87</v>
      </c>
      <c r="F893">
        <v>11400</v>
      </c>
      <c r="G893" t="s">
        <v>331</v>
      </c>
      <c r="H893" s="15">
        <v>45292</v>
      </c>
      <c r="I893">
        <v>11400</v>
      </c>
      <c r="J893">
        <v>0</v>
      </c>
    </row>
    <row r="894" spans="1:10" x14ac:dyDescent="0.3">
      <c r="A894" s="15">
        <v>45383</v>
      </c>
      <c r="B894" t="s">
        <v>276</v>
      </c>
      <c r="C894" t="s">
        <v>81</v>
      </c>
      <c r="D894" t="s">
        <v>82</v>
      </c>
      <c r="E894" t="s">
        <v>103</v>
      </c>
      <c r="F894">
        <v>3300</v>
      </c>
      <c r="G894" t="s">
        <v>331</v>
      </c>
      <c r="H894" s="15">
        <v>45292</v>
      </c>
      <c r="I894">
        <v>3300</v>
      </c>
      <c r="J894">
        <v>0</v>
      </c>
    </row>
    <row r="895" spans="1:10" x14ac:dyDescent="0.3">
      <c r="A895" s="15">
        <v>45383</v>
      </c>
      <c r="B895" t="s">
        <v>277</v>
      </c>
      <c r="C895" t="s">
        <v>91</v>
      </c>
      <c r="D895" t="s">
        <v>86</v>
      </c>
      <c r="E895" t="s">
        <v>97</v>
      </c>
      <c r="F895">
        <v>8000</v>
      </c>
      <c r="G895" t="s">
        <v>331</v>
      </c>
      <c r="H895" s="15">
        <v>45292</v>
      </c>
      <c r="I895">
        <v>8000</v>
      </c>
      <c r="J895">
        <v>0</v>
      </c>
    </row>
    <row r="896" spans="1:10" x14ac:dyDescent="0.3">
      <c r="A896" s="15">
        <v>45383</v>
      </c>
      <c r="B896" t="s">
        <v>278</v>
      </c>
      <c r="C896" t="s">
        <v>81</v>
      </c>
      <c r="D896" t="s">
        <v>82</v>
      </c>
      <c r="E896" t="s">
        <v>92</v>
      </c>
      <c r="F896">
        <v>1900</v>
      </c>
      <c r="G896" t="s">
        <v>331</v>
      </c>
      <c r="H896" s="15">
        <v>45292</v>
      </c>
      <c r="I896">
        <v>1900</v>
      </c>
      <c r="J896">
        <v>0</v>
      </c>
    </row>
    <row r="897" spans="1:10" x14ac:dyDescent="0.3">
      <c r="A897" s="15">
        <v>45383</v>
      </c>
      <c r="B897" t="s">
        <v>279</v>
      </c>
      <c r="C897" t="s">
        <v>91</v>
      </c>
      <c r="D897" t="s">
        <v>99</v>
      </c>
      <c r="E897" t="s">
        <v>89</v>
      </c>
      <c r="F897">
        <v>9800</v>
      </c>
      <c r="G897" t="s">
        <v>331</v>
      </c>
      <c r="H897" s="15">
        <v>45292</v>
      </c>
      <c r="I897">
        <v>9800</v>
      </c>
      <c r="J897">
        <v>0</v>
      </c>
    </row>
    <row r="898" spans="1:10" x14ac:dyDescent="0.3">
      <c r="A898" s="15">
        <v>45383</v>
      </c>
      <c r="B898" t="s">
        <v>280</v>
      </c>
      <c r="C898" t="s">
        <v>91</v>
      </c>
      <c r="D898" t="s">
        <v>96</v>
      </c>
      <c r="E898" t="s">
        <v>83</v>
      </c>
      <c r="F898">
        <v>6300</v>
      </c>
      <c r="G898" t="s">
        <v>331</v>
      </c>
      <c r="H898" s="15">
        <v>45292</v>
      </c>
      <c r="I898">
        <v>6300</v>
      </c>
      <c r="J898">
        <v>0</v>
      </c>
    </row>
    <row r="899" spans="1:10" x14ac:dyDescent="0.3">
      <c r="A899" s="15">
        <v>45383</v>
      </c>
      <c r="B899" t="s">
        <v>281</v>
      </c>
      <c r="C899" t="s">
        <v>110</v>
      </c>
      <c r="D899" t="s">
        <v>86</v>
      </c>
      <c r="E899" t="s">
        <v>92</v>
      </c>
      <c r="F899">
        <v>46800</v>
      </c>
      <c r="G899" t="s">
        <v>331</v>
      </c>
      <c r="H899" s="15">
        <v>45292</v>
      </c>
      <c r="I899">
        <v>46800</v>
      </c>
      <c r="J899">
        <v>0</v>
      </c>
    </row>
    <row r="900" spans="1:10" x14ac:dyDescent="0.3">
      <c r="A900" s="15">
        <v>45383</v>
      </c>
      <c r="B900" t="s">
        <v>282</v>
      </c>
      <c r="C900" t="s">
        <v>91</v>
      </c>
      <c r="D900" t="s">
        <v>86</v>
      </c>
      <c r="E900" t="s">
        <v>92</v>
      </c>
      <c r="F900">
        <v>7000</v>
      </c>
      <c r="G900" t="s">
        <v>331</v>
      </c>
      <c r="H900" s="15">
        <v>45292</v>
      </c>
      <c r="I900">
        <v>7000</v>
      </c>
      <c r="J900">
        <v>0</v>
      </c>
    </row>
    <row r="901" spans="1:10" x14ac:dyDescent="0.3">
      <c r="A901" s="15">
        <v>45383</v>
      </c>
      <c r="B901" t="s">
        <v>283</v>
      </c>
      <c r="C901" t="s">
        <v>110</v>
      </c>
      <c r="D901" t="s">
        <v>82</v>
      </c>
      <c r="E901" t="s">
        <v>87</v>
      </c>
      <c r="F901">
        <v>34200</v>
      </c>
      <c r="G901" t="s">
        <v>331</v>
      </c>
      <c r="H901" s="15">
        <v>45292</v>
      </c>
      <c r="I901">
        <v>34200</v>
      </c>
      <c r="J901">
        <v>0</v>
      </c>
    </row>
    <row r="902" spans="1:10" x14ac:dyDescent="0.3">
      <c r="A902" s="15">
        <v>45383</v>
      </c>
      <c r="B902" t="s">
        <v>284</v>
      </c>
      <c r="C902" t="s">
        <v>81</v>
      </c>
      <c r="D902" t="s">
        <v>82</v>
      </c>
      <c r="E902" t="s">
        <v>101</v>
      </c>
      <c r="F902">
        <v>2400</v>
      </c>
      <c r="G902" t="s">
        <v>331</v>
      </c>
      <c r="H902" s="15">
        <v>45292</v>
      </c>
      <c r="I902">
        <v>2400</v>
      </c>
      <c r="J902">
        <v>0</v>
      </c>
    </row>
    <row r="903" spans="1:10" x14ac:dyDescent="0.3">
      <c r="A903" s="15">
        <v>45383</v>
      </c>
      <c r="B903" t="s">
        <v>285</v>
      </c>
      <c r="C903" t="s">
        <v>91</v>
      </c>
      <c r="D903" t="s">
        <v>82</v>
      </c>
      <c r="E903" t="s">
        <v>83</v>
      </c>
      <c r="F903">
        <v>10900</v>
      </c>
      <c r="G903" t="s">
        <v>331</v>
      </c>
      <c r="H903" s="15">
        <v>45292</v>
      </c>
      <c r="I903">
        <v>10900</v>
      </c>
      <c r="J903">
        <v>0</v>
      </c>
    </row>
    <row r="904" spans="1:10" x14ac:dyDescent="0.3">
      <c r="A904" s="15">
        <v>45383</v>
      </c>
      <c r="B904" t="s">
        <v>286</v>
      </c>
      <c r="C904" t="s">
        <v>125</v>
      </c>
      <c r="D904" t="s">
        <v>86</v>
      </c>
      <c r="E904" t="s">
        <v>92</v>
      </c>
      <c r="F904">
        <v>92400</v>
      </c>
      <c r="G904" t="s">
        <v>332</v>
      </c>
      <c r="H904" s="15">
        <v>45292</v>
      </c>
      <c r="I904">
        <v>87000</v>
      </c>
      <c r="J904">
        <v>5400</v>
      </c>
    </row>
    <row r="905" spans="1:10" x14ac:dyDescent="0.3">
      <c r="A905" s="15">
        <v>45383</v>
      </c>
      <c r="B905" t="s">
        <v>287</v>
      </c>
      <c r="C905" t="s">
        <v>81</v>
      </c>
      <c r="D905" t="s">
        <v>99</v>
      </c>
      <c r="E905" t="s">
        <v>87</v>
      </c>
      <c r="F905">
        <v>2300</v>
      </c>
      <c r="G905" t="s">
        <v>331</v>
      </c>
      <c r="H905" s="15">
        <v>45292</v>
      </c>
      <c r="I905">
        <v>2300</v>
      </c>
      <c r="J905">
        <v>0</v>
      </c>
    </row>
    <row r="906" spans="1:10" x14ac:dyDescent="0.3">
      <c r="A906" s="15">
        <v>45383</v>
      </c>
      <c r="B906" t="s">
        <v>288</v>
      </c>
      <c r="C906" t="s">
        <v>81</v>
      </c>
      <c r="D906" t="s">
        <v>99</v>
      </c>
      <c r="E906" t="s">
        <v>97</v>
      </c>
      <c r="F906">
        <v>2600</v>
      </c>
      <c r="G906" t="s">
        <v>331</v>
      </c>
      <c r="H906" s="15">
        <v>45292</v>
      </c>
      <c r="I906">
        <v>2600</v>
      </c>
      <c r="J906">
        <v>0</v>
      </c>
    </row>
    <row r="907" spans="1:10" x14ac:dyDescent="0.3">
      <c r="A907" s="15">
        <v>45383</v>
      </c>
      <c r="B907" t="s">
        <v>289</v>
      </c>
      <c r="C907" t="s">
        <v>91</v>
      </c>
      <c r="D907" t="s">
        <v>86</v>
      </c>
      <c r="E907" t="s">
        <v>101</v>
      </c>
      <c r="F907">
        <v>9400</v>
      </c>
      <c r="G907" t="s">
        <v>331</v>
      </c>
      <c r="H907" s="15">
        <v>45292</v>
      </c>
      <c r="I907">
        <v>9400</v>
      </c>
      <c r="J907">
        <v>0</v>
      </c>
    </row>
    <row r="908" spans="1:10" x14ac:dyDescent="0.3">
      <c r="A908" s="15">
        <v>45383</v>
      </c>
      <c r="B908" t="s">
        <v>290</v>
      </c>
      <c r="C908" t="s">
        <v>81</v>
      </c>
      <c r="D908" t="s">
        <v>82</v>
      </c>
      <c r="E908" t="s">
        <v>103</v>
      </c>
      <c r="F908">
        <v>2800</v>
      </c>
      <c r="G908" t="s">
        <v>331</v>
      </c>
      <c r="H908" s="15">
        <v>45292</v>
      </c>
      <c r="I908">
        <v>2800</v>
      </c>
      <c r="J908">
        <v>0</v>
      </c>
    </row>
    <row r="909" spans="1:10" x14ac:dyDescent="0.3">
      <c r="A909" s="15">
        <v>45383</v>
      </c>
      <c r="B909" t="s">
        <v>291</v>
      </c>
      <c r="C909" t="s">
        <v>81</v>
      </c>
      <c r="D909" t="s">
        <v>82</v>
      </c>
      <c r="E909" t="s">
        <v>83</v>
      </c>
      <c r="F909">
        <v>3100</v>
      </c>
      <c r="G909" t="s">
        <v>331</v>
      </c>
      <c r="H909" s="15">
        <v>45292</v>
      </c>
      <c r="I909">
        <v>3100</v>
      </c>
      <c r="J909">
        <v>0</v>
      </c>
    </row>
    <row r="910" spans="1:10" x14ac:dyDescent="0.3">
      <c r="A910" s="15">
        <v>45383</v>
      </c>
      <c r="B910" t="s">
        <v>292</v>
      </c>
      <c r="C910" t="s">
        <v>91</v>
      </c>
      <c r="D910" t="s">
        <v>86</v>
      </c>
      <c r="E910" t="s">
        <v>89</v>
      </c>
      <c r="F910">
        <v>8600</v>
      </c>
      <c r="G910" t="s">
        <v>331</v>
      </c>
      <c r="H910" s="15">
        <v>45292</v>
      </c>
      <c r="I910">
        <v>8600</v>
      </c>
      <c r="J910">
        <v>0</v>
      </c>
    </row>
    <row r="911" spans="1:10" x14ac:dyDescent="0.3">
      <c r="A911" s="15">
        <v>45383</v>
      </c>
      <c r="B911" t="s">
        <v>293</v>
      </c>
      <c r="C911" t="s">
        <v>81</v>
      </c>
      <c r="D911" t="s">
        <v>86</v>
      </c>
      <c r="E911" t="s">
        <v>103</v>
      </c>
      <c r="F911">
        <v>2200</v>
      </c>
      <c r="G911" t="s">
        <v>331</v>
      </c>
      <c r="H911" s="15">
        <v>45292</v>
      </c>
      <c r="I911">
        <v>2200</v>
      </c>
      <c r="J911">
        <v>0</v>
      </c>
    </row>
    <row r="912" spans="1:10" x14ac:dyDescent="0.3">
      <c r="A912" s="15">
        <v>45383</v>
      </c>
      <c r="B912" t="s">
        <v>294</v>
      </c>
      <c r="C912" t="s">
        <v>91</v>
      </c>
      <c r="D912" t="s">
        <v>82</v>
      </c>
      <c r="E912" t="s">
        <v>97</v>
      </c>
      <c r="F912">
        <v>9500</v>
      </c>
      <c r="G912" t="s">
        <v>331</v>
      </c>
      <c r="H912" s="15">
        <v>45292</v>
      </c>
      <c r="I912">
        <v>9500</v>
      </c>
      <c r="J912">
        <v>0</v>
      </c>
    </row>
    <row r="913" spans="1:10" x14ac:dyDescent="0.3">
      <c r="A913" s="15">
        <v>45383</v>
      </c>
      <c r="B913" t="s">
        <v>295</v>
      </c>
      <c r="C913" t="s">
        <v>81</v>
      </c>
      <c r="D913" t="s">
        <v>82</v>
      </c>
      <c r="E913" t="s">
        <v>103</v>
      </c>
      <c r="F913">
        <v>2300</v>
      </c>
      <c r="G913" t="s">
        <v>331</v>
      </c>
      <c r="H913" s="15">
        <v>45292</v>
      </c>
      <c r="I913">
        <v>2300</v>
      </c>
      <c r="J913">
        <v>0</v>
      </c>
    </row>
    <row r="914" spans="1:10" x14ac:dyDescent="0.3">
      <c r="A914" s="15">
        <v>45383</v>
      </c>
      <c r="B914" t="s">
        <v>297</v>
      </c>
      <c r="C914" t="s">
        <v>91</v>
      </c>
      <c r="D914" t="s">
        <v>86</v>
      </c>
      <c r="E914" t="s">
        <v>103</v>
      </c>
      <c r="F914">
        <v>9100</v>
      </c>
      <c r="G914" t="s">
        <v>331</v>
      </c>
      <c r="H914" s="15">
        <v>45292</v>
      </c>
      <c r="I914">
        <v>9100</v>
      </c>
      <c r="J914">
        <v>0</v>
      </c>
    </row>
    <row r="915" spans="1:10" x14ac:dyDescent="0.3">
      <c r="A915" s="15">
        <v>45383</v>
      </c>
      <c r="B915" t="s">
        <v>298</v>
      </c>
      <c r="C915" t="s">
        <v>81</v>
      </c>
      <c r="D915" t="s">
        <v>86</v>
      </c>
      <c r="E915" t="s">
        <v>89</v>
      </c>
      <c r="F915">
        <v>2700</v>
      </c>
      <c r="G915" t="s">
        <v>331</v>
      </c>
      <c r="H915" s="15">
        <v>45292</v>
      </c>
      <c r="I915">
        <v>2700</v>
      </c>
      <c r="J915">
        <v>0</v>
      </c>
    </row>
    <row r="916" spans="1:10" x14ac:dyDescent="0.3">
      <c r="A916" s="15">
        <v>45383</v>
      </c>
      <c r="B916" t="s">
        <v>299</v>
      </c>
      <c r="C916" t="s">
        <v>81</v>
      </c>
      <c r="D916" t="s">
        <v>99</v>
      </c>
      <c r="E916" t="s">
        <v>103</v>
      </c>
      <c r="F916">
        <v>2900</v>
      </c>
      <c r="G916" t="s">
        <v>331</v>
      </c>
      <c r="H916" s="15">
        <v>45292</v>
      </c>
      <c r="I916">
        <v>2900</v>
      </c>
      <c r="J916">
        <v>0</v>
      </c>
    </row>
    <row r="917" spans="1:10" x14ac:dyDescent="0.3">
      <c r="A917" s="15">
        <v>45383</v>
      </c>
      <c r="B917" t="s">
        <v>300</v>
      </c>
      <c r="C917" t="s">
        <v>91</v>
      </c>
      <c r="D917" t="s">
        <v>82</v>
      </c>
      <c r="E917" t="s">
        <v>89</v>
      </c>
      <c r="F917">
        <v>10900</v>
      </c>
      <c r="G917" t="s">
        <v>331</v>
      </c>
      <c r="H917" s="15">
        <v>45292</v>
      </c>
      <c r="I917">
        <v>10900</v>
      </c>
      <c r="J917">
        <v>0</v>
      </c>
    </row>
    <row r="918" spans="1:10" x14ac:dyDescent="0.3">
      <c r="A918" s="15">
        <v>45383</v>
      </c>
      <c r="B918" t="s">
        <v>301</v>
      </c>
      <c r="C918" t="s">
        <v>125</v>
      </c>
      <c r="D918" t="s">
        <v>82</v>
      </c>
      <c r="E918" t="s">
        <v>92</v>
      </c>
      <c r="F918">
        <v>116700</v>
      </c>
      <c r="G918" t="s">
        <v>331</v>
      </c>
      <c r="H918" s="15">
        <v>45292</v>
      </c>
      <c r="I918">
        <v>116700</v>
      </c>
      <c r="J918">
        <v>0</v>
      </c>
    </row>
    <row r="919" spans="1:10" x14ac:dyDescent="0.3">
      <c r="A919" s="15">
        <v>45383</v>
      </c>
      <c r="B919" t="s">
        <v>303</v>
      </c>
      <c r="C919" t="s">
        <v>81</v>
      </c>
      <c r="D919" t="s">
        <v>82</v>
      </c>
      <c r="E919" t="s">
        <v>83</v>
      </c>
      <c r="F919">
        <v>1700</v>
      </c>
      <c r="G919" t="s">
        <v>331</v>
      </c>
      <c r="H919" s="15">
        <v>45292</v>
      </c>
      <c r="I919">
        <v>1700</v>
      </c>
      <c r="J919">
        <v>0</v>
      </c>
    </row>
    <row r="920" spans="1:10" x14ac:dyDescent="0.3">
      <c r="A920" s="15">
        <v>45383</v>
      </c>
      <c r="B920" t="s">
        <v>304</v>
      </c>
      <c r="C920" t="s">
        <v>81</v>
      </c>
      <c r="D920" t="s">
        <v>86</v>
      </c>
      <c r="E920" t="s">
        <v>92</v>
      </c>
      <c r="F920">
        <v>2100</v>
      </c>
      <c r="G920" t="s">
        <v>331</v>
      </c>
      <c r="H920" s="15">
        <v>45292</v>
      </c>
      <c r="I920">
        <v>2100</v>
      </c>
      <c r="J920">
        <v>0</v>
      </c>
    </row>
    <row r="921" spans="1:10" x14ac:dyDescent="0.3">
      <c r="A921" s="15">
        <v>45383</v>
      </c>
      <c r="B921" t="s">
        <v>305</v>
      </c>
      <c r="C921" t="s">
        <v>91</v>
      </c>
      <c r="D921" t="s">
        <v>82</v>
      </c>
      <c r="E921" t="s">
        <v>103</v>
      </c>
      <c r="F921">
        <v>7700</v>
      </c>
      <c r="G921" t="s">
        <v>331</v>
      </c>
      <c r="H921" s="15">
        <v>45292</v>
      </c>
      <c r="I921">
        <v>7700</v>
      </c>
      <c r="J921">
        <v>0</v>
      </c>
    </row>
    <row r="922" spans="1:10" x14ac:dyDescent="0.3">
      <c r="A922" s="15">
        <v>45383</v>
      </c>
      <c r="B922" t="s">
        <v>306</v>
      </c>
      <c r="C922" t="s">
        <v>91</v>
      </c>
      <c r="D922" t="s">
        <v>82</v>
      </c>
      <c r="E922" t="s">
        <v>87</v>
      </c>
      <c r="F922">
        <v>10500</v>
      </c>
      <c r="G922" t="s">
        <v>331</v>
      </c>
      <c r="H922" s="15">
        <v>45292</v>
      </c>
      <c r="I922">
        <v>10500</v>
      </c>
      <c r="J922">
        <v>0</v>
      </c>
    </row>
    <row r="923" spans="1:10" x14ac:dyDescent="0.3">
      <c r="A923" s="15">
        <v>45383</v>
      </c>
      <c r="B923" t="s">
        <v>307</v>
      </c>
      <c r="C923" t="s">
        <v>81</v>
      </c>
      <c r="D923" t="s">
        <v>86</v>
      </c>
      <c r="E923" t="s">
        <v>97</v>
      </c>
      <c r="F923">
        <v>2300</v>
      </c>
      <c r="G923" t="s">
        <v>331</v>
      </c>
      <c r="H923" s="15">
        <v>45292</v>
      </c>
      <c r="I923">
        <v>2300</v>
      </c>
      <c r="J923">
        <v>0</v>
      </c>
    </row>
    <row r="924" spans="1:10" x14ac:dyDescent="0.3">
      <c r="A924" s="15">
        <v>45383</v>
      </c>
      <c r="B924" t="s">
        <v>308</v>
      </c>
      <c r="C924" t="s">
        <v>91</v>
      </c>
      <c r="D924" t="s">
        <v>86</v>
      </c>
      <c r="E924" t="s">
        <v>92</v>
      </c>
      <c r="F924">
        <v>8000</v>
      </c>
      <c r="G924" t="s">
        <v>331</v>
      </c>
      <c r="H924" s="15">
        <v>45292</v>
      </c>
      <c r="I924">
        <v>8000</v>
      </c>
      <c r="J924">
        <v>0</v>
      </c>
    </row>
    <row r="925" spans="1:10" x14ac:dyDescent="0.3">
      <c r="A925" s="15">
        <v>45383</v>
      </c>
      <c r="B925" t="s">
        <v>309</v>
      </c>
      <c r="C925" t="s">
        <v>91</v>
      </c>
      <c r="D925" t="s">
        <v>82</v>
      </c>
      <c r="E925" t="s">
        <v>87</v>
      </c>
      <c r="F925">
        <v>9700</v>
      </c>
      <c r="G925" t="s">
        <v>331</v>
      </c>
      <c r="H925" s="15">
        <v>45292</v>
      </c>
      <c r="I925">
        <v>9700</v>
      </c>
      <c r="J925">
        <v>0</v>
      </c>
    </row>
    <row r="926" spans="1:10" x14ac:dyDescent="0.3">
      <c r="A926" s="15">
        <v>45383</v>
      </c>
      <c r="B926" t="s">
        <v>310</v>
      </c>
      <c r="C926" t="s">
        <v>91</v>
      </c>
      <c r="D926" t="s">
        <v>99</v>
      </c>
      <c r="E926" t="s">
        <v>87</v>
      </c>
      <c r="F926">
        <v>10000</v>
      </c>
      <c r="G926" t="s">
        <v>331</v>
      </c>
      <c r="H926" s="15">
        <v>45292</v>
      </c>
      <c r="I926">
        <v>10000</v>
      </c>
      <c r="J926">
        <v>0</v>
      </c>
    </row>
    <row r="927" spans="1:10" x14ac:dyDescent="0.3">
      <c r="A927" s="15">
        <v>45383</v>
      </c>
      <c r="B927" t="s">
        <v>311</v>
      </c>
      <c r="C927" t="s">
        <v>91</v>
      </c>
      <c r="D927" t="s">
        <v>82</v>
      </c>
      <c r="E927" t="s">
        <v>92</v>
      </c>
      <c r="F927">
        <v>5600</v>
      </c>
      <c r="G927" t="s">
        <v>331</v>
      </c>
      <c r="H927" s="15">
        <v>45292</v>
      </c>
      <c r="I927">
        <v>5600</v>
      </c>
      <c r="J927">
        <v>0</v>
      </c>
    </row>
    <row r="928" spans="1:10" x14ac:dyDescent="0.3">
      <c r="A928" s="15">
        <v>45383</v>
      </c>
      <c r="B928" t="s">
        <v>312</v>
      </c>
      <c r="C928" t="s">
        <v>91</v>
      </c>
      <c r="D928" t="s">
        <v>86</v>
      </c>
      <c r="E928" t="s">
        <v>103</v>
      </c>
      <c r="F928">
        <v>9400</v>
      </c>
      <c r="G928" t="s">
        <v>331</v>
      </c>
      <c r="H928" s="15">
        <v>45292</v>
      </c>
      <c r="I928">
        <v>9400</v>
      </c>
      <c r="J928">
        <v>0</v>
      </c>
    </row>
    <row r="929" spans="1:10" x14ac:dyDescent="0.3">
      <c r="A929" s="15">
        <v>45383</v>
      </c>
      <c r="B929" t="s">
        <v>313</v>
      </c>
      <c r="C929" t="s">
        <v>91</v>
      </c>
      <c r="D929" t="s">
        <v>82</v>
      </c>
      <c r="E929" t="s">
        <v>101</v>
      </c>
      <c r="F929">
        <v>12700</v>
      </c>
      <c r="G929" t="s">
        <v>331</v>
      </c>
      <c r="H929" s="15">
        <v>45292</v>
      </c>
      <c r="I929">
        <v>12700</v>
      </c>
      <c r="J929">
        <v>0</v>
      </c>
    </row>
    <row r="930" spans="1:10" x14ac:dyDescent="0.3">
      <c r="A930" s="15">
        <v>45383</v>
      </c>
      <c r="B930" t="s">
        <v>314</v>
      </c>
      <c r="C930" t="s">
        <v>91</v>
      </c>
      <c r="D930" t="s">
        <v>82</v>
      </c>
      <c r="E930" t="s">
        <v>103</v>
      </c>
      <c r="F930">
        <v>10100</v>
      </c>
      <c r="G930" t="s">
        <v>331</v>
      </c>
      <c r="H930" s="15">
        <v>45292</v>
      </c>
      <c r="I930">
        <v>10100</v>
      </c>
      <c r="J930">
        <v>0</v>
      </c>
    </row>
    <row r="931" spans="1:10" x14ac:dyDescent="0.3">
      <c r="A931" s="15">
        <v>45383</v>
      </c>
      <c r="B931" t="s">
        <v>315</v>
      </c>
      <c r="C931" t="s">
        <v>125</v>
      </c>
      <c r="D931" t="s">
        <v>86</v>
      </c>
      <c r="E931" t="s">
        <v>92</v>
      </c>
      <c r="F931">
        <v>76200</v>
      </c>
      <c r="G931" t="s">
        <v>331</v>
      </c>
      <c r="H931" s="15">
        <v>45292</v>
      </c>
      <c r="I931">
        <v>76200</v>
      </c>
      <c r="J931">
        <v>0</v>
      </c>
    </row>
    <row r="932" spans="1:10" x14ac:dyDescent="0.3">
      <c r="A932" s="15">
        <v>45383</v>
      </c>
      <c r="B932" t="s">
        <v>316</v>
      </c>
      <c r="C932" t="s">
        <v>81</v>
      </c>
      <c r="D932" t="s">
        <v>96</v>
      </c>
      <c r="E932" t="s">
        <v>92</v>
      </c>
      <c r="F932">
        <v>2100</v>
      </c>
      <c r="G932" t="s">
        <v>331</v>
      </c>
      <c r="H932" s="15">
        <v>45292</v>
      </c>
      <c r="I932">
        <v>2100</v>
      </c>
      <c r="J932">
        <v>0</v>
      </c>
    </row>
    <row r="933" spans="1:10" x14ac:dyDescent="0.3">
      <c r="A933" s="15">
        <v>45383</v>
      </c>
      <c r="B933" t="s">
        <v>317</v>
      </c>
      <c r="C933" t="s">
        <v>125</v>
      </c>
      <c r="D933" t="s">
        <v>82</v>
      </c>
      <c r="E933" t="s">
        <v>92</v>
      </c>
      <c r="F933">
        <v>73500</v>
      </c>
      <c r="G933" t="s">
        <v>331</v>
      </c>
      <c r="H933" s="15">
        <v>45292</v>
      </c>
      <c r="I933">
        <v>73500</v>
      </c>
      <c r="J933">
        <v>0</v>
      </c>
    </row>
    <row r="934" spans="1:10" x14ac:dyDescent="0.3">
      <c r="A934" s="15">
        <v>45383</v>
      </c>
      <c r="B934" t="s">
        <v>318</v>
      </c>
      <c r="C934" t="s">
        <v>110</v>
      </c>
      <c r="D934" t="s">
        <v>82</v>
      </c>
      <c r="E934" t="s">
        <v>97</v>
      </c>
      <c r="F934">
        <v>28100</v>
      </c>
      <c r="G934" t="s">
        <v>331</v>
      </c>
      <c r="H934" s="15">
        <v>45292</v>
      </c>
      <c r="I934">
        <v>28100</v>
      </c>
      <c r="J934">
        <v>0</v>
      </c>
    </row>
    <row r="935" spans="1:10" x14ac:dyDescent="0.3">
      <c r="A935" s="15">
        <v>45383</v>
      </c>
      <c r="B935" t="s">
        <v>320</v>
      </c>
      <c r="C935" t="s">
        <v>91</v>
      </c>
      <c r="D935" t="s">
        <v>86</v>
      </c>
      <c r="E935" t="s">
        <v>97</v>
      </c>
      <c r="F935">
        <v>7700</v>
      </c>
      <c r="G935" t="s">
        <v>331</v>
      </c>
      <c r="H935" s="15">
        <v>45292</v>
      </c>
      <c r="I935">
        <v>7700</v>
      </c>
      <c r="J935">
        <v>0</v>
      </c>
    </row>
    <row r="936" spans="1:10" x14ac:dyDescent="0.3">
      <c r="A936" s="15">
        <v>45383</v>
      </c>
      <c r="B936" t="s">
        <v>321</v>
      </c>
      <c r="C936" t="s">
        <v>81</v>
      </c>
      <c r="D936" t="s">
        <v>99</v>
      </c>
      <c r="E936" t="s">
        <v>101</v>
      </c>
      <c r="F936">
        <v>3500</v>
      </c>
      <c r="G936" t="s">
        <v>331</v>
      </c>
      <c r="H936" s="15">
        <v>45292</v>
      </c>
      <c r="I936">
        <v>3500</v>
      </c>
      <c r="J936">
        <v>0</v>
      </c>
    </row>
    <row r="937" spans="1:10" x14ac:dyDescent="0.3">
      <c r="A937" s="15">
        <v>45383</v>
      </c>
      <c r="B937" t="s">
        <v>322</v>
      </c>
      <c r="C937" t="s">
        <v>81</v>
      </c>
      <c r="D937" t="s">
        <v>82</v>
      </c>
      <c r="E937" t="s">
        <v>103</v>
      </c>
      <c r="F937">
        <v>2000</v>
      </c>
      <c r="G937" t="s">
        <v>331</v>
      </c>
      <c r="H937" s="15">
        <v>45292</v>
      </c>
      <c r="I937">
        <v>2000</v>
      </c>
      <c r="J937">
        <v>0</v>
      </c>
    </row>
    <row r="938" spans="1:10" x14ac:dyDescent="0.3">
      <c r="A938" s="15">
        <v>45383</v>
      </c>
      <c r="B938" t="s">
        <v>323</v>
      </c>
      <c r="C938" t="s">
        <v>110</v>
      </c>
      <c r="D938" t="s">
        <v>82</v>
      </c>
      <c r="E938" t="s">
        <v>89</v>
      </c>
      <c r="F938">
        <v>23400</v>
      </c>
      <c r="G938" t="s">
        <v>331</v>
      </c>
      <c r="H938" s="15">
        <v>45292</v>
      </c>
      <c r="I938">
        <v>23400</v>
      </c>
      <c r="J938">
        <v>0</v>
      </c>
    </row>
    <row r="939" spans="1:10" x14ac:dyDescent="0.3">
      <c r="A939" s="15">
        <v>45383</v>
      </c>
      <c r="B939" t="s">
        <v>324</v>
      </c>
      <c r="C939" t="s">
        <v>81</v>
      </c>
      <c r="D939" t="s">
        <v>86</v>
      </c>
      <c r="E939" t="s">
        <v>87</v>
      </c>
      <c r="F939">
        <v>2700</v>
      </c>
      <c r="G939" t="s">
        <v>331</v>
      </c>
      <c r="H939" s="15">
        <v>45292</v>
      </c>
      <c r="I939">
        <v>2700</v>
      </c>
      <c r="J939">
        <v>0</v>
      </c>
    </row>
    <row r="940" spans="1:10" x14ac:dyDescent="0.3">
      <c r="A940" s="15">
        <v>45383</v>
      </c>
      <c r="B940" t="s">
        <v>325</v>
      </c>
      <c r="C940" t="s">
        <v>91</v>
      </c>
      <c r="D940" t="s">
        <v>86</v>
      </c>
      <c r="E940" t="s">
        <v>87</v>
      </c>
      <c r="F940">
        <v>8800</v>
      </c>
      <c r="G940" t="s">
        <v>331</v>
      </c>
      <c r="H940" s="15">
        <v>45292</v>
      </c>
      <c r="I940">
        <v>8800</v>
      </c>
      <c r="J940">
        <v>0</v>
      </c>
    </row>
    <row r="941" spans="1:10" x14ac:dyDescent="0.3">
      <c r="A941" s="15">
        <v>45383</v>
      </c>
      <c r="B941" t="s">
        <v>326</v>
      </c>
      <c r="C941" t="s">
        <v>91</v>
      </c>
      <c r="D941" t="s">
        <v>86</v>
      </c>
      <c r="E941" t="s">
        <v>92</v>
      </c>
      <c r="F941">
        <v>7900</v>
      </c>
      <c r="G941" t="s">
        <v>331</v>
      </c>
      <c r="H941" s="15">
        <v>45292</v>
      </c>
      <c r="I941">
        <v>7900</v>
      </c>
      <c r="J941">
        <v>0</v>
      </c>
    </row>
    <row r="942" spans="1:10" x14ac:dyDescent="0.3">
      <c r="A942" s="15">
        <v>45383</v>
      </c>
      <c r="B942" t="s">
        <v>327</v>
      </c>
      <c r="C942" t="s">
        <v>125</v>
      </c>
      <c r="D942" t="s">
        <v>99</v>
      </c>
      <c r="E942" t="s">
        <v>97</v>
      </c>
      <c r="F942">
        <v>77500</v>
      </c>
      <c r="G942" t="s">
        <v>331</v>
      </c>
      <c r="H942" s="15">
        <v>45292</v>
      </c>
      <c r="I942">
        <v>77500</v>
      </c>
      <c r="J942">
        <v>0</v>
      </c>
    </row>
    <row r="943" spans="1:10" x14ac:dyDescent="0.3">
      <c r="A943" s="15">
        <v>45383</v>
      </c>
      <c r="B943" t="s">
        <v>328</v>
      </c>
      <c r="C943" t="s">
        <v>91</v>
      </c>
      <c r="D943" t="s">
        <v>86</v>
      </c>
      <c r="E943" t="s">
        <v>92</v>
      </c>
      <c r="F943">
        <v>0</v>
      </c>
      <c r="G943" t="s">
        <v>333</v>
      </c>
      <c r="H943" s="15">
        <v>45292</v>
      </c>
      <c r="I943">
        <v>9400</v>
      </c>
      <c r="J943">
        <v>-9400</v>
      </c>
    </row>
    <row r="944" spans="1:10" x14ac:dyDescent="0.3">
      <c r="A944" s="15">
        <v>45383</v>
      </c>
      <c r="B944" t="s">
        <v>329</v>
      </c>
      <c r="C944" t="s">
        <v>81</v>
      </c>
      <c r="D944" t="s">
        <v>86</v>
      </c>
      <c r="E944" t="s">
        <v>101</v>
      </c>
      <c r="F944">
        <v>2200</v>
      </c>
      <c r="G944" t="s">
        <v>331</v>
      </c>
      <c r="H944" s="15">
        <v>45292</v>
      </c>
      <c r="I944">
        <v>2200</v>
      </c>
      <c r="J944">
        <v>0</v>
      </c>
    </row>
    <row r="945" spans="1:10" x14ac:dyDescent="0.3">
      <c r="A945" s="15">
        <v>45383</v>
      </c>
      <c r="B945" t="s">
        <v>330</v>
      </c>
      <c r="C945" t="s">
        <v>125</v>
      </c>
      <c r="D945" t="s">
        <v>86</v>
      </c>
      <c r="E945" t="s">
        <v>87</v>
      </c>
      <c r="F945">
        <v>105400</v>
      </c>
      <c r="G945" t="s">
        <v>331</v>
      </c>
      <c r="H945" s="15">
        <v>45292</v>
      </c>
      <c r="I945">
        <v>105400</v>
      </c>
      <c r="J945">
        <v>0</v>
      </c>
    </row>
    <row r="946" spans="1:10" x14ac:dyDescent="0.3">
      <c r="A946" s="15">
        <v>45383</v>
      </c>
      <c r="B946" t="s">
        <v>335</v>
      </c>
      <c r="C946" t="s">
        <v>91</v>
      </c>
      <c r="D946" t="s">
        <v>86</v>
      </c>
      <c r="E946" t="s">
        <v>89</v>
      </c>
      <c r="F946">
        <v>7300</v>
      </c>
      <c r="G946" t="s">
        <v>331</v>
      </c>
      <c r="H946" s="15">
        <v>45323</v>
      </c>
      <c r="I946">
        <v>7300</v>
      </c>
      <c r="J946">
        <v>0</v>
      </c>
    </row>
    <row r="947" spans="1:10" x14ac:dyDescent="0.3">
      <c r="A947" s="15">
        <v>45383</v>
      </c>
      <c r="B947" t="s">
        <v>336</v>
      </c>
      <c r="C947" t="s">
        <v>81</v>
      </c>
      <c r="D947" t="s">
        <v>82</v>
      </c>
      <c r="E947" t="s">
        <v>103</v>
      </c>
      <c r="F947">
        <v>1500</v>
      </c>
      <c r="G947" t="s">
        <v>331</v>
      </c>
      <c r="H947" s="15">
        <v>45323</v>
      </c>
      <c r="I947">
        <v>1500</v>
      </c>
      <c r="J947">
        <v>0</v>
      </c>
    </row>
    <row r="948" spans="1:10" x14ac:dyDescent="0.3">
      <c r="A948" s="15">
        <v>45383</v>
      </c>
      <c r="B948" t="s">
        <v>337</v>
      </c>
      <c r="C948" t="s">
        <v>91</v>
      </c>
      <c r="D948" t="s">
        <v>82</v>
      </c>
      <c r="E948" t="s">
        <v>92</v>
      </c>
      <c r="F948">
        <v>6200</v>
      </c>
      <c r="G948" t="s">
        <v>331</v>
      </c>
      <c r="H948" s="15">
        <v>45323</v>
      </c>
      <c r="I948">
        <v>6200</v>
      </c>
      <c r="J948">
        <v>0</v>
      </c>
    </row>
    <row r="949" spans="1:10" x14ac:dyDescent="0.3">
      <c r="A949" s="15">
        <v>45383</v>
      </c>
      <c r="B949" t="s">
        <v>338</v>
      </c>
      <c r="C949" t="s">
        <v>91</v>
      </c>
      <c r="D949" t="s">
        <v>82</v>
      </c>
      <c r="E949" t="s">
        <v>103</v>
      </c>
      <c r="F949">
        <v>5700</v>
      </c>
      <c r="G949" t="s">
        <v>331</v>
      </c>
      <c r="H949" s="15">
        <v>45323</v>
      </c>
      <c r="I949">
        <v>5700</v>
      </c>
      <c r="J949">
        <v>0</v>
      </c>
    </row>
    <row r="950" spans="1:10" x14ac:dyDescent="0.3">
      <c r="A950" s="15">
        <v>45383</v>
      </c>
      <c r="B950" t="s">
        <v>339</v>
      </c>
      <c r="C950" t="s">
        <v>81</v>
      </c>
      <c r="D950" t="s">
        <v>82</v>
      </c>
      <c r="E950" t="s">
        <v>103</v>
      </c>
      <c r="F950">
        <v>1800</v>
      </c>
      <c r="G950" t="s">
        <v>331</v>
      </c>
      <c r="H950" s="15">
        <v>45323</v>
      </c>
      <c r="I950">
        <v>1800</v>
      </c>
      <c r="J950">
        <v>0</v>
      </c>
    </row>
    <row r="951" spans="1:10" x14ac:dyDescent="0.3">
      <c r="A951" s="15">
        <v>45383</v>
      </c>
      <c r="B951" t="s">
        <v>340</v>
      </c>
      <c r="C951" t="s">
        <v>81</v>
      </c>
      <c r="D951" t="s">
        <v>82</v>
      </c>
      <c r="E951" t="s">
        <v>87</v>
      </c>
      <c r="F951">
        <v>1800</v>
      </c>
      <c r="G951" t="s">
        <v>331</v>
      </c>
      <c r="H951" s="15">
        <v>45323</v>
      </c>
      <c r="I951">
        <v>1800</v>
      </c>
      <c r="J951">
        <v>0</v>
      </c>
    </row>
    <row r="952" spans="1:10" x14ac:dyDescent="0.3">
      <c r="A952" s="15">
        <v>45383</v>
      </c>
      <c r="B952" t="s">
        <v>341</v>
      </c>
      <c r="C952" t="s">
        <v>110</v>
      </c>
      <c r="D952" t="s">
        <v>82</v>
      </c>
      <c r="E952" t="s">
        <v>92</v>
      </c>
      <c r="F952">
        <v>18800</v>
      </c>
      <c r="G952" t="s">
        <v>331</v>
      </c>
      <c r="H952" s="15">
        <v>45323</v>
      </c>
      <c r="I952">
        <v>18800</v>
      </c>
      <c r="J952">
        <v>0</v>
      </c>
    </row>
    <row r="953" spans="1:10" x14ac:dyDescent="0.3">
      <c r="A953" s="15">
        <v>45383</v>
      </c>
      <c r="B953" t="s">
        <v>342</v>
      </c>
      <c r="C953" t="s">
        <v>91</v>
      </c>
      <c r="D953" t="s">
        <v>82</v>
      </c>
      <c r="E953" t="s">
        <v>83</v>
      </c>
      <c r="F953">
        <v>7100</v>
      </c>
      <c r="G953" t="s">
        <v>331</v>
      </c>
      <c r="H953" s="15">
        <v>45352</v>
      </c>
      <c r="I953">
        <v>7100</v>
      </c>
      <c r="J953">
        <v>0</v>
      </c>
    </row>
    <row r="954" spans="1:10" x14ac:dyDescent="0.3">
      <c r="A954" s="15">
        <v>45383</v>
      </c>
      <c r="B954" t="s">
        <v>343</v>
      </c>
      <c r="C954" t="s">
        <v>81</v>
      </c>
      <c r="D954" t="s">
        <v>82</v>
      </c>
      <c r="E954" t="s">
        <v>89</v>
      </c>
      <c r="F954">
        <v>2500</v>
      </c>
      <c r="G954" t="s">
        <v>331</v>
      </c>
      <c r="H954" s="15">
        <v>45352</v>
      </c>
      <c r="I954">
        <v>2500</v>
      </c>
      <c r="J954">
        <v>0</v>
      </c>
    </row>
    <row r="955" spans="1:10" x14ac:dyDescent="0.3">
      <c r="A955" s="15">
        <v>45383</v>
      </c>
      <c r="B955" t="s">
        <v>344</v>
      </c>
      <c r="C955" t="s">
        <v>110</v>
      </c>
      <c r="D955" t="s">
        <v>86</v>
      </c>
      <c r="E955" t="s">
        <v>89</v>
      </c>
      <c r="F955">
        <v>21100</v>
      </c>
      <c r="G955" t="s">
        <v>331</v>
      </c>
      <c r="H955" s="15">
        <v>45352</v>
      </c>
      <c r="I955">
        <v>21100</v>
      </c>
      <c r="J955">
        <v>0</v>
      </c>
    </row>
    <row r="956" spans="1:10" x14ac:dyDescent="0.3">
      <c r="A956" s="15">
        <v>45383</v>
      </c>
      <c r="B956" t="s">
        <v>345</v>
      </c>
      <c r="C956" t="s">
        <v>91</v>
      </c>
      <c r="D956" t="s">
        <v>86</v>
      </c>
      <c r="E956" t="s">
        <v>83</v>
      </c>
      <c r="F956">
        <v>6000</v>
      </c>
      <c r="G956" t="s">
        <v>331</v>
      </c>
      <c r="H956" s="15">
        <v>45352</v>
      </c>
      <c r="I956">
        <v>6000</v>
      </c>
      <c r="J956">
        <v>0</v>
      </c>
    </row>
    <row r="957" spans="1:10" x14ac:dyDescent="0.3">
      <c r="A957" s="15">
        <v>45383</v>
      </c>
      <c r="B957" t="s">
        <v>346</v>
      </c>
      <c r="C957" t="s">
        <v>81</v>
      </c>
      <c r="D957" t="s">
        <v>86</v>
      </c>
      <c r="E957" t="s">
        <v>97</v>
      </c>
      <c r="F957">
        <v>1600</v>
      </c>
      <c r="G957" t="s">
        <v>331</v>
      </c>
      <c r="H957" s="15">
        <v>45352</v>
      </c>
      <c r="I957">
        <v>1600</v>
      </c>
      <c r="J957">
        <v>0</v>
      </c>
    </row>
    <row r="958" spans="1:10" x14ac:dyDescent="0.3">
      <c r="A958" s="15">
        <v>45383</v>
      </c>
      <c r="B958" t="s">
        <v>347</v>
      </c>
      <c r="C958" t="s">
        <v>91</v>
      </c>
      <c r="D958" t="s">
        <v>82</v>
      </c>
      <c r="E958" t="s">
        <v>83</v>
      </c>
      <c r="F958">
        <v>5700</v>
      </c>
      <c r="G958" t="s">
        <v>84</v>
      </c>
      <c r="H958" s="15">
        <v>45383</v>
      </c>
      <c r="I958">
        <v>0</v>
      </c>
      <c r="J958">
        <v>5700</v>
      </c>
    </row>
    <row r="959" spans="1:10" x14ac:dyDescent="0.3">
      <c r="A959" s="15">
        <v>45383</v>
      </c>
      <c r="B959" t="s">
        <v>348</v>
      </c>
      <c r="C959" t="s">
        <v>125</v>
      </c>
      <c r="D959" t="s">
        <v>86</v>
      </c>
      <c r="E959" t="s">
        <v>92</v>
      </c>
      <c r="F959">
        <v>53700</v>
      </c>
      <c r="G959" t="s">
        <v>84</v>
      </c>
      <c r="H959" s="15">
        <v>45383</v>
      </c>
      <c r="I959">
        <v>0</v>
      </c>
      <c r="J959">
        <v>53700</v>
      </c>
    </row>
    <row r="960" spans="1:10" x14ac:dyDescent="0.3">
      <c r="A960" s="15">
        <v>45383</v>
      </c>
      <c r="B960" t="s">
        <v>349</v>
      </c>
      <c r="C960" t="s">
        <v>110</v>
      </c>
      <c r="D960" t="s">
        <v>86</v>
      </c>
      <c r="E960" t="s">
        <v>89</v>
      </c>
      <c r="F960">
        <v>21600</v>
      </c>
      <c r="G960" t="s">
        <v>84</v>
      </c>
      <c r="H960" s="15">
        <v>45383</v>
      </c>
      <c r="I960">
        <v>0</v>
      </c>
      <c r="J960">
        <v>21600</v>
      </c>
    </row>
    <row r="961" spans="1:10" x14ac:dyDescent="0.3">
      <c r="A961" s="15">
        <v>45383</v>
      </c>
      <c r="B961" t="s">
        <v>350</v>
      </c>
      <c r="C961" t="s">
        <v>91</v>
      </c>
      <c r="D961" t="s">
        <v>82</v>
      </c>
      <c r="E961" t="s">
        <v>83</v>
      </c>
      <c r="F961">
        <v>4800</v>
      </c>
      <c r="G961" t="s">
        <v>84</v>
      </c>
      <c r="H961" s="15">
        <v>45383</v>
      </c>
      <c r="I961">
        <v>0</v>
      </c>
      <c r="J961">
        <v>4800</v>
      </c>
    </row>
    <row r="962" spans="1:10" x14ac:dyDescent="0.3">
      <c r="A962" s="15">
        <v>45383</v>
      </c>
      <c r="B962" t="s">
        <v>351</v>
      </c>
      <c r="C962" t="s">
        <v>81</v>
      </c>
      <c r="D962" t="s">
        <v>86</v>
      </c>
      <c r="E962" t="s">
        <v>83</v>
      </c>
      <c r="F962">
        <v>2300</v>
      </c>
      <c r="G962" t="s">
        <v>84</v>
      </c>
      <c r="H962" s="15">
        <v>45383</v>
      </c>
      <c r="I962">
        <v>0</v>
      </c>
      <c r="J962">
        <v>2300</v>
      </c>
    </row>
    <row r="963" spans="1:10" x14ac:dyDescent="0.3">
      <c r="A963" s="15">
        <v>45383</v>
      </c>
      <c r="B963" t="s">
        <v>352</v>
      </c>
      <c r="C963" t="s">
        <v>91</v>
      </c>
      <c r="D963" t="s">
        <v>82</v>
      </c>
      <c r="E963" t="s">
        <v>89</v>
      </c>
      <c r="F963">
        <v>6100</v>
      </c>
      <c r="G963" t="s">
        <v>84</v>
      </c>
      <c r="H963" s="15">
        <v>45383</v>
      </c>
      <c r="I963">
        <v>0</v>
      </c>
      <c r="J963">
        <v>6100</v>
      </c>
    </row>
    <row r="964" spans="1:10" x14ac:dyDescent="0.3">
      <c r="A964" s="15">
        <v>45383</v>
      </c>
      <c r="B964" t="s">
        <v>353</v>
      </c>
      <c r="C964" t="s">
        <v>81</v>
      </c>
      <c r="D964" t="s">
        <v>99</v>
      </c>
      <c r="E964" t="s">
        <v>103</v>
      </c>
      <c r="F964">
        <v>1200</v>
      </c>
      <c r="G964" t="s">
        <v>84</v>
      </c>
      <c r="H964" s="15">
        <v>45383</v>
      </c>
      <c r="I964">
        <v>0</v>
      </c>
      <c r="J964">
        <v>1200</v>
      </c>
    </row>
    <row r="965" spans="1:10" x14ac:dyDescent="0.3">
      <c r="A965" s="15">
        <v>45413</v>
      </c>
      <c r="B965" t="s">
        <v>80</v>
      </c>
      <c r="C965" t="s">
        <v>81</v>
      </c>
      <c r="D965" t="s">
        <v>82</v>
      </c>
      <c r="E965" t="s">
        <v>83</v>
      </c>
      <c r="F965">
        <v>1900</v>
      </c>
      <c r="G965" t="s">
        <v>331</v>
      </c>
      <c r="H965" s="15">
        <v>45292</v>
      </c>
      <c r="I965">
        <v>1900</v>
      </c>
      <c r="J965">
        <v>0</v>
      </c>
    </row>
    <row r="966" spans="1:10" x14ac:dyDescent="0.3">
      <c r="A966" s="15">
        <v>45413</v>
      </c>
      <c r="B966" t="s">
        <v>85</v>
      </c>
      <c r="C966" t="s">
        <v>81</v>
      </c>
      <c r="D966" t="s">
        <v>86</v>
      </c>
      <c r="E966" t="s">
        <v>87</v>
      </c>
      <c r="F966">
        <v>3200</v>
      </c>
      <c r="G966" t="s">
        <v>331</v>
      </c>
      <c r="H966" s="15">
        <v>45292</v>
      </c>
      <c r="I966">
        <v>3200</v>
      </c>
      <c r="J966">
        <v>0</v>
      </c>
    </row>
    <row r="967" spans="1:10" x14ac:dyDescent="0.3">
      <c r="A967" s="15">
        <v>45413</v>
      </c>
      <c r="B967" t="s">
        <v>88</v>
      </c>
      <c r="C967" t="s">
        <v>81</v>
      </c>
      <c r="D967" t="s">
        <v>86</v>
      </c>
      <c r="E967" t="s">
        <v>89</v>
      </c>
      <c r="F967">
        <v>2400</v>
      </c>
      <c r="G967" t="s">
        <v>331</v>
      </c>
      <c r="H967" s="15">
        <v>45292</v>
      </c>
      <c r="I967">
        <v>2400</v>
      </c>
      <c r="J967">
        <v>0</v>
      </c>
    </row>
    <row r="968" spans="1:10" x14ac:dyDescent="0.3">
      <c r="A968" s="15">
        <v>45413</v>
      </c>
      <c r="B968" t="s">
        <v>90</v>
      </c>
      <c r="C968" t="s">
        <v>91</v>
      </c>
      <c r="D968" t="s">
        <v>82</v>
      </c>
      <c r="E968" t="s">
        <v>92</v>
      </c>
      <c r="F968">
        <v>8300</v>
      </c>
      <c r="G968" t="s">
        <v>331</v>
      </c>
      <c r="H968" s="15">
        <v>45292</v>
      </c>
      <c r="I968">
        <v>8300</v>
      </c>
      <c r="J968">
        <v>0</v>
      </c>
    </row>
    <row r="969" spans="1:10" x14ac:dyDescent="0.3">
      <c r="A969" s="15">
        <v>45413</v>
      </c>
      <c r="B969" t="s">
        <v>93</v>
      </c>
      <c r="C969" t="s">
        <v>81</v>
      </c>
      <c r="D969" t="s">
        <v>86</v>
      </c>
      <c r="E969" t="s">
        <v>83</v>
      </c>
      <c r="F969">
        <v>2200</v>
      </c>
      <c r="G969" t="s">
        <v>331</v>
      </c>
      <c r="H969" s="15">
        <v>45292</v>
      </c>
      <c r="I969">
        <v>2200</v>
      </c>
      <c r="J969">
        <v>0</v>
      </c>
    </row>
    <row r="970" spans="1:10" x14ac:dyDescent="0.3">
      <c r="A970" s="15">
        <v>45413</v>
      </c>
      <c r="B970" t="s">
        <v>94</v>
      </c>
      <c r="C970" t="s">
        <v>91</v>
      </c>
      <c r="D970" t="s">
        <v>86</v>
      </c>
      <c r="E970" t="s">
        <v>83</v>
      </c>
      <c r="F970">
        <v>6900</v>
      </c>
      <c r="G970" t="s">
        <v>331</v>
      </c>
      <c r="H970" s="15">
        <v>45292</v>
      </c>
      <c r="I970">
        <v>6900</v>
      </c>
      <c r="J970">
        <v>0</v>
      </c>
    </row>
    <row r="971" spans="1:10" x14ac:dyDescent="0.3">
      <c r="A971" s="15">
        <v>45413</v>
      </c>
      <c r="B971" t="s">
        <v>95</v>
      </c>
      <c r="C971" t="s">
        <v>81</v>
      </c>
      <c r="D971" t="s">
        <v>96</v>
      </c>
      <c r="E971" t="s">
        <v>97</v>
      </c>
      <c r="F971">
        <v>3100</v>
      </c>
      <c r="G971" t="s">
        <v>331</v>
      </c>
      <c r="H971" s="15">
        <v>45292</v>
      </c>
      <c r="I971">
        <v>3100</v>
      </c>
      <c r="J971">
        <v>0</v>
      </c>
    </row>
    <row r="972" spans="1:10" x14ac:dyDescent="0.3">
      <c r="A972" s="15">
        <v>45413</v>
      </c>
      <c r="B972" t="s">
        <v>98</v>
      </c>
      <c r="C972" t="s">
        <v>81</v>
      </c>
      <c r="D972" t="s">
        <v>99</v>
      </c>
      <c r="E972" t="s">
        <v>92</v>
      </c>
      <c r="F972">
        <v>2500</v>
      </c>
      <c r="G972" t="s">
        <v>331</v>
      </c>
      <c r="H972" s="15">
        <v>45292</v>
      </c>
      <c r="I972">
        <v>2500</v>
      </c>
      <c r="J972">
        <v>0</v>
      </c>
    </row>
    <row r="973" spans="1:10" x14ac:dyDescent="0.3">
      <c r="A973" s="15">
        <v>45413</v>
      </c>
      <c r="B973" t="s">
        <v>100</v>
      </c>
      <c r="C973" t="s">
        <v>81</v>
      </c>
      <c r="D973" t="s">
        <v>86</v>
      </c>
      <c r="E973" t="s">
        <v>101</v>
      </c>
      <c r="F973">
        <v>1800</v>
      </c>
      <c r="G973" t="s">
        <v>331</v>
      </c>
      <c r="H973" s="15">
        <v>45292</v>
      </c>
      <c r="I973">
        <v>1800</v>
      </c>
      <c r="J973">
        <v>0</v>
      </c>
    </row>
    <row r="974" spans="1:10" x14ac:dyDescent="0.3">
      <c r="A974" s="15">
        <v>45413</v>
      </c>
      <c r="B974" t="s">
        <v>102</v>
      </c>
      <c r="C974" t="s">
        <v>81</v>
      </c>
      <c r="D974" t="s">
        <v>99</v>
      </c>
      <c r="E974" t="s">
        <v>103</v>
      </c>
      <c r="F974">
        <v>4000</v>
      </c>
      <c r="G974" t="s">
        <v>331</v>
      </c>
      <c r="H974" s="15">
        <v>45292</v>
      </c>
      <c r="I974">
        <v>4000</v>
      </c>
      <c r="J974">
        <v>0</v>
      </c>
    </row>
    <row r="975" spans="1:10" x14ac:dyDescent="0.3">
      <c r="A975" s="15">
        <v>45413</v>
      </c>
      <c r="B975" t="s">
        <v>104</v>
      </c>
      <c r="C975" t="s">
        <v>91</v>
      </c>
      <c r="D975" t="s">
        <v>99</v>
      </c>
      <c r="E975" t="s">
        <v>87</v>
      </c>
      <c r="F975">
        <v>7000</v>
      </c>
      <c r="G975" t="s">
        <v>331</v>
      </c>
      <c r="H975" s="15">
        <v>45292</v>
      </c>
      <c r="I975">
        <v>7000</v>
      </c>
      <c r="J975">
        <v>0</v>
      </c>
    </row>
    <row r="976" spans="1:10" x14ac:dyDescent="0.3">
      <c r="A976" s="15">
        <v>45413</v>
      </c>
      <c r="B976" t="s">
        <v>105</v>
      </c>
      <c r="C976" t="s">
        <v>91</v>
      </c>
      <c r="D976" t="s">
        <v>86</v>
      </c>
      <c r="E976" t="s">
        <v>89</v>
      </c>
      <c r="F976">
        <v>11400</v>
      </c>
      <c r="G976" t="s">
        <v>331</v>
      </c>
      <c r="H976" s="15">
        <v>45292</v>
      </c>
      <c r="I976">
        <v>11400</v>
      </c>
      <c r="J976">
        <v>0</v>
      </c>
    </row>
    <row r="977" spans="1:10" x14ac:dyDescent="0.3">
      <c r="A977" s="15">
        <v>45413</v>
      </c>
      <c r="B977" t="s">
        <v>106</v>
      </c>
      <c r="C977" t="s">
        <v>81</v>
      </c>
      <c r="D977" t="s">
        <v>99</v>
      </c>
      <c r="E977" t="s">
        <v>92</v>
      </c>
      <c r="F977">
        <v>2700</v>
      </c>
      <c r="G977" t="s">
        <v>331</v>
      </c>
      <c r="H977" s="15">
        <v>45292</v>
      </c>
      <c r="I977">
        <v>2700</v>
      </c>
      <c r="J977">
        <v>0</v>
      </c>
    </row>
    <row r="978" spans="1:10" x14ac:dyDescent="0.3">
      <c r="A978" s="15">
        <v>45413</v>
      </c>
      <c r="B978" t="s">
        <v>107</v>
      </c>
      <c r="C978" t="s">
        <v>91</v>
      </c>
      <c r="D978" t="s">
        <v>82</v>
      </c>
      <c r="E978" t="s">
        <v>89</v>
      </c>
      <c r="F978">
        <v>8000</v>
      </c>
      <c r="G978" t="s">
        <v>331</v>
      </c>
      <c r="H978" s="15">
        <v>45292</v>
      </c>
      <c r="I978">
        <v>8000</v>
      </c>
      <c r="J978">
        <v>0</v>
      </c>
    </row>
    <row r="979" spans="1:10" x14ac:dyDescent="0.3">
      <c r="A979" s="15">
        <v>45413</v>
      </c>
      <c r="B979" t="s">
        <v>108</v>
      </c>
      <c r="C979" t="s">
        <v>91</v>
      </c>
      <c r="D979" t="s">
        <v>86</v>
      </c>
      <c r="E979" t="s">
        <v>87</v>
      </c>
      <c r="F979">
        <v>8500</v>
      </c>
      <c r="G979" t="s">
        <v>331</v>
      </c>
      <c r="H979" s="15">
        <v>45292</v>
      </c>
      <c r="I979">
        <v>8500</v>
      </c>
      <c r="J979">
        <v>0</v>
      </c>
    </row>
    <row r="980" spans="1:10" x14ac:dyDescent="0.3">
      <c r="A980" s="15">
        <v>45413</v>
      </c>
      <c r="B980" t="s">
        <v>109</v>
      </c>
      <c r="C980" t="s">
        <v>110</v>
      </c>
      <c r="D980" t="s">
        <v>82</v>
      </c>
      <c r="E980" t="s">
        <v>103</v>
      </c>
      <c r="F980">
        <v>37800</v>
      </c>
      <c r="G980" t="s">
        <v>331</v>
      </c>
      <c r="H980" s="15">
        <v>45292</v>
      </c>
      <c r="I980">
        <v>37800</v>
      </c>
      <c r="J980">
        <v>0</v>
      </c>
    </row>
    <row r="981" spans="1:10" x14ac:dyDescent="0.3">
      <c r="A981" s="15">
        <v>45413</v>
      </c>
      <c r="B981" t="s">
        <v>111</v>
      </c>
      <c r="C981" t="s">
        <v>91</v>
      </c>
      <c r="D981" t="s">
        <v>82</v>
      </c>
      <c r="E981" t="s">
        <v>83</v>
      </c>
      <c r="F981">
        <v>8800</v>
      </c>
      <c r="G981" t="s">
        <v>331</v>
      </c>
      <c r="H981" s="15">
        <v>45292</v>
      </c>
      <c r="I981">
        <v>8800</v>
      </c>
      <c r="J981">
        <v>0</v>
      </c>
    </row>
    <row r="982" spans="1:10" x14ac:dyDescent="0.3">
      <c r="A982" s="15">
        <v>45413</v>
      </c>
      <c r="B982" t="s">
        <v>112</v>
      </c>
      <c r="C982" t="s">
        <v>91</v>
      </c>
      <c r="D982" t="s">
        <v>82</v>
      </c>
      <c r="E982" t="s">
        <v>92</v>
      </c>
      <c r="F982">
        <v>8600</v>
      </c>
      <c r="G982" t="s">
        <v>331</v>
      </c>
      <c r="H982" s="15">
        <v>45292</v>
      </c>
      <c r="I982">
        <v>8600</v>
      </c>
      <c r="J982">
        <v>0</v>
      </c>
    </row>
    <row r="983" spans="1:10" x14ac:dyDescent="0.3">
      <c r="A983" s="15">
        <v>45413</v>
      </c>
      <c r="B983" t="s">
        <v>113</v>
      </c>
      <c r="C983" t="s">
        <v>81</v>
      </c>
      <c r="D983" t="s">
        <v>96</v>
      </c>
      <c r="E983" t="s">
        <v>89</v>
      </c>
      <c r="F983">
        <v>2300</v>
      </c>
      <c r="G983" t="s">
        <v>331</v>
      </c>
      <c r="H983" s="15">
        <v>45292</v>
      </c>
      <c r="I983">
        <v>2300</v>
      </c>
      <c r="J983">
        <v>0</v>
      </c>
    </row>
    <row r="984" spans="1:10" x14ac:dyDescent="0.3">
      <c r="A984" s="15">
        <v>45413</v>
      </c>
      <c r="B984" t="s">
        <v>114</v>
      </c>
      <c r="C984" t="s">
        <v>110</v>
      </c>
      <c r="D984" t="s">
        <v>99</v>
      </c>
      <c r="E984" t="s">
        <v>97</v>
      </c>
      <c r="F984">
        <v>41600</v>
      </c>
      <c r="G984" t="s">
        <v>332</v>
      </c>
      <c r="H984" s="15">
        <v>45292</v>
      </c>
      <c r="I984">
        <v>36200</v>
      </c>
      <c r="J984">
        <v>5400</v>
      </c>
    </row>
    <row r="985" spans="1:10" x14ac:dyDescent="0.3">
      <c r="A985" s="15">
        <v>45413</v>
      </c>
      <c r="B985" t="s">
        <v>115</v>
      </c>
      <c r="C985" t="s">
        <v>81</v>
      </c>
      <c r="D985" t="s">
        <v>82</v>
      </c>
      <c r="E985" t="s">
        <v>101</v>
      </c>
      <c r="F985">
        <v>2600</v>
      </c>
      <c r="G985" t="s">
        <v>331</v>
      </c>
      <c r="H985" s="15">
        <v>45292</v>
      </c>
      <c r="I985">
        <v>2600</v>
      </c>
      <c r="J985">
        <v>0</v>
      </c>
    </row>
    <row r="986" spans="1:10" x14ac:dyDescent="0.3">
      <c r="A986" s="15">
        <v>45413</v>
      </c>
      <c r="B986" t="s">
        <v>116</v>
      </c>
      <c r="C986" t="s">
        <v>81</v>
      </c>
      <c r="D986" t="s">
        <v>86</v>
      </c>
      <c r="E986" t="s">
        <v>87</v>
      </c>
      <c r="F986">
        <v>2900</v>
      </c>
      <c r="G986" t="s">
        <v>331</v>
      </c>
      <c r="H986" s="15">
        <v>45292</v>
      </c>
      <c r="I986">
        <v>2900</v>
      </c>
      <c r="J986">
        <v>0</v>
      </c>
    </row>
    <row r="987" spans="1:10" x14ac:dyDescent="0.3">
      <c r="A987" s="15">
        <v>45413</v>
      </c>
      <c r="B987" t="s">
        <v>117</v>
      </c>
      <c r="C987" t="s">
        <v>81</v>
      </c>
      <c r="D987" t="s">
        <v>86</v>
      </c>
      <c r="E987" t="s">
        <v>103</v>
      </c>
      <c r="F987">
        <v>2500</v>
      </c>
      <c r="G987" t="s">
        <v>331</v>
      </c>
      <c r="H987" s="15">
        <v>45292</v>
      </c>
      <c r="I987">
        <v>2500</v>
      </c>
      <c r="J987">
        <v>0</v>
      </c>
    </row>
    <row r="988" spans="1:10" x14ac:dyDescent="0.3">
      <c r="A988" s="15">
        <v>45413</v>
      </c>
      <c r="B988" t="s">
        <v>118</v>
      </c>
      <c r="C988" t="s">
        <v>81</v>
      </c>
      <c r="D988" t="s">
        <v>82</v>
      </c>
      <c r="E988" t="s">
        <v>103</v>
      </c>
      <c r="F988">
        <v>2500</v>
      </c>
      <c r="G988" t="s">
        <v>331</v>
      </c>
      <c r="H988" s="15">
        <v>45292</v>
      </c>
      <c r="I988">
        <v>2500</v>
      </c>
      <c r="J988">
        <v>0</v>
      </c>
    </row>
    <row r="989" spans="1:10" x14ac:dyDescent="0.3">
      <c r="A989" s="15">
        <v>45413</v>
      </c>
      <c r="B989" t="s">
        <v>119</v>
      </c>
      <c r="C989" t="s">
        <v>91</v>
      </c>
      <c r="D989" t="s">
        <v>96</v>
      </c>
      <c r="E989" t="s">
        <v>89</v>
      </c>
      <c r="F989">
        <v>12800</v>
      </c>
      <c r="G989" t="s">
        <v>331</v>
      </c>
      <c r="H989" s="15">
        <v>45292</v>
      </c>
      <c r="I989">
        <v>12800</v>
      </c>
      <c r="J989">
        <v>0</v>
      </c>
    </row>
    <row r="990" spans="1:10" x14ac:dyDescent="0.3">
      <c r="A990" s="15">
        <v>45413</v>
      </c>
      <c r="B990" t="s">
        <v>120</v>
      </c>
      <c r="C990" t="s">
        <v>81</v>
      </c>
      <c r="D990" t="s">
        <v>86</v>
      </c>
      <c r="E990" t="s">
        <v>101</v>
      </c>
      <c r="F990">
        <v>2200</v>
      </c>
      <c r="G990" t="s">
        <v>331</v>
      </c>
      <c r="H990" s="15">
        <v>45292</v>
      </c>
      <c r="I990">
        <v>2200</v>
      </c>
      <c r="J990">
        <v>0</v>
      </c>
    </row>
    <row r="991" spans="1:10" x14ac:dyDescent="0.3">
      <c r="A991" s="15">
        <v>45413</v>
      </c>
      <c r="B991" t="s">
        <v>123</v>
      </c>
      <c r="C991" t="s">
        <v>81</v>
      </c>
      <c r="D991" t="s">
        <v>82</v>
      </c>
      <c r="E991" t="s">
        <v>92</v>
      </c>
      <c r="F991">
        <v>2200</v>
      </c>
      <c r="G991" t="s">
        <v>331</v>
      </c>
      <c r="H991" s="15">
        <v>45292</v>
      </c>
      <c r="I991">
        <v>2200</v>
      </c>
      <c r="J991">
        <v>0</v>
      </c>
    </row>
    <row r="992" spans="1:10" x14ac:dyDescent="0.3">
      <c r="A992" s="15">
        <v>45413</v>
      </c>
      <c r="B992" t="s">
        <v>124</v>
      </c>
      <c r="C992" t="s">
        <v>125</v>
      </c>
      <c r="D992" t="s">
        <v>82</v>
      </c>
      <c r="E992" t="s">
        <v>97</v>
      </c>
      <c r="F992">
        <v>82700</v>
      </c>
      <c r="G992" t="s">
        <v>331</v>
      </c>
      <c r="H992" s="15">
        <v>45292</v>
      </c>
      <c r="I992">
        <v>82700</v>
      </c>
      <c r="J992">
        <v>0</v>
      </c>
    </row>
    <row r="993" spans="1:10" x14ac:dyDescent="0.3">
      <c r="A993" s="15">
        <v>45413</v>
      </c>
      <c r="B993" t="s">
        <v>126</v>
      </c>
      <c r="C993" t="s">
        <v>91</v>
      </c>
      <c r="D993" t="s">
        <v>82</v>
      </c>
      <c r="E993" t="s">
        <v>83</v>
      </c>
      <c r="F993">
        <v>8800</v>
      </c>
      <c r="G993" t="s">
        <v>332</v>
      </c>
      <c r="H993" s="15">
        <v>45292</v>
      </c>
      <c r="I993">
        <v>7700</v>
      </c>
      <c r="J993">
        <v>1100</v>
      </c>
    </row>
    <row r="994" spans="1:10" x14ac:dyDescent="0.3">
      <c r="A994" s="15">
        <v>45413</v>
      </c>
      <c r="B994" t="s">
        <v>127</v>
      </c>
      <c r="C994" t="s">
        <v>81</v>
      </c>
      <c r="D994" t="s">
        <v>82</v>
      </c>
      <c r="E994" t="s">
        <v>101</v>
      </c>
      <c r="F994">
        <v>2100</v>
      </c>
      <c r="G994" t="s">
        <v>331</v>
      </c>
      <c r="H994" s="15">
        <v>45292</v>
      </c>
      <c r="I994">
        <v>2100</v>
      </c>
      <c r="J994">
        <v>0</v>
      </c>
    </row>
    <row r="995" spans="1:10" x14ac:dyDescent="0.3">
      <c r="A995" s="15">
        <v>45413</v>
      </c>
      <c r="B995" t="s">
        <v>128</v>
      </c>
      <c r="C995" t="s">
        <v>81</v>
      </c>
      <c r="D995" t="s">
        <v>82</v>
      </c>
      <c r="E995" t="s">
        <v>92</v>
      </c>
      <c r="F995">
        <v>1700</v>
      </c>
      <c r="G995" t="s">
        <v>331</v>
      </c>
      <c r="H995" s="15">
        <v>45292</v>
      </c>
      <c r="I995">
        <v>1700</v>
      </c>
      <c r="J995">
        <v>0</v>
      </c>
    </row>
    <row r="996" spans="1:10" x14ac:dyDescent="0.3">
      <c r="A996" s="15">
        <v>45413</v>
      </c>
      <c r="B996" t="s">
        <v>129</v>
      </c>
      <c r="C996" t="s">
        <v>110</v>
      </c>
      <c r="D996" t="s">
        <v>86</v>
      </c>
      <c r="E996" t="s">
        <v>92</v>
      </c>
      <c r="F996">
        <v>36700</v>
      </c>
      <c r="G996" t="s">
        <v>331</v>
      </c>
      <c r="H996" s="15">
        <v>45292</v>
      </c>
      <c r="I996">
        <v>36700</v>
      </c>
      <c r="J996">
        <v>0</v>
      </c>
    </row>
    <row r="997" spans="1:10" x14ac:dyDescent="0.3">
      <c r="A997" s="15">
        <v>45413</v>
      </c>
      <c r="B997" t="s">
        <v>131</v>
      </c>
      <c r="C997" t="s">
        <v>81</v>
      </c>
      <c r="D997" t="s">
        <v>86</v>
      </c>
      <c r="E997" t="s">
        <v>101</v>
      </c>
      <c r="F997">
        <v>1900</v>
      </c>
      <c r="G997" t="s">
        <v>331</v>
      </c>
      <c r="H997" s="15">
        <v>45292</v>
      </c>
      <c r="I997">
        <v>1900</v>
      </c>
      <c r="J997">
        <v>0</v>
      </c>
    </row>
    <row r="998" spans="1:10" x14ac:dyDescent="0.3">
      <c r="A998" s="15">
        <v>45413</v>
      </c>
      <c r="B998" t="s">
        <v>133</v>
      </c>
      <c r="C998" t="s">
        <v>81</v>
      </c>
      <c r="D998" t="s">
        <v>96</v>
      </c>
      <c r="E998" t="s">
        <v>87</v>
      </c>
      <c r="F998">
        <v>3200</v>
      </c>
      <c r="G998" t="s">
        <v>331</v>
      </c>
      <c r="H998" s="15">
        <v>45292</v>
      </c>
      <c r="I998">
        <v>3200</v>
      </c>
      <c r="J998">
        <v>0</v>
      </c>
    </row>
    <row r="999" spans="1:10" x14ac:dyDescent="0.3">
      <c r="A999" s="15">
        <v>45413</v>
      </c>
      <c r="B999" t="s">
        <v>134</v>
      </c>
      <c r="C999" t="s">
        <v>81</v>
      </c>
      <c r="D999" t="s">
        <v>82</v>
      </c>
      <c r="E999" t="s">
        <v>92</v>
      </c>
      <c r="F999">
        <v>2900</v>
      </c>
      <c r="G999" t="s">
        <v>331</v>
      </c>
      <c r="H999" s="15">
        <v>45292</v>
      </c>
      <c r="I999">
        <v>2900</v>
      </c>
      <c r="J999">
        <v>0</v>
      </c>
    </row>
    <row r="1000" spans="1:10" x14ac:dyDescent="0.3">
      <c r="A1000" s="15">
        <v>45413</v>
      </c>
      <c r="B1000" t="s">
        <v>135</v>
      </c>
      <c r="C1000" t="s">
        <v>81</v>
      </c>
      <c r="D1000" t="s">
        <v>82</v>
      </c>
      <c r="E1000" t="s">
        <v>103</v>
      </c>
      <c r="F1000">
        <v>2800</v>
      </c>
      <c r="G1000" t="s">
        <v>332</v>
      </c>
      <c r="H1000" s="15">
        <v>45292</v>
      </c>
      <c r="I1000">
        <v>2400</v>
      </c>
      <c r="J1000">
        <v>400</v>
      </c>
    </row>
    <row r="1001" spans="1:10" x14ac:dyDescent="0.3">
      <c r="A1001" s="15">
        <v>45413</v>
      </c>
      <c r="B1001" t="s">
        <v>136</v>
      </c>
      <c r="C1001" t="s">
        <v>81</v>
      </c>
      <c r="D1001" t="s">
        <v>82</v>
      </c>
      <c r="E1001" t="s">
        <v>101</v>
      </c>
      <c r="F1001">
        <v>2900</v>
      </c>
      <c r="G1001" t="s">
        <v>331</v>
      </c>
      <c r="H1001" s="15">
        <v>45292</v>
      </c>
      <c r="I1001">
        <v>2900</v>
      </c>
      <c r="J1001">
        <v>0</v>
      </c>
    </row>
    <row r="1002" spans="1:10" x14ac:dyDescent="0.3">
      <c r="A1002" s="15">
        <v>45413</v>
      </c>
      <c r="B1002" t="s">
        <v>137</v>
      </c>
      <c r="C1002" t="s">
        <v>81</v>
      </c>
      <c r="D1002" t="s">
        <v>82</v>
      </c>
      <c r="E1002" t="s">
        <v>89</v>
      </c>
      <c r="F1002">
        <v>1700</v>
      </c>
      <c r="G1002" t="s">
        <v>331</v>
      </c>
      <c r="H1002" s="15">
        <v>45292</v>
      </c>
      <c r="I1002">
        <v>1700</v>
      </c>
      <c r="J1002">
        <v>0</v>
      </c>
    </row>
    <row r="1003" spans="1:10" x14ac:dyDescent="0.3">
      <c r="A1003" s="15">
        <v>45413</v>
      </c>
      <c r="B1003" t="s">
        <v>138</v>
      </c>
      <c r="C1003" t="s">
        <v>81</v>
      </c>
      <c r="D1003" t="s">
        <v>86</v>
      </c>
      <c r="E1003" t="s">
        <v>97</v>
      </c>
      <c r="F1003">
        <v>3300</v>
      </c>
      <c r="G1003" t="s">
        <v>331</v>
      </c>
      <c r="H1003" s="15">
        <v>45292</v>
      </c>
      <c r="I1003">
        <v>3300</v>
      </c>
      <c r="J1003">
        <v>0</v>
      </c>
    </row>
    <row r="1004" spans="1:10" x14ac:dyDescent="0.3">
      <c r="A1004" s="15">
        <v>45413</v>
      </c>
      <c r="B1004" t="s">
        <v>139</v>
      </c>
      <c r="C1004" t="s">
        <v>91</v>
      </c>
      <c r="D1004" t="s">
        <v>82</v>
      </c>
      <c r="E1004" t="s">
        <v>103</v>
      </c>
      <c r="F1004">
        <v>6800</v>
      </c>
      <c r="G1004" t="s">
        <v>331</v>
      </c>
      <c r="H1004" s="15">
        <v>45292</v>
      </c>
      <c r="I1004">
        <v>6800</v>
      </c>
      <c r="J1004">
        <v>0</v>
      </c>
    </row>
    <row r="1005" spans="1:10" x14ac:dyDescent="0.3">
      <c r="A1005" s="15">
        <v>45413</v>
      </c>
      <c r="B1005" t="s">
        <v>140</v>
      </c>
      <c r="C1005" t="s">
        <v>81</v>
      </c>
      <c r="D1005" t="s">
        <v>99</v>
      </c>
      <c r="E1005" t="s">
        <v>97</v>
      </c>
      <c r="F1005">
        <v>1800</v>
      </c>
      <c r="G1005" t="s">
        <v>331</v>
      </c>
      <c r="H1005" s="15">
        <v>45292</v>
      </c>
      <c r="I1005">
        <v>1800</v>
      </c>
      <c r="J1005">
        <v>0</v>
      </c>
    </row>
    <row r="1006" spans="1:10" x14ac:dyDescent="0.3">
      <c r="A1006" s="15">
        <v>45413</v>
      </c>
      <c r="B1006" t="s">
        <v>141</v>
      </c>
      <c r="C1006" t="s">
        <v>125</v>
      </c>
      <c r="D1006" t="s">
        <v>99</v>
      </c>
      <c r="E1006" t="s">
        <v>103</v>
      </c>
      <c r="F1006">
        <v>100200</v>
      </c>
      <c r="G1006" t="s">
        <v>331</v>
      </c>
      <c r="H1006" s="15">
        <v>45292</v>
      </c>
      <c r="I1006">
        <v>100200</v>
      </c>
      <c r="J1006">
        <v>0</v>
      </c>
    </row>
    <row r="1007" spans="1:10" x14ac:dyDescent="0.3">
      <c r="A1007" s="15">
        <v>45413</v>
      </c>
      <c r="B1007" t="s">
        <v>142</v>
      </c>
      <c r="C1007" t="s">
        <v>125</v>
      </c>
      <c r="D1007" t="s">
        <v>82</v>
      </c>
      <c r="E1007" t="s">
        <v>92</v>
      </c>
      <c r="F1007">
        <v>93300</v>
      </c>
      <c r="G1007" t="s">
        <v>331</v>
      </c>
      <c r="H1007" s="15">
        <v>45292</v>
      </c>
      <c r="I1007">
        <v>93300</v>
      </c>
      <c r="J1007">
        <v>0</v>
      </c>
    </row>
    <row r="1008" spans="1:10" x14ac:dyDescent="0.3">
      <c r="A1008" s="15">
        <v>45413</v>
      </c>
      <c r="B1008" t="s">
        <v>143</v>
      </c>
      <c r="C1008" t="s">
        <v>91</v>
      </c>
      <c r="D1008" t="s">
        <v>99</v>
      </c>
      <c r="E1008" t="s">
        <v>103</v>
      </c>
      <c r="F1008">
        <v>8000</v>
      </c>
      <c r="G1008" t="s">
        <v>331</v>
      </c>
      <c r="H1008" s="15">
        <v>45292</v>
      </c>
      <c r="I1008">
        <v>8000</v>
      </c>
      <c r="J1008">
        <v>0</v>
      </c>
    </row>
    <row r="1009" spans="1:10" x14ac:dyDescent="0.3">
      <c r="A1009" s="15">
        <v>45413</v>
      </c>
      <c r="B1009" t="s">
        <v>144</v>
      </c>
      <c r="C1009" t="s">
        <v>81</v>
      </c>
      <c r="D1009" t="s">
        <v>82</v>
      </c>
      <c r="E1009" t="s">
        <v>92</v>
      </c>
      <c r="F1009">
        <v>2600</v>
      </c>
      <c r="G1009" t="s">
        <v>331</v>
      </c>
      <c r="H1009" s="15">
        <v>45292</v>
      </c>
      <c r="I1009">
        <v>2600</v>
      </c>
      <c r="J1009">
        <v>0</v>
      </c>
    </row>
    <row r="1010" spans="1:10" x14ac:dyDescent="0.3">
      <c r="A1010" s="15">
        <v>45413</v>
      </c>
      <c r="B1010" t="s">
        <v>145</v>
      </c>
      <c r="C1010" t="s">
        <v>91</v>
      </c>
      <c r="D1010" t="s">
        <v>82</v>
      </c>
      <c r="E1010" t="s">
        <v>87</v>
      </c>
      <c r="F1010">
        <v>8200</v>
      </c>
      <c r="G1010" t="s">
        <v>331</v>
      </c>
      <c r="H1010" s="15">
        <v>45292</v>
      </c>
      <c r="I1010">
        <v>8200</v>
      </c>
      <c r="J1010">
        <v>0</v>
      </c>
    </row>
    <row r="1011" spans="1:10" x14ac:dyDescent="0.3">
      <c r="A1011" s="15">
        <v>45413</v>
      </c>
      <c r="B1011" t="s">
        <v>146</v>
      </c>
      <c r="C1011" t="s">
        <v>91</v>
      </c>
      <c r="D1011" t="s">
        <v>86</v>
      </c>
      <c r="E1011" t="s">
        <v>87</v>
      </c>
      <c r="F1011">
        <v>9200</v>
      </c>
      <c r="G1011" t="s">
        <v>331</v>
      </c>
      <c r="H1011" s="15">
        <v>45292</v>
      </c>
      <c r="I1011">
        <v>9200</v>
      </c>
      <c r="J1011">
        <v>0</v>
      </c>
    </row>
    <row r="1012" spans="1:10" x14ac:dyDescent="0.3">
      <c r="A1012" s="15">
        <v>45413</v>
      </c>
      <c r="B1012" t="s">
        <v>147</v>
      </c>
      <c r="C1012" t="s">
        <v>81</v>
      </c>
      <c r="D1012" t="s">
        <v>82</v>
      </c>
      <c r="E1012" t="s">
        <v>92</v>
      </c>
      <c r="F1012">
        <v>2600</v>
      </c>
      <c r="G1012" t="s">
        <v>331</v>
      </c>
      <c r="H1012" s="15">
        <v>45292</v>
      </c>
      <c r="I1012">
        <v>2600</v>
      </c>
      <c r="J1012">
        <v>0</v>
      </c>
    </row>
    <row r="1013" spans="1:10" x14ac:dyDescent="0.3">
      <c r="A1013" s="15">
        <v>45413</v>
      </c>
      <c r="B1013" t="s">
        <v>148</v>
      </c>
      <c r="C1013" t="s">
        <v>110</v>
      </c>
      <c r="D1013" t="s">
        <v>86</v>
      </c>
      <c r="E1013" t="s">
        <v>89</v>
      </c>
      <c r="F1013">
        <v>23500</v>
      </c>
      <c r="G1013" t="s">
        <v>331</v>
      </c>
      <c r="H1013" s="15">
        <v>45292</v>
      </c>
      <c r="I1013">
        <v>23500</v>
      </c>
      <c r="J1013">
        <v>0</v>
      </c>
    </row>
    <row r="1014" spans="1:10" x14ac:dyDescent="0.3">
      <c r="A1014" s="15">
        <v>45413</v>
      </c>
      <c r="B1014" t="s">
        <v>149</v>
      </c>
      <c r="C1014" t="s">
        <v>110</v>
      </c>
      <c r="D1014" t="s">
        <v>82</v>
      </c>
      <c r="E1014" t="s">
        <v>103</v>
      </c>
      <c r="F1014">
        <v>31000</v>
      </c>
      <c r="G1014" t="s">
        <v>331</v>
      </c>
      <c r="H1014" s="15">
        <v>45292</v>
      </c>
      <c r="I1014">
        <v>31000</v>
      </c>
      <c r="J1014">
        <v>0</v>
      </c>
    </row>
    <row r="1015" spans="1:10" x14ac:dyDescent="0.3">
      <c r="A1015" s="15">
        <v>45413</v>
      </c>
      <c r="B1015" t="s">
        <v>150</v>
      </c>
      <c r="C1015" t="s">
        <v>91</v>
      </c>
      <c r="D1015" t="s">
        <v>99</v>
      </c>
      <c r="E1015" t="s">
        <v>101</v>
      </c>
      <c r="F1015">
        <v>8700</v>
      </c>
      <c r="G1015" t="s">
        <v>331</v>
      </c>
      <c r="H1015" s="15">
        <v>45292</v>
      </c>
      <c r="I1015">
        <v>8700</v>
      </c>
      <c r="J1015">
        <v>0</v>
      </c>
    </row>
    <row r="1016" spans="1:10" x14ac:dyDescent="0.3">
      <c r="A1016" s="15">
        <v>45413</v>
      </c>
      <c r="B1016" t="s">
        <v>151</v>
      </c>
      <c r="C1016" t="s">
        <v>91</v>
      </c>
      <c r="D1016" t="s">
        <v>82</v>
      </c>
      <c r="E1016" t="s">
        <v>97</v>
      </c>
      <c r="F1016">
        <v>8200</v>
      </c>
      <c r="G1016" t="s">
        <v>331</v>
      </c>
      <c r="H1016" s="15">
        <v>45292</v>
      </c>
      <c r="I1016">
        <v>8200</v>
      </c>
      <c r="J1016">
        <v>0</v>
      </c>
    </row>
    <row r="1017" spans="1:10" x14ac:dyDescent="0.3">
      <c r="A1017" s="15">
        <v>45413</v>
      </c>
      <c r="B1017" t="s">
        <v>152</v>
      </c>
      <c r="C1017" t="s">
        <v>81</v>
      </c>
      <c r="D1017" t="s">
        <v>99</v>
      </c>
      <c r="E1017" t="s">
        <v>87</v>
      </c>
      <c r="F1017">
        <v>3100</v>
      </c>
      <c r="G1017" t="s">
        <v>331</v>
      </c>
      <c r="H1017" s="15">
        <v>45292</v>
      </c>
      <c r="I1017">
        <v>3100</v>
      </c>
      <c r="J1017">
        <v>0</v>
      </c>
    </row>
    <row r="1018" spans="1:10" x14ac:dyDescent="0.3">
      <c r="A1018" s="15">
        <v>45413</v>
      </c>
      <c r="B1018" t="s">
        <v>153</v>
      </c>
      <c r="C1018" t="s">
        <v>110</v>
      </c>
      <c r="D1018" t="s">
        <v>99</v>
      </c>
      <c r="E1018" t="s">
        <v>87</v>
      </c>
      <c r="F1018">
        <v>31500</v>
      </c>
      <c r="G1018" t="s">
        <v>331</v>
      </c>
      <c r="H1018" s="15">
        <v>45292</v>
      </c>
      <c r="I1018">
        <v>31500</v>
      </c>
      <c r="J1018">
        <v>0</v>
      </c>
    </row>
    <row r="1019" spans="1:10" x14ac:dyDescent="0.3">
      <c r="A1019" s="15">
        <v>45413</v>
      </c>
      <c r="B1019" t="s">
        <v>154</v>
      </c>
      <c r="C1019" t="s">
        <v>91</v>
      </c>
      <c r="D1019" t="s">
        <v>86</v>
      </c>
      <c r="E1019" t="s">
        <v>103</v>
      </c>
      <c r="F1019">
        <v>8800</v>
      </c>
      <c r="G1019" t="s">
        <v>331</v>
      </c>
      <c r="H1019" s="15">
        <v>45292</v>
      </c>
      <c r="I1019">
        <v>8800</v>
      </c>
      <c r="J1019">
        <v>0</v>
      </c>
    </row>
    <row r="1020" spans="1:10" x14ac:dyDescent="0.3">
      <c r="A1020" s="15">
        <v>45413</v>
      </c>
      <c r="B1020" t="s">
        <v>155</v>
      </c>
      <c r="C1020" t="s">
        <v>91</v>
      </c>
      <c r="D1020" t="s">
        <v>82</v>
      </c>
      <c r="E1020" t="s">
        <v>92</v>
      </c>
      <c r="F1020">
        <v>7100</v>
      </c>
      <c r="G1020" t="s">
        <v>331</v>
      </c>
      <c r="H1020" s="15">
        <v>45292</v>
      </c>
      <c r="I1020">
        <v>7100</v>
      </c>
      <c r="J1020">
        <v>0</v>
      </c>
    </row>
    <row r="1021" spans="1:10" x14ac:dyDescent="0.3">
      <c r="A1021" s="15">
        <v>45413</v>
      </c>
      <c r="B1021" t="s">
        <v>156</v>
      </c>
      <c r="C1021" t="s">
        <v>81</v>
      </c>
      <c r="D1021" t="s">
        <v>86</v>
      </c>
      <c r="E1021" t="s">
        <v>101</v>
      </c>
      <c r="F1021">
        <v>2300</v>
      </c>
      <c r="G1021" t="s">
        <v>331</v>
      </c>
      <c r="H1021" s="15">
        <v>45292</v>
      </c>
      <c r="I1021">
        <v>2300</v>
      </c>
      <c r="J1021">
        <v>0</v>
      </c>
    </row>
    <row r="1022" spans="1:10" x14ac:dyDescent="0.3">
      <c r="A1022" s="15">
        <v>45413</v>
      </c>
      <c r="B1022" t="s">
        <v>157</v>
      </c>
      <c r="C1022" t="s">
        <v>81</v>
      </c>
      <c r="D1022" t="s">
        <v>82</v>
      </c>
      <c r="E1022" t="s">
        <v>92</v>
      </c>
      <c r="F1022">
        <v>1800</v>
      </c>
      <c r="G1022" t="s">
        <v>331</v>
      </c>
      <c r="H1022" s="15">
        <v>45292</v>
      </c>
      <c r="I1022">
        <v>1800</v>
      </c>
      <c r="J1022">
        <v>0</v>
      </c>
    </row>
    <row r="1023" spans="1:10" x14ac:dyDescent="0.3">
      <c r="A1023" s="15">
        <v>45413</v>
      </c>
      <c r="B1023" t="s">
        <v>158</v>
      </c>
      <c r="C1023" t="s">
        <v>91</v>
      </c>
      <c r="D1023" t="s">
        <v>96</v>
      </c>
      <c r="E1023" t="s">
        <v>83</v>
      </c>
      <c r="F1023">
        <v>11400</v>
      </c>
      <c r="G1023" t="s">
        <v>331</v>
      </c>
      <c r="H1023" s="15">
        <v>45292</v>
      </c>
      <c r="I1023">
        <v>11400</v>
      </c>
      <c r="J1023">
        <v>0</v>
      </c>
    </row>
    <row r="1024" spans="1:10" x14ac:dyDescent="0.3">
      <c r="A1024" s="15">
        <v>45413</v>
      </c>
      <c r="B1024" t="s">
        <v>159</v>
      </c>
      <c r="C1024" t="s">
        <v>81</v>
      </c>
      <c r="D1024" t="s">
        <v>86</v>
      </c>
      <c r="E1024" t="s">
        <v>87</v>
      </c>
      <c r="F1024">
        <v>2400</v>
      </c>
      <c r="G1024" t="s">
        <v>331</v>
      </c>
      <c r="H1024" s="15">
        <v>45292</v>
      </c>
      <c r="I1024">
        <v>2400</v>
      </c>
      <c r="J1024">
        <v>0</v>
      </c>
    </row>
    <row r="1025" spans="1:10" x14ac:dyDescent="0.3">
      <c r="A1025" s="15">
        <v>45413</v>
      </c>
      <c r="B1025" t="s">
        <v>161</v>
      </c>
      <c r="C1025" t="s">
        <v>91</v>
      </c>
      <c r="D1025" t="s">
        <v>99</v>
      </c>
      <c r="E1025" t="s">
        <v>83</v>
      </c>
      <c r="F1025">
        <v>10100</v>
      </c>
      <c r="G1025" t="s">
        <v>331</v>
      </c>
      <c r="H1025" s="15">
        <v>45292</v>
      </c>
      <c r="I1025">
        <v>10100</v>
      </c>
      <c r="J1025">
        <v>0</v>
      </c>
    </row>
    <row r="1026" spans="1:10" x14ac:dyDescent="0.3">
      <c r="A1026" s="15">
        <v>45413</v>
      </c>
      <c r="B1026" t="s">
        <v>162</v>
      </c>
      <c r="C1026" t="s">
        <v>91</v>
      </c>
      <c r="D1026" t="s">
        <v>82</v>
      </c>
      <c r="E1026" t="s">
        <v>103</v>
      </c>
      <c r="F1026">
        <v>12700</v>
      </c>
      <c r="G1026" t="s">
        <v>331</v>
      </c>
      <c r="H1026" s="15">
        <v>45292</v>
      </c>
      <c r="I1026">
        <v>12700</v>
      </c>
      <c r="J1026">
        <v>0</v>
      </c>
    </row>
    <row r="1027" spans="1:10" x14ac:dyDescent="0.3">
      <c r="A1027" s="15">
        <v>45413</v>
      </c>
      <c r="B1027" t="s">
        <v>164</v>
      </c>
      <c r="C1027" t="s">
        <v>81</v>
      </c>
      <c r="D1027" t="s">
        <v>99</v>
      </c>
      <c r="E1027" t="s">
        <v>89</v>
      </c>
      <c r="F1027">
        <v>2500</v>
      </c>
      <c r="G1027" t="s">
        <v>331</v>
      </c>
      <c r="H1027" s="15">
        <v>45292</v>
      </c>
      <c r="I1027">
        <v>2500</v>
      </c>
      <c r="J1027">
        <v>0</v>
      </c>
    </row>
    <row r="1028" spans="1:10" x14ac:dyDescent="0.3">
      <c r="A1028" s="15">
        <v>45413</v>
      </c>
      <c r="B1028" t="s">
        <v>165</v>
      </c>
      <c r="C1028" t="s">
        <v>81</v>
      </c>
      <c r="D1028" t="s">
        <v>82</v>
      </c>
      <c r="E1028" t="s">
        <v>97</v>
      </c>
      <c r="F1028">
        <v>2700</v>
      </c>
      <c r="G1028" t="s">
        <v>331</v>
      </c>
      <c r="H1028" s="15">
        <v>45292</v>
      </c>
      <c r="I1028">
        <v>2700</v>
      </c>
      <c r="J1028">
        <v>0</v>
      </c>
    </row>
    <row r="1029" spans="1:10" x14ac:dyDescent="0.3">
      <c r="A1029" s="15">
        <v>45413</v>
      </c>
      <c r="B1029" t="s">
        <v>166</v>
      </c>
      <c r="C1029" t="s">
        <v>81</v>
      </c>
      <c r="D1029" t="s">
        <v>99</v>
      </c>
      <c r="E1029" t="s">
        <v>103</v>
      </c>
      <c r="F1029">
        <v>2600</v>
      </c>
      <c r="G1029" t="s">
        <v>332</v>
      </c>
      <c r="H1029" s="15">
        <v>45292</v>
      </c>
      <c r="I1029">
        <v>2300</v>
      </c>
      <c r="J1029">
        <v>300</v>
      </c>
    </row>
    <row r="1030" spans="1:10" x14ac:dyDescent="0.3">
      <c r="A1030" s="15">
        <v>45413</v>
      </c>
      <c r="B1030" t="s">
        <v>167</v>
      </c>
      <c r="C1030" t="s">
        <v>81</v>
      </c>
      <c r="D1030" t="s">
        <v>82</v>
      </c>
      <c r="E1030" t="s">
        <v>97</v>
      </c>
      <c r="F1030">
        <v>2100</v>
      </c>
      <c r="G1030" t="s">
        <v>331</v>
      </c>
      <c r="H1030" s="15">
        <v>45292</v>
      </c>
      <c r="I1030">
        <v>2100</v>
      </c>
      <c r="J1030">
        <v>0</v>
      </c>
    </row>
    <row r="1031" spans="1:10" x14ac:dyDescent="0.3">
      <c r="A1031" s="15">
        <v>45413</v>
      </c>
      <c r="B1031" t="s">
        <v>168</v>
      </c>
      <c r="C1031" t="s">
        <v>91</v>
      </c>
      <c r="D1031" t="s">
        <v>86</v>
      </c>
      <c r="E1031" t="s">
        <v>103</v>
      </c>
      <c r="F1031">
        <v>12300</v>
      </c>
      <c r="G1031" t="s">
        <v>331</v>
      </c>
      <c r="H1031" s="15">
        <v>45292</v>
      </c>
      <c r="I1031">
        <v>12300</v>
      </c>
      <c r="J1031">
        <v>0</v>
      </c>
    </row>
    <row r="1032" spans="1:10" x14ac:dyDescent="0.3">
      <c r="A1032" s="15">
        <v>45413</v>
      </c>
      <c r="B1032" t="s">
        <v>169</v>
      </c>
      <c r="C1032" t="s">
        <v>81</v>
      </c>
      <c r="D1032" t="s">
        <v>86</v>
      </c>
      <c r="E1032" t="s">
        <v>103</v>
      </c>
      <c r="F1032">
        <v>2000</v>
      </c>
      <c r="G1032" t="s">
        <v>331</v>
      </c>
      <c r="H1032" s="15">
        <v>45292</v>
      </c>
      <c r="I1032">
        <v>2000</v>
      </c>
      <c r="J1032">
        <v>0</v>
      </c>
    </row>
    <row r="1033" spans="1:10" x14ac:dyDescent="0.3">
      <c r="A1033" s="15">
        <v>45413</v>
      </c>
      <c r="B1033" t="s">
        <v>170</v>
      </c>
      <c r="C1033" t="s">
        <v>91</v>
      </c>
      <c r="D1033" t="s">
        <v>99</v>
      </c>
      <c r="E1033" t="s">
        <v>83</v>
      </c>
      <c r="F1033">
        <v>6500</v>
      </c>
      <c r="G1033" t="s">
        <v>331</v>
      </c>
      <c r="H1033" s="15">
        <v>45292</v>
      </c>
      <c r="I1033">
        <v>6500</v>
      </c>
      <c r="J1033">
        <v>0</v>
      </c>
    </row>
    <row r="1034" spans="1:10" x14ac:dyDescent="0.3">
      <c r="A1034" s="15">
        <v>45413</v>
      </c>
      <c r="B1034" t="s">
        <v>171</v>
      </c>
      <c r="C1034" t="s">
        <v>81</v>
      </c>
      <c r="D1034" t="s">
        <v>99</v>
      </c>
      <c r="E1034" t="s">
        <v>97</v>
      </c>
      <c r="F1034">
        <v>1800</v>
      </c>
      <c r="G1034" t="s">
        <v>334</v>
      </c>
      <c r="H1034" s="15">
        <v>45292</v>
      </c>
      <c r="I1034">
        <v>2100</v>
      </c>
      <c r="J1034">
        <v>-300</v>
      </c>
    </row>
    <row r="1035" spans="1:10" x14ac:dyDescent="0.3">
      <c r="A1035" s="15">
        <v>45413</v>
      </c>
      <c r="B1035" t="s">
        <v>172</v>
      </c>
      <c r="C1035" t="s">
        <v>91</v>
      </c>
      <c r="D1035" t="s">
        <v>96</v>
      </c>
      <c r="E1035" t="s">
        <v>101</v>
      </c>
      <c r="F1035">
        <v>7700</v>
      </c>
      <c r="G1035" t="s">
        <v>331</v>
      </c>
      <c r="H1035" s="15">
        <v>45292</v>
      </c>
      <c r="I1035">
        <v>7700</v>
      </c>
      <c r="J1035">
        <v>0</v>
      </c>
    </row>
    <row r="1036" spans="1:10" x14ac:dyDescent="0.3">
      <c r="A1036" s="15">
        <v>45413</v>
      </c>
      <c r="B1036" t="s">
        <v>173</v>
      </c>
      <c r="C1036" t="s">
        <v>81</v>
      </c>
      <c r="D1036" t="s">
        <v>86</v>
      </c>
      <c r="E1036" t="s">
        <v>103</v>
      </c>
      <c r="F1036">
        <v>3700</v>
      </c>
      <c r="G1036" t="s">
        <v>331</v>
      </c>
      <c r="H1036" s="15">
        <v>45292</v>
      </c>
      <c r="I1036">
        <v>3700</v>
      </c>
      <c r="J1036">
        <v>0</v>
      </c>
    </row>
    <row r="1037" spans="1:10" x14ac:dyDescent="0.3">
      <c r="A1037" s="15">
        <v>45413</v>
      </c>
      <c r="B1037" t="s">
        <v>174</v>
      </c>
      <c r="C1037" t="s">
        <v>81</v>
      </c>
      <c r="D1037" t="s">
        <v>82</v>
      </c>
      <c r="E1037" t="s">
        <v>92</v>
      </c>
      <c r="F1037">
        <v>2400</v>
      </c>
      <c r="G1037" t="s">
        <v>332</v>
      </c>
      <c r="H1037" s="15">
        <v>45292</v>
      </c>
      <c r="I1037">
        <v>2100</v>
      </c>
      <c r="J1037">
        <v>300</v>
      </c>
    </row>
    <row r="1038" spans="1:10" x14ac:dyDescent="0.3">
      <c r="A1038" s="15">
        <v>45413</v>
      </c>
      <c r="B1038" t="s">
        <v>175</v>
      </c>
      <c r="C1038" t="s">
        <v>91</v>
      </c>
      <c r="D1038" t="s">
        <v>96</v>
      </c>
      <c r="E1038" t="s">
        <v>83</v>
      </c>
      <c r="F1038">
        <v>8800</v>
      </c>
      <c r="G1038" t="s">
        <v>331</v>
      </c>
      <c r="H1038" s="15">
        <v>45292</v>
      </c>
      <c r="I1038">
        <v>8800</v>
      </c>
      <c r="J1038">
        <v>0</v>
      </c>
    </row>
    <row r="1039" spans="1:10" x14ac:dyDescent="0.3">
      <c r="A1039" s="15">
        <v>45413</v>
      </c>
      <c r="B1039" t="s">
        <v>176</v>
      </c>
      <c r="C1039" t="s">
        <v>81</v>
      </c>
      <c r="D1039" t="s">
        <v>99</v>
      </c>
      <c r="E1039" t="s">
        <v>92</v>
      </c>
      <c r="F1039">
        <v>2900</v>
      </c>
      <c r="G1039" t="s">
        <v>331</v>
      </c>
      <c r="H1039" s="15">
        <v>45292</v>
      </c>
      <c r="I1039">
        <v>2900</v>
      </c>
      <c r="J1039">
        <v>0</v>
      </c>
    </row>
    <row r="1040" spans="1:10" x14ac:dyDescent="0.3">
      <c r="A1040" s="15">
        <v>45413</v>
      </c>
      <c r="B1040" t="s">
        <v>177</v>
      </c>
      <c r="C1040" t="s">
        <v>81</v>
      </c>
      <c r="D1040" t="s">
        <v>96</v>
      </c>
      <c r="E1040" t="s">
        <v>83</v>
      </c>
      <c r="F1040">
        <v>2900</v>
      </c>
      <c r="G1040" t="s">
        <v>331</v>
      </c>
      <c r="H1040" s="15">
        <v>45292</v>
      </c>
      <c r="I1040">
        <v>2900</v>
      </c>
      <c r="J1040">
        <v>0</v>
      </c>
    </row>
    <row r="1041" spans="1:10" x14ac:dyDescent="0.3">
      <c r="A1041" s="15">
        <v>45413</v>
      </c>
      <c r="B1041" t="s">
        <v>178</v>
      </c>
      <c r="C1041" t="s">
        <v>91</v>
      </c>
      <c r="D1041" t="s">
        <v>82</v>
      </c>
      <c r="E1041" t="s">
        <v>89</v>
      </c>
      <c r="F1041">
        <v>8400</v>
      </c>
      <c r="G1041" t="s">
        <v>331</v>
      </c>
      <c r="H1041" s="15">
        <v>45292</v>
      </c>
      <c r="I1041">
        <v>8400</v>
      </c>
      <c r="J1041">
        <v>0</v>
      </c>
    </row>
    <row r="1042" spans="1:10" x14ac:dyDescent="0.3">
      <c r="A1042" s="15">
        <v>45413</v>
      </c>
      <c r="B1042" t="s">
        <v>179</v>
      </c>
      <c r="C1042" t="s">
        <v>110</v>
      </c>
      <c r="D1042" t="s">
        <v>86</v>
      </c>
      <c r="E1042" t="s">
        <v>87</v>
      </c>
      <c r="F1042">
        <v>30000</v>
      </c>
      <c r="G1042" t="s">
        <v>331</v>
      </c>
      <c r="H1042" s="15">
        <v>45292</v>
      </c>
      <c r="I1042">
        <v>30000</v>
      </c>
      <c r="J1042">
        <v>0</v>
      </c>
    </row>
    <row r="1043" spans="1:10" x14ac:dyDescent="0.3">
      <c r="A1043" s="15">
        <v>45413</v>
      </c>
      <c r="B1043" t="s">
        <v>180</v>
      </c>
      <c r="C1043" t="s">
        <v>91</v>
      </c>
      <c r="D1043" t="s">
        <v>86</v>
      </c>
      <c r="E1043" t="s">
        <v>83</v>
      </c>
      <c r="F1043">
        <v>8500</v>
      </c>
      <c r="G1043" t="s">
        <v>331</v>
      </c>
      <c r="H1043" s="15">
        <v>45292</v>
      </c>
      <c r="I1043">
        <v>8500</v>
      </c>
      <c r="J1043">
        <v>0</v>
      </c>
    </row>
    <row r="1044" spans="1:10" x14ac:dyDescent="0.3">
      <c r="A1044" s="15">
        <v>45413</v>
      </c>
      <c r="B1044" t="s">
        <v>181</v>
      </c>
      <c r="C1044" t="s">
        <v>91</v>
      </c>
      <c r="D1044" t="s">
        <v>82</v>
      </c>
      <c r="E1044" t="s">
        <v>97</v>
      </c>
      <c r="F1044">
        <v>10100</v>
      </c>
      <c r="G1044" t="s">
        <v>331</v>
      </c>
      <c r="H1044" s="15">
        <v>45292</v>
      </c>
      <c r="I1044">
        <v>10100</v>
      </c>
      <c r="J1044">
        <v>0</v>
      </c>
    </row>
    <row r="1045" spans="1:10" x14ac:dyDescent="0.3">
      <c r="A1045" s="15">
        <v>45413</v>
      </c>
      <c r="B1045" t="s">
        <v>182</v>
      </c>
      <c r="C1045" t="s">
        <v>125</v>
      </c>
      <c r="D1045" t="s">
        <v>82</v>
      </c>
      <c r="E1045" t="s">
        <v>92</v>
      </c>
      <c r="F1045">
        <v>80700</v>
      </c>
      <c r="G1045" t="s">
        <v>331</v>
      </c>
      <c r="H1045" s="15">
        <v>45292</v>
      </c>
      <c r="I1045">
        <v>80700</v>
      </c>
      <c r="J1045">
        <v>0</v>
      </c>
    </row>
    <row r="1046" spans="1:10" x14ac:dyDescent="0.3">
      <c r="A1046" s="15">
        <v>45413</v>
      </c>
      <c r="B1046" t="s">
        <v>183</v>
      </c>
      <c r="C1046" t="s">
        <v>91</v>
      </c>
      <c r="D1046" t="s">
        <v>96</v>
      </c>
      <c r="E1046" t="s">
        <v>92</v>
      </c>
      <c r="F1046">
        <v>9500</v>
      </c>
      <c r="G1046" t="s">
        <v>331</v>
      </c>
      <c r="H1046" s="15">
        <v>45292</v>
      </c>
      <c r="I1046">
        <v>9500</v>
      </c>
      <c r="J1046">
        <v>0</v>
      </c>
    </row>
    <row r="1047" spans="1:10" x14ac:dyDescent="0.3">
      <c r="A1047" s="15">
        <v>45413</v>
      </c>
      <c r="B1047" t="s">
        <v>184</v>
      </c>
      <c r="C1047" t="s">
        <v>81</v>
      </c>
      <c r="D1047" t="s">
        <v>82</v>
      </c>
      <c r="E1047" t="s">
        <v>83</v>
      </c>
      <c r="F1047">
        <v>2600</v>
      </c>
      <c r="G1047" t="s">
        <v>331</v>
      </c>
      <c r="H1047" s="15">
        <v>45292</v>
      </c>
      <c r="I1047">
        <v>2600</v>
      </c>
      <c r="J1047">
        <v>0</v>
      </c>
    </row>
    <row r="1048" spans="1:10" x14ac:dyDescent="0.3">
      <c r="A1048" s="15">
        <v>45413</v>
      </c>
      <c r="B1048" t="s">
        <v>185</v>
      </c>
      <c r="C1048" t="s">
        <v>81</v>
      </c>
      <c r="D1048" t="s">
        <v>96</v>
      </c>
      <c r="E1048" t="s">
        <v>97</v>
      </c>
      <c r="F1048">
        <v>2000</v>
      </c>
      <c r="G1048" t="s">
        <v>331</v>
      </c>
      <c r="H1048" s="15">
        <v>45292</v>
      </c>
      <c r="I1048">
        <v>2000</v>
      </c>
      <c r="J1048">
        <v>0</v>
      </c>
    </row>
    <row r="1049" spans="1:10" x14ac:dyDescent="0.3">
      <c r="A1049" s="15">
        <v>45413</v>
      </c>
      <c r="B1049" t="s">
        <v>186</v>
      </c>
      <c r="C1049" t="s">
        <v>91</v>
      </c>
      <c r="D1049" t="s">
        <v>82</v>
      </c>
      <c r="E1049" t="s">
        <v>103</v>
      </c>
      <c r="F1049">
        <v>12100</v>
      </c>
      <c r="G1049" t="s">
        <v>331</v>
      </c>
      <c r="H1049" s="15">
        <v>45292</v>
      </c>
      <c r="I1049">
        <v>12100</v>
      </c>
      <c r="J1049">
        <v>0</v>
      </c>
    </row>
    <row r="1050" spans="1:10" x14ac:dyDescent="0.3">
      <c r="A1050" s="15">
        <v>45413</v>
      </c>
      <c r="B1050" t="s">
        <v>187</v>
      </c>
      <c r="C1050" t="s">
        <v>110</v>
      </c>
      <c r="D1050" t="s">
        <v>86</v>
      </c>
      <c r="E1050" t="s">
        <v>97</v>
      </c>
      <c r="F1050">
        <v>32300</v>
      </c>
      <c r="G1050" t="s">
        <v>331</v>
      </c>
      <c r="H1050" s="15">
        <v>45292</v>
      </c>
      <c r="I1050">
        <v>32300</v>
      </c>
      <c r="J1050">
        <v>0</v>
      </c>
    </row>
    <row r="1051" spans="1:10" x14ac:dyDescent="0.3">
      <c r="A1051" s="15">
        <v>45413</v>
      </c>
      <c r="B1051" t="s">
        <v>188</v>
      </c>
      <c r="C1051" t="s">
        <v>91</v>
      </c>
      <c r="D1051" t="s">
        <v>82</v>
      </c>
      <c r="E1051" t="s">
        <v>92</v>
      </c>
      <c r="F1051">
        <v>12000</v>
      </c>
      <c r="G1051" t="s">
        <v>331</v>
      </c>
      <c r="H1051" s="15">
        <v>45292</v>
      </c>
      <c r="I1051">
        <v>12000</v>
      </c>
      <c r="J1051">
        <v>0</v>
      </c>
    </row>
    <row r="1052" spans="1:10" x14ac:dyDescent="0.3">
      <c r="A1052" s="15">
        <v>45413</v>
      </c>
      <c r="B1052" t="s">
        <v>189</v>
      </c>
      <c r="C1052" t="s">
        <v>81</v>
      </c>
      <c r="D1052" t="s">
        <v>86</v>
      </c>
      <c r="E1052" t="s">
        <v>103</v>
      </c>
      <c r="F1052">
        <v>2000</v>
      </c>
      <c r="G1052" t="s">
        <v>331</v>
      </c>
      <c r="H1052" s="15">
        <v>45292</v>
      </c>
      <c r="I1052">
        <v>2000</v>
      </c>
      <c r="J1052">
        <v>0</v>
      </c>
    </row>
    <row r="1053" spans="1:10" x14ac:dyDescent="0.3">
      <c r="A1053" s="15">
        <v>45413</v>
      </c>
      <c r="B1053" t="s">
        <v>190</v>
      </c>
      <c r="C1053" t="s">
        <v>81</v>
      </c>
      <c r="D1053" t="s">
        <v>99</v>
      </c>
      <c r="E1053" t="s">
        <v>89</v>
      </c>
      <c r="F1053">
        <v>2000</v>
      </c>
      <c r="G1053" t="s">
        <v>331</v>
      </c>
      <c r="H1053" s="15">
        <v>45292</v>
      </c>
      <c r="I1053">
        <v>2000</v>
      </c>
      <c r="J1053">
        <v>0</v>
      </c>
    </row>
    <row r="1054" spans="1:10" x14ac:dyDescent="0.3">
      <c r="A1054" s="15">
        <v>45413</v>
      </c>
      <c r="B1054" t="s">
        <v>191</v>
      </c>
      <c r="C1054" t="s">
        <v>91</v>
      </c>
      <c r="D1054" t="s">
        <v>86</v>
      </c>
      <c r="E1054" t="s">
        <v>87</v>
      </c>
      <c r="F1054">
        <v>6900</v>
      </c>
      <c r="G1054" t="s">
        <v>331</v>
      </c>
      <c r="H1054" s="15">
        <v>45292</v>
      </c>
      <c r="I1054">
        <v>6900</v>
      </c>
      <c r="J1054">
        <v>0</v>
      </c>
    </row>
    <row r="1055" spans="1:10" x14ac:dyDescent="0.3">
      <c r="A1055" s="15">
        <v>45413</v>
      </c>
      <c r="B1055" t="s">
        <v>192</v>
      </c>
      <c r="C1055" t="s">
        <v>81</v>
      </c>
      <c r="D1055" t="s">
        <v>82</v>
      </c>
      <c r="E1055" t="s">
        <v>97</v>
      </c>
      <c r="F1055">
        <v>2700</v>
      </c>
      <c r="G1055" t="s">
        <v>331</v>
      </c>
      <c r="H1055" s="15">
        <v>45292</v>
      </c>
      <c r="I1055">
        <v>2700</v>
      </c>
      <c r="J1055">
        <v>0</v>
      </c>
    </row>
    <row r="1056" spans="1:10" x14ac:dyDescent="0.3">
      <c r="A1056" s="15">
        <v>45413</v>
      </c>
      <c r="B1056" t="s">
        <v>193</v>
      </c>
      <c r="C1056" t="s">
        <v>81</v>
      </c>
      <c r="D1056" t="s">
        <v>82</v>
      </c>
      <c r="E1056" t="s">
        <v>87</v>
      </c>
      <c r="F1056">
        <v>3200</v>
      </c>
      <c r="G1056" t="s">
        <v>331</v>
      </c>
      <c r="H1056" s="15">
        <v>45292</v>
      </c>
      <c r="I1056">
        <v>3200</v>
      </c>
      <c r="J1056">
        <v>0</v>
      </c>
    </row>
    <row r="1057" spans="1:10" x14ac:dyDescent="0.3">
      <c r="A1057" s="15">
        <v>45413</v>
      </c>
      <c r="B1057" t="s">
        <v>194</v>
      </c>
      <c r="C1057" t="s">
        <v>91</v>
      </c>
      <c r="D1057" t="s">
        <v>82</v>
      </c>
      <c r="E1057" t="s">
        <v>101</v>
      </c>
      <c r="F1057">
        <v>10400</v>
      </c>
      <c r="G1057" t="s">
        <v>331</v>
      </c>
      <c r="H1057" s="15">
        <v>45292</v>
      </c>
      <c r="I1057">
        <v>10400</v>
      </c>
      <c r="J1057">
        <v>0</v>
      </c>
    </row>
    <row r="1058" spans="1:10" x14ac:dyDescent="0.3">
      <c r="A1058" s="15">
        <v>45413</v>
      </c>
      <c r="B1058" t="s">
        <v>195</v>
      </c>
      <c r="C1058" t="s">
        <v>91</v>
      </c>
      <c r="D1058" t="s">
        <v>86</v>
      </c>
      <c r="E1058" t="s">
        <v>97</v>
      </c>
      <c r="F1058">
        <v>6400</v>
      </c>
      <c r="G1058" t="s">
        <v>331</v>
      </c>
      <c r="H1058" s="15">
        <v>45292</v>
      </c>
      <c r="I1058">
        <v>6400</v>
      </c>
      <c r="J1058">
        <v>0</v>
      </c>
    </row>
    <row r="1059" spans="1:10" x14ac:dyDescent="0.3">
      <c r="A1059" s="15">
        <v>45413</v>
      </c>
      <c r="B1059" t="s">
        <v>196</v>
      </c>
      <c r="C1059" t="s">
        <v>81</v>
      </c>
      <c r="D1059" t="s">
        <v>86</v>
      </c>
      <c r="E1059" t="s">
        <v>87</v>
      </c>
      <c r="F1059">
        <v>2600</v>
      </c>
      <c r="G1059" t="s">
        <v>331</v>
      </c>
      <c r="H1059" s="15">
        <v>45292</v>
      </c>
      <c r="I1059">
        <v>2600</v>
      </c>
      <c r="J1059">
        <v>0</v>
      </c>
    </row>
    <row r="1060" spans="1:10" x14ac:dyDescent="0.3">
      <c r="A1060" s="15">
        <v>45413</v>
      </c>
      <c r="B1060" t="s">
        <v>197</v>
      </c>
      <c r="C1060" t="s">
        <v>91</v>
      </c>
      <c r="D1060" t="s">
        <v>82</v>
      </c>
      <c r="E1060" t="s">
        <v>89</v>
      </c>
      <c r="F1060">
        <v>10400</v>
      </c>
      <c r="G1060" t="s">
        <v>331</v>
      </c>
      <c r="H1060" s="15">
        <v>45292</v>
      </c>
      <c r="I1060">
        <v>10400</v>
      </c>
      <c r="J1060">
        <v>0</v>
      </c>
    </row>
    <row r="1061" spans="1:10" x14ac:dyDescent="0.3">
      <c r="A1061" s="15">
        <v>45413</v>
      </c>
      <c r="B1061" t="s">
        <v>198</v>
      </c>
      <c r="C1061" t="s">
        <v>81</v>
      </c>
      <c r="D1061" t="s">
        <v>82</v>
      </c>
      <c r="E1061" t="s">
        <v>89</v>
      </c>
      <c r="F1061">
        <v>2900</v>
      </c>
      <c r="G1061" t="s">
        <v>331</v>
      </c>
      <c r="H1061" s="15">
        <v>45292</v>
      </c>
      <c r="I1061">
        <v>2900</v>
      </c>
      <c r="J1061">
        <v>0</v>
      </c>
    </row>
    <row r="1062" spans="1:10" x14ac:dyDescent="0.3">
      <c r="A1062" s="15">
        <v>45413</v>
      </c>
      <c r="B1062" t="s">
        <v>199</v>
      </c>
      <c r="C1062" t="s">
        <v>81</v>
      </c>
      <c r="D1062" t="s">
        <v>86</v>
      </c>
      <c r="E1062" t="s">
        <v>89</v>
      </c>
      <c r="F1062">
        <v>2200</v>
      </c>
      <c r="G1062" t="s">
        <v>331</v>
      </c>
      <c r="H1062" s="15">
        <v>45292</v>
      </c>
      <c r="I1062">
        <v>2200</v>
      </c>
      <c r="J1062">
        <v>0</v>
      </c>
    </row>
    <row r="1063" spans="1:10" x14ac:dyDescent="0.3">
      <c r="A1063" s="15">
        <v>45413</v>
      </c>
      <c r="B1063" t="s">
        <v>200</v>
      </c>
      <c r="C1063" t="s">
        <v>91</v>
      </c>
      <c r="D1063" t="s">
        <v>86</v>
      </c>
      <c r="E1063" t="s">
        <v>92</v>
      </c>
      <c r="F1063">
        <v>8400</v>
      </c>
      <c r="G1063" t="s">
        <v>331</v>
      </c>
      <c r="H1063" s="15">
        <v>45292</v>
      </c>
      <c r="I1063">
        <v>8400</v>
      </c>
      <c r="J1063">
        <v>0</v>
      </c>
    </row>
    <row r="1064" spans="1:10" x14ac:dyDescent="0.3">
      <c r="A1064" s="15">
        <v>45413</v>
      </c>
      <c r="B1064" t="s">
        <v>201</v>
      </c>
      <c r="C1064" t="s">
        <v>81</v>
      </c>
      <c r="D1064" t="s">
        <v>86</v>
      </c>
      <c r="E1064" t="s">
        <v>83</v>
      </c>
      <c r="F1064">
        <v>1800</v>
      </c>
      <c r="G1064" t="s">
        <v>331</v>
      </c>
      <c r="H1064" s="15">
        <v>45292</v>
      </c>
      <c r="I1064">
        <v>1800</v>
      </c>
      <c r="J1064">
        <v>0</v>
      </c>
    </row>
    <row r="1065" spans="1:10" x14ac:dyDescent="0.3">
      <c r="A1065" s="15">
        <v>45413</v>
      </c>
      <c r="B1065" t="s">
        <v>202</v>
      </c>
      <c r="C1065" t="s">
        <v>91</v>
      </c>
      <c r="D1065" t="s">
        <v>82</v>
      </c>
      <c r="E1065" t="s">
        <v>92</v>
      </c>
      <c r="F1065">
        <v>11000</v>
      </c>
      <c r="G1065" t="s">
        <v>331</v>
      </c>
      <c r="H1065" s="15">
        <v>45292</v>
      </c>
      <c r="I1065">
        <v>11000</v>
      </c>
      <c r="J1065">
        <v>0</v>
      </c>
    </row>
    <row r="1066" spans="1:10" x14ac:dyDescent="0.3">
      <c r="A1066" s="15">
        <v>45413</v>
      </c>
      <c r="B1066" t="s">
        <v>203</v>
      </c>
      <c r="C1066" t="s">
        <v>110</v>
      </c>
      <c r="D1066" t="s">
        <v>86</v>
      </c>
      <c r="E1066" t="s">
        <v>92</v>
      </c>
      <c r="F1066">
        <v>32000</v>
      </c>
      <c r="G1066" t="s">
        <v>331</v>
      </c>
      <c r="H1066" s="15">
        <v>45292</v>
      </c>
      <c r="I1066">
        <v>32000</v>
      </c>
      <c r="J1066">
        <v>0</v>
      </c>
    </row>
    <row r="1067" spans="1:10" x14ac:dyDescent="0.3">
      <c r="A1067" s="15">
        <v>45413</v>
      </c>
      <c r="B1067" t="s">
        <v>204</v>
      </c>
      <c r="C1067" t="s">
        <v>81</v>
      </c>
      <c r="D1067" t="s">
        <v>82</v>
      </c>
      <c r="E1067" t="s">
        <v>87</v>
      </c>
      <c r="F1067">
        <v>2200</v>
      </c>
      <c r="G1067" t="s">
        <v>331</v>
      </c>
      <c r="H1067" s="15">
        <v>45292</v>
      </c>
      <c r="I1067">
        <v>2200</v>
      </c>
      <c r="J1067">
        <v>0</v>
      </c>
    </row>
    <row r="1068" spans="1:10" x14ac:dyDescent="0.3">
      <c r="A1068" s="15">
        <v>45413</v>
      </c>
      <c r="B1068" t="s">
        <v>205</v>
      </c>
      <c r="C1068" t="s">
        <v>91</v>
      </c>
      <c r="D1068" t="s">
        <v>86</v>
      </c>
      <c r="E1068" t="s">
        <v>103</v>
      </c>
      <c r="F1068">
        <v>10600</v>
      </c>
      <c r="G1068" t="s">
        <v>331</v>
      </c>
      <c r="H1068" s="15">
        <v>45292</v>
      </c>
      <c r="I1068">
        <v>10600</v>
      </c>
      <c r="J1068">
        <v>0</v>
      </c>
    </row>
    <row r="1069" spans="1:10" x14ac:dyDescent="0.3">
      <c r="A1069" s="15">
        <v>45413</v>
      </c>
      <c r="B1069" t="s">
        <v>206</v>
      </c>
      <c r="C1069" t="s">
        <v>81</v>
      </c>
      <c r="D1069" t="s">
        <v>86</v>
      </c>
      <c r="E1069" t="s">
        <v>89</v>
      </c>
      <c r="F1069">
        <v>3000</v>
      </c>
      <c r="G1069" t="s">
        <v>331</v>
      </c>
      <c r="H1069" s="15">
        <v>45292</v>
      </c>
      <c r="I1069">
        <v>3000</v>
      </c>
      <c r="J1069">
        <v>0</v>
      </c>
    </row>
    <row r="1070" spans="1:10" x14ac:dyDescent="0.3">
      <c r="A1070" s="15">
        <v>45413</v>
      </c>
      <c r="B1070" t="s">
        <v>207</v>
      </c>
      <c r="C1070" t="s">
        <v>81</v>
      </c>
      <c r="D1070" t="s">
        <v>82</v>
      </c>
      <c r="E1070" t="s">
        <v>89</v>
      </c>
      <c r="F1070">
        <v>4100</v>
      </c>
      <c r="G1070" t="s">
        <v>332</v>
      </c>
      <c r="H1070" s="15">
        <v>45292</v>
      </c>
      <c r="I1070">
        <v>3700</v>
      </c>
      <c r="J1070">
        <v>400</v>
      </c>
    </row>
    <row r="1071" spans="1:10" x14ac:dyDescent="0.3">
      <c r="A1071" s="15">
        <v>45413</v>
      </c>
      <c r="B1071" t="s">
        <v>208</v>
      </c>
      <c r="C1071" t="s">
        <v>91</v>
      </c>
      <c r="D1071" t="s">
        <v>99</v>
      </c>
      <c r="E1071" t="s">
        <v>89</v>
      </c>
      <c r="F1071">
        <v>7300</v>
      </c>
      <c r="G1071" t="s">
        <v>331</v>
      </c>
      <c r="H1071" s="15">
        <v>45292</v>
      </c>
      <c r="I1071">
        <v>7300</v>
      </c>
      <c r="J1071">
        <v>0</v>
      </c>
    </row>
    <row r="1072" spans="1:10" x14ac:dyDescent="0.3">
      <c r="A1072" s="15">
        <v>45413</v>
      </c>
      <c r="B1072" t="s">
        <v>209</v>
      </c>
      <c r="C1072" t="s">
        <v>81</v>
      </c>
      <c r="D1072" t="s">
        <v>86</v>
      </c>
      <c r="E1072" t="s">
        <v>83</v>
      </c>
      <c r="F1072">
        <v>2700</v>
      </c>
      <c r="G1072" t="s">
        <v>331</v>
      </c>
      <c r="H1072" s="15">
        <v>45292</v>
      </c>
      <c r="I1072">
        <v>2700</v>
      </c>
      <c r="J1072">
        <v>0</v>
      </c>
    </row>
    <row r="1073" spans="1:10" x14ac:dyDescent="0.3">
      <c r="A1073" s="15">
        <v>45413</v>
      </c>
      <c r="B1073" t="s">
        <v>210</v>
      </c>
      <c r="C1073" t="s">
        <v>125</v>
      </c>
      <c r="D1073" t="s">
        <v>96</v>
      </c>
      <c r="E1073" t="s">
        <v>89</v>
      </c>
      <c r="F1073">
        <v>90300</v>
      </c>
      <c r="G1073" t="s">
        <v>331</v>
      </c>
      <c r="H1073" s="15">
        <v>45292</v>
      </c>
      <c r="I1073">
        <v>90300</v>
      </c>
      <c r="J1073">
        <v>0</v>
      </c>
    </row>
    <row r="1074" spans="1:10" x14ac:dyDescent="0.3">
      <c r="A1074" s="15">
        <v>45413</v>
      </c>
      <c r="B1074" t="s">
        <v>211</v>
      </c>
      <c r="C1074" t="s">
        <v>110</v>
      </c>
      <c r="D1074" t="s">
        <v>82</v>
      </c>
      <c r="E1074" t="s">
        <v>92</v>
      </c>
      <c r="F1074">
        <v>28900</v>
      </c>
      <c r="G1074" t="s">
        <v>331</v>
      </c>
      <c r="H1074" s="15">
        <v>45292</v>
      </c>
      <c r="I1074">
        <v>28900</v>
      </c>
      <c r="J1074">
        <v>0</v>
      </c>
    </row>
    <row r="1075" spans="1:10" x14ac:dyDescent="0.3">
      <c r="A1075" s="15">
        <v>45413</v>
      </c>
      <c r="B1075" t="s">
        <v>212</v>
      </c>
      <c r="C1075" t="s">
        <v>81</v>
      </c>
      <c r="D1075" t="s">
        <v>96</v>
      </c>
      <c r="E1075" t="s">
        <v>101</v>
      </c>
      <c r="F1075">
        <v>2700</v>
      </c>
      <c r="G1075" t="s">
        <v>331</v>
      </c>
      <c r="H1075" s="15">
        <v>45292</v>
      </c>
      <c r="I1075">
        <v>2700</v>
      </c>
      <c r="J1075">
        <v>0</v>
      </c>
    </row>
    <row r="1076" spans="1:10" x14ac:dyDescent="0.3">
      <c r="A1076" s="15">
        <v>45413</v>
      </c>
      <c r="B1076" t="s">
        <v>213</v>
      </c>
      <c r="C1076" t="s">
        <v>81</v>
      </c>
      <c r="D1076" t="s">
        <v>82</v>
      </c>
      <c r="E1076" t="s">
        <v>97</v>
      </c>
      <c r="F1076">
        <v>3300</v>
      </c>
      <c r="G1076" t="s">
        <v>331</v>
      </c>
      <c r="H1076" s="15">
        <v>45292</v>
      </c>
      <c r="I1076">
        <v>3300</v>
      </c>
      <c r="J1076">
        <v>0</v>
      </c>
    </row>
    <row r="1077" spans="1:10" x14ac:dyDescent="0.3">
      <c r="A1077" s="15">
        <v>45413</v>
      </c>
      <c r="B1077" t="s">
        <v>214</v>
      </c>
      <c r="C1077" t="s">
        <v>91</v>
      </c>
      <c r="D1077" t="s">
        <v>82</v>
      </c>
      <c r="E1077" t="s">
        <v>89</v>
      </c>
      <c r="F1077">
        <v>8700</v>
      </c>
      <c r="G1077" t="s">
        <v>331</v>
      </c>
      <c r="H1077" s="15">
        <v>45292</v>
      </c>
      <c r="I1077">
        <v>8700</v>
      </c>
      <c r="J1077">
        <v>0</v>
      </c>
    </row>
    <row r="1078" spans="1:10" x14ac:dyDescent="0.3">
      <c r="A1078" s="15">
        <v>45413</v>
      </c>
      <c r="B1078" t="s">
        <v>215</v>
      </c>
      <c r="C1078" t="s">
        <v>110</v>
      </c>
      <c r="D1078" t="s">
        <v>99</v>
      </c>
      <c r="E1078" t="s">
        <v>89</v>
      </c>
      <c r="F1078">
        <v>42900</v>
      </c>
      <c r="G1078" t="s">
        <v>331</v>
      </c>
      <c r="H1078" s="15">
        <v>45292</v>
      </c>
      <c r="I1078">
        <v>42900</v>
      </c>
      <c r="J1078">
        <v>0</v>
      </c>
    </row>
    <row r="1079" spans="1:10" x14ac:dyDescent="0.3">
      <c r="A1079" s="15">
        <v>45413</v>
      </c>
      <c r="B1079" t="s">
        <v>216</v>
      </c>
      <c r="C1079" t="s">
        <v>81</v>
      </c>
      <c r="D1079" t="s">
        <v>82</v>
      </c>
      <c r="E1079" t="s">
        <v>97</v>
      </c>
      <c r="F1079">
        <v>3100</v>
      </c>
      <c r="G1079" t="s">
        <v>331</v>
      </c>
      <c r="H1079" s="15">
        <v>45292</v>
      </c>
      <c r="I1079">
        <v>3100</v>
      </c>
      <c r="J1079">
        <v>0</v>
      </c>
    </row>
    <row r="1080" spans="1:10" x14ac:dyDescent="0.3">
      <c r="A1080" s="15">
        <v>45413</v>
      </c>
      <c r="B1080" t="s">
        <v>217</v>
      </c>
      <c r="C1080" t="s">
        <v>91</v>
      </c>
      <c r="D1080" t="s">
        <v>82</v>
      </c>
      <c r="E1080" t="s">
        <v>97</v>
      </c>
      <c r="F1080">
        <v>8400</v>
      </c>
      <c r="G1080" t="s">
        <v>331</v>
      </c>
      <c r="H1080" s="15">
        <v>45292</v>
      </c>
      <c r="I1080">
        <v>8400</v>
      </c>
      <c r="J1080">
        <v>0</v>
      </c>
    </row>
    <row r="1081" spans="1:10" x14ac:dyDescent="0.3">
      <c r="A1081" s="15">
        <v>45413</v>
      </c>
      <c r="B1081" t="s">
        <v>218</v>
      </c>
      <c r="C1081" t="s">
        <v>110</v>
      </c>
      <c r="D1081" t="s">
        <v>99</v>
      </c>
      <c r="E1081" t="s">
        <v>92</v>
      </c>
      <c r="F1081">
        <v>29900</v>
      </c>
      <c r="G1081" t="s">
        <v>331</v>
      </c>
      <c r="H1081" s="15">
        <v>45292</v>
      </c>
      <c r="I1081">
        <v>29900</v>
      </c>
      <c r="J1081">
        <v>0</v>
      </c>
    </row>
    <row r="1082" spans="1:10" x14ac:dyDescent="0.3">
      <c r="A1082" s="15">
        <v>45413</v>
      </c>
      <c r="B1082" t="s">
        <v>219</v>
      </c>
      <c r="C1082" t="s">
        <v>81</v>
      </c>
      <c r="D1082" t="s">
        <v>99</v>
      </c>
      <c r="E1082" t="s">
        <v>89</v>
      </c>
      <c r="F1082">
        <v>2500</v>
      </c>
      <c r="G1082" t="s">
        <v>331</v>
      </c>
      <c r="H1082" s="15">
        <v>45292</v>
      </c>
      <c r="I1082">
        <v>2500</v>
      </c>
      <c r="J1082">
        <v>0</v>
      </c>
    </row>
    <row r="1083" spans="1:10" x14ac:dyDescent="0.3">
      <c r="A1083" s="15">
        <v>45413</v>
      </c>
      <c r="B1083" t="s">
        <v>220</v>
      </c>
      <c r="C1083" t="s">
        <v>110</v>
      </c>
      <c r="D1083" t="s">
        <v>82</v>
      </c>
      <c r="E1083" t="s">
        <v>89</v>
      </c>
      <c r="F1083">
        <v>30800</v>
      </c>
      <c r="G1083" t="s">
        <v>331</v>
      </c>
      <c r="H1083" s="15">
        <v>45292</v>
      </c>
      <c r="I1083">
        <v>30800</v>
      </c>
      <c r="J1083">
        <v>0</v>
      </c>
    </row>
    <row r="1084" spans="1:10" x14ac:dyDescent="0.3">
      <c r="A1084" s="15">
        <v>45413</v>
      </c>
      <c r="B1084" t="s">
        <v>221</v>
      </c>
      <c r="C1084" t="s">
        <v>91</v>
      </c>
      <c r="D1084" t="s">
        <v>96</v>
      </c>
      <c r="E1084" t="s">
        <v>83</v>
      </c>
      <c r="F1084">
        <v>8200</v>
      </c>
      <c r="G1084" t="s">
        <v>331</v>
      </c>
      <c r="H1084" s="15">
        <v>45292</v>
      </c>
      <c r="I1084">
        <v>8200</v>
      </c>
      <c r="J1084">
        <v>0</v>
      </c>
    </row>
    <row r="1085" spans="1:10" x14ac:dyDescent="0.3">
      <c r="A1085" s="15">
        <v>45413</v>
      </c>
      <c r="B1085" t="s">
        <v>222</v>
      </c>
      <c r="C1085" t="s">
        <v>110</v>
      </c>
      <c r="D1085" t="s">
        <v>96</v>
      </c>
      <c r="E1085" t="s">
        <v>97</v>
      </c>
      <c r="F1085">
        <v>26100</v>
      </c>
      <c r="G1085" t="s">
        <v>331</v>
      </c>
      <c r="H1085" s="15">
        <v>45292</v>
      </c>
      <c r="I1085">
        <v>26100</v>
      </c>
      <c r="J1085">
        <v>0</v>
      </c>
    </row>
    <row r="1086" spans="1:10" x14ac:dyDescent="0.3">
      <c r="A1086" s="15">
        <v>45413</v>
      </c>
      <c r="B1086" t="s">
        <v>223</v>
      </c>
      <c r="C1086" t="s">
        <v>81</v>
      </c>
      <c r="D1086" t="s">
        <v>99</v>
      </c>
      <c r="E1086" t="s">
        <v>87</v>
      </c>
      <c r="F1086">
        <v>2100</v>
      </c>
      <c r="G1086" t="s">
        <v>331</v>
      </c>
      <c r="H1086" s="15">
        <v>45292</v>
      </c>
      <c r="I1086">
        <v>2100</v>
      </c>
      <c r="J1086">
        <v>0</v>
      </c>
    </row>
    <row r="1087" spans="1:10" x14ac:dyDescent="0.3">
      <c r="A1087" s="15">
        <v>45413</v>
      </c>
      <c r="B1087" t="s">
        <v>224</v>
      </c>
      <c r="C1087" t="s">
        <v>91</v>
      </c>
      <c r="D1087" t="s">
        <v>82</v>
      </c>
      <c r="E1087" t="s">
        <v>101</v>
      </c>
      <c r="F1087">
        <v>10300</v>
      </c>
      <c r="G1087" t="s">
        <v>331</v>
      </c>
      <c r="H1087" s="15">
        <v>45292</v>
      </c>
      <c r="I1087">
        <v>10300</v>
      </c>
      <c r="J1087">
        <v>0</v>
      </c>
    </row>
    <row r="1088" spans="1:10" x14ac:dyDescent="0.3">
      <c r="A1088" s="15">
        <v>45413</v>
      </c>
      <c r="B1088" t="s">
        <v>225</v>
      </c>
      <c r="C1088" t="s">
        <v>110</v>
      </c>
      <c r="D1088" t="s">
        <v>99</v>
      </c>
      <c r="E1088" t="s">
        <v>103</v>
      </c>
      <c r="F1088">
        <v>42200</v>
      </c>
      <c r="G1088" t="s">
        <v>331</v>
      </c>
      <c r="H1088" s="15">
        <v>45292</v>
      </c>
      <c r="I1088">
        <v>42200</v>
      </c>
      <c r="J1088">
        <v>0</v>
      </c>
    </row>
    <row r="1089" spans="1:10" x14ac:dyDescent="0.3">
      <c r="A1089" s="15">
        <v>45413</v>
      </c>
      <c r="B1089" t="s">
        <v>226</v>
      </c>
      <c r="C1089" t="s">
        <v>91</v>
      </c>
      <c r="D1089" t="s">
        <v>82</v>
      </c>
      <c r="E1089" t="s">
        <v>103</v>
      </c>
      <c r="F1089">
        <v>6300</v>
      </c>
      <c r="G1089" t="s">
        <v>334</v>
      </c>
      <c r="H1089" s="15">
        <v>45292</v>
      </c>
      <c r="I1089">
        <v>7100</v>
      </c>
      <c r="J1089">
        <v>-800</v>
      </c>
    </row>
    <row r="1090" spans="1:10" x14ac:dyDescent="0.3">
      <c r="A1090" s="15">
        <v>45413</v>
      </c>
      <c r="B1090" t="s">
        <v>227</v>
      </c>
      <c r="C1090" t="s">
        <v>110</v>
      </c>
      <c r="D1090" t="s">
        <v>86</v>
      </c>
      <c r="E1090" t="s">
        <v>87</v>
      </c>
      <c r="F1090">
        <v>25900</v>
      </c>
      <c r="G1090" t="s">
        <v>331</v>
      </c>
      <c r="H1090" s="15">
        <v>45292</v>
      </c>
      <c r="I1090">
        <v>25900</v>
      </c>
      <c r="J1090">
        <v>0</v>
      </c>
    </row>
    <row r="1091" spans="1:10" x14ac:dyDescent="0.3">
      <c r="A1091" s="15">
        <v>45413</v>
      </c>
      <c r="B1091" t="s">
        <v>228</v>
      </c>
      <c r="C1091" t="s">
        <v>91</v>
      </c>
      <c r="D1091" t="s">
        <v>96</v>
      </c>
      <c r="E1091" t="s">
        <v>89</v>
      </c>
      <c r="F1091">
        <v>11400</v>
      </c>
      <c r="G1091" t="s">
        <v>331</v>
      </c>
      <c r="H1091" s="15">
        <v>45292</v>
      </c>
      <c r="I1091">
        <v>11400</v>
      </c>
      <c r="J1091">
        <v>0</v>
      </c>
    </row>
    <row r="1092" spans="1:10" x14ac:dyDescent="0.3">
      <c r="A1092" s="15">
        <v>45413</v>
      </c>
      <c r="B1092" t="s">
        <v>229</v>
      </c>
      <c r="C1092" t="s">
        <v>81</v>
      </c>
      <c r="D1092" t="s">
        <v>82</v>
      </c>
      <c r="E1092" t="s">
        <v>83</v>
      </c>
      <c r="F1092">
        <v>3000</v>
      </c>
      <c r="G1092" t="s">
        <v>331</v>
      </c>
      <c r="H1092" s="15">
        <v>45292</v>
      </c>
      <c r="I1092">
        <v>3000</v>
      </c>
      <c r="J1092">
        <v>0</v>
      </c>
    </row>
    <row r="1093" spans="1:10" x14ac:dyDescent="0.3">
      <c r="A1093" s="15">
        <v>45413</v>
      </c>
      <c r="B1093" t="s">
        <v>230</v>
      </c>
      <c r="C1093" t="s">
        <v>81</v>
      </c>
      <c r="D1093" t="s">
        <v>86</v>
      </c>
      <c r="E1093" t="s">
        <v>101</v>
      </c>
      <c r="F1093">
        <v>3400</v>
      </c>
      <c r="G1093" t="s">
        <v>331</v>
      </c>
      <c r="H1093" s="15">
        <v>45292</v>
      </c>
      <c r="I1093">
        <v>3400</v>
      </c>
      <c r="J1093">
        <v>0</v>
      </c>
    </row>
    <row r="1094" spans="1:10" x14ac:dyDescent="0.3">
      <c r="A1094" s="15">
        <v>45413</v>
      </c>
      <c r="B1094" t="s">
        <v>231</v>
      </c>
      <c r="C1094" t="s">
        <v>91</v>
      </c>
      <c r="D1094" t="s">
        <v>82</v>
      </c>
      <c r="E1094" t="s">
        <v>92</v>
      </c>
      <c r="F1094">
        <v>6900</v>
      </c>
      <c r="G1094" t="s">
        <v>331</v>
      </c>
      <c r="H1094" s="15">
        <v>45292</v>
      </c>
      <c r="I1094">
        <v>6900</v>
      </c>
      <c r="J1094">
        <v>0</v>
      </c>
    </row>
    <row r="1095" spans="1:10" x14ac:dyDescent="0.3">
      <c r="A1095" s="15">
        <v>45413</v>
      </c>
      <c r="B1095" t="s">
        <v>232</v>
      </c>
      <c r="C1095" t="s">
        <v>125</v>
      </c>
      <c r="D1095" t="s">
        <v>86</v>
      </c>
      <c r="E1095" t="s">
        <v>83</v>
      </c>
      <c r="F1095">
        <v>104900</v>
      </c>
      <c r="G1095" t="s">
        <v>331</v>
      </c>
      <c r="H1095" s="15">
        <v>45292</v>
      </c>
      <c r="I1095">
        <v>104900</v>
      </c>
      <c r="J1095">
        <v>0</v>
      </c>
    </row>
    <row r="1096" spans="1:10" x14ac:dyDescent="0.3">
      <c r="A1096" s="15">
        <v>45413</v>
      </c>
      <c r="B1096" t="s">
        <v>233</v>
      </c>
      <c r="C1096" t="s">
        <v>81</v>
      </c>
      <c r="D1096" t="s">
        <v>82</v>
      </c>
      <c r="E1096" t="s">
        <v>87</v>
      </c>
      <c r="F1096">
        <v>3300</v>
      </c>
      <c r="G1096" t="s">
        <v>331</v>
      </c>
      <c r="H1096" s="15">
        <v>45292</v>
      </c>
      <c r="I1096">
        <v>3300</v>
      </c>
      <c r="J1096">
        <v>0</v>
      </c>
    </row>
    <row r="1097" spans="1:10" x14ac:dyDescent="0.3">
      <c r="A1097" s="15">
        <v>45413</v>
      </c>
      <c r="B1097" t="s">
        <v>234</v>
      </c>
      <c r="C1097" t="s">
        <v>110</v>
      </c>
      <c r="D1097" t="s">
        <v>82</v>
      </c>
      <c r="E1097" t="s">
        <v>103</v>
      </c>
      <c r="F1097">
        <v>41200</v>
      </c>
      <c r="G1097" t="s">
        <v>331</v>
      </c>
      <c r="H1097" s="15">
        <v>45292</v>
      </c>
      <c r="I1097">
        <v>41200</v>
      </c>
      <c r="J1097">
        <v>0</v>
      </c>
    </row>
    <row r="1098" spans="1:10" x14ac:dyDescent="0.3">
      <c r="A1098" s="15">
        <v>45413</v>
      </c>
      <c r="B1098" t="s">
        <v>235</v>
      </c>
      <c r="C1098" t="s">
        <v>91</v>
      </c>
      <c r="D1098" t="s">
        <v>96</v>
      </c>
      <c r="E1098" t="s">
        <v>103</v>
      </c>
      <c r="F1098">
        <v>10500</v>
      </c>
      <c r="G1098" t="s">
        <v>331</v>
      </c>
      <c r="H1098" s="15">
        <v>45292</v>
      </c>
      <c r="I1098">
        <v>10500</v>
      </c>
      <c r="J1098">
        <v>0</v>
      </c>
    </row>
    <row r="1099" spans="1:10" x14ac:dyDescent="0.3">
      <c r="A1099" s="15">
        <v>45413</v>
      </c>
      <c r="B1099" t="s">
        <v>236</v>
      </c>
      <c r="C1099" t="s">
        <v>110</v>
      </c>
      <c r="D1099" t="s">
        <v>82</v>
      </c>
      <c r="E1099" t="s">
        <v>97</v>
      </c>
      <c r="F1099">
        <v>27200</v>
      </c>
      <c r="G1099" t="s">
        <v>331</v>
      </c>
      <c r="H1099" s="15">
        <v>45292</v>
      </c>
      <c r="I1099">
        <v>27200</v>
      </c>
      <c r="J1099">
        <v>0</v>
      </c>
    </row>
    <row r="1100" spans="1:10" x14ac:dyDescent="0.3">
      <c r="A1100" s="15">
        <v>45413</v>
      </c>
      <c r="B1100" t="s">
        <v>237</v>
      </c>
      <c r="C1100" t="s">
        <v>91</v>
      </c>
      <c r="D1100" t="s">
        <v>82</v>
      </c>
      <c r="E1100" t="s">
        <v>83</v>
      </c>
      <c r="F1100">
        <v>8100</v>
      </c>
      <c r="G1100" t="s">
        <v>331</v>
      </c>
      <c r="H1100" s="15">
        <v>45292</v>
      </c>
      <c r="I1100">
        <v>8100</v>
      </c>
      <c r="J1100">
        <v>0</v>
      </c>
    </row>
    <row r="1101" spans="1:10" x14ac:dyDescent="0.3">
      <c r="A1101" s="15">
        <v>45413</v>
      </c>
      <c r="B1101" t="s">
        <v>238</v>
      </c>
      <c r="C1101" t="s">
        <v>81</v>
      </c>
      <c r="D1101" t="s">
        <v>99</v>
      </c>
      <c r="E1101" t="s">
        <v>97</v>
      </c>
      <c r="F1101">
        <v>2600</v>
      </c>
      <c r="G1101" t="s">
        <v>331</v>
      </c>
      <c r="H1101" s="15">
        <v>45292</v>
      </c>
      <c r="I1101">
        <v>2600</v>
      </c>
      <c r="J1101">
        <v>0</v>
      </c>
    </row>
    <row r="1102" spans="1:10" x14ac:dyDescent="0.3">
      <c r="A1102" s="15">
        <v>45413</v>
      </c>
      <c r="B1102" t="s">
        <v>239</v>
      </c>
      <c r="C1102" t="s">
        <v>81</v>
      </c>
      <c r="D1102" t="s">
        <v>82</v>
      </c>
      <c r="E1102" t="s">
        <v>103</v>
      </c>
      <c r="F1102">
        <v>2300</v>
      </c>
      <c r="G1102" t="s">
        <v>331</v>
      </c>
      <c r="H1102" s="15">
        <v>45292</v>
      </c>
      <c r="I1102">
        <v>2300</v>
      </c>
      <c r="J1102">
        <v>0</v>
      </c>
    </row>
    <row r="1103" spans="1:10" x14ac:dyDescent="0.3">
      <c r="A1103" s="15">
        <v>45413</v>
      </c>
      <c r="B1103" t="s">
        <v>240</v>
      </c>
      <c r="C1103" t="s">
        <v>81</v>
      </c>
      <c r="D1103" t="s">
        <v>99</v>
      </c>
      <c r="E1103" t="s">
        <v>103</v>
      </c>
      <c r="F1103">
        <v>3000</v>
      </c>
      <c r="G1103" t="s">
        <v>331</v>
      </c>
      <c r="H1103" s="15">
        <v>45292</v>
      </c>
      <c r="I1103">
        <v>3000</v>
      </c>
      <c r="J1103">
        <v>0</v>
      </c>
    </row>
    <row r="1104" spans="1:10" x14ac:dyDescent="0.3">
      <c r="A1104" s="15">
        <v>45413</v>
      </c>
      <c r="B1104" t="s">
        <v>241</v>
      </c>
      <c r="C1104" t="s">
        <v>91</v>
      </c>
      <c r="D1104" t="s">
        <v>96</v>
      </c>
      <c r="E1104" t="s">
        <v>87</v>
      </c>
      <c r="F1104">
        <v>12100</v>
      </c>
      <c r="G1104" t="s">
        <v>331</v>
      </c>
      <c r="H1104" s="15">
        <v>45292</v>
      </c>
      <c r="I1104">
        <v>12100</v>
      </c>
      <c r="J1104">
        <v>0</v>
      </c>
    </row>
    <row r="1105" spans="1:10" x14ac:dyDescent="0.3">
      <c r="A1105" s="15">
        <v>45413</v>
      </c>
      <c r="B1105" t="s">
        <v>242</v>
      </c>
      <c r="C1105" t="s">
        <v>110</v>
      </c>
      <c r="D1105" t="s">
        <v>99</v>
      </c>
      <c r="E1105" t="s">
        <v>101</v>
      </c>
      <c r="F1105">
        <v>34800</v>
      </c>
      <c r="G1105" t="s">
        <v>331</v>
      </c>
      <c r="H1105" s="15">
        <v>45292</v>
      </c>
      <c r="I1105">
        <v>34800</v>
      </c>
      <c r="J1105">
        <v>0</v>
      </c>
    </row>
    <row r="1106" spans="1:10" x14ac:dyDescent="0.3">
      <c r="A1106" s="15">
        <v>45413</v>
      </c>
      <c r="B1106" t="s">
        <v>244</v>
      </c>
      <c r="C1106" t="s">
        <v>91</v>
      </c>
      <c r="D1106" t="s">
        <v>82</v>
      </c>
      <c r="E1106" t="s">
        <v>92</v>
      </c>
      <c r="F1106">
        <v>7800</v>
      </c>
      <c r="G1106" t="s">
        <v>331</v>
      </c>
      <c r="H1106" s="15">
        <v>45292</v>
      </c>
      <c r="I1106">
        <v>7800</v>
      </c>
      <c r="J1106">
        <v>0</v>
      </c>
    </row>
    <row r="1107" spans="1:10" x14ac:dyDescent="0.3">
      <c r="A1107" s="15">
        <v>45413</v>
      </c>
      <c r="B1107" t="s">
        <v>245</v>
      </c>
      <c r="C1107" t="s">
        <v>81</v>
      </c>
      <c r="D1107" t="s">
        <v>99</v>
      </c>
      <c r="E1107" t="s">
        <v>97</v>
      </c>
      <c r="F1107">
        <v>2600</v>
      </c>
      <c r="G1107" t="s">
        <v>331</v>
      </c>
      <c r="H1107" s="15">
        <v>45292</v>
      </c>
      <c r="I1107">
        <v>2600</v>
      </c>
      <c r="J1107">
        <v>0</v>
      </c>
    </row>
    <row r="1108" spans="1:10" x14ac:dyDescent="0.3">
      <c r="A1108" s="15">
        <v>45413</v>
      </c>
      <c r="B1108" t="s">
        <v>246</v>
      </c>
      <c r="C1108" t="s">
        <v>91</v>
      </c>
      <c r="D1108" t="s">
        <v>86</v>
      </c>
      <c r="E1108" t="s">
        <v>103</v>
      </c>
      <c r="F1108">
        <v>10100</v>
      </c>
      <c r="G1108" t="s">
        <v>331</v>
      </c>
      <c r="H1108" s="15">
        <v>45292</v>
      </c>
      <c r="I1108">
        <v>10100</v>
      </c>
      <c r="J1108">
        <v>0</v>
      </c>
    </row>
    <row r="1109" spans="1:10" x14ac:dyDescent="0.3">
      <c r="A1109" s="15">
        <v>45413</v>
      </c>
      <c r="B1109" t="s">
        <v>247</v>
      </c>
      <c r="C1109" t="s">
        <v>91</v>
      </c>
      <c r="D1109" t="s">
        <v>86</v>
      </c>
      <c r="E1109" t="s">
        <v>89</v>
      </c>
      <c r="F1109">
        <v>9100</v>
      </c>
      <c r="G1109" t="s">
        <v>331</v>
      </c>
      <c r="H1109" s="15">
        <v>45292</v>
      </c>
      <c r="I1109">
        <v>9100</v>
      </c>
      <c r="J1109">
        <v>0</v>
      </c>
    </row>
    <row r="1110" spans="1:10" x14ac:dyDescent="0.3">
      <c r="A1110" s="15">
        <v>45413</v>
      </c>
      <c r="B1110" t="s">
        <v>248</v>
      </c>
      <c r="C1110" t="s">
        <v>81</v>
      </c>
      <c r="D1110" t="s">
        <v>82</v>
      </c>
      <c r="E1110" t="s">
        <v>103</v>
      </c>
      <c r="F1110">
        <v>2100</v>
      </c>
      <c r="G1110" t="s">
        <v>331</v>
      </c>
      <c r="H1110" s="15">
        <v>45292</v>
      </c>
      <c r="I1110">
        <v>2100</v>
      </c>
      <c r="J1110">
        <v>0</v>
      </c>
    </row>
    <row r="1111" spans="1:10" x14ac:dyDescent="0.3">
      <c r="A1111" s="15">
        <v>45413</v>
      </c>
      <c r="B1111" t="s">
        <v>249</v>
      </c>
      <c r="C1111" t="s">
        <v>91</v>
      </c>
      <c r="D1111" t="s">
        <v>99</v>
      </c>
      <c r="E1111" t="s">
        <v>103</v>
      </c>
      <c r="F1111">
        <v>8700</v>
      </c>
      <c r="G1111" t="s">
        <v>331</v>
      </c>
      <c r="H1111" s="15">
        <v>45292</v>
      </c>
      <c r="I1111">
        <v>8700</v>
      </c>
      <c r="J1111">
        <v>0</v>
      </c>
    </row>
    <row r="1112" spans="1:10" x14ac:dyDescent="0.3">
      <c r="A1112" s="15">
        <v>45413</v>
      </c>
      <c r="B1112" t="s">
        <v>250</v>
      </c>
      <c r="C1112" t="s">
        <v>81</v>
      </c>
      <c r="D1112" t="s">
        <v>86</v>
      </c>
      <c r="E1112" t="s">
        <v>87</v>
      </c>
      <c r="F1112">
        <v>3300</v>
      </c>
      <c r="G1112" t="s">
        <v>331</v>
      </c>
      <c r="H1112" s="15">
        <v>45292</v>
      </c>
      <c r="I1112">
        <v>3300</v>
      </c>
      <c r="J1112">
        <v>0</v>
      </c>
    </row>
    <row r="1113" spans="1:10" x14ac:dyDescent="0.3">
      <c r="A1113" s="15">
        <v>45413</v>
      </c>
      <c r="B1113" t="s">
        <v>251</v>
      </c>
      <c r="C1113" t="s">
        <v>91</v>
      </c>
      <c r="D1113" t="s">
        <v>99</v>
      </c>
      <c r="E1113" t="s">
        <v>103</v>
      </c>
      <c r="F1113">
        <v>7700</v>
      </c>
      <c r="G1113" t="s">
        <v>331</v>
      </c>
      <c r="H1113" s="15">
        <v>45292</v>
      </c>
      <c r="I1113">
        <v>7700</v>
      </c>
      <c r="J1113">
        <v>0</v>
      </c>
    </row>
    <row r="1114" spans="1:10" x14ac:dyDescent="0.3">
      <c r="A1114" s="15">
        <v>45413</v>
      </c>
      <c r="B1114" t="s">
        <v>252</v>
      </c>
      <c r="C1114" t="s">
        <v>81</v>
      </c>
      <c r="D1114" t="s">
        <v>99</v>
      </c>
      <c r="E1114" t="s">
        <v>92</v>
      </c>
      <c r="F1114">
        <v>3400</v>
      </c>
      <c r="G1114" t="s">
        <v>331</v>
      </c>
      <c r="H1114" s="15">
        <v>45292</v>
      </c>
      <c r="I1114">
        <v>3400</v>
      </c>
      <c r="J1114">
        <v>0</v>
      </c>
    </row>
    <row r="1115" spans="1:10" x14ac:dyDescent="0.3">
      <c r="A1115" s="15">
        <v>45413</v>
      </c>
      <c r="B1115" t="s">
        <v>253</v>
      </c>
      <c r="C1115" t="s">
        <v>81</v>
      </c>
      <c r="D1115" t="s">
        <v>96</v>
      </c>
      <c r="E1115" t="s">
        <v>89</v>
      </c>
      <c r="F1115">
        <v>2400</v>
      </c>
      <c r="G1115" t="s">
        <v>331</v>
      </c>
      <c r="H1115" s="15">
        <v>45292</v>
      </c>
      <c r="I1115">
        <v>2400</v>
      </c>
      <c r="J1115">
        <v>0</v>
      </c>
    </row>
    <row r="1116" spans="1:10" x14ac:dyDescent="0.3">
      <c r="A1116" s="15">
        <v>45413</v>
      </c>
      <c r="B1116" t="s">
        <v>254</v>
      </c>
      <c r="C1116" t="s">
        <v>110</v>
      </c>
      <c r="D1116" t="s">
        <v>86</v>
      </c>
      <c r="E1116" t="s">
        <v>103</v>
      </c>
      <c r="F1116">
        <v>56100</v>
      </c>
      <c r="G1116" t="s">
        <v>331</v>
      </c>
      <c r="H1116" s="15">
        <v>45292</v>
      </c>
      <c r="I1116">
        <v>56100</v>
      </c>
      <c r="J1116">
        <v>0</v>
      </c>
    </row>
    <row r="1117" spans="1:10" x14ac:dyDescent="0.3">
      <c r="A1117" s="15">
        <v>45413</v>
      </c>
      <c r="B1117" t="s">
        <v>255</v>
      </c>
      <c r="C1117" t="s">
        <v>91</v>
      </c>
      <c r="D1117" t="s">
        <v>86</v>
      </c>
      <c r="E1117" t="s">
        <v>89</v>
      </c>
      <c r="F1117">
        <v>9900</v>
      </c>
      <c r="G1117" t="s">
        <v>332</v>
      </c>
      <c r="H1117" s="15">
        <v>45292</v>
      </c>
      <c r="I1117">
        <v>8600</v>
      </c>
      <c r="J1117">
        <v>1300</v>
      </c>
    </row>
    <row r="1118" spans="1:10" x14ac:dyDescent="0.3">
      <c r="A1118" s="15">
        <v>45413</v>
      </c>
      <c r="B1118" t="s">
        <v>256</v>
      </c>
      <c r="C1118" t="s">
        <v>81</v>
      </c>
      <c r="D1118" t="s">
        <v>82</v>
      </c>
      <c r="E1118" t="s">
        <v>103</v>
      </c>
      <c r="F1118">
        <v>2600</v>
      </c>
      <c r="G1118" t="s">
        <v>331</v>
      </c>
      <c r="H1118" s="15">
        <v>45292</v>
      </c>
      <c r="I1118">
        <v>2600</v>
      </c>
      <c r="J1118">
        <v>0</v>
      </c>
    </row>
    <row r="1119" spans="1:10" x14ac:dyDescent="0.3">
      <c r="A1119" s="15">
        <v>45413</v>
      </c>
      <c r="B1119" t="s">
        <v>257</v>
      </c>
      <c r="C1119" t="s">
        <v>91</v>
      </c>
      <c r="D1119" t="s">
        <v>96</v>
      </c>
      <c r="E1119" t="s">
        <v>87</v>
      </c>
      <c r="F1119">
        <v>8400</v>
      </c>
      <c r="G1119" t="s">
        <v>331</v>
      </c>
      <c r="H1119" s="15">
        <v>45292</v>
      </c>
      <c r="I1119">
        <v>8400</v>
      </c>
      <c r="J1119">
        <v>0</v>
      </c>
    </row>
    <row r="1120" spans="1:10" x14ac:dyDescent="0.3">
      <c r="A1120" s="15">
        <v>45413</v>
      </c>
      <c r="B1120" t="s">
        <v>258</v>
      </c>
      <c r="C1120" t="s">
        <v>125</v>
      </c>
      <c r="D1120" t="s">
        <v>86</v>
      </c>
      <c r="E1120" t="s">
        <v>83</v>
      </c>
      <c r="F1120">
        <v>96300</v>
      </c>
      <c r="G1120" t="s">
        <v>331</v>
      </c>
      <c r="H1120" s="15">
        <v>45292</v>
      </c>
      <c r="I1120">
        <v>96300</v>
      </c>
      <c r="J1120">
        <v>0</v>
      </c>
    </row>
    <row r="1121" spans="1:10" x14ac:dyDescent="0.3">
      <c r="A1121" s="15">
        <v>45413</v>
      </c>
      <c r="B1121" t="s">
        <v>259</v>
      </c>
      <c r="C1121" t="s">
        <v>81</v>
      </c>
      <c r="D1121" t="s">
        <v>86</v>
      </c>
      <c r="E1121" t="s">
        <v>89</v>
      </c>
      <c r="F1121">
        <v>1900</v>
      </c>
      <c r="G1121" t="s">
        <v>331</v>
      </c>
      <c r="H1121" s="15">
        <v>45292</v>
      </c>
      <c r="I1121">
        <v>1900</v>
      </c>
      <c r="J1121">
        <v>0</v>
      </c>
    </row>
    <row r="1122" spans="1:10" x14ac:dyDescent="0.3">
      <c r="A1122" s="15">
        <v>45413</v>
      </c>
      <c r="B1122" t="s">
        <v>260</v>
      </c>
      <c r="C1122" t="s">
        <v>81</v>
      </c>
      <c r="D1122" t="s">
        <v>86</v>
      </c>
      <c r="E1122" t="s">
        <v>97</v>
      </c>
      <c r="F1122">
        <v>2600</v>
      </c>
      <c r="G1122" t="s">
        <v>331</v>
      </c>
      <c r="H1122" s="15">
        <v>45292</v>
      </c>
      <c r="I1122">
        <v>2600</v>
      </c>
      <c r="J1122">
        <v>0</v>
      </c>
    </row>
    <row r="1123" spans="1:10" x14ac:dyDescent="0.3">
      <c r="A1123" s="15">
        <v>45413</v>
      </c>
      <c r="B1123" t="s">
        <v>262</v>
      </c>
      <c r="C1123" t="s">
        <v>91</v>
      </c>
      <c r="D1123" t="s">
        <v>82</v>
      </c>
      <c r="E1123" t="s">
        <v>92</v>
      </c>
      <c r="F1123">
        <v>8600</v>
      </c>
      <c r="G1123" t="s">
        <v>331</v>
      </c>
      <c r="H1123" s="15">
        <v>45292</v>
      </c>
      <c r="I1123">
        <v>8600</v>
      </c>
      <c r="J1123">
        <v>0</v>
      </c>
    </row>
    <row r="1124" spans="1:10" x14ac:dyDescent="0.3">
      <c r="A1124" s="15">
        <v>45413</v>
      </c>
      <c r="B1124" t="s">
        <v>263</v>
      </c>
      <c r="C1124" t="s">
        <v>81</v>
      </c>
      <c r="D1124" t="s">
        <v>99</v>
      </c>
      <c r="E1124" t="s">
        <v>89</v>
      </c>
      <c r="F1124">
        <v>3200</v>
      </c>
      <c r="G1124" t="s">
        <v>331</v>
      </c>
      <c r="H1124" s="15">
        <v>45292</v>
      </c>
      <c r="I1124">
        <v>3200</v>
      </c>
      <c r="J1124">
        <v>0</v>
      </c>
    </row>
    <row r="1125" spans="1:10" x14ac:dyDescent="0.3">
      <c r="A1125" s="15">
        <v>45413</v>
      </c>
      <c r="B1125" t="s">
        <v>264</v>
      </c>
      <c r="C1125" t="s">
        <v>110</v>
      </c>
      <c r="D1125" t="s">
        <v>86</v>
      </c>
      <c r="E1125" t="s">
        <v>97</v>
      </c>
      <c r="F1125">
        <v>31500</v>
      </c>
      <c r="G1125" t="s">
        <v>331</v>
      </c>
      <c r="H1125" s="15">
        <v>45292</v>
      </c>
      <c r="I1125">
        <v>31500</v>
      </c>
      <c r="J1125">
        <v>0</v>
      </c>
    </row>
    <row r="1126" spans="1:10" x14ac:dyDescent="0.3">
      <c r="A1126" s="15">
        <v>45413</v>
      </c>
      <c r="B1126" t="s">
        <v>265</v>
      </c>
      <c r="C1126" t="s">
        <v>125</v>
      </c>
      <c r="D1126" t="s">
        <v>86</v>
      </c>
      <c r="E1126" t="s">
        <v>101</v>
      </c>
      <c r="F1126">
        <v>92200</v>
      </c>
      <c r="G1126" t="s">
        <v>331</v>
      </c>
      <c r="H1126" s="15">
        <v>45292</v>
      </c>
      <c r="I1126">
        <v>92200</v>
      </c>
      <c r="J1126">
        <v>0</v>
      </c>
    </row>
    <row r="1127" spans="1:10" x14ac:dyDescent="0.3">
      <c r="A1127" s="15">
        <v>45413</v>
      </c>
      <c r="B1127" t="s">
        <v>266</v>
      </c>
      <c r="C1127" t="s">
        <v>81</v>
      </c>
      <c r="D1127" t="s">
        <v>82</v>
      </c>
      <c r="E1127" t="s">
        <v>83</v>
      </c>
      <c r="F1127">
        <v>2200</v>
      </c>
      <c r="G1127" t="s">
        <v>331</v>
      </c>
      <c r="H1127" s="15">
        <v>45292</v>
      </c>
      <c r="I1127">
        <v>2200</v>
      </c>
      <c r="J1127">
        <v>0</v>
      </c>
    </row>
    <row r="1128" spans="1:10" x14ac:dyDescent="0.3">
      <c r="A1128" s="15">
        <v>45413</v>
      </c>
      <c r="B1128" t="s">
        <v>267</v>
      </c>
      <c r="C1128" t="s">
        <v>91</v>
      </c>
      <c r="D1128" t="s">
        <v>82</v>
      </c>
      <c r="E1128" t="s">
        <v>97</v>
      </c>
      <c r="F1128">
        <v>6900</v>
      </c>
      <c r="G1128" t="s">
        <v>331</v>
      </c>
      <c r="H1128" s="15">
        <v>45292</v>
      </c>
      <c r="I1128">
        <v>6900</v>
      </c>
      <c r="J1128">
        <v>0</v>
      </c>
    </row>
    <row r="1129" spans="1:10" x14ac:dyDescent="0.3">
      <c r="A1129" s="15">
        <v>45413</v>
      </c>
      <c r="B1129" t="s">
        <v>270</v>
      </c>
      <c r="C1129" t="s">
        <v>110</v>
      </c>
      <c r="D1129" t="s">
        <v>86</v>
      </c>
      <c r="E1129" t="s">
        <v>87</v>
      </c>
      <c r="F1129">
        <v>44200</v>
      </c>
      <c r="G1129" t="s">
        <v>331</v>
      </c>
      <c r="H1129" s="15">
        <v>45292</v>
      </c>
      <c r="I1129">
        <v>44200</v>
      </c>
      <c r="J1129">
        <v>0</v>
      </c>
    </row>
    <row r="1130" spans="1:10" x14ac:dyDescent="0.3">
      <c r="A1130" s="15">
        <v>45413</v>
      </c>
      <c r="B1130" t="s">
        <v>271</v>
      </c>
      <c r="C1130" t="s">
        <v>81</v>
      </c>
      <c r="D1130" t="s">
        <v>82</v>
      </c>
      <c r="E1130" t="s">
        <v>97</v>
      </c>
      <c r="F1130">
        <v>2900</v>
      </c>
      <c r="G1130" t="s">
        <v>331</v>
      </c>
      <c r="H1130" s="15">
        <v>45292</v>
      </c>
      <c r="I1130">
        <v>2900</v>
      </c>
      <c r="J1130">
        <v>0</v>
      </c>
    </row>
    <row r="1131" spans="1:10" x14ac:dyDescent="0.3">
      <c r="A1131" s="15">
        <v>45413</v>
      </c>
      <c r="B1131" t="s">
        <v>272</v>
      </c>
      <c r="C1131" t="s">
        <v>125</v>
      </c>
      <c r="D1131" t="s">
        <v>96</v>
      </c>
      <c r="E1131" t="s">
        <v>103</v>
      </c>
      <c r="F1131">
        <v>101100</v>
      </c>
      <c r="G1131" t="s">
        <v>332</v>
      </c>
      <c r="H1131" s="15">
        <v>45292</v>
      </c>
      <c r="I1131">
        <v>87600</v>
      </c>
      <c r="J1131">
        <v>13500</v>
      </c>
    </row>
    <row r="1132" spans="1:10" x14ac:dyDescent="0.3">
      <c r="A1132" s="15">
        <v>45413</v>
      </c>
      <c r="B1132" t="s">
        <v>273</v>
      </c>
      <c r="C1132" t="s">
        <v>81</v>
      </c>
      <c r="D1132" t="s">
        <v>82</v>
      </c>
      <c r="E1132" t="s">
        <v>101</v>
      </c>
      <c r="F1132">
        <v>3300</v>
      </c>
      <c r="G1132" t="s">
        <v>331</v>
      </c>
      <c r="H1132" s="15">
        <v>45292</v>
      </c>
      <c r="I1132">
        <v>3300</v>
      </c>
      <c r="J1132">
        <v>0</v>
      </c>
    </row>
    <row r="1133" spans="1:10" x14ac:dyDescent="0.3">
      <c r="A1133" s="15">
        <v>45413</v>
      </c>
      <c r="B1133" t="s">
        <v>274</v>
      </c>
      <c r="C1133" t="s">
        <v>91</v>
      </c>
      <c r="D1133" t="s">
        <v>99</v>
      </c>
      <c r="E1133" t="s">
        <v>87</v>
      </c>
      <c r="F1133">
        <v>11400</v>
      </c>
      <c r="G1133" t="s">
        <v>331</v>
      </c>
      <c r="H1133" s="15">
        <v>45292</v>
      </c>
      <c r="I1133">
        <v>11400</v>
      </c>
      <c r="J1133">
        <v>0</v>
      </c>
    </row>
    <row r="1134" spans="1:10" x14ac:dyDescent="0.3">
      <c r="A1134" s="15">
        <v>45413</v>
      </c>
      <c r="B1134" t="s">
        <v>276</v>
      </c>
      <c r="C1134" t="s">
        <v>81</v>
      </c>
      <c r="D1134" t="s">
        <v>82</v>
      </c>
      <c r="E1134" t="s">
        <v>103</v>
      </c>
      <c r="F1134">
        <v>3300</v>
      </c>
      <c r="G1134" t="s">
        <v>331</v>
      </c>
      <c r="H1134" s="15">
        <v>45292</v>
      </c>
      <c r="I1134">
        <v>3300</v>
      </c>
      <c r="J1134">
        <v>0</v>
      </c>
    </row>
    <row r="1135" spans="1:10" x14ac:dyDescent="0.3">
      <c r="A1135" s="15">
        <v>45413</v>
      </c>
      <c r="B1135" t="s">
        <v>277</v>
      </c>
      <c r="C1135" t="s">
        <v>91</v>
      </c>
      <c r="D1135" t="s">
        <v>86</v>
      </c>
      <c r="E1135" t="s">
        <v>97</v>
      </c>
      <c r="F1135">
        <v>8000</v>
      </c>
      <c r="G1135" t="s">
        <v>331</v>
      </c>
      <c r="H1135" s="15">
        <v>45292</v>
      </c>
      <c r="I1135">
        <v>8000</v>
      </c>
      <c r="J1135">
        <v>0</v>
      </c>
    </row>
    <row r="1136" spans="1:10" x14ac:dyDescent="0.3">
      <c r="A1136" s="15">
        <v>45413</v>
      </c>
      <c r="B1136" t="s">
        <v>278</v>
      </c>
      <c r="C1136" t="s">
        <v>81</v>
      </c>
      <c r="D1136" t="s">
        <v>82</v>
      </c>
      <c r="E1136" t="s">
        <v>92</v>
      </c>
      <c r="F1136">
        <v>1900</v>
      </c>
      <c r="G1136" t="s">
        <v>331</v>
      </c>
      <c r="H1136" s="15">
        <v>45292</v>
      </c>
      <c r="I1136">
        <v>1900</v>
      </c>
      <c r="J1136">
        <v>0</v>
      </c>
    </row>
    <row r="1137" spans="1:10" x14ac:dyDescent="0.3">
      <c r="A1137" s="15">
        <v>45413</v>
      </c>
      <c r="B1137" t="s">
        <v>279</v>
      </c>
      <c r="C1137" t="s">
        <v>91</v>
      </c>
      <c r="D1137" t="s">
        <v>99</v>
      </c>
      <c r="E1137" t="s">
        <v>89</v>
      </c>
      <c r="F1137">
        <v>9800</v>
      </c>
      <c r="G1137" t="s">
        <v>331</v>
      </c>
      <c r="H1137" s="15">
        <v>45292</v>
      </c>
      <c r="I1137">
        <v>9800</v>
      </c>
      <c r="J1137">
        <v>0</v>
      </c>
    </row>
    <row r="1138" spans="1:10" x14ac:dyDescent="0.3">
      <c r="A1138" s="15">
        <v>45413</v>
      </c>
      <c r="B1138" t="s">
        <v>280</v>
      </c>
      <c r="C1138" t="s">
        <v>91</v>
      </c>
      <c r="D1138" t="s">
        <v>96</v>
      </c>
      <c r="E1138" t="s">
        <v>83</v>
      </c>
      <c r="F1138">
        <v>6300</v>
      </c>
      <c r="G1138" t="s">
        <v>331</v>
      </c>
      <c r="H1138" s="15">
        <v>45292</v>
      </c>
      <c r="I1138">
        <v>6300</v>
      </c>
      <c r="J1138">
        <v>0</v>
      </c>
    </row>
    <row r="1139" spans="1:10" x14ac:dyDescent="0.3">
      <c r="A1139" s="15">
        <v>45413</v>
      </c>
      <c r="B1139" t="s">
        <v>281</v>
      </c>
      <c r="C1139" t="s">
        <v>110</v>
      </c>
      <c r="D1139" t="s">
        <v>86</v>
      </c>
      <c r="E1139" t="s">
        <v>92</v>
      </c>
      <c r="F1139">
        <v>46800</v>
      </c>
      <c r="G1139" t="s">
        <v>331</v>
      </c>
      <c r="H1139" s="15">
        <v>45292</v>
      </c>
      <c r="I1139">
        <v>46800</v>
      </c>
      <c r="J1139">
        <v>0</v>
      </c>
    </row>
    <row r="1140" spans="1:10" x14ac:dyDescent="0.3">
      <c r="A1140" s="15">
        <v>45413</v>
      </c>
      <c r="B1140" t="s">
        <v>282</v>
      </c>
      <c r="C1140" t="s">
        <v>91</v>
      </c>
      <c r="D1140" t="s">
        <v>86</v>
      </c>
      <c r="E1140" t="s">
        <v>92</v>
      </c>
      <c r="F1140">
        <v>7000</v>
      </c>
      <c r="G1140" t="s">
        <v>331</v>
      </c>
      <c r="H1140" s="15">
        <v>45292</v>
      </c>
      <c r="I1140">
        <v>7000</v>
      </c>
      <c r="J1140">
        <v>0</v>
      </c>
    </row>
    <row r="1141" spans="1:10" x14ac:dyDescent="0.3">
      <c r="A1141" s="15">
        <v>45413</v>
      </c>
      <c r="B1141" t="s">
        <v>283</v>
      </c>
      <c r="C1141" t="s">
        <v>110</v>
      </c>
      <c r="D1141" t="s">
        <v>82</v>
      </c>
      <c r="E1141" t="s">
        <v>87</v>
      </c>
      <c r="F1141">
        <v>34200</v>
      </c>
      <c r="G1141" t="s">
        <v>331</v>
      </c>
      <c r="H1141" s="15">
        <v>45292</v>
      </c>
      <c r="I1141">
        <v>34200</v>
      </c>
      <c r="J1141">
        <v>0</v>
      </c>
    </row>
    <row r="1142" spans="1:10" x14ac:dyDescent="0.3">
      <c r="A1142" s="15">
        <v>45413</v>
      </c>
      <c r="B1142" t="s">
        <v>284</v>
      </c>
      <c r="C1142" t="s">
        <v>81</v>
      </c>
      <c r="D1142" t="s">
        <v>82</v>
      </c>
      <c r="E1142" t="s">
        <v>101</v>
      </c>
      <c r="F1142">
        <v>2400</v>
      </c>
      <c r="G1142" t="s">
        <v>331</v>
      </c>
      <c r="H1142" s="15">
        <v>45292</v>
      </c>
      <c r="I1142">
        <v>2400</v>
      </c>
      <c r="J1142">
        <v>0</v>
      </c>
    </row>
    <row r="1143" spans="1:10" x14ac:dyDescent="0.3">
      <c r="A1143" s="15">
        <v>45413</v>
      </c>
      <c r="B1143" t="s">
        <v>285</v>
      </c>
      <c r="C1143" t="s">
        <v>91</v>
      </c>
      <c r="D1143" t="s">
        <v>82</v>
      </c>
      <c r="E1143" t="s">
        <v>83</v>
      </c>
      <c r="F1143">
        <v>10900</v>
      </c>
      <c r="G1143" t="s">
        <v>331</v>
      </c>
      <c r="H1143" s="15">
        <v>45292</v>
      </c>
      <c r="I1143">
        <v>10900</v>
      </c>
      <c r="J1143">
        <v>0</v>
      </c>
    </row>
    <row r="1144" spans="1:10" x14ac:dyDescent="0.3">
      <c r="A1144" s="15">
        <v>45413</v>
      </c>
      <c r="B1144" t="s">
        <v>286</v>
      </c>
      <c r="C1144" t="s">
        <v>125</v>
      </c>
      <c r="D1144" t="s">
        <v>86</v>
      </c>
      <c r="E1144" t="s">
        <v>92</v>
      </c>
      <c r="F1144">
        <v>92400</v>
      </c>
      <c r="G1144" t="s">
        <v>331</v>
      </c>
      <c r="H1144" s="15">
        <v>45292</v>
      </c>
      <c r="I1144">
        <v>92400</v>
      </c>
      <c r="J1144">
        <v>0</v>
      </c>
    </row>
    <row r="1145" spans="1:10" x14ac:dyDescent="0.3">
      <c r="A1145" s="15">
        <v>45413</v>
      </c>
      <c r="B1145" t="s">
        <v>287</v>
      </c>
      <c r="C1145" t="s">
        <v>81</v>
      </c>
      <c r="D1145" t="s">
        <v>99</v>
      </c>
      <c r="E1145" t="s">
        <v>87</v>
      </c>
      <c r="F1145">
        <v>2300</v>
      </c>
      <c r="G1145" t="s">
        <v>331</v>
      </c>
      <c r="H1145" s="15">
        <v>45292</v>
      </c>
      <c r="I1145">
        <v>2300</v>
      </c>
      <c r="J1145">
        <v>0</v>
      </c>
    </row>
    <row r="1146" spans="1:10" x14ac:dyDescent="0.3">
      <c r="A1146" s="15">
        <v>45413</v>
      </c>
      <c r="B1146" t="s">
        <v>288</v>
      </c>
      <c r="C1146" t="s">
        <v>81</v>
      </c>
      <c r="D1146" t="s">
        <v>99</v>
      </c>
      <c r="E1146" t="s">
        <v>97</v>
      </c>
      <c r="F1146">
        <v>2600</v>
      </c>
      <c r="G1146" t="s">
        <v>331</v>
      </c>
      <c r="H1146" s="15">
        <v>45292</v>
      </c>
      <c r="I1146">
        <v>2600</v>
      </c>
      <c r="J1146">
        <v>0</v>
      </c>
    </row>
    <row r="1147" spans="1:10" x14ac:dyDescent="0.3">
      <c r="A1147" s="15">
        <v>45413</v>
      </c>
      <c r="B1147" t="s">
        <v>289</v>
      </c>
      <c r="C1147" t="s">
        <v>91</v>
      </c>
      <c r="D1147" t="s">
        <v>86</v>
      </c>
      <c r="E1147" t="s">
        <v>101</v>
      </c>
      <c r="F1147">
        <v>9400</v>
      </c>
      <c r="G1147" t="s">
        <v>331</v>
      </c>
      <c r="H1147" s="15">
        <v>45292</v>
      </c>
      <c r="I1147">
        <v>9400</v>
      </c>
      <c r="J1147">
        <v>0</v>
      </c>
    </row>
    <row r="1148" spans="1:10" x14ac:dyDescent="0.3">
      <c r="A1148" s="15">
        <v>45413</v>
      </c>
      <c r="B1148" t="s">
        <v>290</v>
      </c>
      <c r="C1148" t="s">
        <v>81</v>
      </c>
      <c r="D1148" t="s">
        <v>82</v>
      </c>
      <c r="E1148" t="s">
        <v>103</v>
      </c>
      <c r="F1148">
        <v>2800</v>
      </c>
      <c r="G1148" t="s">
        <v>331</v>
      </c>
      <c r="H1148" s="15">
        <v>45292</v>
      </c>
      <c r="I1148">
        <v>2800</v>
      </c>
      <c r="J1148">
        <v>0</v>
      </c>
    </row>
    <row r="1149" spans="1:10" x14ac:dyDescent="0.3">
      <c r="A1149" s="15">
        <v>45413</v>
      </c>
      <c r="B1149" t="s">
        <v>291</v>
      </c>
      <c r="C1149" t="s">
        <v>81</v>
      </c>
      <c r="D1149" t="s">
        <v>82</v>
      </c>
      <c r="E1149" t="s">
        <v>83</v>
      </c>
      <c r="F1149">
        <v>3100</v>
      </c>
      <c r="G1149" t="s">
        <v>331</v>
      </c>
      <c r="H1149" s="15">
        <v>45292</v>
      </c>
      <c r="I1149">
        <v>3100</v>
      </c>
      <c r="J1149">
        <v>0</v>
      </c>
    </row>
    <row r="1150" spans="1:10" x14ac:dyDescent="0.3">
      <c r="A1150" s="15">
        <v>45413</v>
      </c>
      <c r="B1150" t="s">
        <v>292</v>
      </c>
      <c r="C1150" t="s">
        <v>91</v>
      </c>
      <c r="D1150" t="s">
        <v>86</v>
      </c>
      <c r="E1150" t="s">
        <v>89</v>
      </c>
      <c r="F1150">
        <v>8600</v>
      </c>
      <c r="G1150" t="s">
        <v>331</v>
      </c>
      <c r="H1150" s="15">
        <v>45292</v>
      </c>
      <c r="I1150">
        <v>8600</v>
      </c>
      <c r="J1150">
        <v>0</v>
      </c>
    </row>
    <row r="1151" spans="1:10" x14ac:dyDescent="0.3">
      <c r="A1151" s="15">
        <v>45413</v>
      </c>
      <c r="B1151" t="s">
        <v>293</v>
      </c>
      <c r="C1151" t="s">
        <v>81</v>
      </c>
      <c r="D1151" t="s">
        <v>86</v>
      </c>
      <c r="E1151" t="s">
        <v>103</v>
      </c>
      <c r="F1151">
        <v>2200</v>
      </c>
      <c r="G1151" t="s">
        <v>331</v>
      </c>
      <c r="H1151" s="15">
        <v>45292</v>
      </c>
      <c r="I1151">
        <v>2200</v>
      </c>
      <c r="J1151">
        <v>0</v>
      </c>
    </row>
    <row r="1152" spans="1:10" x14ac:dyDescent="0.3">
      <c r="A1152" s="15">
        <v>45413</v>
      </c>
      <c r="B1152" t="s">
        <v>294</v>
      </c>
      <c r="C1152" t="s">
        <v>91</v>
      </c>
      <c r="D1152" t="s">
        <v>82</v>
      </c>
      <c r="E1152" t="s">
        <v>97</v>
      </c>
      <c r="F1152">
        <v>9500</v>
      </c>
      <c r="G1152" t="s">
        <v>331</v>
      </c>
      <c r="H1152" s="15">
        <v>45292</v>
      </c>
      <c r="I1152">
        <v>9500</v>
      </c>
      <c r="J1152">
        <v>0</v>
      </c>
    </row>
    <row r="1153" spans="1:10" x14ac:dyDescent="0.3">
      <c r="A1153" s="15">
        <v>45413</v>
      </c>
      <c r="B1153" t="s">
        <v>295</v>
      </c>
      <c r="C1153" t="s">
        <v>81</v>
      </c>
      <c r="D1153" t="s">
        <v>82</v>
      </c>
      <c r="E1153" t="s">
        <v>103</v>
      </c>
      <c r="F1153">
        <v>2300</v>
      </c>
      <c r="G1153" t="s">
        <v>331</v>
      </c>
      <c r="H1153" s="15">
        <v>45292</v>
      </c>
      <c r="I1153">
        <v>2300</v>
      </c>
      <c r="J1153">
        <v>0</v>
      </c>
    </row>
    <row r="1154" spans="1:10" x14ac:dyDescent="0.3">
      <c r="A1154" s="15">
        <v>45413</v>
      </c>
      <c r="B1154" t="s">
        <v>297</v>
      </c>
      <c r="C1154" t="s">
        <v>91</v>
      </c>
      <c r="D1154" t="s">
        <v>86</v>
      </c>
      <c r="E1154" t="s">
        <v>103</v>
      </c>
      <c r="F1154">
        <v>9100</v>
      </c>
      <c r="G1154" t="s">
        <v>331</v>
      </c>
      <c r="H1154" s="15">
        <v>45292</v>
      </c>
      <c r="I1154">
        <v>9100</v>
      </c>
      <c r="J1154">
        <v>0</v>
      </c>
    </row>
    <row r="1155" spans="1:10" x14ac:dyDescent="0.3">
      <c r="A1155" s="15">
        <v>45413</v>
      </c>
      <c r="B1155" t="s">
        <v>298</v>
      </c>
      <c r="C1155" t="s">
        <v>81</v>
      </c>
      <c r="D1155" t="s">
        <v>86</v>
      </c>
      <c r="E1155" t="s">
        <v>89</v>
      </c>
      <c r="F1155">
        <v>2700</v>
      </c>
      <c r="G1155" t="s">
        <v>331</v>
      </c>
      <c r="H1155" s="15">
        <v>45292</v>
      </c>
      <c r="I1155">
        <v>2700</v>
      </c>
      <c r="J1155">
        <v>0</v>
      </c>
    </row>
    <row r="1156" spans="1:10" x14ac:dyDescent="0.3">
      <c r="A1156" s="15">
        <v>45413</v>
      </c>
      <c r="B1156" t="s">
        <v>299</v>
      </c>
      <c r="C1156" t="s">
        <v>81</v>
      </c>
      <c r="D1156" t="s">
        <v>99</v>
      </c>
      <c r="E1156" t="s">
        <v>103</v>
      </c>
      <c r="F1156">
        <v>2900</v>
      </c>
      <c r="G1156" t="s">
        <v>331</v>
      </c>
      <c r="H1156" s="15">
        <v>45292</v>
      </c>
      <c r="I1156">
        <v>2900</v>
      </c>
      <c r="J1156">
        <v>0</v>
      </c>
    </row>
    <row r="1157" spans="1:10" x14ac:dyDescent="0.3">
      <c r="A1157" s="15">
        <v>45413</v>
      </c>
      <c r="B1157" t="s">
        <v>300</v>
      </c>
      <c r="C1157" t="s">
        <v>91</v>
      </c>
      <c r="D1157" t="s">
        <v>82</v>
      </c>
      <c r="E1157" t="s">
        <v>89</v>
      </c>
      <c r="F1157">
        <v>10900</v>
      </c>
      <c r="G1157" t="s">
        <v>331</v>
      </c>
      <c r="H1157" s="15">
        <v>45292</v>
      </c>
      <c r="I1157">
        <v>10900</v>
      </c>
      <c r="J1157">
        <v>0</v>
      </c>
    </row>
    <row r="1158" spans="1:10" x14ac:dyDescent="0.3">
      <c r="A1158" s="15">
        <v>45413</v>
      </c>
      <c r="B1158" t="s">
        <v>301</v>
      </c>
      <c r="C1158" t="s">
        <v>125</v>
      </c>
      <c r="D1158" t="s">
        <v>82</v>
      </c>
      <c r="E1158" t="s">
        <v>92</v>
      </c>
      <c r="F1158">
        <v>116700</v>
      </c>
      <c r="G1158" t="s">
        <v>331</v>
      </c>
      <c r="H1158" s="15">
        <v>45292</v>
      </c>
      <c r="I1158">
        <v>116700</v>
      </c>
      <c r="J1158">
        <v>0</v>
      </c>
    </row>
    <row r="1159" spans="1:10" x14ac:dyDescent="0.3">
      <c r="A1159" s="15">
        <v>45413</v>
      </c>
      <c r="B1159" t="s">
        <v>303</v>
      </c>
      <c r="C1159" t="s">
        <v>81</v>
      </c>
      <c r="D1159" t="s">
        <v>82</v>
      </c>
      <c r="E1159" t="s">
        <v>83</v>
      </c>
      <c r="F1159">
        <v>1700</v>
      </c>
      <c r="G1159" t="s">
        <v>331</v>
      </c>
      <c r="H1159" s="15">
        <v>45292</v>
      </c>
      <c r="I1159">
        <v>1700</v>
      </c>
      <c r="J1159">
        <v>0</v>
      </c>
    </row>
    <row r="1160" spans="1:10" x14ac:dyDescent="0.3">
      <c r="A1160" s="15">
        <v>45413</v>
      </c>
      <c r="B1160" t="s">
        <v>304</v>
      </c>
      <c r="C1160" t="s">
        <v>81</v>
      </c>
      <c r="D1160" t="s">
        <v>86</v>
      </c>
      <c r="E1160" t="s">
        <v>92</v>
      </c>
      <c r="F1160">
        <v>2100</v>
      </c>
      <c r="G1160" t="s">
        <v>331</v>
      </c>
      <c r="H1160" s="15">
        <v>45292</v>
      </c>
      <c r="I1160">
        <v>2100</v>
      </c>
      <c r="J1160">
        <v>0</v>
      </c>
    </row>
    <row r="1161" spans="1:10" x14ac:dyDescent="0.3">
      <c r="A1161" s="15">
        <v>45413</v>
      </c>
      <c r="B1161" t="s">
        <v>305</v>
      </c>
      <c r="C1161" t="s">
        <v>91</v>
      </c>
      <c r="D1161" t="s">
        <v>82</v>
      </c>
      <c r="E1161" t="s">
        <v>103</v>
      </c>
      <c r="F1161">
        <v>7700</v>
      </c>
      <c r="G1161" t="s">
        <v>331</v>
      </c>
      <c r="H1161" s="15">
        <v>45292</v>
      </c>
      <c r="I1161">
        <v>7700</v>
      </c>
      <c r="J1161">
        <v>0</v>
      </c>
    </row>
    <row r="1162" spans="1:10" x14ac:dyDescent="0.3">
      <c r="A1162" s="15">
        <v>45413</v>
      </c>
      <c r="B1162" t="s">
        <v>306</v>
      </c>
      <c r="C1162" t="s">
        <v>91</v>
      </c>
      <c r="D1162" t="s">
        <v>82</v>
      </c>
      <c r="E1162" t="s">
        <v>87</v>
      </c>
      <c r="F1162">
        <v>10500</v>
      </c>
      <c r="G1162" t="s">
        <v>331</v>
      </c>
      <c r="H1162" s="15">
        <v>45292</v>
      </c>
      <c r="I1162">
        <v>10500</v>
      </c>
      <c r="J1162">
        <v>0</v>
      </c>
    </row>
    <row r="1163" spans="1:10" x14ac:dyDescent="0.3">
      <c r="A1163" s="15">
        <v>45413</v>
      </c>
      <c r="B1163" t="s">
        <v>307</v>
      </c>
      <c r="C1163" t="s">
        <v>81</v>
      </c>
      <c r="D1163" t="s">
        <v>86</v>
      </c>
      <c r="E1163" t="s">
        <v>97</v>
      </c>
      <c r="F1163">
        <v>2300</v>
      </c>
      <c r="G1163" t="s">
        <v>331</v>
      </c>
      <c r="H1163" s="15">
        <v>45292</v>
      </c>
      <c r="I1163">
        <v>2300</v>
      </c>
      <c r="J1163">
        <v>0</v>
      </c>
    </row>
    <row r="1164" spans="1:10" x14ac:dyDescent="0.3">
      <c r="A1164" s="15">
        <v>45413</v>
      </c>
      <c r="B1164" t="s">
        <v>308</v>
      </c>
      <c r="C1164" t="s">
        <v>91</v>
      </c>
      <c r="D1164" t="s">
        <v>86</v>
      </c>
      <c r="E1164" t="s">
        <v>92</v>
      </c>
      <c r="F1164">
        <v>8000</v>
      </c>
      <c r="G1164" t="s">
        <v>331</v>
      </c>
      <c r="H1164" s="15">
        <v>45292</v>
      </c>
      <c r="I1164">
        <v>8000</v>
      </c>
      <c r="J1164">
        <v>0</v>
      </c>
    </row>
    <row r="1165" spans="1:10" x14ac:dyDescent="0.3">
      <c r="A1165" s="15">
        <v>45413</v>
      </c>
      <c r="B1165" t="s">
        <v>309</v>
      </c>
      <c r="C1165" t="s">
        <v>91</v>
      </c>
      <c r="D1165" t="s">
        <v>82</v>
      </c>
      <c r="E1165" t="s">
        <v>87</v>
      </c>
      <c r="F1165">
        <v>9700</v>
      </c>
      <c r="G1165" t="s">
        <v>331</v>
      </c>
      <c r="H1165" s="15">
        <v>45292</v>
      </c>
      <c r="I1165">
        <v>9700</v>
      </c>
      <c r="J1165">
        <v>0</v>
      </c>
    </row>
    <row r="1166" spans="1:10" x14ac:dyDescent="0.3">
      <c r="A1166" s="15">
        <v>45413</v>
      </c>
      <c r="B1166" t="s">
        <v>310</v>
      </c>
      <c r="C1166" t="s">
        <v>91</v>
      </c>
      <c r="D1166" t="s">
        <v>99</v>
      </c>
      <c r="E1166" t="s">
        <v>87</v>
      </c>
      <c r="F1166">
        <v>10000</v>
      </c>
      <c r="G1166" t="s">
        <v>331</v>
      </c>
      <c r="H1166" s="15">
        <v>45292</v>
      </c>
      <c r="I1166">
        <v>10000</v>
      </c>
      <c r="J1166">
        <v>0</v>
      </c>
    </row>
    <row r="1167" spans="1:10" x14ac:dyDescent="0.3">
      <c r="A1167" s="15">
        <v>45413</v>
      </c>
      <c r="B1167" t="s">
        <v>311</v>
      </c>
      <c r="C1167" t="s">
        <v>91</v>
      </c>
      <c r="D1167" t="s">
        <v>82</v>
      </c>
      <c r="E1167" t="s">
        <v>92</v>
      </c>
      <c r="F1167">
        <v>0</v>
      </c>
      <c r="G1167" t="s">
        <v>333</v>
      </c>
      <c r="H1167" s="15">
        <v>45292</v>
      </c>
      <c r="I1167">
        <v>5600</v>
      </c>
      <c r="J1167">
        <v>-5600</v>
      </c>
    </row>
    <row r="1168" spans="1:10" x14ac:dyDescent="0.3">
      <c r="A1168" s="15">
        <v>45413</v>
      </c>
      <c r="B1168" t="s">
        <v>312</v>
      </c>
      <c r="C1168" t="s">
        <v>91</v>
      </c>
      <c r="D1168" t="s">
        <v>86</v>
      </c>
      <c r="E1168" t="s">
        <v>103</v>
      </c>
      <c r="F1168">
        <v>9400</v>
      </c>
      <c r="G1168" t="s">
        <v>331</v>
      </c>
      <c r="H1168" s="15">
        <v>45292</v>
      </c>
      <c r="I1168">
        <v>9400</v>
      </c>
      <c r="J1168">
        <v>0</v>
      </c>
    </row>
    <row r="1169" spans="1:10" x14ac:dyDescent="0.3">
      <c r="A1169" s="15">
        <v>45413</v>
      </c>
      <c r="B1169" t="s">
        <v>313</v>
      </c>
      <c r="C1169" t="s">
        <v>91</v>
      </c>
      <c r="D1169" t="s">
        <v>82</v>
      </c>
      <c r="E1169" t="s">
        <v>101</v>
      </c>
      <c r="F1169">
        <v>12700</v>
      </c>
      <c r="G1169" t="s">
        <v>331</v>
      </c>
      <c r="H1169" s="15">
        <v>45292</v>
      </c>
      <c r="I1169">
        <v>12700</v>
      </c>
      <c r="J1169">
        <v>0</v>
      </c>
    </row>
    <row r="1170" spans="1:10" x14ac:dyDescent="0.3">
      <c r="A1170" s="15">
        <v>45413</v>
      </c>
      <c r="B1170" t="s">
        <v>314</v>
      </c>
      <c r="C1170" t="s">
        <v>91</v>
      </c>
      <c r="D1170" t="s">
        <v>82</v>
      </c>
      <c r="E1170" t="s">
        <v>103</v>
      </c>
      <c r="F1170">
        <v>10100</v>
      </c>
      <c r="G1170" t="s">
        <v>331</v>
      </c>
      <c r="H1170" s="15">
        <v>45292</v>
      </c>
      <c r="I1170">
        <v>10100</v>
      </c>
      <c r="J1170">
        <v>0</v>
      </c>
    </row>
    <row r="1171" spans="1:10" x14ac:dyDescent="0.3">
      <c r="A1171" s="15">
        <v>45413</v>
      </c>
      <c r="B1171" t="s">
        <v>315</v>
      </c>
      <c r="C1171" t="s">
        <v>125</v>
      </c>
      <c r="D1171" t="s">
        <v>86</v>
      </c>
      <c r="E1171" t="s">
        <v>92</v>
      </c>
      <c r="F1171">
        <v>76200</v>
      </c>
      <c r="G1171" t="s">
        <v>331</v>
      </c>
      <c r="H1171" s="15">
        <v>45292</v>
      </c>
      <c r="I1171">
        <v>76200</v>
      </c>
      <c r="J1171">
        <v>0</v>
      </c>
    </row>
    <row r="1172" spans="1:10" x14ac:dyDescent="0.3">
      <c r="A1172" s="15">
        <v>45413</v>
      </c>
      <c r="B1172" t="s">
        <v>316</v>
      </c>
      <c r="C1172" t="s">
        <v>81</v>
      </c>
      <c r="D1172" t="s">
        <v>96</v>
      </c>
      <c r="E1172" t="s">
        <v>92</v>
      </c>
      <c r="F1172">
        <v>1800</v>
      </c>
      <c r="G1172" t="s">
        <v>334</v>
      </c>
      <c r="H1172" s="15">
        <v>45292</v>
      </c>
      <c r="I1172">
        <v>2100</v>
      </c>
      <c r="J1172">
        <v>-300</v>
      </c>
    </row>
    <row r="1173" spans="1:10" x14ac:dyDescent="0.3">
      <c r="A1173" s="15">
        <v>45413</v>
      </c>
      <c r="B1173" t="s">
        <v>317</v>
      </c>
      <c r="C1173" t="s">
        <v>125</v>
      </c>
      <c r="D1173" t="s">
        <v>82</v>
      </c>
      <c r="E1173" t="s">
        <v>92</v>
      </c>
      <c r="F1173">
        <v>73500</v>
      </c>
      <c r="G1173" t="s">
        <v>331</v>
      </c>
      <c r="H1173" s="15">
        <v>45292</v>
      </c>
      <c r="I1173">
        <v>73500</v>
      </c>
      <c r="J1173">
        <v>0</v>
      </c>
    </row>
    <row r="1174" spans="1:10" x14ac:dyDescent="0.3">
      <c r="A1174" s="15">
        <v>45413</v>
      </c>
      <c r="B1174" t="s">
        <v>318</v>
      </c>
      <c r="C1174" t="s">
        <v>110</v>
      </c>
      <c r="D1174" t="s">
        <v>82</v>
      </c>
      <c r="E1174" t="s">
        <v>97</v>
      </c>
      <c r="F1174">
        <v>29600</v>
      </c>
      <c r="G1174" t="s">
        <v>332</v>
      </c>
      <c r="H1174" s="15">
        <v>45292</v>
      </c>
      <c r="I1174">
        <v>28100</v>
      </c>
      <c r="J1174">
        <v>1500</v>
      </c>
    </row>
    <row r="1175" spans="1:10" x14ac:dyDescent="0.3">
      <c r="A1175" s="15">
        <v>45413</v>
      </c>
      <c r="B1175" t="s">
        <v>320</v>
      </c>
      <c r="C1175" t="s">
        <v>91</v>
      </c>
      <c r="D1175" t="s">
        <v>86</v>
      </c>
      <c r="E1175" t="s">
        <v>97</v>
      </c>
      <c r="F1175">
        <v>7700</v>
      </c>
      <c r="G1175" t="s">
        <v>331</v>
      </c>
      <c r="H1175" s="15">
        <v>45292</v>
      </c>
      <c r="I1175">
        <v>7700</v>
      </c>
      <c r="J1175">
        <v>0</v>
      </c>
    </row>
    <row r="1176" spans="1:10" x14ac:dyDescent="0.3">
      <c r="A1176" s="15">
        <v>45413</v>
      </c>
      <c r="B1176" t="s">
        <v>321</v>
      </c>
      <c r="C1176" t="s">
        <v>81</v>
      </c>
      <c r="D1176" t="s">
        <v>99</v>
      </c>
      <c r="E1176" t="s">
        <v>101</v>
      </c>
      <c r="F1176">
        <v>3500</v>
      </c>
      <c r="G1176" t="s">
        <v>331</v>
      </c>
      <c r="H1176" s="15">
        <v>45292</v>
      </c>
      <c r="I1176">
        <v>3500</v>
      </c>
      <c r="J1176">
        <v>0</v>
      </c>
    </row>
    <row r="1177" spans="1:10" x14ac:dyDescent="0.3">
      <c r="A1177" s="15">
        <v>45413</v>
      </c>
      <c r="B1177" t="s">
        <v>322</v>
      </c>
      <c r="C1177" t="s">
        <v>81</v>
      </c>
      <c r="D1177" t="s">
        <v>82</v>
      </c>
      <c r="E1177" t="s">
        <v>103</v>
      </c>
      <c r="F1177">
        <v>2000</v>
      </c>
      <c r="G1177" t="s">
        <v>331</v>
      </c>
      <c r="H1177" s="15">
        <v>45292</v>
      </c>
      <c r="I1177">
        <v>2000</v>
      </c>
      <c r="J1177">
        <v>0</v>
      </c>
    </row>
    <row r="1178" spans="1:10" x14ac:dyDescent="0.3">
      <c r="A1178" s="15">
        <v>45413</v>
      </c>
      <c r="B1178" t="s">
        <v>323</v>
      </c>
      <c r="C1178" t="s">
        <v>110</v>
      </c>
      <c r="D1178" t="s">
        <v>82</v>
      </c>
      <c r="E1178" t="s">
        <v>89</v>
      </c>
      <c r="F1178">
        <v>23400</v>
      </c>
      <c r="G1178" t="s">
        <v>331</v>
      </c>
      <c r="H1178" s="15">
        <v>45292</v>
      </c>
      <c r="I1178">
        <v>23400</v>
      </c>
      <c r="J1178">
        <v>0</v>
      </c>
    </row>
    <row r="1179" spans="1:10" x14ac:dyDescent="0.3">
      <c r="A1179" s="15">
        <v>45413</v>
      </c>
      <c r="B1179" t="s">
        <v>324</v>
      </c>
      <c r="C1179" t="s">
        <v>81</v>
      </c>
      <c r="D1179" t="s">
        <v>86</v>
      </c>
      <c r="E1179" t="s">
        <v>87</v>
      </c>
      <c r="F1179">
        <v>2700</v>
      </c>
      <c r="G1179" t="s">
        <v>331</v>
      </c>
      <c r="H1179" s="15">
        <v>45292</v>
      </c>
      <c r="I1179">
        <v>2700</v>
      </c>
      <c r="J1179">
        <v>0</v>
      </c>
    </row>
    <row r="1180" spans="1:10" x14ac:dyDescent="0.3">
      <c r="A1180" s="15">
        <v>45413</v>
      </c>
      <c r="B1180" t="s">
        <v>325</v>
      </c>
      <c r="C1180" t="s">
        <v>91</v>
      </c>
      <c r="D1180" t="s">
        <v>86</v>
      </c>
      <c r="E1180" t="s">
        <v>87</v>
      </c>
      <c r="F1180">
        <v>8800</v>
      </c>
      <c r="G1180" t="s">
        <v>331</v>
      </c>
      <c r="H1180" s="15">
        <v>45292</v>
      </c>
      <c r="I1180">
        <v>8800</v>
      </c>
      <c r="J1180">
        <v>0</v>
      </c>
    </row>
    <row r="1181" spans="1:10" x14ac:dyDescent="0.3">
      <c r="A1181" s="15">
        <v>45413</v>
      </c>
      <c r="B1181" t="s">
        <v>326</v>
      </c>
      <c r="C1181" t="s">
        <v>91</v>
      </c>
      <c r="D1181" t="s">
        <v>86</v>
      </c>
      <c r="E1181" t="s">
        <v>92</v>
      </c>
      <c r="F1181">
        <v>7900</v>
      </c>
      <c r="G1181" t="s">
        <v>331</v>
      </c>
      <c r="H1181" s="15">
        <v>45292</v>
      </c>
      <c r="I1181">
        <v>7900</v>
      </c>
      <c r="J1181">
        <v>0</v>
      </c>
    </row>
    <row r="1182" spans="1:10" x14ac:dyDescent="0.3">
      <c r="A1182" s="15">
        <v>45413</v>
      </c>
      <c r="B1182" t="s">
        <v>327</v>
      </c>
      <c r="C1182" t="s">
        <v>125</v>
      </c>
      <c r="D1182" t="s">
        <v>99</v>
      </c>
      <c r="E1182" t="s">
        <v>97</v>
      </c>
      <c r="F1182">
        <v>77500</v>
      </c>
      <c r="G1182" t="s">
        <v>331</v>
      </c>
      <c r="H1182" s="15">
        <v>45292</v>
      </c>
      <c r="I1182">
        <v>77500</v>
      </c>
      <c r="J1182">
        <v>0</v>
      </c>
    </row>
    <row r="1183" spans="1:10" x14ac:dyDescent="0.3">
      <c r="A1183" s="15">
        <v>45413</v>
      </c>
      <c r="B1183" t="s">
        <v>329</v>
      </c>
      <c r="C1183" t="s">
        <v>81</v>
      </c>
      <c r="D1183" t="s">
        <v>86</v>
      </c>
      <c r="E1183" t="s">
        <v>101</v>
      </c>
      <c r="F1183">
        <v>2200</v>
      </c>
      <c r="G1183" t="s">
        <v>331</v>
      </c>
      <c r="H1183" s="15">
        <v>45292</v>
      </c>
      <c r="I1183">
        <v>2200</v>
      </c>
      <c r="J1183">
        <v>0</v>
      </c>
    </row>
    <row r="1184" spans="1:10" x14ac:dyDescent="0.3">
      <c r="A1184" s="15">
        <v>45413</v>
      </c>
      <c r="B1184" t="s">
        <v>330</v>
      </c>
      <c r="C1184" t="s">
        <v>125</v>
      </c>
      <c r="D1184" t="s">
        <v>86</v>
      </c>
      <c r="E1184" t="s">
        <v>87</v>
      </c>
      <c r="F1184">
        <v>105400</v>
      </c>
      <c r="G1184" t="s">
        <v>331</v>
      </c>
      <c r="H1184" s="15">
        <v>45292</v>
      </c>
      <c r="I1184">
        <v>105400</v>
      </c>
      <c r="J1184">
        <v>0</v>
      </c>
    </row>
    <row r="1185" spans="1:10" x14ac:dyDescent="0.3">
      <c r="A1185" s="15">
        <v>45413</v>
      </c>
      <c r="B1185" t="s">
        <v>335</v>
      </c>
      <c r="C1185" t="s">
        <v>91</v>
      </c>
      <c r="D1185" t="s">
        <v>86</v>
      </c>
      <c r="E1185" t="s">
        <v>89</v>
      </c>
      <c r="F1185">
        <v>7300</v>
      </c>
      <c r="G1185" t="s">
        <v>331</v>
      </c>
      <c r="H1185" s="15">
        <v>45323</v>
      </c>
      <c r="I1185">
        <v>7300</v>
      </c>
      <c r="J1185">
        <v>0</v>
      </c>
    </row>
    <row r="1186" spans="1:10" x14ac:dyDescent="0.3">
      <c r="A1186" s="15">
        <v>45413</v>
      </c>
      <c r="B1186" t="s">
        <v>336</v>
      </c>
      <c r="C1186" t="s">
        <v>81</v>
      </c>
      <c r="D1186" t="s">
        <v>82</v>
      </c>
      <c r="E1186" t="s">
        <v>103</v>
      </c>
      <c r="F1186">
        <v>1500</v>
      </c>
      <c r="G1186" t="s">
        <v>331</v>
      </c>
      <c r="H1186" s="15">
        <v>45323</v>
      </c>
      <c r="I1186">
        <v>1500</v>
      </c>
      <c r="J1186">
        <v>0</v>
      </c>
    </row>
    <row r="1187" spans="1:10" x14ac:dyDescent="0.3">
      <c r="A1187" s="15">
        <v>45413</v>
      </c>
      <c r="B1187" t="s">
        <v>337</v>
      </c>
      <c r="C1187" t="s">
        <v>91</v>
      </c>
      <c r="D1187" t="s">
        <v>82</v>
      </c>
      <c r="E1187" t="s">
        <v>92</v>
      </c>
      <c r="F1187">
        <v>6200</v>
      </c>
      <c r="G1187" t="s">
        <v>331</v>
      </c>
      <c r="H1187" s="15">
        <v>45323</v>
      </c>
      <c r="I1187">
        <v>6200</v>
      </c>
      <c r="J1187">
        <v>0</v>
      </c>
    </row>
    <row r="1188" spans="1:10" x14ac:dyDescent="0.3">
      <c r="A1188" s="15">
        <v>45413</v>
      </c>
      <c r="B1188" t="s">
        <v>338</v>
      </c>
      <c r="C1188" t="s">
        <v>91</v>
      </c>
      <c r="D1188" t="s">
        <v>82</v>
      </c>
      <c r="E1188" t="s">
        <v>103</v>
      </c>
      <c r="F1188">
        <v>5700</v>
      </c>
      <c r="G1188" t="s">
        <v>331</v>
      </c>
      <c r="H1188" s="15">
        <v>45323</v>
      </c>
      <c r="I1188">
        <v>5700</v>
      </c>
      <c r="J1188">
        <v>0</v>
      </c>
    </row>
    <row r="1189" spans="1:10" x14ac:dyDescent="0.3">
      <c r="A1189" s="15">
        <v>45413</v>
      </c>
      <c r="B1189" t="s">
        <v>339</v>
      </c>
      <c r="C1189" t="s">
        <v>81</v>
      </c>
      <c r="D1189" t="s">
        <v>82</v>
      </c>
      <c r="E1189" t="s">
        <v>103</v>
      </c>
      <c r="F1189">
        <v>1800</v>
      </c>
      <c r="G1189" t="s">
        <v>331</v>
      </c>
      <c r="H1189" s="15">
        <v>45323</v>
      </c>
      <c r="I1189">
        <v>1800</v>
      </c>
      <c r="J1189">
        <v>0</v>
      </c>
    </row>
    <row r="1190" spans="1:10" x14ac:dyDescent="0.3">
      <c r="A1190" s="15">
        <v>45413</v>
      </c>
      <c r="B1190" t="s">
        <v>340</v>
      </c>
      <c r="C1190" t="s">
        <v>81</v>
      </c>
      <c r="D1190" t="s">
        <v>82</v>
      </c>
      <c r="E1190" t="s">
        <v>87</v>
      </c>
      <c r="F1190">
        <v>1800</v>
      </c>
      <c r="G1190" t="s">
        <v>331</v>
      </c>
      <c r="H1190" s="15">
        <v>45323</v>
      </c>
      <c r="I1190">
        <v>1800</v>
      </c>
      <c r="J1190">
        <v>0</v>
      </c>
    </row>
    <row r="1191" spans="1:10" x14ac:dyDescent="0.3">
      <c r="A1191" s="15">
        <v>45413</v>
      </c>
      <c r="B1191" t="s">
        <v>341</v>
      </c>
      <c r="C1191" t="s">
        <v>110</v>
      </c>
      <c r="D1191" t="s">
        <v>82</v>
      </c>
      <c r="E1191" t="s">
        <v>92</v>
      </c>
      <c r="F1191">
        <v>18800</v>
      </c>
      <c r="G1191" t="s">
        <v>331</v>
      </c>
      <c r="H1191" s="15">
        <v>45323</v>
      </c>
      <c r="I1191">
        <v>18800</v>
      </c>
      <c r="J1191">
        <v>0</v>
      </c>
    </row>
    <row r="1192" spans="1:10" x14ac:dyDescent="0.3">
      <c r="A1192" s="15">
        <v>45413</v>
      </c>
      <c r="B1192" t="s">
        <v>342</v>
      </c>
      <c r="C1192" t="s">
        <v>91</v>
      </c>
      <c r="D1192" t="s">
        <v>82</v>
      </c>
      <c r="E1192" t="s">
        <v>83</v>
      </c>
      <c r="F1192">
        <v>7100</v>
      </c>
      <c r="G1192" t="s">
        <v>331</v>
      </c>
      <c r="H1192" s="15">
        <v>45352</v>
      </c>
      <c r="I1192">
        <v>7100</v>
      </c>
      <c r="J1192">
        <v>0</v>
      </c>
    </row>
    <row r="1193" spans="1:10" x14ac:dyDescent="0.3">
      <c r="A1193" s="15">
        <v>45413</v>
      </c>
      <c r="B1193" t="s">
        <v>343</v>
      </c>
      <c r="C1193" t="s">
        <v>81</v>
      </c>
      <c r="D1193" t="s">
        <v>82</v>
      </c>
      <c r="E1193" t="s">
        <v>89</v>
      </c>
      <c r="F1193">
        <v>2500</v>
      </c>
      <c r="G1193" t="s">
        <v>331</v>
      </c>
      <c r="H1193" s="15">
        <v>45352</v>
      </c>
      <c r="I1193">
        <v>2500</v>
      </c>
      <c r="J1193">
        <v>0</v>
      </c>
    </row>
    <row r="1194" spans="1:10" x14ac:dyDescent="0.3">
      <c r="A1194" s="15">
        <v>45413</v>
      </c>
      <c r="B1194" t="s">
        <v>344</v>
      </c>
      <c r="C1194" t="s">
        <v>110</v>
      </c>
      <c r="D1194" t="s">
        <v>86</v>
      </c>
      <c r="E1194" t="s">
        <v>89</v>
      </c>
      <c r="F1194">
        <v>21100</v>
      </c>
      <c r="G1194" t="s">
        <v>331</v>
      </c>
      <c r="H1194" s="15">
        <v>45352</v>
      </c>
      <c r="I1194">
        <v>21100</v>
      </c>
      <c r="J1194">
        <v>0</v>
      </c>
    </row>
    <row r="1195" spans="1:10" x14ac:dyDescent="0.3">
      <c r="A1195" s="15">
        <v>45413</v>
      </c>
      <c r="B1195" t="s">
        <v>345</v>
      </c>
      <c r="C1195" t="s">
        <v>91</v>
      </c>
      <c r="D1195" t="s">
        <v>86</v>
      </c>
      <c r="E1195" t="s">
        <v>83</v>
      </c>
      <c r="F1195">
        <v>6000</v>
      </c>
      <c r="G1195" t="s">
        <v>331</v>
      </c>
      <c r="H1195" s="15">
        <v>45352</v>
      </c>
      <c r="I1195">
        <v>6000</v>
      </c>
      <c r="J1195">
        <v>0</v>
      </c>
    </row>
    <row r="1196" spans="1:10" x14ac:dyDescent="0.3">
      <c r="A1196" s="15">
        <v>45413</v>
      </c>
      <c r="B1196" t="s">
        <v>346</v>
      </c>
      <c r="C1196" t="s">
        <v>81</v>
      </c>
      <c r="D1196" t="s">
        <v>86</v>
      </c>
      <c r="E1196" t="s">
        <v>97</v>
      </c>
      <c r="F1196">
        <v>1600</v>
      </c>
      <c r="G1196" t="s">
        <v>331</v>
      </c>
      <c r="H1196" s="15">
        <v>45352</v>
      </c>
      <c r="I1196">
        <v>1600</v>
      </c>
      <c r="J1196">
        <v>0</v>
      </c>
    </row>
    <row r="1197" spans="1:10" x14ac:dyDescent="0.3">
      <c r="A1197" s="15">
        <v>45413</v>
      </c>
      <c r="B1197" t="s">
        <v>347</v>
      </c>
      <c r="C1197" t="s">
        <v>91</v>
      </c>
      <c r="D1197" t="s">
        <v>82</v>
      </c>
      <c r="E1197" t="s">
        <v>83</v>
      </c>
      <c r="F1197">
        <v>5700</v>
      </c>
      <c r="G1197" t="s">
        <v>331</v>
      </c>
      <c r="H1197" s="15">
        <v>45383</v>
      </c>
      <c r="I1197">
        <v>5700</v>
      </c>
      <c r="J1197">
        <v>0</v>
      </c>
    </row>
    <row r="1198" spans="1:10" x14ac:dyDescent="0.3">
      <c r="A1198" s="15">
        <v>45413</v>
      </c>
      <c r="B1198" t="s">
        <v>348</v>
      </c>
      <c r="C1198" t="s">
        <v>125</v>
      </c>
      <c r="D1198" t="s">
        <v>86</v>
      </c>
      <c r="E1198" t="s">
        <v>92</v>
      </c>
      <c r="F1198">
        <v>59200</v>
      </c>
      <c r="G1198" t="s">
        <v>332</v>
      </c>
      <c r="H1198" s="15">
        <v>45383</v>
      </c>
      <c r="I1198">
        <v>53700</v>
      </c>
      <c r="J1198">
        <v>5500</v>
      </c>
    </row>
    <row r="1199" spans="1:10" x14ac:dyDescent="0.3">
      <c r="A1199" s="15">
        <v>45413</v>
      </c>
      <c r="B1199" t="s">
        <v>349</v>
      </c>
      <c r="C1199" t="s">
        <v>110</v>
      </c>
      <c r="D1199" t="s">
        <v>86</v>
      </c>
      <c r="E1199" t="s">
        <v>89</v>
      </c>
      <c r="F1199">
        <v>21600</v>
      </c>
      <c r="G1199" t="s">
        <v>331</v>
      </c>
      <c r="H1199" s="15">
        <v>45383</v>
      </c>
      <c r="I1199">
        <v>21600</v>
      </c>
      <c r="J1199">
        <v>0</v>
      </c>
    </row>
    <row r="1200" spans="1:10" x14ac:dyDescent="0.3">
      <c r="A1200" s="15">
        <v>45413</v>
      </c>
      <c r="B1200" t="s">
        <v>350</v>
      </c>
      <c r="C1200" t="s">
        <v>91</v>
      </c>
      <c r="D1200" t="s">
        <v>82</v>
      </c>
      <c r="E1200" t="s">
        <v>83</v>
      </c>
      <c r="F1200">
        <v>4800</v>
      </c>
      <c r="G1200" t="s">
        <v>331</v>
      </c>
      <c r="H1200" s="15">
        <v>45383</v>
      </c>
      <c r="I1200">
        <v>4800</v>
      </c>
      <c r="J1200">
        <v>0</v>
      </c>
    </row>
    <row r="1201" spans="1:10" x14ac:dyDescent="0.3">
      <c r="A1201" s="15">
        <v>45413</v>
      </c>
      <c r="B1201" t="s">
        <v>351</v>
      </c>
      <c r="C1201" t="s">
        <v>81</v>
      </c>
      <c r="D1201" t="s">
        <v>86</v>
      </c>
      <c r="E1201" t="s">
        <v>83</v>
      </c>
      <c r="F1201">
        <v>2300</v>
      </c>
      <c r="G1201" t="s">
        <v>331</v>
      </c>
      <c r="H1201" s="15">
        <v>45383</v>
      </c>
      <c r="I1201">
        <v>2300</v>
      </c>
      <c r="J1201">
        <v>0</v>
      </c>
    </row>
    <row r="1202" spans="1:10" x14ac:dyDescent="0.3">
      <c r="A1202" s="15">
        <v>45413</v>
      </c>
      <c r="B1202" t="s">
        <v>352</v>
      </c>
      <c r="C1202" t="s">
        <v>91</v>
      </c>
      <c r="D1202" t="s">
        <v>82</v>
      </c>
      <c r="E1202" t="s">
        <v>89</v>
      </c>
      <c r="F1202">
        <v>6100</v>
      </c>
      <c r="G1202" t="s">
        <v>331</v>
      </c>
      <c r="H1202" s="15">
        <v>45383</v>
      </c>
      <c r="I1202">
        <v>6100</v>
      </c>
      <c r="J1202">
        <v>0</v>
      </c>
    </row>
    <row r="1203" spans="1:10" x14ac:dyDescent="0.3">
      <c r="A1203" s="15">
        <v>45413</v>
      </c>
      <c r="B1203" t="s">
        <v>353</v>
      </c>
      <c r="C1203" t="s">
        <v>81</v>
      </c>
      <c r="D1203" t="s">
        <v>99</v>
      </c>
      <c r="E1203" t="s">
        <v>103</v>
      </c>
      <c r="F1203">
        <v>1200</v>
      </c>
      <c r="G1203" t="s">
        <v>331</v>
      </c>
      <c r="H1203" s="15">
        <v>45383</v>
      </c>
      <c r="I1203">
        <v>1200</v>
      </c>
      <c r="J1203">
        <v>0</v>
      </c>
    </row>
    <row r="1204" spans="1:10" x14ac:dyDescent="0.3">
      <c r="A1204" s="15">
        <v>45413</v>
      </c>
      <c r="B1204" t="s">
        <v>354</v>
      </c>
      <c r="C1204" t="s">
        <v>81</v>
      </c>
      <c r="D1204" t="s">
        <v>82</v>
      </c>
      <c r="E1204" t="s">
        <v>92</v>
      </c>
      <c r="F1204">
        <v>1800</v>
      </c>
      <c r="G1204" t="s">
        <v>84</v>
      </c>
      <c r="H1204" s="15">
        <v>45413</v>
      </c>
      <c r="I1204">
        <v>0</v>
      </c>
      <c r="J1204">
        <v>1800</v>
      </c>
    </row>
    <row r="1205" spans="1:10" x14ac:dyDescent="0.3">
      <c r="A1205" s="15">
        <v>45413</v>
      </c>
      <c r="B1205" t="s">
        <v>355</v>
      </c>
      <c r="C1205" t="s">
        <v>81</v>
      </c>
      <c r="D1205" t="s">
        <v>86</v>
      </c>
      <c r="E1205" t="s">
        <v>97</v>
      </c>
      <c r="F1205">
        <v>2200</v>
      </c>
      <c r="G1205" t="s">
        <v>84</v>
      </c>
      <c r="H1205" s="15">
        <v>45413</v>
      </c>
      <c r="I1205">
        <v>0</v>
      </c>
      <c r="J1205">
        <v>2200</v>
      </c>
    </row>
    <row r="1206" spans="1:10" x14ac:dyDescent="0.3">
      <c r="A1206" s="15">
        <v>45413</v>
      </c>
      <c r="B1206" t="s">
        <v>356</v>
      </c>
      <c r="C1206" t="s">
        <v>110</v>
      </c>
      <c r="D1206" t="s">
        <v>82</v>
      </c>
      <c r="E1206" t="s">
        <v>97</v>
      </c>
      <c r="F1206">
        <v>33000</v>
      </c>
      <c r="G1206" t="s">
        <v>84</v>
      </c>
      <c r="H1206" s="15">
        <v>45413</v>
      </c>
      <c r="I1206">
        <v>0</v>
      </c>
      <c r="J1206">
        <v>33000</v>
      </c>
    </row>
    <row r="1207" spans="1:10" x14ac:dyDescent="0.3">
      <c r="A1207" s="15">
        <v>45413</v>
      </c>
      <c r="B1207" t="s">
        <v>357</v>
      </c>
      <c r="C1207" t="s">
        <v>125</v>
      </c>
      <c r="D1207" t="s">
        <v>86</v>
      </c>
      <c r="E1207" t="s">
        <v>97</v>
      </c>
      <c r="F1207">
        <v>79900</v>
      </c>
      <c r="G1207" t="s">
        <v>84</v>
      </c>
      <c r="H1207" s="15">
        <v>45413</v>
      </c>
      <c r="I1207">
        <v>0</v>
      </c>
      <c r="J1207">
        <v>79900</v>
      </c>
    </row>
    <row r="1208" spans="1:10" x14ac:dyDescent="0.3">
      <c r="A1208" s="15">
        <v>45413</v>
      </c>
      <c r="B1208" t="s">
        <v>358</v>
      </c>
      <c r="C1208" t="s">
        <v>110</v>
      </c>
      <c r="D1208" t="s">
        <v>86</v>
      </c>
      <c r="E1208" t="s">
        <v>83</v>
      </c>
      <c r="F1208">
        <v>25500</v>
      </c>
      <c r="G1208" t="s">
        <v>84</v>
      </c>
      <c r="H1208" s="15">
        <v>45413</v>
      </c>
      <c r="I1208">
        <v>0</v>
      </c>
      <c r="J1208">
        <v>25500</v>
      </c>
    </row>
    <row r="1209" spans="1:10" x14ac:dyDescent="0.3">
      <c r="A1209" s="15">
        <v>45413</v>
      </c>
      <c r="B1209" t="s">
        <v>359</v>
      </c>
      <c r="C1209" t="s">
        <v>110</v>
      </c>
      <c r="D1209" t="s">
        <v>86</v>
      </c>
      <c r="E1209" t="s">
        <v>101</v>
      </c>
      <c r="F1209">
        <v>31400</v>
      </c>
      <c r="G1209" t="s">
        <v>84</v>
      </c>
      <c r="H1209" s="15">
        <v>45413</v>
      </c>
      <c r="I1209">
        <v>0</v>
      </c>
      <c r="J1209">
        <v>31400</v>
      </c>
    </row>
    <row r="1210" spans="1:10" x14ac:dyDescent="0.3">
      <c r="A1210" s="15">
        <v>45444</v>
      </c>
      <c r="B1210" t="s">
        <v>80</v>
      </c>
      <c r="C1210" t="s">
        <v>81</v>
      </c>
      <c r="D1210" t="s">
        <v>82</v>
      </c>
      <c r="E1210" t="s">
        <v>83</v>
      </c>
      <c r="F1210">
        <v>1900</v>
      </c>
      <c r="G1210" t="s">
        <v>331</v>
      </c>
      <c r="H1210" s="15">
        <v>45292</v>
      </c>
      <c r="I1210">
        <v>1900</v>
      </c>
      <c r="J1210">
        <v>0</v>
      </c>
    </row>
    <row r="1211" spans="1:10" x14ac:dyDescent="0.3">
      <c r="A1211" s="15">
        <v>45444</v>
      </c>
      <c r="B1211" t="s">
        <v>85</v>
      </c>
      <c r="C1211" t="s">
        <v>81</v>
      </c>
      <c r="D1211" t="s">
        <v>86</v>
      </c>
      <c r="E1211" t="s">
        <v>87</v>
      </c>
      <c r="F1211">
        <v>3200</v>
      </c>
      <c r="G1211" t="s">
        <v>331</v>
      </c>
      <c r="H1211" s="15">
        <v>45292</v>
      </c>
      <c r="I1211">
        <v>3200</v>
      </c>
      <c r="J1211">
        <v>0</v>
      </c>
    </row>
    <row r="1212" spans="1:10" x14ac:dyDescent="0.3">
      <c r="A1212" s="15">
        <v>45444</v>
      </c>
      <c r="B1212" t="s">
        <v>88</v>
      </c>
      <c r="C1212" t="s">
        <v>81</v>
      </c>
      <c r="D1212" t="s">
        <v>86</v>
      </c>
      <c r="E1212" t="s">
        <v>89</v>
      </c>
      <c r="F1212">
        <v>2400</v>
      </c>
      <c r="G1212" t="s">
        <v>331</v>
      </c>
      <c r="H1212" s="15">
        <v>45292</v>
      </c>
      <c r="I1212">
        <v>2400</v>
      </c>
      <c r="J1212">
        <v>0</v>
      </c>
    </row>
    <row r="1213" spans="1:10" x14ac:dyDescent="0.3">
      <c r="A1213" s="15">
        <v>45444</v>
      </c>
      <c r="B1213" t="s">
        <v>90</v>
      </c>
      <c r="C1213" t="s">
        <v>91</v>
      </c>
      <c r="D1213" t="s">
        <v>82</v>
      </c>
      <c r="E1213" t="s">
        <v>92</v>
      </c>
      <c r="F1213">
        <v>8300</v>
      </c>
      <c r="G1213" t="s">
        <v>331</v>
      </c>
      <c r="H1213" s="15">
        <v>45292</v>
      </c>
      <c r="I1213">
        <v>8300</v>
      </c>
      <c r="J1213">
        <v>0</v>
      </c>
    </row>
    <row r="1214" spans="1:10" x14ac:dyDescent="0.3">
      <c r="A1214" s="15">
        <v>45444</v>
      </c>
      <c r="B1214" t="s">
        <v>93</v>
      </c>
      <c r="C1214" t="s">
        <v>81</v>
      </c>
      <c r="D1214" t="s">
        <v>86</v>
      </c>
      <c r="E1214" t="s">
        <v>83</v>
      </c>
      <c r="F1214">
        <v>2200</v>
      </c>
      <c r="G1214" t="s">
        <v>331</v>
      </c>
      <c r="H1214" s="15">
        <v>45292</v>
      </c>
      <c r="I1214">
        <v>2200</v>
      </c>
      <c r="J1214">
        <v>0</v>
      </c>
    </row>
    <row r="1215" spans="1:10" x14ac:dyDescent="0.3">
      <c r="A1215" s="15">
        <v>45444</v>
      </c>
      <c r="B1215" t="s">
        <v>94</v>
      </c>
      <c r="C1215" t="s">
        <v>91</v>
      </c>
      <c r="D1215" t="s">
        <v>86</v>
      </c>
      <c r="E1215" t="s">
        <v>83</v>
      </c>
      <c r="F1215">
        <v>6900</v>
      </c>
      <c r="G1215" t="s">
        <v>331</v>
      </c>
      <c r="H1215" s="15">
        <v>45292</v>
      </c>
      <c r="I1215">
        <v>6900</v>
      </c>
      <c r="J1215">
        <v>0</v>
      </c>
    </row>
    <row r="1216" spans="1:10" x14ac:dyDescent="0.3">
      <c r="A1216" s="15">
        <v>45444</v>
      </c>
      <c r="B1216" t="s">
        <v>95</v>
      </c>
      <c r="C1216" t="s">
        <v>81</v>
      </c>
      <c r="D1216" t="s">
        <v>96</v>
      </c>
      <c r="E1216" t="s">
        <v>97</v>
      </c>
      <c r="F1216">
        <v>3100</v>
      </c>
      <c r="G1216" t="s">
        <v>331</v>
      </c>
      <c r="H1216" s="15">
        <v>45292</v>
      </c>
      <c r="I1216">
        <v>3100</v>
      </c>
      <c r="J1216">
        <v>0</v>
      </c>
    </row>
    <row r="1217" spans="1:10" x14ac:dyDescent="0.3">
      <c r="A1217" s="15">
        <v>45444</v>
      </c>
      <c r="B1217" t="s">
        <v>98</v>
      </c>
      <c r="C1217" t="s">
        <v>81</v>
      </c>
      <c r="D1217" t="s">
        <v>99</v>
      </c>
      <c r="E1217" t="s">
        <v>92</v>
      </c>
      <c r="F1217">
        <v>2500</v>
      </c>
      <c r="G1217" t="s">
        <v>331</v>
      </c>
      <c r="H1217" s="15">
        <v>45292</v>
      </c>
      <c r="I1217">
        <v>2500</v>
      </c>
      <c r="J1217">
        <v>0</v>
      </c>
    </row>
    <row r="1218" spans="1:10" x14ac:dyDescent="0.3">
      <c r="A1218" s="15">
        <v>45444</v>
      </c>
      <c r="B1218" t="s">
        <v>100</v>
      </c>
      <c r="C1218" t="s">
        <v>81</v>
      </c>
      <c r="D1218" t="s">
        <v>86</v>
      </c>
      <c r="E1218" t="s">
        <v>101</v>
      </c>
      <c r="F1218">
        <v>1800</v>
      </c>
      <c r="G1218" t="s">
        <v>331</v>
      </c>
      <c r="H1218" s="15">
        <v>45292</v>
      </c>
      <c r="I1218">
        <v>1800</v>
      </c>
      <c r="J1218">
        <v>0</v>
      </c>
    </row>
    <row r="1219" spans="1:10" x14ac:dyDescent="0.3">
      <c r="A1219" s="15">
        <v>45444</v>
      </c>
      <c r="B1219" t="s">
        <v>102</v>
      </c>
      <c r="C1219" t="s">
        <v>81</v>
      </c>
      <c r="D1219" t="s">
        <v>99</v>
      </c>
      <c r="E1219" t="s">
        <v>103</v>
      </c>
      <c r="F1219">
        <v>4000</v>
      </c>
      <c r="G1219" t="s">
        <v>331</v>
      </c>
      <c r="H1219" s="15">
        <v>45292</v>
      </c>
      <c r="I1219">
        <v>4000</v>
      </c>
      <c r="J1219">
        <v>0</v>
      </c>
    </row>
    <row r="1220" spans="1:10" x14ac:dyDescent="0.3">
      <c r="A1220" s="15">
        <v>45444</v>
      </c>
      <c r="B1220" t="s">
        <v>104</v>
      </c>
      <c r="C1220" t="s">
        <v>91</v>
      </c>
      <c r="D1220" t="s">
        <v>99</v>
      </c>
      <c r="E1220" t="s">
        <v>87</v>
      </c>
      <c r="F1220">
        <v>7000</v>
      </c>
      <c r="G1220" t="s">
        <v>331</v>
      </c>
      <c r="H1220" s="15">
        <v>45292</v>
      </c>
      <c r="I1220">
        <v>7000</v>
      </c>
      <c r="J1220">
        <v>0</v>
      </c>
    </row>
    <row r="1221" spans="1:10" x14ac:dyDescent="0.3">
      <c r="A1221" s="15">
        <v>45444</v>
      </c>
      <c r="B1221" t="s">
        <v>105</v>
      </c>
      <c r="C1221" t="s">
        <v>91</v>
      </c>
      <c r="D1221" t="s">
        <v>86</v>
      </c>
      <c r="E1221" t="s">
        <v>89</v>
      </c>
      <c r="F1221">
        <v>11400</v>
      </c>
      <c r="G1221" t="s">
        <v>331</v>
      </c>
      <c r="H1221" s="15">
        <v>45292</v>
      </c>
      <c r="I1221">
        <v>11400</v>
      </c>
      <c r="J1221">
        <v>0</v>
      </c>
    </row>
    <row r="1222" spans="1:10" x14ac:dyDescent="0.3">
      <c r="A1222" s="15">
        <v>45444</v>
      </c>
      <c r="B1222" t="s">
        <v>106</v>
      </c>
      <c r="C1222" t="s">
        <v>81</v>
      </c>
      <c r="D1222" t="s">
        <v>99</v>
      </c>
      <c r="E1222" t="s">
        <v>92</v>
      </c>
      <c r="F1222">
        <v>2700</v>
      </c>
      <c r="G1222" t="s">
        <v>331</v>
      </c>
      <c r="H1222" s="15">
        <v>45292</v>
      </c>
      <c r="I1222">
        <v>2700</v>
      </c>
      <c r="J1222">
        <v>0</v>
      </c>
    </row>
    <row r="1223" spans="1:10" x14ac:dyDescent="0.3">
      <c r="A1223" s="15">
        <v>45444</v>
      </c>
      <c r="B1223" t="s">
        <v>107</v>
      </c>
      <c r="C1223" t="s">
        <v>91</v>
      </c>
      <c r="D1223" t="s">
        <v>82</v>
      </c>
      <c r="E1223" t="s">
        <v>89</v>
      </c>
      <c r="F1223">
        <v>8000</v>
      </c>
      <c r="G1223" t="s">
        <v>331</v>
      </c>
      <c r="H1223" s="15">
        <v>45292</v>
      </c>
      <c r="I1223">
        <v>8000</v>
      </c>
      <c r="J1223">
        <v>0</v>
      </c>
    </row>
    <row r="1224" spans="1:10" x14ac:dyDescent="0.3">
      <c r="A1224" s="15">
        <v>45444</v>
      </c>
      <c r="B1224" t="s">
        <v>108</v>
      </c>
      <c r="C1224" t="s">
        <v>91</v>
      </c>
      <c r="D1224" t="s">
        <v>86</v>
      </c>
      <c r="E1224" t="s">
        <v>87</v>
      </c>
      <c r="F1224">
        <v>8500</v>
      </c>
      <c r="G1224" t="s">
        <v>331</v>
      </c>
      <c r="H1224" s="15">
        <v>45292</v>
      </c>
      <c r="I1224">
        <v>8500</v>
      </c>
      <c r="J1224">
        <v>0</v>
      </c>
    </row>
    <row r="1225" spans="1:10" x14ac:dyDescent="0.3">
      <c r="A1225" s="15">
        <v>45444</v>
      </c>
      <c r="B1225" t="s">
        <v>109</v>
      </c>
      <c r="C1225" t="s">
        <v>110</v>
      </c>
      <c r="D1225" t="s">
        <v>82</v>
      </c>
      <c r="E1225" t="s">
        <v>103</v>
      </c>
      <c r="F1225">
        <v>37800</v>
      </c>
      <c r="G1225" t="s">
        <v>331</v>
      </c>
      <c r="H1225" s="15">
        <v>45292</v>
      </c>
      <c r="I1225">
        <v>37800</v>
      </c>
      <c r="J1225">
        <v>0</v>
      </c>
    </row>
    <row r="1226" spans="1:10" x14ac:dyDescent="0.3">
      <c r="A1226" s="15">
        <v>45444</v>
      </c>
      <c r="B1226" t="s">
        <v>111</v>
      </c>
      <c r="C1226" t="s">
        <v>91</v>
      </c>
      <c r="D1226" t="s">
        <v>82</v>
      </c>
      <c r="E1226" t="s">
        <v>83</v>
      </c>
      <c r="F1226">
        <v>8800</v>
      </c>
      <c r="G1226" t="s">
        <v>331</v>
      </c>
      <c r="H1226" s="15">
        <v>45292</v>
      </c>
      <c r="I1226">
        <v>8800</v>
      </c>
      <c r="J1226">
        <v>0</v>
      </c>
    </row>
    <row r="1227" spans="1:10" x14ac:dyDescent="0.3">
      <c r="A1227" s="15">
        <v>45444</v>
      </c>
      <c r="B1227" t="s">
        <v>112</v>
      </c>
      <c r="C1227" t="s">
        <v>91</v>
      </c>
      <c r="D1227" t="s">
        <v>82</v>
      </c>
      <c r="E1227" t="s">
        <v>92</v>
      </c>
      <c r="F1227">
        <v>8600</v>
      </c>
      <c r="G1227" t="s">
        <v>331</v>
      </c>
      <c r="H1227" s="15">
        <v>45292</v>
      </c>
      <c r="I1227">
        <v>8600</v>
      </c>
      <c r="J1227">
        <v>0</v>
      </c>
    </row>
    <row r="1228" spans="1:10" x14ac:dyDescent="0.3">
      <c r="A1228" s="15">
        <v>45444</v>
      </c>
      <c r="B1228" t="s">
        <v>113</v>
      </c>
      <c r="C1228" t="s">
        <v>81</v>
      </c>
      <c r="D1228" t="s">
        <v>96</v>
      </c>
      <c r="E1228" t="s">
        <v>89</v>
      </c>
      <c r="F1228">
        <v>2500</v>
      </c>
      <c r="G1228" t="s">
        <v>332</v>
      </c>
      <c r="H1228" s="15">
        <v>45292</v>
      </c>
      <c r="I1228">
        <v>2300</v>
      </c>
      <c r="J1228">
        <v>200</v>
      </c>
    </row>
    <row r="1229" spans="1:10" x14ac:dyDescent="0.3">
      <c r="A1229" s="15">
        <v>45444</v>
      </c>
      <c r="B1229" t="s">
        <v>114</v>
      </c>
      <c r="C1229" t="s">
        <v>110</v>
      </c>
      <c r="D1229" t="s">
        <v>99</v>
      </c>
      <c r="E1229" t="s">
        <v>97</v>
      </c>
      <c r="F1229">
        <v>41600</v>
      </c>
      <c r="G1229" t="s">
        <v>331</v>
      </c>
      <c r="H1229" s="15">
        <v>45292</v>
      </c>
      <c r="I1229">
        <v>41600</v>
      </c>
      <c r="J1229">
        <v>0</v>
      </c>
    </row>
    <row r="1230" spans="1:10" x14ac:dyDescent="0.3">
      <c r="A1230" s="15">
        <v>45444</v>
      </c>
      <c r="B1230" t="s">
        <v>115</v>
      </c>
      <c r="C1230" t="s">
        <v>81</v>
      </c>
      <c r="D1230" t="s">
        <v>82</v>
      </c>
      <c r="E1230" t="s">
        <v>101</v>
      </c>
      <c r="F1230">
        <v>2600</v>
      </c>
      <c r="G1230" t="s">
        <v>331</v>
      </c>
      <c r="H1230" s="15">
        <v>45292</v>
      </c>
      <c r="I1230">
        <v>2600</v>
      </c>
      <c r="J1230">
        <v>0</v>
      </c>
    </row>
    <row r="1231" spans="1:10" x14ac:dyDescent="0.3">
      <c r="A1231" s="15">
        <v>45444</v>
      </c>
      <c r="B1231" t="s">
        <v>116</v>
      </c>
      <c r="C1231" t="s">
        <v>81</v>
      </c>
      <c r="D1231" t="s">
        <v>86</v>
      </c>
      <c r="E1231" t="s">
        <v>87</v>
      </c>
      <c r="F1231">
        <v>2900</v>
      </c>
      <c r="G1231" t="s">
        <v>331</v>
      </c>
      <c r="H1231" s="15">
        <v>45292</v>
      </c>
      <c r="I1231">
        <v>2900</v>
      </c>
      <c r="J1231">
        <v>0</v>
      </c>
    </row>
    <row r="1232" spans="1:10" x14ac:dyDescent="0.3">
      <c r="A1232" s="15">
        <v>45444</v>
      </c>
      <c r="B1232" t="s">
        <v>117</v>
      </c>
      <c r="C1232" t="s">
        <v>81</v>
      </c>
      <c r="D1232" t="s">
        <v>86</v>
      </c>
      <c r="E1232" t="s">
        <v>103</v>
      </c>
      <c r="F1232">
        <v>2500</v>
      </c>
      <c r="G1232" t="s">
        <v>331</v>
      </c>
      <c r="H1232" s="15">
        <v>45292</v>
      </c>
      <c r="I1232">
        <v>2500</v>
      </c>
      <c r="J1232">
        <v>0</v>
      </c>
    </row>
    <row r="1233" spans="1:10" x14ac:dyDescent="0.3">
      <c r="A1233" s="15">
        <v>45444</v>
      </c>
      <c r="B1233" t="s">
        <v>118</v>
      </c>
      <c r="C1233" t="s">
        <v>81</v>
      </c>
      <c r="D1233" t="s">
        <v>82</v>
      </c>
      <c r="E1233" t="s">
        <v>103</v>
      </c>
      <c r="F1233">
        <v>2500</v>
      </c>
      <c r="G1233" t="s">
        <v>331</v>
      </c>
      <c r="H1233" s="15">
        <v>45292</v>
      </c>
      <c r="I1233">
        <v>2500</v>
      </c>
      <c r="J1233">
        <v>0</v>
      </c>
    </row>
    <row r="1234" spans="1:10" x14ac:dyDescent="0.3">
      <c r="A1234" s="15">
        <v>45444</v>
      </c>
      <c r="B1234" t="s">
        <v>119</v>
      </c>
      <c r="C1234" t="s">
        <v>91</v>
      </c>
      <c r="D1234" t="s">
        <v>96</v>
      </c>
      <c r="E1234" t="s">
        <v>89</v>
      </c>
      <c r="F1234">
        <v>12800</v>
      </c>
      <c r="G1234" t="s">
        <v>331</v>
      </c>
      <c r="H1234" s="15">
        <v>45292</v>
      </c>
      <c r="I1234">
        <v>12800</v>
      </c>
      <c r="J1234">
        <v>0</v>
      </c>
    </row>
    <row r="1235" spans="1:10" x14ac:dyDescent="0.3">
      <c r="A1235" s="15">
        <v>45444</v>
      </c>
      <c r="B1235" t="s">
        <v>120</v>
      </c>
      <c r="C1235" t="s">
        <v>81</v>
      </c>
      <c r="D1235" t="s">
        <v>86</v>
      </c>
      <c r="E1235" t="s">
        <v>101</v>
      </c>
      <c r="F1235">
        <v>2200</v>
      </c>
      <c r="G1235" t="s">
        <v>331</v>
      </c>
      <c r="H1235" s="15">
        <v>45292</v>
      </c>
      <c r="I1235">
        <v>2200</v>
      </c>
      <c r="J1235">
        <v>0</v>
      </c>
    </row>
    <row r="1236" spans="1:10" x14ac:dyDescent="0.3">
      <c r="A1236" s="15">
        <v>45444</v>
      </c>
      <c r="B1236" t="s">
        <v>123</v>
      </c>
      <c r="C1236" t="s">
        <v>81</v>
      </c>
      <c r="D1236" t="s">
        <v>82</v>
      </c>
      <c r="E1236" t="s">
        <v>92</v>
      </c>
      <c r="F1236">
        <v>2200</v>
      </c>
      <c r="G1236" t="s">
        <v>331</v>
      </c>
      <c r="H1236" s="15">
        <v>45292</v>
      </c>
      <c r="I1236">
        <v>2200</v>
      </c>
      <c r="J1236">
        <v>0</v>
      </c>
    </row>
    <row r="1237" spans="1:10" x14ac:dyDescent="0.3">
      <c r="A1237" s="15">
        <v>45444</v>
      </c>
      <c r="B1237" t="s">
        <v>124</v>
      </c>
      <c r="C1237" t="s">
        <v>125</v>
      </c>
      <c r="D1237" t="s">
        <v>82</v>
      </c>
      <c r="E1237" t="s">
        <v>97</v>
      </c>
      <c r="F1237">
        <v>82700</v>
      </c>
      <c r="G1237" t="s">
        <v>331</v>
      </c>
      <c r="H1237" s="15">
        <v>45292</v>
      </c>
      <c r="I1237">
        <v>82700</v>
      </c>
      <c r="J1237">
        <v>0</v>
      </c>
    </row>
    <row r="1238" spans="1:10" x14ac:dyDescent="0.3">
      <c r="A1238" s="15">
        <v>45444</v>
      </c>
      <c r="B1238" t="s">
        <v>126</v>
      </c>
      <c r="C1238" t="s">
        <v>91</v>
      </c>
      <c r="D1238" t="s">
        <v>82</v>
      </c>
      <c r="E1238" t="s">
        <v>83</v>
      </c>
      <c r="F1238">
        <v>8800</v>
      </c>
      <c r="G1238" t="s">
        <v>331</v>
      </c>
      <c r="H1238" s="15">
        <v>45292</v>
      </c>
      <c r="I1238">
        <v>8800</v>
      </c>
      <c r="J1238">
        <v>0</v>
      </c>
    </row>
    <row r="1239" spans="1:10" x14ac:dyDescent="0.3">
      <c r="A1239" s="15">
        <v>45444</v>
      </c>
      <c r="B1239" t="s">
        <v>127</v>
      </c>
      <c r="C1239" t="s">
        <v>81</v>
      </c>
      <c r="D1239" t="s">
        <v>82</v>
      </c>
      <c r="E1239" t="s">
        <v>101</v>
      </c>
      <c r="F1239">
        <v>2100</v>
      </c>
      <c r="G1239" t="s">
        <v>331</v>
      </c>
      <c r="H1239" s="15">
        <v>45292</v>
      </c>
      <c r="I1239">
        <v>2100</v>
      </c>
      <c r="J1239">
        <v>0</v>
      </c>
    </row>
    <row r="1240" spans="1:10" x14ac:dyDescent="0.3">
      <c r="A1240" s="15">
        <v>45444</v>
      </c>
      <c r="B1240" t="s">
        <v>128</v>
      </c>
      <c r="C1240" t="s">
        <v>81</v>
      </c>
      <c r="D1240" t="s">
        <v>82</v>
      </c>
      <c r="E1240" t="s">
        <v>92</v>
      </c>
      <c r="F1240">
        <v>1700</v>
      </c>
      <c r="G1240" t="s">
        <v>331</v>
      </c>
      <c r="H1240" s="15">
        <v>45292</v>
      </c>
      <c r="I1240">
        <v>1700</v>
      </c>
      <c r="J1240">
        <v>0</v>
      </c>
    </row>
    <row r="1241" spans="1:10" x14ac:dyDescent="0.3">
      <c r="A1241" s="15">
        <v>45444</v>
      </c>
      <c r="B1241" t="s">
        <v>129</v>
      </c>
      <c r="C1241" t="s">
        <v>110</v>
      </c>
      <c r="D1241" t="s">
        <v>86</v>
      </c>
      <c r="E1241" t="s">
        <v>92</v>
      </c>
      <c r="F1241">
        <v>36700</v>
      </c>
      <c r="G1241" t="s">
        <v>331</v>
      </c>
      <c r="H1241" s="15">
        <v>45292</v>
      </c>
      <c r="I1241">
        <v>36700</v>
      </c>
      <c r="J1241">
        <v>0</v>
      </c>
    </row>
    <row r="1242" spans="1:10" x14ac:dyDescent="0.3">
      <c r="A1242" s="15">
        <v>45444</v>
      </c>
      <c r="B1242" t="s">
        <v>131</v>
      </c>
      <c r="C1242" t="s">
        <v>81</v>
      </c>
      <c r="D1242" t="s">
        <v>86</v>
      </c>
      <c r="E1242" t="s">
        <v>101</v>
      </c>
      <c r="F1242">
        <v>1900</v>
      </c>
      <c r="G1242" t="s">
        <v>331</v>
      </c>
      <c r="H1242" s="15">
        <v>45292</v>
      </c>
      <c r="I1242">
        <v>1900</v>
      </c>
      <c r="J1242">
        <v>0</v>
      </c>
    </row>
    <row r="1243" spans="1:10" x14ac:dyDescent="0.3">
      <c r="A1243" s="15">
        <v>45444</v>
      </c>
      <c r="B1243" t="s">
        <v>133</v>
      </c>
      <c r="C1243" t="s">
        <v>81</v>
      </c>
      <c r="D1243" t="s">
        <v>96</v>
      </c>
      <c r="E1243" t="s">
        <v>87</v>
      </c>
      <c r="F1243">
        <v>2700</v>
      </c>
      <c r="G1243" t="s">
        <v>334</v>
      </c>
      <c r="H1243" s="15">
        <v>45292</v>
      </c>
      <c r="I1243">
        <v>3200</v>
      </c>
      <c r="J1243">
        <v>-500</v>
      </c>
    </row>
    <row r="1244" spans="1:10" x14ac:dyDescent="0.3">
      <c r="A1244" s="15">
        <v>45444</v>
      </c>
      <c r="B1244" t="s">
        <v>134</v>
      </c>
      <c r="C1244" t="s">
        <v>81</v>
      </c>
      <c r="D1244" t="s">
        <v>82</v>
      </c>
      <c r="E1244" t="s">
        <v>92</v>
      </c>
      <c r="F1244">
        <v>2900</v>
      </c>
      <c r="G1244" t="s">
        <v>331</v>
      </c>
      <c r="H1244" s="15">
        <v>45292</v>
      </c>
      <c r="I1244">
        <v>2900</v>
      </c>
      <c r="J1244">
        <v>0</v>
      </c>
    </row>
    <row r="1245" spans="1:10" x14ac:dyDescent="0.3">
      <c r="A1245" s="15">
        <v>45444</v>
      </c>
      <c r="B1245" t="s">
        <v>135</v>
      </c>
      <c r="C1245" t="s">
        <v>81</v>
      </c>
      <c r="D1245" t="s">
        <v>82</v>
      </c>
      <c r="E1245" t="s">
        <v>103</v>
      </c>
      <c r="F1245">
        <v>2800</v>
      </c>
      <c r="G1245" t="s">
        <v>331</v>
      </c>
      <c r="H1245" s="15">
        <v>45292</v>
      </c>
      <c r="I1245">
        <v>2800</v>
      </c>
      <c r="J1245">
        <v>0</v>
      </c>
    </row>
    <row r="1246" spans="1:10" x14ac:dyDescent="0.3">
      <c r="A1246" s="15">
        <v>45444</v>
      </c>
      <c r="B1246" t="s">
        <v>136</v>
      </c>
      <c r="C1246" t="s">
        <v>81</v>
      </c>
      <c r="D1246" t="s">
        <v>82</v>
      </c>
      <c r="E1246" t="s">
        <v>101</v>
      </c>
      <c r="F1246">
        <v>2900</v>
      </c>
      <c r="G1246" t="s">
        <v>331</v>
      </c>
      <c r="H1246" s="15">
        <v>45292</v>
      </c>
      <c r="I1246">
        <v>2900</v>
      </c>
      <c r="J1246">
        <v>0</v>
      </c>
    </row>
    <row r="1247" spans="1:10" x14ac:dyDescent="0.3">
      <c r="A1247" s="15">
        <v>45444</v>
      </c>
      <c r="B1247" t="s">
        <v>137</v>
      </c>
      <c r="C1247" t="s">
        <v>81</v>
      </c>
      <c r="D1247" t="s">
        <v>82</v>
      </c>
      <c r="E1247" t="s">
        <v>89</v>
      </c>
      <c r="F1247">
        <v>1700</v>
      </c>
      <c r="G1247" t="s">
        <v>331</v>
      </c>
      <c r="H1247" s="15">
        <v>45292</v>
      </c>
      <c r="I1247">
        <v>1700</v>
      </c>
      <c r="J1247">
        <v>0</v>
      </c>
    </row>
    <row r="1248" spans="1:10" x14ac:dyDescent="0.3">
      <c r="A1248" s="15">
        <v>45444</v>
      </c>
      <c r="B1248" t="s">
        <v>138</v>
      </c>
      <c r="C1248" t="s">
        <v>81</v>
      </c>
      <c r="D1248" t="s">
        <v>86</v>
      </c>
      <c r="E1248" t="s">
        <v>97</v>
      </c>
      <c r="F1248">
        <v>3300</v>
      </c>
      <c r="G1248" t="s">
        <v>331</v>
      </c>
      <c r="H1248" s="15">
        <v>45292</v>
      </c>
      <c r="I1248">
        <v>3300</v>
      </c>
      <c r="J1248">
        <v>0</v>
      </c>
    </row>
    <row r="1249" spans="1:10" x14ac:dyDescent="0.3">
      <c r="A1249" s="15">
        <v>45444</v>
      </c>
      <c r="B1249" t="s">
        <v>139</v>
      </c>
      <c r="C1249" t="s">
        <v>91</v>
      </c>
      <c r="D1249" t="s">
        <v>82</v>
      </c>
      <c r="E1249" t="s">
        <v>103</v>
      </c>
      <c r="F1249">
        <v>6800</v>
      </c>
      <c r="G1249" t="s">
        <v>331</v>
      </c>
      <c r="H1249" s="15">
        <v>45292</v>
      </c>
      <c r="I1249">
        <v>6800</v>
      </c>
      <c r="J1249">
        <v>0</v>
      </c>
    </row>
    <row r="1250" spans="1:10" x14ac:dyDescent="0.3">
      <c r="A1250" s="15">
        <v>45444</v>
      </c>
      <c r="B1250" t="s">
        <v>140</v>
      </c>
      <c r="C1250" t="s">
        <v>81</v>
      </c>
      <c r="D1250" t="s">
        <v>99</v>
      </c>
      <c r="E1250" t="s">
        <v>97</v>
      </c>
      <c r="F1250">
        <v>1800</v>
      </c>
      <c r="G1250" t="s">
        <v>331</v>
      </c>
      <c r="H1250" s="15">
        <v>45292</v>
      </c>
      <c r="I1250">
        <v>1800</v>
      </c>
      <c r="J1250">
        <v>0</v>
      </c>
    </row>
    <row r="1251" spans="1:10" x14ac:dyDescent="0.3">
      <c r="A1251" s="15">
        <v>45444</v>
      </c>
      <c r="B1251" t="s">
        <v>141</v>
      </c>
      <c r="C1251" t="s">
        <v>125</v>
      </c>
      <c r="D1251" t="s">
        <v>99</v>
      </c>
      <c r="E1251" t="s">
        <v>103</v>
      </c>
      <c r="F1251">
        <v>100200</v>
      </c>
      <c r="G1251" t="s">
        <v>331</v>
      </c>
      <c r="H1251" s="15">
        <v>45292</v>
      </c>
      <c r="I1251">
        <v>100200</v>
      </c>
      <c r="J1251">
        <v>0</v>
      </c>
    </row>
    <row r="1252" spans="1:10" x14ac:dyDescent="0.3">
      <c r="A1252" s="15">
        <v>45444</v>
      </c>
      <c r="B1252" t="s">
        <v>142</v>
      </c>
      <c r="C1252" t="s">
        <v>125</v>
      </c>
      <c r="D1252" t="s">
        <v>82</v>
      </c>
      <c r="E1252" t="s">
        <v>92</v>
      </c>
      <c r="F1252">
        <v>93300</v>
      </c>
      <c r="G1252" t="s">
        <v>331</v>
      </c>
      <c r="H1252" s="15">
        <v>45292</v>
      </c>
      <c r="I1252">
        <v>93300</v>
      </c>
      <c r="J1252">
        <v>0</v>
      </c>
    </row>
    <row r="1253" spans="1:10" x14ac:dyDescent="0.3">
      <c r="A1253" s="15">
        <v>45444</v>
      </c>
      <c r="B1253" t="s">
        <v>143</v>
      </c>
      <c r="C1253" t="s">
        <v>91</v>
      </c>
      <c r="D1253" t="s">
        <v>99</v>
      </c>
      <c r="E1253" t="s">
        <v>103</v>
      </c>
      <c r="F1253">
        <v>8000</v>
      </c>
      <c r="G1253" t="s">
        <v>331</v>
      </c>
      <c r="H1253" s="15">
        <v>45292</v>
      </c>
      <c r="I1253">
        <v>8000</v>
      </c>
      <c r="J1253">
        <v>0</v>
      </c>
    </row>
    <row r="1254" spans="1:10" x14ac:dyDescent="0.3">
      <c r="A1254" s="15">
        <v>45444</v>
      </c>
      <c r="B1254" t="s">
        <v>144</v>
      </c>
      <c r="C1254" t="s">
        <v>81</v>
      </c>
      <c r="D1254" t="s">
        <v>82</v>
      </c>
      <c r="E1254" t="s">
        <v>92</v>
      </c>
      <c r="F1254">
        <v>2600</v>
      </c>
      <c r="G1254" t="s">
        <v>331</v>
      </c>
      <c r="H1254" s="15">
        <v>45292</v>
      </c>
      <c r="I1254">
        <v>2600</v>
      </c>
      <c r="J1254">
        <v>0</v>
      </c>
    </row>
    <row r="1255" spans="1:10" x14ac:dyDescent="0.3">
      <c r="A1255" s="15">
        <v>45444</v>
      </c>
      <c r="B1255" t="s">
        <v>145</v>
      </c>
      <c r="C1255" t="s">
        <v>91</v>
      </c>
      <c r="D1255" t="s">
        <v>82</v>
      </c>
      <c r="E1255" t="s">
        <v>87</v>
      </c>
      <c r="F1255">
        <v>8200</v>
      </c>
      <c r="G1255" t="s">
        <v>331</v>
      </c>
      <c r="H1255" s="15">
        <v>45292</v>
      </c>
      <c r="I1255">
        <v>8200</v>
      </c>
      <c r="J1255">
        <v>0</v>
      </c>
    </row>
    <row r="1256" spans="1:10" x14ac:dyDescent="0.3">
      <c r="A1256" s="15">
        <v>45444</v>
      </c>
      <c r="B1256" t="s">
        <v>146</v>
      </c>
      <c r="C1256" t="s">
        <v>91</v>
      </c>
      <c r="D1256" t="s">
        <v>86</v>
      </c>
      <c r="E1256" t="s">
        <v>87</v>
      </c>
      <c r="F1256">
        <v>9200</v>
      </c>
      <c r="G1256" t="s">
        <v>331</v>
      </c>
      <c r="H1256" s="15">
        <v>45292</v>
      </c>
      <c r="I1256">
        <v>9200</v>
      </c>
      <c r="J1256">
        <v>0</v>
      </c>
    </row>
    <row r="1257" spans="1:10" x14ac:dyDescent="0.3">
      <c r="A1257" s="15">
        <v>45444</v>
      </c>
      <c r="B1257" t="s">
        <v>147</v>
      </c>
      <c r="C1257" t="s">
        <v>81</v>
      </c>
      <c r="D1257" t="s">
        <v>82</v>
      </c>
      <c r="E1257" t="s">
        <v>92</v>
      </c>
      <c r="F1257">
        <v>2600</v>
      </c>
      <c r="G1257" t="s">
        <v>331</v>
      </c>
      <c r="H1257" s="15">
        <v>45292</v>
      </c>
      <c r="I1257">
        <v>2600</v>
      </c>
      <c r="J1257">
        <v>0</v>
      </c>
    </row>
    <row r="1258" spans="1:10" x14ac:dyDescent="0.3">
      <c r="A1258" s="15">
        <v>45444</v>
      </c>
      <c r="B1258" t="s">
        <v>148</v>
      </c>
      <c r="C1258" t="s">
        <v>110</v>
      </c>
      <c r="D1258" t="s">
        <v>86</v>
      </c>
      <c r="E1258" t="s">
        <v>89</v>
      </c>
      <c r="F1258">
        <v>23500</v>
      </c>
      <c r="G1258" t="s">
        <v>331</v>
      </c>
      <c r="H1258" s="15">
        <v>45292</v>
      </c>
      <c r="I1258">
        <v>23500</v>
      </c>
      <c r="J1258">
        <v>0</v>
      </c>
    </row>
    <row r="1259" spans="1:10" x14ac:dyDescent="0.3">
      <c r="A1259" s="15">
        <v>45444</v>
      </c>
      <c r="B1259" t="s">
        <v>149</v>
      </c>
      <c r="C1259" t="s">
        <v>110</v>
      </c>
      <c r="D1259" t="s">
        <v>82</v>
      </c>
      <c r="E1259" t="s">
        <v>103</v>
      </c>
      <c r="F1259">
        <v>31000</v>
      </c>
      <c r="G1259" t="s">
        <v>331</v>
      </c>
      <c r="H1259" s="15">
        <v>45292</v>
      </c>
      <c r="I1259">
        <v>31000</v>
      </c>
      <c r="J1259">
        <v>0</v>
      </c>
    </row>
    <row r="1260" spans="1:10" x14ac:dyDescent="0.3">
      <c r="A1260" s="15">
        <v>45444</v>
      </c>
      <c r="B1260" t="s">
        <v>150</v>
      </c>
      <c r="C1260" t="s">
        <v>91</v>
      </c>
      <c r="D1260" t="s">
        <v>99</v>
      </c>
      <c r="E1260" t="s">
        <v>101</v>
      </c>
      <c r="F1260">
        <v>8700</v>
      </c>
      <c r="G1260" t="s">
        <v>331</v>
      </c>
      <c r="H1260" s="15">
        <v>45292</v>
      </c>
      <c r="I1260">
        <v>8700</v>
      </c>
      <c r="J1260">
        <v>0</v>
      </c>
    </row>
    <row r="1261" spans="1:10" x14ac:dyDescent="0.3">
      <c r="A1261" s="15">
        <v>45444</v>
      </c>
      <c r="B1261" t="s">
        <v>151</v>
      </c>
      <c r="C1261" t="s">
        <v>91</v>
      </c>
      <c r="D1261" t="s">
        <v>82</v>
      </c>
      <c r="E1261" t="s">
        <v>97</v>
      </c>
      <c r="F1261">
        <v>8200</v>
      </c>
      <c r="G1261" t="s">
        <v>331</v>
      </c>
      <c r="H1261" s="15">
        <v>45292</v>
      </c>
      <c r="I1261">
        <v>8200</v>
      </c>
      <c r="J1261">
        <v>0</v>
      </c>
    </row>
    <row r="1262" spans="1:10" x14ac:dyDescent="0.3">
      <c r="A1262" s="15">
        <v>45444</v>
      </c>
      <c r="B1262" t="s">
        <v>152</v>
      </c>
      <c r="C1262" t="s">
        <v>81</v>
      </c>
      <c r="D1262" t="s">
        <v>99</v>
      </c>
      <c r="E1262" t="s">
        <v>87</v>
      </c>
      <c r="F1262">
        <v>3100</v>
      </c>
      <c r="G1262" t="s">
        <v>331</v>
      </c>
      <c r="H1262" s="15">
        <v>45292</v>
      </c>
      <c r="I1262">
        <v>3100</v>
      </c>
      <c r="J1262">
        <v>0</v>
      </c>
    </row>
    <row r="1263" spans="1:10" x14ac:dyDescent="0.3">
      <c r="A1263" s="15">
        <v>45444</v>
      </c>
      <c r="B1263" t="s">
        <v>153</v>
      </c>
      <c r="C1263" t="s">
        <v>110</v>
      </c>
      <c r="D1263" t="s">
        <v>99</v>
      </c>
      <c r="E1263" t="s">
        <v>87</v>
      </c>
      <c r="F1263">
        <v>31500</v>
      </c>
      <c r="G1263" t="s">
        <v>331</v>
      </c>
      <c r="H1263" s="15">
        <v>45292</v>
      </c>
      <c r="I1263">
        <v>31500</v>
      </c>
      <c r="J1263">
        <v>0</v>
      </c>
    </row>
    <row r="1264" spans="1:10" x14ac:dyDescent="0.3">
      <c r="A1264" s="15">
        <v>45444</v>
      </c>
      <c r="B1264" t="s">
        <v>154</v>
      </c>
      <c r="C1264" t="s">
        <v>91</v>
      </c>
      <c r="D1264" t="s">
        <v>86</v>
      </c>
      <c r="E1264" t="s">
        <v>103</v>
      </c>
      <c r="F1264">
        <v>8800</v>
      </c>
      <c r="G1264" t="s">
        <v>331</v>
      </c>
      <c r="H1264" s="15">
        <v>45292</v>
      </c>
      <c r="I1264">
        <v>8800</v>
      </c>
      <c r="J1264">
        <v>0</v>
      </c>
    </row>
    <row r="1265" spans="1:10" x14ac:dyDescent="0.3">
      <c r="A1265" s="15">
        <v>45444</v>
      </c>
      <c r="B1265" t="s">
        <v>155</v>
      </c>
      <c r="C1265" t="s">
        <v>91</v>
      </c>
      <c r="D1265" t="s">
        <v>82</v>
      </c>
      <c r="E1265" t="s">
        <v>92</v>
      </c>
      <c r="F1265">
        <v>7100</v>
      </c>
      <c r="G1265" t="s">
        <v>331</v>
      </c>
      <c r="H1265" s="15">
        <v>45292</v>
      </c>
      <c r="I1265">
        <v>7100</v>
      </c>
      <c r="J1265">
        <v>0</v>
      </c>
    </row>
    <row r="1266" spans="1:10" x14ac:dyDescent="0.3">
      <c r="A1266" s="15">
        <v>45444</v>
      </c>
      <c r="B1266" t="s">
        <v>156</v>
      </c>
      <c r="C1266" t="s">
        <v>81</v>
      </c>
      <c r="D1266" t="s">
        <v>86</v>
      </c>
      <c r="E1266" t="s">
        <v>101</v>
      </c>
      <c r="F1266">
        <v>2300</v>
      </c>
      <c r="G1266" t="s">
        <v>331</v>
      </c>
      <c r="H1266" s="15">
        <v>45292</v>
      </c>
      <c r="I1266">
        <v>2300</v>
      </c>
      <c r="J1266">
        <v>0</v>
      </c>
    </row>
    <row r="1267" spans="1:10" x14ac:dyDescent="0.3">
      <c r="A1267" s="15">
        <v>45444</v>
      </c>
      <c r="B1267" t="s">
        <v>157</v>
      </c>
      <c r="C1267" t="s">
        <v>81</v>
      </c>
      <c r="D1267" t="s">
        <v>82</v>
      </c>
      <c r="E1267" t="s">
        <v>92</v>
      </c>
      <c r="F1267">
        <v>1800</v>
      </c>
      <c r="G1267" t="s">
        <v>331</v>
      </c>
      <c r="H1267" s="15">
        <v>45292</v>
      </c>
      <c r="I1267">
        <v>1800</v>
      </c>
      <c r="J1267">
        <v>0</v>
      </c>
    </row>
    <row r="1268" spans="1:10" x14ac:dyDescent="0.3">
      <c r="A1268" s="15">
        <v>45444</v>
      </c>
      <c r="B1268" t="s">
        <v>158</v>
      </c>
      <c r="C1268" t="s">
        <v>91</v>
      </c>
      <c r="D1268" t="s">
        <v>96</v>
      </c>
      <c r="E1268" t="s">
        <v>83</v>
      </c>
      <c r="F1268">
        <v>11400</v>
      </c>
      <c r="G1268" t="s">
        <v>331</v>
      </c>
      <c r="H1268" s="15">
        <v>45292</v>
      </c>
      <c r="I1268">
        <v>11400</v>
      </c>
      <c r="J1268">
        <v>0</v>
      </c>
    </row>
    <row r="1269" spans="1:10" x14ac:dyDescent="0.3">
      <c r="A1269" s="15">
        <v>45444</v>
      </c>
      <c r="B1269" t="s">
        <v>159</v>
      </c>
      <c r="C1269" t="s">
        <v>81</v>
      </c>
      <c r="D1269" t="s">
        <v>86</v>
      </c>
      <c r="E1269" t="s">
        <v>87</v>
      </c>
      <c r="F1269">
        <v>2400</v>
      </c>
      <c r="G1269" t="s">
        <v>331</v>
      </c>
      <c r="H1269" s="15">
        <v>45292</v>
      </c>
      <c r="I1269">
        <v>2400</v>
      </c>
      <c r="J1269">
        <v>0</v>
      </c>
    </row>
    <row r="1270" spans="1:10" x14ac:dyDescent="0.3">
      <c r="A1270" s="15">
        <v>45444</v>
      </c>
      <c r="B1270" t="s">
        <v>161</v>
      </c>
      <c r="C1270" t="s">
        <v>91</v>
      </c>
      <c r="D1270" t="s">
        <v>99</v>
      </c>
      <c r="E1270" t="s">
        <v>83</v>
      </c>
      <c r="F1270">
        <v>10100</v>
      </c>
      <c r="G1270" t="s">
        <v>331</v>
      </c>
      <c r="H1270" s="15">
        <v>45292</v>
      </c>
      <c r="I1270">
        <v>10100</v>
      </c>
      <c r="J1270">
        <v>0</v>
      </c>
    </row>
    <row r="1271" spans="1:10" x14ac:dyDescent="0.3">
      <c r="A1271" s="15">
        <v>45444</v>
      </c>
      <c r="B1271" t="s">
        <v>162</v>
      </c>
      <c r="C1271" t="s">
        <v>91</v>
      </c>
      <c r="D1271" t="s">
        <v>82</v>
      </c>
      <c r="E1271" t="s">
        <v>103</v>
      </c>
      <c r="F1271">
        <v>12700</v>
      </c>
      <c r="G1271" t="s">
        <v>331</v>
      </c>
      <c r="H1271" s="15">
        <v>45292</v>
      </c>
      <c r="I1271">
        <v>12700</v>
      </c>
      <c r="J1271">
        <v>0</v>
      </c>
    </row>
    <row r="1272" spans="1:10" x14ac:dyDescent="0.3">
      <c r="A1272" s="15">
        <v>45444</v>
      </c>
      <c r="B1272" t="s">
        <v>164</v>
      </c>
      <c r="C1272" t="s">
        <v>81</v>
      </c>
      <c r="D1272" t="s">
        <v>99</v>
      </c>
      <c r="E1272" t="s">
        <v>89</v>
      </c>
      <c r="F1272">
        <v>2500</v>
      </c>
      <c r="G1272" t="s">
        <v>331</v>
      </c>
      <c r="H1272" s="15">
        <v>45292</v>
      </c>
      <c r="I1272">
        <v>2500</v>
      </c>
      <c r="J1272">
        <v>0</v>
      </c>
    </row>
    <row r="1273" spans="1:10" x14ac:dyDescent="0.3">
      <c r="A1273" s="15">
        <v>45444</v>
      </c>
      <c r="B1273" t="s">
        <v>165</v>
      </c>
      <c r="C1273" t="s">
        <v>81</v>
      </c>
      <c r="D1273" t="s">
        <v>82</v>
      </c>
      <c r="E1273" t="s">
        <v>97</v>
      </c>
      <c r="F1273">
        <v>2700</v>
      </c>
      <c r="G1273" t="s">
        <v>331</v>
      </c>
      <c r="H1273" s="15">
        <v>45292</v>
      </c>
      <c r="I1273">
        <v>2700</v>
      </c>
      <c r="J1273">
        <v>0</v>
      </c>
    </row>
    <row r="1274" spans="1:10" x14ac:dyDescent="0.3">
      <c r="A1274" s="15">
        <v>45444</v>
      </c>
      <c r="B1274" t="s">
        <v>166</v>
      </c>
      <c r="C1274" t="s">
        <v>81</v>
      </c>
      <c r="D1274" t="s">
        <v>99</v>
      </c>
      <c r="E1274" t="s">
        <v>103</v>
      </c>
      <c r="F1274">
        <v>2600</v>
      </c>
      <c r="G1274" t="s">
        <v>331</v>
      </c>
      <c r="H1274" s="15">
        <v>45292</v>
      </c>
      <c r="I1274">
        <v>2600</v>
      </c>
      <c r="J1274">
        <v>0</v>
      </c>
    </row>
    <row r="1275" spans="1:10" x14ac:dyDescent="0.3">
      <c r="A1275" s="15">
        <v>45444</v>
      </c>
      <c r="B1275" t="s">
        <v>167</v>
      </c>
      <c r="C1275" t="s">
        <v>81</v>
      </c>
      <c r="D1275" t="s">
        <v>82</v>
      </c>
      <c r="E1275" t="s">
        <v>97</v>
      </c>
      <c r="F1275">
        <v>2100</v>
      </c>
      <c r="G1275" t="s">
        <v>331</v>
      </c>
      <c r="H1275" s="15">
        <v>45292</v>
      </c>
      <c r="I1275">
        <v>2100</v>
      </c>
      <c r="J1275">
        <v>0</v>
      </c>
    </row>
    <row r="1276" spans="1:10" x14ac:dyDescent="0.3">
      <c r="A1276" s="15">
        <v>45444</v>
      </c>
      <c r="B1276" t="s">
        <v>168</v>
      </c>
      <c r="C1276" t="s">
        <v>91</v>
      </c>
      <c r="D1276" t="s">
        <v>86</v>
      </c>
      <c r="E1276" t="s">
        <v>103</v>
      </c>
      <c r="F1276">
        <v>12300</v>
      </c>
      <c r="G1276" t="s">
        <v>331</v>
      </c>
      <c r="H1276" s="15">
        <v>45292</v>
      </c>
      <c r="I1276">
        <v>12300</v>
      </c>
      <c r="J1276">
        <v>0</v>
      </c>
    </row>
    <row r="1277" spans="1:10" x14ac:dyDescent="0.3">
      <c r="A1277" s="15">
        <v>45444</v>
      </c>
      <c r="B1277" t="s">
        <v>169</v>
      </c>
      <c r="C1277" t="s">
        <v>81</v>
      </c>
      <c r="D1277" t="s">
        <v>86</v>
      </c>
      <c r="E1277" t="s">
        <v>103</v>
      </c>
      <c r="F1277">
        <v>2000</v>
      </c>
      <c r="G1277" t="s">
        <v>331</v>
      </c>
      <c r="H1277" s="15">
        <v>45292</v>
      </c>
      <c r="I1277">
        <v>2000</v>
      </c>
      <c r="J1277">
        <v>0</v>
      </c>
    </row>
    <row r="1278" spans="1:10" x14ac:dyDescent="0.3">
      <c r="A1278" s="15">
        <v>45444</v>
      </c>
      <c r="B1278" t="s">
        <v>170</v>
      </c>
      <c r="C1278" t="s">
        <v>91</v>
      </c>
      <c r="D1278" t="s">
        <v>99</v>
      </c>
      <c r="E1278" t="s">
        <v>83</v>
      </c>
      <c r="F1278">
        <v>6500</v>
      </c>
      <c r="G1278" t="s">
        <v>331</v>
      </c>
      <c r="H1278" s="15">
        <v>45292</v>
      </c>
      <c r="I1278">
        <v>6500</v>
      </c>
      <c r="J1278">
        <v>0</v>
      </c>
    </row>
    <row r="1279" spans="1:10" x14ac:dyDescent="0.3">
      <c r="A1279" s="15">
        <v>45444</v>
      </c>
      <c r="B1279" t="s">
        <v>171</v>
      </c>
      <c r="C1279" t="s">
        <v>81</v>
      </c>
      <c r="D1279" t="s">
        <v>99</v>
      </c>
      <c r="E1279" t="s">
        <v>97</v>
      </c>
      <c r="F1279">
        <v>1800</v>
      </c>
      <c r="G1279" t="s">
        <v>331</v>
      </c>
      <c r="H1279" s="15">
        <v>45292</v>
      </c>
      <c r="I1279">
        <v>1800</v>
      </c>
      <c r="J1279">
        <v>0</v>
      </c>
    </row>
    <row r="1280" spans="1:10" x14ac:dyDescent="0.3">
      <c r="A1280" s="15">
        <v>45444</v>
      </c>
      <c r="B1280" t="s">
        <v>172</v>
      </c>
      <c r="C1280" t="s">
        <v>91</v>
      </c>
      <c r="D1280" t="s">
        <v>96</v>
      </c>
      <c r="E1280" t="s">
        <v>101</v>
      </c>
      <c r="F1280">
        <v>7700</v>
      </c>
      <c r="G1280" t="s">
        <v>331</v>
      </c>
      <c r="H1280" s="15">
        <v>45292</v>
      </c>
      <c r="I1280">
        <v>7700</v>
      </c>
      <c r="J1280">
        <v>0</v>
      </c>
    </row>
    <row r="1281" spans="1:10" x14ac:dyDescent="0.3">
      <c r="A1281" s="15">
        <v>45444</v>
      </c>
      <c r="B1281" t="s">
        <v>173</v>
      </c>
      <c r="C1281" t="s">
        <v>81</v>
      </c>
      <c r="D1281" t="s">
        <v>86</v>
      </c>
      <c r="E1281" t="s">
        <v>103</v>
      </c>
      <c r="F1281">
        <v>3700</v>
      </c>
      <c r="G1281" t="s">
        <v>331</v>
      </c>
      <c r="H1281" s="15">
        <v>45292</v>
      </c>
      <c r="I1281">
        <v>3700</v>
      </c>
      <c r="J1281">
        <v>0</v>
      </c>
    </row>
    <row r="1282" spans="1:10" x14ac:dyDescent="0.3">
      <c r="A1282" s="15">
        <v>45444</v>
      </c>
      <c r="B1282" t="s">
        <v>174</v>
      </c>
      <c r="C1282" t="s">
        <v>81</v>
      </c>
      <c r="D1282" t="s">
        <v>82</v>
      </c>
      <c r="E1282" t="s">
        <v>92</v>
      </c>
      <c r="F1282">
        <v>2400</v>
      </c>
      <c r="G1282" t="s">
        <v>331</v>
      </c>
      <c r="H1282" s="15">
        <v>45292</v>
      </c>
      <c r="I1282">
        <v>2400</v>
      </c>
      <c r="J1282">
        <v>0</v>
      </c>
    </row>
    <row r="1283" spans="1:10" x14ac:dyDescent="0.3">
      <c r="A1283" s="15">
        <v>45444</v>
      </c>
      <c r="B1283" t="s">
        <v>175</v>
      </c>
      <c r="C1283" t="s">
        <v>91</v>
      </c>
      <c r="D1283" t="s">
        <v>96</v>
      </c>
      <c r="E1283" t="s">
        <v>83</v>
      </c>
      <c r="F1283">
        <v>8800</v>
      </c>
      <c r="G1283" t="s">
        <v>331</v>
      </c>
      <c r="H1283" s="15">
        <v>45292</v>
      </c>
      <c r="I1283">
        <v>8800</v>
      </c>
      <c r="J1283">
        <v>0</v>
      </c>
    </row>
    <row r="1284" spans="1:10" x14ac:dyDescent="0.3">
      <c r="A1284" s="15">
        <v>45444</v>
      </c>
      <c r="B1284" t="s">
        <v>176</v>
      </c>
      <c r="C1284" t="s">
        <v>81</v>
      </c>
      <c r="D1284" t="s">
        <v>99</v>
      </c>
      <c r="E1284" t="s">
        <v>92</v>
      </c>
      <c r="F1284">
        <v>2900</v>
      </c>
      <c r="G1284" t="s">
        <v>331</v>
      </c>
      <c r="H1284" s="15">
        <v>45292</v>
      </c>
      <c r="I1284">
        <v>2900</v>
      </c>
      <c r="J1284">
        <v>0</v>
      </c>
    </row>
    <row r="1285" spans="1:10" x14ac:dyDescent="0.3">
      <c r="A1285" s="15">
        <v>45444</v>
      </c>
      <c r="B1285" t="s">
        <v>177</v>
      </c>
      <c r="C1285" t="s">
        <v>81</v>
      </c>
      <c r="D1285" t="s">
        <v>96</v>
      </c>
      <c r="E1285" t="s">
        <v>83</v>
      </c>
      <c r="F1285">
        <v>2900</v>
      </c>
      <c r="G1285" t="s">
        <v>331</v>
      </c>
      <c r="H1285" s="15">
        <v>45292</v>
      </c>
      <c r="I1285">
        <v>2900</v>
      </c>
      <c r="J1285">
        <v>0</v>
      </c>
    </row>
    <row r="1286" spans="1:10" x14ac:dyDescent="0.3">
      <c r="A1286" s="15">
        <v>45444</v>
      </c>
      <c r="B1286" t="s">
        <v>178</v>
      </c>
      <c r="C1286" t="s">
        <v>91</v>
      </c>
      <c r="D1286" t="s">
        <v>82</v>
      </c>
      <c r="E1286" t="s">
        <v>89</v>
      </c>
      <c r="F1286">
        <v>8400</v>
      </c>
      <c r="G1286" t="s">
        <v>331</v>
      </c>
      <c r="H1286" s="15">
        <v>45292</v>
      </c>
      <c r="I1286">
        <v>8400</v>
      </c>
      <c r="J1286">
        <v>0</v>
      </c>
    </row>
    <row r="1287" spans="1:10" x14ac:dyDescent="0.3">
      <c r="A1287" s="15">
        <v>45444</v>
      </c>
      <c r="B1287" t="s">
        <v>179</v>
      </c>
      <c r="C1287" t="s">
        <v>110</v>
      </c>
      <c r="D1287" t="s">
        <v>86</v>
      </c>
      <c r="E1287" t="s">
        <v>87</v>
      </c>
      <c r="F1287">
        <v>30000</v>
      </c>
      <c r="G1287" t="s">
        <v>331</v>
      </c>
      <c r="H1287" s="15">
        <v>45292</v>
      </c>
      <c r="I1287">
        <v>30000</v>
      </c>
      <c r="J1287">
        <v>0</v>
      </c>
    </row>
    <row r="1288" spans="1:10" x14ac:dyDescent="0.3">
      <c r="A1288" s="15">
        <v>45444</v>
      </c>
      <c r="B1288" t="s">
        <v>180</v>
      </c>
      <c r="C1288" t="s">
        <v>91</v>
      </c>
      <c r="D1288" t="s">
        <v>86</v>
      </c>
      <c r="E1288" t="s">
        <v>83</v>
      </c>
      <c r="F1288">
        <v>8500</v>
      </c>
      <c r="G1288" t="s">
        <v>331</v>
      </c>
      <c r="H1288" s="15">
        <v>45292</v>
      </c>
      <c r="I1288">
        <v>8500</v>
      </c>
      <c r="J1288">
        <v>0</v>
      </c>
    </row>
    <row r="1289" spans="1:10" x14ac:dyDescent="0.3">
      <c r="A1289" s="15">
        <v>45444</v>
      </c>
      <c r="B1289" t="s">
        <v>181</v>
      </c>
      <c r="C1289" t="s">
        <v>91</v>
      </c>
      <c r="D1289" t="s">
        <v>82</v>
      </c>
      <c r="E1289" t="s">
        <v>97</v>
      </c>
      <c r="F1289">
        <v>10100</v>
      </c>
      <c r="G1289" t="s">
        <v>331</v>
      </c>
      <c r="H1289" s="15">
        <v>45292</v>
      </c>
      <c r="I1289">
        <v>10100</v>
      </c>
      <c r="J1289">
        <v>0</v>
      </c>
    </row>
    <row r="1290" spans="1:10" x14ac:dyDescent="0.3">
      <c r="A1290" s="15">
        <v>45444</v>
      </c>
      <c r="B1290" t="s">
        <v>182</v>
      </c>
      <c r="C1290" t="s">
        <v>125</v>
      </c>
      <c r="D1290" t="s">
        <v>82</v>
      </c>
      <c r="E1290" t="s">
        <v>92</v>
      </c>
      <c r="F1290">
        <v>80700</v>
      </c>
      <c r="G1290" t="s">
        <v>331</v>
      </c>
      <c r="H1290" s="15">
        <v>45292</v>
      </c>
      <c r="I1290">
        <v>80700</v>
      </c>
      <c r="J1290">
        <v>0</v>
      </c>
    </row>
    <row r="1291" spans="1:10" x14ac:dyDescent="0.3">
      <c r="A1291" s="15">
        <v>45444</v>
      </c>
      <c r="B1291" t="s">
        <v>183</v>
      </c>
      <c r="C1291" t="s">
        <v>91</v>
      </c>
      <c r="D1291" t="s">
        <v>96</v>
      </c>
      <c r="E1291" t="s">
        <v>92</v>
      </c>
      <c r="F1291">
        <v>9500</v>
      </c>
      <c r="G1291" t="s">
        <v>331</v>
      </c>
      <c r="H1291" s="15">
        <v>45292</v>
      </c>
      <c r="I1291">
        <v>9500</v>
      </c>
      <c r="J1291">
        <v>0</v>
      </c>
    </row>
    <row r="1292" spans="1:10" x14ac:dyDescent="0.3">
      <c r="A1292" s="15">
        <v>45444</v>
      </c>
      <c r="B1292" t="s">
        <v>184</v>
      </c>
      <c r="C1292" t="s">
        <v>81</v>
      </c>
      <c r="D1292" t="s">
        <v>82</v>
      </c>
      <c r="E1292" t="s">
        <v>83</v>
      </c>
      <c r="F1292">
        <v>2600</v>
      </c>
      <c r="G1292" t="s">
        <v>331</v>
      </c>
      <c r="H1292" s="15">
        <v>45292</v>
      </c>
      <c r="I1292">
        <v>2600</v>
      </c>
      <c r="J1292">
        <v>0</v>
      </c>
    </row>
    <row r="1293" spans="1:10" x14ac:dyDescent="0.3">
      <c r="A1293" s="15">
        <v>45444</v>
      </c>
      <c r="B1293" t="s">
        <v>185</v>
      </c>
      <c r="C1293" t="s">
        <v>81</v>
      </c>
      <c r="D1293" t="s">
        <v>96</v>
      </c>
      <c r="E1293" t="s">
        <v>97</v>
      </c>
      <c r="F1293">
        <v>2000</v>
      </c>
      <c r="G1293" t="s">
        <v>331</v>
      </c>
      <c r="H1293" s="15">
        <v>45292</v>
      </c>
      <c r="I1293">
        <v>2000</v>
      </c>
      <c r="J1293">
        <v>0</v>
      </c>
    </row>
    <row r="1294" spans="1:10" x14ac:dyDescent="0.3">
      <c r="A1294" s="15">
        <v>45444</v>
      </c>
      <c r="B1294" t="s">
        <v>186</v>
      </c>
      <c r="C1294" t="s">
        <v>91</v>
      </c>
      <c r="D1294" t="s">
        <v>82</v>
      </c>
      <c r="E1294" t="s">
        <v>103</v>
      </c>
      <c r="F1294">
        <v>12100</v>
      </c>
      <c r="G1294" t="s">
        <v>331</v>
      </c>
      <c r="H1294" s="15">
        <v>45292</v>
      </c>
      <c r="I1294">
        <v>12100</v>
      </c>
      <c r="J1294">
        <v>0</v>
      </c>
    </row>
    <row r="1295" spans="1:10" x14ac:dyDescent="0.3">
      <c r="A1295" s="15">
        <v>45444</v>
      </c>
      <c r="B1295" t="s">
        <v>187</v>
      </c>
      <c r="C1295" t="s">
        <v>110</v>
      </c>
      <c r="D1295" t="s">
        <v>86</v>
      </c>
      <c r="E1295" t="s">
        <v>97</v>
      </c>
      <c r="F1295">
        <v>32300</v>
      </c>
      <c r="G1295" t="s">
        <v>331</v>
      </c>
      <c r="H1295" s="15">
        <v>45292</v>
      </c>
      <c r="I1295">
        <v>32300</v>
      </c>
      <c r="J1295">
        <v>0</v>
      </c>
    </row>
    <row r="1296" spans="1:10" x14ac:dyDescent="0.3">
      <c r="A1296" s="15">
        <v>45444</v>
      </c>
      <c r="B1296" t="s">
        <v>188</v>
      </c>
      <c r="C1296" t="s">
        <v>91</v>
      </c>
      <c r="D1296" t="s">
        <v>82</v>
      </c>
      <c r="E1296" t="s">
        <v>92</v>
      </c>
      <c r="F1296">
        <v>12000</v>
      </c>
      <c r="G1296" t="s">
        <v>331</v>
      </c>
      <c r="H1296" s="15">
        <v>45292</v>
      </c>
      <c r="I1296">
        <v>12000</v>
      </c>
      <c r="J1296">
        <v>0</v>
      </c>
    </row>
    <row r="1297" spans="1:10" x14ac:dyDescent="0.3">
      <c r="A1297" s="15">
        <v>45444</v>
      </c>
      <c r="B1297" t="s">
        <v>189</v>
      </c>
      <c r="C1297" t="s">
        <v>81</v>
      </c>
      <c r="D1297" t="s">
        <v>86</v>
      </c>
      <c r="E1297" t="s">
        <v>103</v>
      </c>
      <c r="F1297">
        <v>2000</v>
      </c>
      <c r="G1297" t="s">
        <v>331</v>
      </c>
      <c r="H1297" s="15">
        <v>45292</v>
      </c>
      <c r="I1297">
        <v>2000</v>
      </c>
      <c r="J1297">
        <v>0</v>
      </c>
    </row>
    <row r="1298" spans="1:10" x14ac:dyDescent="0.3">
      <c r="A1298" s="15">
        <v>45444</v>
      </c>
      <c r="B1298" t="s">
        <v>190</v>
      </c>
      <c r="C1298" t="s">
        <v>81</v>
      </c>
      <c r="D1298" t="s">
        <v>99</v>
      </c>
      <c r="E1298" t="s">
        <v>89</v>
      </c>
      <c r="F1298">
        <v>2000</v>
      </c>
      <c r="G1298" t="s">
        <v>331</v>
      </c>
      <c r="H1298" s="15">
        <v>45292</v>
      </c>
      <c r="I1298">
        <v>2000</v>
      </c>
      <c r="J1298">
        <v>0</v>
      </c>
    </row>
    <row r="1299" spans="1:10" x14ac:dyDescent="0.3">
      <c r="A1299" s="15">
        <v>45444</v>
      </c>
      <c r="B1299" t="s">
        <v>191</v>
      </c>
      <c r="C1299" t="s">
        <v>91</v>
      </c>
      <c r="D1299" t="s">
        <v>86</v>
      </c>
      <c r="E1299" t="s">
        <v>87</v>
      </c>
      <c r="F1299">
        <v>6900</v>
      </c>
      <c r="G1299" t="s">
        <v>331</v>
      </c>
      <c r="H1299" s="15">
        <v>45292</v>
      </c>
      <c r="I1299">
        <v>6900</v>
      </c>
      <c r="J1299">
        <v>0</v>
      </c>
    </row>
    <row r="1300" spans="1:10" x14ac:dyDescent="0.3">
      <c r="A1300" s="15">
        <v>45444</v>
      </c>
      <c r="B1300" t="s">
        <v>192</v>
      </c>
      <c r="C1300" t="s">
        <v>81</v>
      </c>
      <c r="D1300" t="s">
        <v>82</v>
      </c>
      <c r="E1300" t="s">
        <v>97</v>
      </c>
      <c r="F1300">
        <v>2700</v>
      </c>
      <c r="G1300" t="s">
        <v>331</v>
      </c>
      <c r="H1300" s="15">
        <v>45292</v>
      </c>
      <c r="I1300">
        <v>2700</v>
      </c>
      <c r="J1300">
        <v>0</v>
      </c>
    </row>
    <row r="1301" spans="1:10" x14ac:dyDescent="0.3">
      <c r="A1301" s="15">
        <v>45444</v>
      </c>
      <c r="B1301" t="s">
        <v>193</v>
      </c>
      <c r="C1301" t="s">
        <v>81</v>
      </c>
      <c r="D1301" t="s">
        <v>82</v>
      </c>
      <c r="E1301" t="s">
        <v>87</v>
      </c>
      <c r="F1301">
        <v>3200</v>
      </c>
      <c r="G1301" t="s">
        <v>331</v>
      </c>
      <c r="H1301" s="15">
        <v>45292</v>
      </c>
      <c r="I1301">
        <v>3200</v>
      </c>
      <c r="J1301">
        <v>0</v>
      </c>
    </row>
    <row r="1302" spans="1:10" x14ac:dyDescent="0.3">
      <c r="A1302" s="15">
        <v>45444</v>
      </c>
      <c r="B1302" t="s">
        <v>194</v>
      </c>
      <c r="C1302" t="s">
        <v>91</v>
      </c>
      <c r="D1302" t="s">
        <v>82</v>
      </c>
      <c r="E1302" t="s">
        <v>101</v>
      </c>
      <c r="F1302">
        <v>10400</v>
      </c>
      <c r="G1302" t="s">
        <v>331</v>
      </c>
      <c r="H1302" s="15">
        <v>45292</v>
      </c>
      <c r="I1302">
        <v>10400</v>
      </c>
      <c r="J1302">
        <v>0</v>
      </c>
    </row>
    <row r="1303" spans="1:10" x14ac:dyDescent="0.3">
      <c r="A1303" s="15">
        <v>45444</v>
      </c>
      <c r="B1303" t="s">
        <v>195</v>
      </c>
      <c r="C1303" t="s">
        <v>91</v>
      </c>
      <c r="D1303" t="s">
        <v>86</v>
      </c>
      <c r="E1303" t="s">
        <v>97</v>
      </c>
      <c r="F1303">
        <v>6800</v>
      </c>
      <c r="G1303" t="s">
        <v>332</v>
      </c>
      <c r="H1303" s="15">
        <v>45292</v>
      </c>
      <c r="I1303">
        <v>6400</v>
      </c>
      <c r="J1303">
        <v>400</v>
      </c>
    </row>
    <row r="1304" spans="1:10" x14ac:dyDescent="0.3">
      <c r="A1304" s="15">
        <v>45444</v>
      </c>
      <c r="B1304" t="s">
        <v>196</v>
      </c>
      <c r="C1304" t="s">
        <v>81</v>
      </c>
      <c r="D1304" t="s">
        <v>86</v>
      </c>
      <c r="E1304" t="s">
        <v>87</v>
      </c>
      <c r="F1304">
        <v>2600</v>
      </c>
      <c r="G1304" t="s">
        <v>331</v>
      </c>
      <c r="H1304" s="15">
        <v>45292</v>
      </c>
      <c r="I1304">
        <v>2600</v>
      </c>
      <c r="J1304">
        <v>0</v>
      </c>
    </row>
    <row r="1305" spans="1:10" x14ac:dyDescent="0.3">
      <c r="A1305" s="15">
        <v>45444</v>
      </c>
      <c r="B1305" t="s">
        <v>197</v>
      </c>
      <c r="C1305" t="s">
        <v>91</v>
      </c>
      <c r="D1305" t="s">
        <v>82</v>
      </c>
      <c r="E1305" t="s">
        <v>89</v>
      </c>
      <c r="F1305">
        <v>10400</v>
      </c>
      <c r="G1305" t="s">
        <v>331</v>
      </c>
      <c r="H1305" s="15">
        <v>45292</v>
      </c>
      <c r="I1305">
        <v>10400</v>
      </c>
      <c r="J1305">
        <v>0</v>
      </c>
    </row>
    <row r="1306" spans="1:10" x14ac:dyDescent="0.3">
      <c r="A1306" s="15">
        <v>45444</v>
      </c>
      <c r="B1306" t="s">
        <v>198</v>
      </c>
      <c r="C1306" t="s">
        <v>81</v>
      </c>
      <c r="D1306" t="s">
        <v>82</v>
      </c>
      <c r="E1306" t="s">
        <v>89</v>
      </c>
      <c r="F1306">
        <v>2900</v>
      </c>
      <c r="G1306" t="s">
        <v>331</v>
      </c>
      <c r="H1306" s="15">
        <v>45292</v>
      </c>
      <c r="I1306">
        <v>2900</v>
      </c>
      <c r="J1306">
        <v>0</v>
      </c>
    </row>
    <row r="1307" spans="1:10" x14ac:dyDescent="0.3">
      <c r="A1307" s="15">
        <v>45444</v>
      </c>
      <c r="B1307" t="s">
        <v>199</v>
      </c>
      <c r="C1307" t="s">
        <v>81</v>
      </c>
      <c r="D1307" t="s">
        <v>86</v>
      </c>
      <c r="E1307" t="s">
        <v>89</v>
      </c>
      <c r="F1307">
        <v>2200</v>
      </c>
      <c r="G1307" t="s">
        <v>331</v>
      </c>
      <c r="H1307" s="15">
        <v>45292</v>
      </c>
      <c r="I1307">
        <v>2200</v>
      </c>
      <c r="J1307">
        <v>0</v>
      </c>
    </row>
    <row r="1308" spans="1:10" x14ac:dyDescent="0.3">
      <c r="A1308" s="15">
        <v>45444</v>
      </c>
      <c r="B1308" t="s">
        <v>200</v>
      </c>
      <c r="C1308" t="s">
        <v>91</v>
      </c>
      <c r="D1308" t="s">
        <v>86</v>
      </c>
      <c r="E1308" t="s">
        <v>92</v>
      </c>
      <c r="F1308">
        <v>8400</v>
      </c>
      <c r="G1308" t="s">
        <v>331</v>
      </c>
      <c r="H1308" s="15">
        <v>45292</v>
      </c>
      <c r="I1308">
        <v>8400</v>
      </c>
      <c r="J1308">
        <v>0</v>
      </c>
    </row>
    <row r="1309" spans="1:10" x14ac:dyDescent="0.3">
      <c r="A1309" s="15">
        <v>45444</v>
      </c>
      <c r="B1309" t="s">
        <v>201</v>
      </c>
      <c r="C1309" t="s">
        <v>81</v>
      </c>
      <c r="D1309" t="s">
        <v>86</v>
      </c>
      <c r="E1309" t="s">
        <v>83</v>
      </c>
      <c r="F1309">
        <v>1800</v>
      </c>
      <c r="G1309" t="s">
        <v>331</v>
      </c>
      <c r="H1309" s="15">
        <v>45292</v>
      </c>
      <c r="I1309">
        <v>1800</v>
      </c>
      <c r="J1309">
        <v>0</v>
      </c>
    </row>
    <row r="1310" spans="1:10" x14ac:dyDescent="0.3">
      <c r="A1310" s="15">
        <v>45444</v>
      </c>
      <c r="B1310" t="s">
        <v>202</v>
      </c>
      <c r="C1310" t="s">
        <v>91</v>
      </c>
      <c r="D1310" t="s">
        <v>82</v>
      </c>
      <c r="E1310" t="s">
        <v>92</v>
      </c>
      <c r="F1310">
        <v>11000</v>
      </c>
      <c r="G1310" t="s">
        <v>331</v>
      </c>
      <c r="H1310" s="15">
        <v>45292</v>
      </c>
      <c r="I1310">
        <v>11000</v>
      </c>
      <c r="J1310">
        <v>0</v>
      </c>
    </row>
    <row r="1311" spans="1:10" x14ac:dyDescent="0.3">
      <c r="A1311" s="15">
        <v>45444</v>
      </c>
      <c r="B1311" t="s">
        <v>203</v>
      </c>
      <c r="C1311" t="s">
        <v>110</v>
      </c>
      <c r="D1311" t="s">
        <v>86</v>
      </c>
      <c r="E1311" t="s">
        <v>92</v>
      </c>
      <c r="F1311">
        <v>32000</v>
      </c>
      <c r="G1311" t="s">
        <v>331</v>
      </c>
      <c r="H1311" s="15">
        <v>45292</v>
      </c>
      <c r="I1311">
        <v>32000</v>
      </c>
      <c r="J1311">
        <v>0</v>
      </c>
    </row>
    <row r="1312" spans="1:10" x14ac:dyDescent="0.3">
      <c r="A1312" s="15">
        <v>45444</v>
      </c>
      <c r="B1312" t="s">
        <v>204</v>
      </c>
      <c r="C1312" t="s">
        <v>81</v>
      </c>
      <c r="D1312" t="s">
        <v>82</v>
      </c>
      <c r="E1312" t="s">
        <v>87</v>
      </c>
      <c r="F1312">
        <v>2200</v>
      </c>
      <c r="G1312" t="s">
        <v>331</v>
      </c>
      <c r="H1312" s="15">
        <v>45292</v>
      </c>
      <c r="I1312">
        <v>2200</v>
      </c>
      <c r="J1312">
        <v>0</v>
      </c>
    </row>
    <row r="1313" spans="1:10" x14ac:dyDescent="0.3">
      <c r="A1313" s="15">
        <v>45444</v>
      </c>
      <c r="B1313" t="s">
        <v>205</v>
      </c>
      <c r="C1313" t="s">
        <v>91</v>
      </c>
      <c r="D1313" t="s">
        <v>86</v>
      </c>
      <c r="E1313" t="s">
        <v>103</v>
      </c>
      <c r="F1313">
        <v>10600</v>
      </c>
      <c r="G1313" t="s">
        <v>331</v>
      </c>
      <c r="H1313" s="15">
        <v>45292</v>
      </c>
      <c r="I1313">
        <v>10600</v>
      </c>
      <c r="J1313">
        <v>0</v>
      </c>
    </row>
    <row r="1314" spans="1:10" x14ac:dyDescent="0.3">
      <c r="A1314" s="15">
        <v>45444</v>
      </c>
      <c r="B1314" t="s">
        <v>206</v>
      </c>
      <c r="C1314" t="s">
        <v>81</v>
      </c>
      <c r="D1314" t="s">
        <v>86</v>
      </c>
      <c r="E1314" t="s">
        <v>89</v>
      </c>
      <c r="F1314">
        <v>3000</v>
      </c>
      <c r="G1314" t="s">
        <v>331</v>
      </c>
      <c r="H1314" s="15">
        <v>45292</v>
      </c>
      <c r="I1314">
        <v>3000</v>
      </c>
      <c r="J1314">
        <v>0</v>
      </c>
    </row>
    <row r="1315" spans="1:10" x14ac:dyDescent="0.3">
      <c r="A1315" s="15">
        <v>45444</v>
      </c>
      <c r="B1315" t="s">
        <v>207</v>
      </c>
      <c r="C1315" t="s">
        <v>81</v>
      </c>
      <c r="D1315" t="s">
        <v>82</v>
      </c>
      <c r="E1315" t="s">
        <v>89</v>
      </c>
      <c r="F1315">
        <v>4100</v>
      </c>
      <c r="G1315" t="s">
        <v>331</v>
      </c>
      <c r="H1315" s="15">
        <v>45292</v>
      </c>
      <c r="I1315">
        <v>4100</v>
      </c>
      <c r="J1315">
        <v>0</v>
      </c>
    </row>
    <row r="1316" spans="1:10" x14ac:dyDescent="0.3">
      <c r="A1316" s="15">
        <v>45444</v>
      </c>
      <c r="B1316" t="s">
        <v>208</v>
      </c>
      <c r="C1316" t="s">
        <v>91</v>
      </c>
      <c r="D1316" t="s">
        <v>99</v>
      </c>
      <c r="E1316" t="s">
        <v>89</v>
      </c>
      <c r="F1316">
        <v>7300</v>
      </c>
      <c r="G1316" t="s">
        <v>331</v>
      </c>
      <c r="H1316" s="15">
        <v>45292</v>
      </c>
      <c r="I1316">
        <v>7300</v>
      </c>
      <c r="J1316">
        <v>0</v>
      </c>
    </row>
    <row r="1317" spans="1:10" x14ac:dyDescent="0.3">
      <c r="A1317" s="15">
        <v>45444</v>
      </c>
      <c r="B1317" t="s">
        <v>209</v>
      </c>
      <c r="C1317" t="s">
        <v>81</v>
      </c>
      <c r="D1317" t="s">
        <v>86</v>
      </c>
      <c r="E1317" t="s">
        <v>83</v>
      </c>
      <c r="F1317">
        <v>2700</v>
      </c>
      <c r="G1317" t="s">
        <v>331</v>
      </c>
      <c r="H1317" s="15">
        <v>45292</v>
      </c>
      <c r="I1317">
        <v>2700</v>
      </c>
      <c r="J1317">
        <v>0</v>
      </c>
    </row>
    <row r="1318" spans="1:10" x14ac:dyDescent="0.3">
      <c r="A1318" s="15">
        <v>45444</v>
      </c>
      <c r="B1318" t="s">
        <v>210</v>
      </c>
      <c r="C1318" t="s">
        <v>125</v>
      </c>
      <c r="D1318" t="s">
        <v>96</v>
      </c>
      <c r="E1318" t="s">
        <v>89</v>
      </c>
      <c r="F1318">
        <v>90300</v>
      </c>
      <c r="G1318" t="s">
        <v>331</v>
      </c>
      <c r="H1318" s="15">
        <v>45292</v>
      </c>
      <c r="I1318">
        <v>90300</v>
      </c>
      <c r="J1318">
        <v>0</v>
      </c>
    </row>
    <row r="1319" spans="1:10" x14ac:dyDescent="0.3">
      <c r="A1319" s="15">
        <v>45444</v>
      </c>
      <c r="B1319" t="s">
        <v>211</v>
      </c>
      <c r="C1319" t="s">
        <v>110</v>
      </c>
      <c r="D1319" t="s">
        <v>82</v>
      </c>
      <c r="E1319" t="s">
        <v>92</v>
      </c>
      <c r="F1319">
        <v>28900</v>
      </c>
      <c r="G1319" t="s">
        <v>331</v>
      </c>
      <c r="H1319" s="15">
        <v>45292</v>
      </c>
      <c r="I1319">
        <v>28900</v>
      </c>
      <c r="J1319">
        <v>0</v>
      </c>
    </row>
    <row r="1320" spans="1:10" x14ac:dyDescent="0.3">
      <c r="A1320" s="15">
        <v>45444</v>
      </c>
      <c r="B1320" t="s">
        <v>212</v>
      </c>
      <c r="C1320" t="s">
        <v>81</v>
      </c>
      <c r="D1320" t="s">
        <v>96</v>
      </c>
      <c r="E1320" t="s">
        <v>101</v>
      </c>
      <c r="F1320">
        <v>2700</v>
      </c>
      <c r="G1320" t="s">
        <v>331</v>
      </c>
      <c r="H1320" s="15">
        <v>45292</v>
      </c>
      <c r="I1320">
        <v>2700</v>
      </c>
      <c r="J1320">
        <v>0</v>
      </c>
    </row>
    <row r="1321" spans="1:10" x14ac:dyDescent="0.3">
      <c r="A1321" s="15">
        <v>45444</v>
      </c>
      <c r="B1321" t="s">
        <v>213</v>
      </c>
      <c r="C1321" t="s">
        <v>81</v>
      </c>
      <c r="D1321" t="s">
        <v>82</v>
      </c>
      <c r="E1321" t="s">
        <v>97</v>
      </c>
      <c r="F1321">
        <v>3300</v>
      </c>
      <c r="G1321" t="s">
        <v>331</v>
      </c>
      <c r="H1321" s="15">
        <v>45292</v>
      </c>
      <c r="I1321">
        <v>3300</v>
      </c>
      <c r="J1321">
        <v>0</v>
      </c>
    </row>
    <row r="1322" spans="1:10" x14ac:dyDescent="0.3">
      <c r="A1322" s="15">
        <v>45444</v>
      </c>
      <c r="B1322" t="s">
        <v>214</v>
      </c>
      <c r="C1322" t="s">
        <v>91</v>
      </c>
      <c r="D1322" t="s">
        <v>82</v>
      </c>
      <c r="E1322" t="s">
        <v>89</v>
      </c>
      <c r="F1322">
        <v>8700</v>
      </c>
      <c r="G1322" t="s">
        <v>331</v>
      </c>
      <c r="H1322" s="15">
        <v>45292</v>
      </c>
      <c r="I1322">
        <v>8700</v>
      </c>
      <c r="J1322">
        <v>0</v>
      </c>
    </row>
    <row r="1323" spans="1:10" x14ac:dyDescent="0.3">
      <c r="A1323" s="15">
        <v>45444</v>
      </c>
      <c r="B1323" t="s">
        <v>215</v>
      </c>
      <c r="C1323" t="s">
        <v>110</v>
      </c>
      <c r="D1323" t="s">
        <v>99</v>
      </c>
      <c r="E1323" t="s">
        <v>89</v>
      </c>
      <c r="F1323">
        <v>42900</v>
      </c>
      <c r="G1323" t="s">
        <v>331</v>
      </c>
      <c r="H1323" s="15">
        <v>45292</v>
      </c>
      <c r="I1323">
        <v>42900</v>
      </c>
      <c r="J1323">
        <v>0</v>
      </c>
    </row>
    <row r="1324" spans="1:10" x14ac:dyDescent="0.3">
      <c r="A1324" s="15">
        <v>45444</v>
      </c>
      <c r="B1324" t="s">
        <v>216</v>
      </c>
      <c r="C1324" t="s">
        <v>81</v>
      </c>
      <c r="D1324" t="s">
        <v>82</v>
      </c>
      <c r="E1324" t="s">
        <v>97</v>
      </c>
      <c r="F1324">
        <v>3100</v>
      </c>
      <c r="G1324" t="s">
        <v>331</v>
      </c>
      <c r="H1324" s="15">
        <v>45292</v>
      </c>
      <c r="I1324">
        <v>3100</v>
      </c>
      <c r="J1324">
        <v>0</v>
      </c>
    </row>
    <row r="1325" spans="1:10" x14ac:dyDescent="0.3">
      <c r="A1325" s="15">
        <v>45444</v>
      </c>
      <c r="B1325" t="s">
        <v>217</v>
      </c>
      <c r="C1325" t="s">
        <v>91</v>
      </c>
      <c r="D1325" t="s">
        <v>82</v>
      </c>
      <c r="E1325" t="s">
        <v>97</v>
      </c>
      <c r="F1325">
        <v>8400</v>
      </c>
      <c r="G1325" t="s">
        <v>331</v>
      </c>
      <c r="H1325" s="15">
        <v>45292</v>
      </c>
      <c r="I1325">
        <v>8400</v>
      </c>
      <c r="J1325">
        <v>0</v>
      </c>
    </row>
    <row r="1326" spans="1:10" x14ac:dyDescent="0.3">
      <c r="A1326" s="15">
        <v>45444</v>
      </c>
      <c r="B1326" t="s">
        <v>218</v>
      </c>
      <c r="C1326" t="s">
        <v>110</v>
      </c>
      <c r="D1326" t="s">
        <v>99</v>
      </c>
      <c r="E1326" t="s">
        <v>92</v>
      </c>
      <c r="F1326">
        <v>29900</v>
      </c>
      <c r="G1326" t="s">
        <v>331</v>
      </c>
      <c r="H1326" s="15">
        <v>45292</v>
      </c>
      <c r="I1326">
        <v>29900</v>
      </c>
      <c r="J1326">
        <v>0</v>
      </c>
    </row>
    <row r="1327" spans="1:10" x14ac:dyDescent="0.3">
      <c r="A1327" s="15">
        <v>45444</v>
      </c>
      <c r="B1327" t="s">
        <v>219</v>
      </c>
      <c r="C1327" t="s">
        <v>81</v>
      </c>
      <c r="D1327" t="s">
        <v>99</v>
      </c>
      <c r="E1327" t="s">
        <v>89</v>
      </c>
      <c r="F1327">
        <v>2500</v>
      </c>
      <c r="G1327" t="s">
        <v>331</v>
      </c>
      <c r="H1327" s="15">
        <v>45292</v>
      </c>
      <c r="I1327">
        <v>2500</v>
      </c>
      <c r="J1327">
        <v>0</v>
      </c>
    </row>
    <row r="1328" spans="1:10" x14ac:dyDescent="0.3">
      <c r="A1328" s="15">
        <v>45444</v>
      </c>
      <c r="B1328" t="s">
        <v>220</v>
      </c>
      <c r="C1328" t="s">
        <v>110</v>
      </c>
      <c r="D1328" t="s">
        <v>82</v>
      </c>
      <c r="E1328" t="s">
        <v>89</v>
      </c>
      <c r="F1328">
        <v>30800</v>
      </c>
      <c r="G1328" t="s">
        <v>331</v>
      </c>
      <c r="H1328" s="15">
        <v>45292</v>
      </c>
      <c r="I1328">
        <v>30800</v>
      </c>
      <c r="J1328">
        <v>0</v>
      </c>
    </row>
    <row r="1329" spans="1:10" x14ac:dyDescent="0.3">
      <c r="A1329" s="15">
        <v>45444</v>
      </c>
      <c r="B1329" t="s">
        <v>221</v>
      </c>
      <c r="C1329" t="s">
        <v>91</v>
      </c>
      <c r="D1329" t="s">
        <v>96</v>
      </c>
      <c r="E1329" t="s">
        <v>83</v>
      </c>
      <c r="F1329">
        <v>8200</v>
      </c>
      <c r="G1329" t="s">
        <v>331</v>
      </c>
      <c r="H1329" s="15">
        <v>45292</v>
      </c>
      <c r="I1329">
        <v>8200</v>
      </c>
      <c r="J1329">
        <v>0</v>
      </c>
    </row>
    <row r="1330" spans="1:10" x14ac:dyDescent="0.3">
      <c r="A1330" s="15">
        <v>45444</v>
      </c>
      <c r="B1330" t="s">
        <v>222</v>
      </c>
      <c r="C1330" t="s">
        <v>110</v>
      </c>
      <c r="D1330" t="s">
        <v>96</v>
      </c>
      <c r="E1330" t="s">
        <v>97</v>
      </c>
      <c r="F1330">
        <v>26100</v>
      </c>
      <c r="G1330" t="s">
        <v>331</v>
      </c>
      <c r="H1330" s="15">
        <v>45292</v>
      </c>
      <c r="I1330">
        <v>26100</v>
      </c>
      <c r="J1330">
        <v>0</v>
      </c>
    </row>
    <row r="1331" spans="1:10" x14ac:dyDescent="0.3">
      <c r="A1331" s="15">
        <v>45444</v>
      </c>
      <c r="B1331" t="s">
        <v>223</v>
      </c>
      <c r="C1331" t="s">
        <v>81</v>
      </c>
      <c r="D1331" t="s">
        <v>99</v>
      </c>
      <c r="E1331" t="s">
        <v>87</v>
      </c>
      <c r="F1331">
        <v>2100</v>
      </c>
      <c r="G1331" t="s">
        <v>331</v>
      </c>
      <c r="H1331" s="15">
        <v>45292</v>
      </c>
      <c r="I1331">
        <v>2100</v>
      </c>
      <c r="J1331">
        <v>0</v>
      </c>
    </row>
    <row r="1332" spans="1:10" x14ac:dyDescent="0.3">
      <c r="A1332" s="15">
        <v>45444</v>
      </c>
      <c r="B1332" t="s">
        <v>224</v>
      </c>
      <c r="C1332" t="s">
        <v>91</v>
      </c>
      <c r="D1332" t="s">
        <v>82</v>
      </c>
      <c r="E1332" t="s">
        <v>101</v>
      </c>
      <c r="F1332">
        <v>10300</v>
      </c>
      <c r="G1332" t="s">
        <v>331</v>
      </c>
      <c r="H1332" s="15">
        <v>45292</v>
      </c>
      <c r="I1332">
        <v>10300</v>
      </c>
      <c r="J1332">
        <v>0</v>
      </c>
    </row>
    <row r="1333" spans="1:10" x14ac:dyDescent="0.3">
      <c r="A1333" s="15">
        <v>45444</v>
      </c>
      <c r="B1333" t="s">
        <v>225</v>
      </c>
      <c r="C1333" t="s">
        <v>110</v>
      </c>
      <c r="D1333" t="s">
        <v>99</v>
      </c>
      <c r="E1333" t="s">
        <v>103</v>
      </c>
      <c r="F1333">
        <v>42200</v>
      </c>
      <c r="G1333" t="s">
        <v>331</v>
      </c>
      <c r="H1333" s="15">
        <v>45292</v>
      </c>
      <c r="I1333">
        <v>42200</v>
      </c>
      <c r="J1333">
        <v>0</v>
      </c>
    </row>
    <row r="1334" spans="1:10" x14ac:dyDescent="0.3">
      <c r="A1334" s="15">
        <v>45444</v>
      </c>
      <c r="B1334" t="s">
        <v>226</v>
      </c>
      <c r="C1334" t="s">
        <v>91</v>
      </c>
      <c r="D1334" t="s">
        <v>82</v>
      </c>
      <c r="E1334" t="s">
        <v>103</v>
      </c>
      <c r="F1334">
        <v>6300</v>
      </c>
      <c r="G1334" t="s">
        <v>331</v>
      </c>
      <c r="H1334" s="15">
        <v>45292</v>
      </c>
      <c r="I1334">
        <v>6300</v>
      </c>
      <c r="J1334">
        <v>0</v>
      </c>
    </row>
    <row r="1335" spans="1:10" x14ac:dyDescent="0.3">
      <c r="A1335" s="15">
        <v>45444</v>
      </c>
      <c r="B1335" t="s">
        <v>227</v>
      </c>
      <c r="C1335" t="s">
        <v>110</v>
      </c>
      <c r="D1335" t="s">
        <v>86</v>
      </c>
      <c r="E1335" t="s">
        <v>87</v>
      </c>
      <c r="F1335">
        <v>25900</v>
      </c>
      <c r="G1335" t="s">
        <v>331</v>
      </c>
      <c r="H1335" s="15">
        <v>45292</v>
      </c>
      <c r="I1335">
        <v>25900</v>
      </c>
      <c r="J1335">
        <v>0</v>
      </c>
    </row>
    <row r="1336" spans="1:10" x14ac:dyDescent="0.3">
      <c r="A1336" s="15">
        <v>45444</v>
      </c>
      <c r="B1336" t="s">
        <v>228</v>
      </c>
      <c r="C1336" t="s">
        <v>91</v>
      </c>
      <c r="D1336" t="s">
        <v>96</v>
      </c>
      <c r="E1336" t="s">
        <v>89</v>
      </c>
      <c r="F1336">
        <v>11400</v>
      </c>
      <c r="G1336" t="s">
        <v>331</v>
      </c>
      <c r="H1336" s="15">
        <v>45292</v>
      </c>
      <c r="I1336">
        <v>11400</v>
      </c>
      <c r="J1336">
        <v>0</v>
      </c>
    </row>
    <row r="1337" spans="1:10" x14ac:dyDescent="0.3">
      <c r="A1337" s="15">
        <v>45444</v>
      </c>
      <c r="B1337" t="s">
        <v>229</v>
      </c>
      <c r="C1337" t="s">
        <v>81</v>
      </c>
      <c r="D1337" t="s">
        <v>82</v>
      </c>
      <c r="E1337" t="s">
        <v>83</v>
      </c>
      <c r="F1337">
        <v>3000</v>
      </c>
      <c r="G1337" t="s">
        <v>331</v>
      </c>
      <c r="H1337" s="15">
        <v>45292</v>
      </c>
      <c r="I1337">
        <v>3000</v>
      </c>
      <c r="J1337">
        <v>0</v>
      </c>
    </row>
    <row r="1338" spans="1:10" x14ac:dyDescent="0.3">
      <c r="A1338" s="15">
        <v>45444</v>
      </c>
      <c r="B1338" t="s">
        <v>230</v>
      </c>
      <c r="C1338" t="s">
        <v>81</v>
      </c>
      <c r="D1338" t="s">
        <v>86</v>
      </c>
      <c r="E1338" t="s">
        <v>101</v>
      </c>
      <c r="F1338">
        <v>3400</v>
      </c>
      <c r="G1338" t="s">
        <v>331</v>
      </c>
      <c r="H1338" s="15">
        <v>45292</v>
      </c>
      <c r="I1338">
        <v>3400</v>
      </c>
      <c r="J1338">
        <v>0</v>
      </c>
    </row>
    <row r="1339" spans="1:10" x14ac:dyDescent="0.3">
      <c r="A1339" s="15">
        <v>45444</v>
      </c>
      <c r="B1339" t="s">
        <v>231</v>
      </c>
      <c r="C1339" t="s">
        <v>91</v>
      </c>
      <c r="D1339" t="s">
        <v>82</v>
      </c>
      <c r="E1339" t="s">
        <v>92</v>
      </c>
      <c r="F1339">
        <v>6900</v>
      </c>
      <c r="G1339" t="s">
        <v>331</v>
      </c>
      <c r="H1339" s="15">
        <v>45292</v>
      </c>
      <c r="I1339">
        <v>6900</v>
      </c>
      <c r="J1339">
        <v>0</v>
      </c>
    </row>
    <row r="1340" spans="1:10" x14ac:dyDescent="0.3">
      <c r="A1340" s="15">
        <v>45444</v>
      </c>
      <c r="B1340" t="s">
        <v>232</v>
      </c>
      <c r="C1340" t="s">
        <v>125</v>
      </c>
      <c r="D1340" t="s">
        <v>86</v>
      </c>
      <c r="E1340" t="s">
        <v>83</v>
      </c>
      <c r="F1340">
        <v>104900</v>
      </c>
      <c r="G1340" t="s">
        <v>331</v>
      </c>
      <c r="H1340" s="15">
        <v>45292</v>
      </c>
      <c r="I1340">
        <v>104900</v>
      </c>
      <c r="J1340">
        <v>0</v>
      </c>
    </row>
    <row r="1341" spans="1:10" x14ac:dyDescent="0.3">
      <c r="A1341" s="15">
        <v>45444</v>
      </c>
      <c r="B1341" t="s">
        <v>233</v>
      </c>
      <c r="C1341" t="s">
        <v>81</v>
      </c>
      <c r="D1341" t="s">
        <v>82</v>
      </c>
      <c r="E1341" t="s">
        <v>87</v>
      </c>
      <c r="F1341">
        <v>3300</v>
      </c>
      <c r="G1341" t="s">
        <v>331</v>
      </c>
      <c r="H1341" s="15">
        <v>45292</v>
      </c>
      <c r="I1341">
        <v>3300</v>
      </c>
      <c r="J1341">
        <v>0</v>
      </c>
    </row>
    <row r="1342" spans="1:10" x14ac:dyDescent="0.3">
      <c r="A1342" s="15">
        <v>45444</v>
      </c>
      <c r="B1342" t="s">
        <v>234</v>
      </c>
      <c r="C1342" t="s">
        <v>110</v>
      </c>
      <c r="D1342" t="s">
        <v>82</v>
      </c>
      <c r="E1342" t="s">
        <v>103</v>
      </c>
      <c r="F1342">
        <v>41200</v>
      </c>
      <c r="G1342" t="s">
        <v>331</v>
      </c>
      <c r="H1342" s="15">
        <v>45292</v>
      </c>
      <c r="I1342">
        <v>41200</v>
      </c>
      <c r="J1342">
        <v>0</v>
      </c>
    </row>
    <row r="1343" spans="1:10" x14ac:dyDescent="0.3">
      <c r="A1343" s="15">
        <v>45444</v>
      </c>
      <c r="B1343" t="s">
        <v>235</v>
      </c>
      <c r="C1343" t="s">
        <v>91</v>
      </c>
      <c r="D1343" t="s">
        <v>96</v>
      </c>
      <c r="E1343" t="s">
        <v>103</v>
      </c>
      <c r="F1343">
        <v>10500</v>
      </c>
      <c r="G1343" t="s">
        <v>331</v>
      </c>
      <c r="H1343" s="15">
        <v>45292</v>
      </c>
      <c r="I1343">
        <v>10500</v>
      </c>
      <c r="J1343">
        <v>0</v>
      </c>
    </row>
    <row r="1344" spans="1:10" x14ac:dyDescent="0.3">
      <c r="A1344" s="15">
        <v>45444</v>
      </c>
      <c r="B1344" t="s">
        <v>236</v>
      </c>
      <c r="C1344" t="s">
        <v>110</v>
      </c>
      <c r="D1344" t="s">
        <v>82</v>
      </c>
      <c r="E1344" t="s">
        <v>97</v>
      </c>
      <c r="F1344">
        <v>27200</v>
      </c>
      <c r="G1344" t="s">
        <v>331</v>
      </c>
      <c r="H1344" s="15">
        <v>45292</v>
      </c>
      <c r="I1344">
        <v>27200</v>
      </c>
      <c r="J1344">
        <v>0</v>
      </c>
    </row>
    <row r="1345" spans="1:10" x14ac:dyDescent="0.3">
      <c r="A1345" s="15">
        <v>45444</v>
      </c>
      <c r="B1345" t="s">
        <v>237</v>
      </c>
      <c r="C1345" t="s">
        <v>91</v>
      </c>
      <c r="D1345" t="s">
        <v>82</v>
      </c>
      <c r="E1345" t="s">
        <v>83</v>
      </c>
      <c r="F1345">
        <v>8100</v>
      </c>
      <c r="G1345" t="s">
        <v>331</v>
      </c>
      <c r="H1345" s="15">
        <v>45292</v>
      </c>
      <c r="I1345">
        <v>8100</v>
      </c>
      <c r="J1345">
        <v>0</v>
      </c>
    </row>
    <row r="1346" spans="1:10" x14ac:dyDescent="0.3">
      <c r="A1346" s="15">
        <v>45444</v>
      </c>
      <c r="B1346" t="s">
        <v>238</v>
      </c>
      <c r="C1346" t="s">
        <v>81</v>
      </c>
      <c r="D1346" t="s">
        <v>99</v>
      </c>
      <c r="E1346" t="s">
        <v>97</v>
      </c>
      <c r="F1346">
        <v>2600</v>
      </c>
      <c r="G1346" t="s">
        <v>331</v>
      </c>
      <c r="H1346" s="15">
        <v>45292</v>
      </c>
      <c r="I1346">
        <v>2600</v>
      </c>
      <c r="J1346">
        <v>0</v>
      </c>
    </row>
    <row r="1347" spans="1:10" x14ac:dyDescent="0.3">
      <c r="A1347" s="15">
        <v>45444</v>
      </c>
      <c r="B1347" t="s">
        <v>239</v>
      </c>
      <c r="C1347" t="s">
        <v>81</v>
      </c>
      <c r="D1347" t="s">
        <v>82</v>
      </c>
      <c r="E1347" t="s">
        <v>103</v>
      </c>
      <c r="F1347">
        <v>2500</v>
      </c>
      <c r="G1347" t="s">
        <v>332</v>
      </c>
      <c r="H1347" s="15">
        <v>45292</v>
      </c>
      <c r="I1347">
        <v>2300</v>
      </c>
      <c r="J1347">
        <v>200</v>
      </c>
    </row>
    <row r="1348" spans="1:10" x14ac:dyDescent="0.3">
      <c r="A1348" s="15">
        <v>45444</v>
      </c>
      <c r="B1348" t="s">
        <v>240</v>
      </c>
      <c r="C1348" t="s">
        <v>81</v>
      </c>
      <c r="D1348" t="s">
        <v>99</v>
      </c>
      <c r="E1348" t="s">
        <v>103</v>
      </c>
      <c r="F1348">
        <v>3000</v>
      </c>
      <c r="G1348" t="s">
        <v>331</v>
      </c>
      <c r="H1348" s="15">
        <v>45292</v>
      </c>
      <c r="I1348">
        <v>3000</v>
      </c>
      <c r="J1348">
        <v>0</v>
      </c>
    </row>
    <row r="1349" spans="1:10" x14ac:dyDescent="0.3">
      <c r="A1349" s="15">
        <v>45444</v>
      </c>
      <c r="B1349" t="s">
        <v>241</v>
      </c>
      <c r="C1349" t="s">
        <v>91</v>
      </c>
      <c r="D1349" t="s">
        <v>96</v>
      </c>
      <c r="E1349" t="s">
        <v>87</v>
      </c>
      <c r="F1349">
        <v>12100</v>
      </c>
      <c r="G1349" t="s">
        <v>331</v>
      </c>
      <c r="H1349" s="15">
        <v>45292</v>
      </c>
      <c r="I1349">
        <v>12100</v>
      </c>
      <c r="J1349">
        <v>0</v>
      </c>
    </row>
    <row r="1350" spans="1:10" x14ac:dyDescent="0.3">
      <c r="A1350" s="15">
        <v>45444</v>
      </c>
      <c r="B1350" t="s">
        <v>242</v>
      </c>
      <c r="C1350" t="s">
        <v>110</v>
      </c>
      <c r="D1350" t="s">
        <v>99</v>
      </c>
      <c r="E1350" t="s">
        <v>101</v>
      </c>
      <c r="F1350">
        <v>34800</v>
      </c>
      <c r="G1350" t="s">
        <v>331</v>
      </c>
      <c r="H1350" s="15">
        <v>45292</v>
      </c>
      <c r="I1350">
        <v>34800</v>
      </c>
      <c r="J1350">
        <v>0</v>
      </c>
    </row>
    <row r="1351" spans="1:10" x14ac:dyDescent="0.3">
      <c r="A1351" s="15">
        <v>45444</v>
      </c>
      <c r="B1351" t="s">
        <v>244</v>
      </c>
      <c r="C1351" t="s">
        <v>91</v>
      </c>
      <c r="D1351" t="s">
        <v>82</v>
      </c>
      <c r="E1351" t="s">
        <v>92</v>
      </c>
      <c r="F1351">
        <v>7800</v>
      </c>
      <c r="G1351" t="s">
        <v>331</v>
      </c>
      <c r="H1351" s="15">
        <v>45292</v>
      </c>
      <c r="I1351">
        <v>7800</v>
      </c>
      <c r="J1351">
        <v>0</v>
      </c>
    </row>
    <row r="1352" spans="1:10" x14ac:dyDescent="0.3">
      <c r="A1352" s="15">
        <v>45444</v>
      </c>
      <c r="B1352" t="s">
        <v>245</v>
      </c>
      <c r="C1352" t="s">
        <v>81</v>
      </c>
      <c r="D1352" t="s">
        <v>99</v>
      </c>
      <c r="E1352" t="s">
        <v>97</v>
      </c>
      <c r="F1352">
        <v>2600</v>
      </c>
      <c r="G1352" t="s">
        <v>331</v>
      </c>
      <c r="H1352" s="15">
        <v>45292</v>
      </c>
      <c r="I1352">
        <v>2600</v>
      </c>
      <c r="J1352">
        <v>0</v>
      </c>
    </row>
    <row r="1353" spans="1:10" x14ac:dyDescent="0.3">
      <c r="A1353" s="15">
        <v>45444</v>
      </c>
      <c r="B1353" t="s">
        <v>246</v>
      </c>
      <c r="C1353" t="s">
        <v>91</v>
      </c>
      <c r="D1353" t="s">
        <v>86</v>
      </c>
      <c r="E1353" t="s">
        <v>103</v>
      </c>
      <c r="F1353">
        <v>10100</v>
      </c>
      <c r="G1353" t="s">
        <v>331</v>
      </c>
      <c r="H1353" s="15">
        <v>45292</v>
      </c>
      <c r="I1353">
        <v>10100</v>
      </c>
      <c r="J1353">
        <v>0</v>
      </c>
    </row>
    <row r="1354" spans="1:10" x14ac:dyDescent="0.3">
      <c r="A1354" s="15">
        <v>45444</v>
      </c>
      <c r="B1354" t="s">
        <v>247</v>
      </c>
      <c r="C1354" t="s">
        <v>91</v>
      </c>
      <c r="D1354" t="s">
        <v>86</v>
      </c>
      <c r="E1354" t="s">
        <v>89</v>
      </c>
      <c r="F1354">
        <v>9100</v>
      </c>
      <c r="G1354" t="s">
        <v>331</v>
      </c>
      <c r="H1354" s="15">
        <v>45292</v>
      </c>
      <c r="I1354">
        <v>9100</v>
      </c>
      <c r="J1354">
        <v>0</v>
      </c>
    </row>
    <row r="1355" spans="1:10" x14ac:dyDescent="0.3">
      <c r="A1355" s="15">
        <v>45444</v>
      </c>
      <c r="B1355" t="s">
        <v>248</v>
      </c>
      <c r="C1355" t="s">
        <v>81</v>
      </c>
      <c r="D1355" t="s">
        <v>82</v>
      </c>
      <c r="E1355" t="s">
        <v>103</v>
      </c>
      <c r="F1355">
        <v>2100</v>
      </c>
      <c r="G1355" t="s">
        <v>331</v>
      </c>
      <c r="H1355" s="15">
        <v>45292</v>
      </c>
      <c r="I1355">
        <v>2100</v>
      </c>
      <c r="J1355">
        <v>0</v>
      </c>
    </row>
    <row r="1356" spans="1:10" x14ac:dyDescent="0.3">
      <c r="A1356" s="15">
        <v>45444</v>
      </c>
      <c r="B1356" t="s">
        <v>249</v>
      </c>
      <c r="C1356" t="s">
        <v>91</v>
      </c>
      <c r="D1356" t="s">
        <v>99</v>
      </c>
      <c r="E1356" t="s">
        <v>103</v>
      </c>
      <c r="F1356">
        <v>0</v>
      </c>
      <c r="G1356" t="s">
        <v>333</v>
      </c>
      <c r="H1356" s="15">
        <v>45292</v>
      </c>
      <c r="I1356">
        <v>8700</v>
      </c>
      <c r="J1356">
        <v>-8700</v>
      </c>
    </row>
    <row r="1357" spans="1:10" x14ac:dyDescent="0.3">
      <c r="A1357" s="15">
        <v>45444</v>
      </c>
      <c r="B1357" t="s">
        <v>250</v>
      </c>
      <c r="C1357" t="s">
        <v>81</v>
      </c>
      <c r="D1357" t="s">
        <v>86</v>
      </c>
      <c r="E1357" t="s">
        <v>87</v>
      </c>
      <c r="F1357">
        <v>3300</v>
      </c>
      <c r="G1357" t="s">
        <v>331</v>
      </c>
      <c r="H1357" s="15">
        <v>45292</v>
      </c>
      <c r="I1357">
        <v>3300</v>
      </c>
      <c r="J1357">
        <v>0</v>
      </c>
    </row>
    <row r="1358" spans="1:10" x14ac:dyDescent="0.3">
      <c r="A1358" s="15">
        <v>45444</v>
      </c>
      <c r="B1358" t="s">
        <v>251</v>
      </c>
      <c r="C1358" t="s">
        <v>91</v>
      </c>
      <c r="D1358" t="s">
        <v>99</v>
      </c>
      <c r="E1358" t="s">
        <v>103</v>
      </c>
      <c r="F1358">
        <v>7700</v>
      </c>
      <c r="G1358" t="s">
        <v>331</v>
      </c>
      <c r="H1358" s="15">
        <v>45292</v>
      </c>
      <c r="I1358">
        <v>7700</v>
      </c>
      <c r="J1358">
        <v>0</v>
      </c>
    </row>
    <row r="1359" spans="1:10" x14ac:dyDescent="0.3">
      <c r="A1359" s="15">
        <v>45444</v>
      </c>
      <c r="B1359" t="s">
        <v>252</v>
      </c>
      <c r="C1359" t="s">
        <v>81</v>
      </c>
      <c r="D1359" t="s">
        <v>99</v>
      </c>
      <c r="E1359" t="s">
        <v>92</v>
      </c>
      <c r="F1359">
        <v>3400</v>
      </c>
      <c r="G1359" t="s">
        <v>331</v>
      </c>
      <c r="H1359" s="15">
        <v>45292</v>
      </c>
      <c r="I1359">
        <v>3400</v>
      </c>
      <c r="J1359">
        <v>0</v>
      </c>
    </row>
    <row r="1360" spans="1:10" x14ac:dyDescent="0.3">
      <c r="A1360" s="15">
        <v>45444</v>
      </c>
      <c r="B1360" t="s">
        <v>253</v>
      </c>
      <c r="C1360" t="s">
        <v>81</v>
      </c>
      <c r="D1360" t="s">
        <v>96</v>
      </c>
      <c r="E1360" t="s">
        <v>89</v>
      </c>
      <c r="F1360">
        <v>2400</v>
      </c>
      <c r="G1360" t="s">
        <v>331</v>
      </c>
      <c r="H1360" s="15">
        <v>45292</v>
      </c>
      <c r="I1360">
        <v>2400</v>
      </c>
      <c r="J1360">
        <v>0</v>
      </c>
    </row>
    <row r="1361" spans="1:10" x14ac:dyDescent="0.3">
      <c r="A1361" s="15">
        <v>45444</v>
      </c>
      <c r="B1361" t="s">
        <v>254</v>
      </c>
      <c r="C1361" t="s">
        <v>110</v>
      </c>
      <c r="D1361" t="s">
        <v>86</v>
      </c>
      <c r="E1361" t="s">
        <v>103</v>
      </c>
      <c r="F1361">
        <v>56100</v>
      </c>
      <c r="G1361" t="s">
        <v>331</v>
      </c>
      <c r="H1361" s="15">
        <v>45292</v>
      </c>
      <c r="I1361">
        <v>56100</v>
      </c>
      <c r="J1361">
        <v>0</v>
      </c>
    </row>
    <row r="1362" spans="1:10" x14ac:dyDescent="0.3">
      <c r="A1362" s="15">
        <v>45444</v>
      </c>
      <c r="B1362" t="s">
        <v>255</v>
      </c>
      <c r="C1362" t="s">
        <v>91</v>
      </c>
      <c r="D1362" t="s">
        <v>86</v>
      </c>
      <c r="E1362" t="s">
        <v>89</v>
      </c>
      <c r="F1362">
        <v>9900</v>
      </c>
      <c r="G1362" t="s">
        <v>331</v>
      </c>
      <c r="H1362" s="15">
        <v>45292</v>
      </c>
      <c r="I1362">
        <v>9900</v>
      </c>
      <c r="J1362">
        <v>0</v>
      </c>
    </row>
    <row r="1363" spans="1:10" x14ac:dyDescent="0.3">
      <c r="A1363" s="15">
        <v>45444</v>
      </c>
      <c r="B1363" t="s">
        <v>256</v>
      </c>
      <c r="C1363" t="s">
        <v>81</v>
      </c>
      <c r="D1363" t="s">
        <v>82</v>
      </c>
      <c r="E1363" t="s">
        <v>103</v>
      </c>
      <c r="F1363">
        <v>2600</v>
      </c>
      <c r="G1363" t="s">
        <v>331</v>
      </c>
      <c r="H1363" s="15">
        <v>45292</v>
      </c>
      <c r="I1363">
        <v>2600</v>
      </c>
      <c r="J1363">
        <v>0</v>
      </c>
    </row>
    <row r="1364" spans="1:10" x14ac:dyDescent="0.3">
      <c r="A1364" s="15">
        <v>45444</v>
      </c>
      <c r="B1364" t="s">
        <v>257</v>
      </c>
      <c r="C1364" t="s">
        <v>91</v>
      </c>
      <c r="D1364" t="s">
        <v>96</v>
      </c>
      <c r="E1364" t="s">
        <v>87</v>
      </c>
      <c r="F1364">
        <v>8400</v>
      </c>
      <c r="G1364" t="s">
        <v>331</v>
      </c>
      <c r="H1364" s="15">
        <v>45292</v>
      </c>
      <c r="I1364">
        <v>8400</v>
      </c>
      <c r="J1364">
        <v>0</v>
      </c>
    </row>
    <row r="1365" spans="1:10" x14ac:dyDescent="0.3">
      <c r="A1365" s="15">
        <v>45444</v>
      </c>
      <c r="B1365" t="s">
        <v>258</v>
      </c>
      <c r="C1365" t="s">
        <v>125</v>
      </c>
      <c r="D1365" t="s">
        <v>86</v>
      </c>
      <c r="E1365" t="s">
        <v>83</v>
      </c>
      <c r="F1365">
        <v>96300</v>
      </c>
      <c r="G1365" t="s">
        <v>331</v>
      </c>
      <c r="H1365" s="15">
        <v>45292</v>
      </c>
      <c r="I1365">
        <v>96300</v>
      </c>
      <c r="J1365">
        <v>0</v>
      </c>
    </row>
    <row r="1366" spans="1:10" x14ac:dyDescent="0.3">
      <c r="A1366" s="15">
        <v>45444</v>
      </c>
      <c r="B1366" t="s">
        <v>259</v>
      </c>
      <c r="C1366" t="s">
        <v>81</v>
      </c>
      <c r="D1366" t="s">
        <v>86</v>
      </c>
      <c r="E1366" t="s">
        <v>89</v>
      </c>
      <c r="F1366">
        <v>1900</v>
      </c>
      <c r="G1366" t="s">
        <v>331</v>
      </c>
      <c r="H1366" s="15">
        <v>45292</v>
      </c>
      <c r="I1366">
        <v>1900</v>
      </c>
      <c r="J1366">
        <v>0</v>
      </c>
    </row>
    <row r="1367" spans="1:10" x14ac:dyDescent="0.3">
      <c r="A1367" s="15">
        <v>45444</v>
      </c>
      <c r="B1367" t="s">
        <v>260</v>
      </c>
      <c r="C1367" t="s">
        <v>81</v>
      </c>
      <c r="D1367" t="s">
        <v>86</v>
      </c>
      <c r="E1367" t="s">
        <v>97</v>
      </c>
      <c r="F1367">
        <v>2300</v>
      </c>
      <c r="G1367" t="s">
        <v>334</v>
      </c>
      <c r="H1367" s="15">
        <v>45292</v>
      </c>
      <c r="I1367">
        <v>2600</v>
      </c>
      <c r="J1367">
        <v>-300</v>
      </c>
    </row>
    <row r="1368" spans="1:10" x14ac:dyDescent="0.3">
      <c r="A1368" s="15">
        <v>45444</v>
      </c>
      <c r="B1368" t="s">
        <v>262</v>
      </c>
      <c r="C1368" t="s">
        <v>91</v>
      </c>
      <c r="D1368" t="s">
        <v>82</v>
      </c>
      <c r="E1368" t="s">
        <v>92</v>
      </c>
      <c r="F1368">
        <v>8600</v>
      </c>
      <c r="G1368" t="s">
        <v>331</v>
      </c>
      <c r="H1368" s="15">
        <v>45292</v>
      </c>
      <c r="I1368">
        <v>8600</v>
      </c>
      <c r="J1368">
        <v>0</v>
      </c>
    </row>
    <row r="1369" spans="1:10" x14ac:dyDescent="0.3">
      <c r="A1369" s="15">
        <v>45444</v>
      </c>
      <c r="B1369" t="s">
        <v>263</v>
      </c>
      <c r="C1369" t="s">
        <v>81</v>
      </c>
      <c r="D1369" t="s">
        <v>99</v>
      </c>
      <c r="E1369" t="s">
        <v>89</v>
      </c>
      <c r="F1369">
        <v>3200</v>
      </c>
      <c r="G1369" t="s">
        <v>331</v>
      </c>
      <c r="H1369" s="15">
        <v>45292</v>
      </c>
      <c r="I1369">
        <v>3200</v>
      </c>
      <c r="J1369">
        <v>0</v>
      </c>
    </row>
    <row r="1370" spans="1:10" x14ac:dyDescent="0.3">
      <c r="A1370" s="15">
        <v>45444</v>
      </c>
      <c r="B1370" t="s">
        <v>264</v>
      </c>
      <c r="C1370" t="s">
        <v>110</v>
      </c>
      <c r="D1370" t="s">
        <v>86</v>
      </c>
      <c r="E1370" t="s">
        <v>97</v>
      </c>
      <c r="F1370">
        <v>31500</v>
      </c>
      <c r="G1370" t="s">
        <v>331</v>
      </c>
      <c r="H1370" s="15">
        <v>45292</v>
      </c>
      <c r="I1370">
        <v>31500</v>
      </c>
      <c r="J1370">
        <v>0</v>
      </c>
    </row>
    <row r="1371" spans="1:10" x14ac:dyDescent="0.3">
      <c r="A1371" s="15">
        <v>45444</v>
      </c>
      <c r="B1371" t="s">
        <v>265</v>
      </c>
      <c r="C1371" t="s">
        <v>125</v>
      </c>
      <c r="D1371" t="s">
        <v>86</v>
      </c>
      <c r="E1371" t="s">
        <v>101</v>
      </c>
      <c r="F1371">
        <v>92200</v>
      </c>
      <c r="G1371" t="s">
        <v>331</v>
      </c>
      <c r="H1371" s="15">
        <v>45292</v>
      </c>
      <c r="I1371">
        <v>92200</v>
      </c>
      <c r="J1371">
        <v>0</v>
      </c>
    </row>
    <row r="1372" spans="1:10" x14ac:dyDescent="0.3">
      <c r="A1372" s="15">
        <v>45444</v>
      </c>
      <c r="B1372" t="s">
        <v>266</v>
      </c>
      <c r="C1372" t="s">
        <v>81</v>
      </c>
      <c r="D1372" t="s">
        <v>82</v>
      </c>
      <c r="E1372" t="s">
        <v>83</v>
      </c>
      <c r="F1372">
        <v>2200</v>
      </c>
      <c r="G1372" t="s">
        <v>331</v>
      </c>
      <c r="H1372" s="15">
        <v>45292</v>
      </c>
      <c r="I1372">
        <v>2200</v>
      </c>
      <c r="J1372">
        <v>0</v>
      </c>
    </row>
    <row r="1373" spans="1:10" x14ac:dyDescent="0.3">
      <c r="A1373" s="15">
        <v>45444</v>
      </c>
      <c r="B1373" t="s">
        <v>267</v>
      </c>
      <c r="C1373" t="s">
        <v>91</v>
      </c>
      <c r="D1373" t="s">
        <v>82</v>
      </c>
      <c r="E1373" t="s">
        <v>97</v>
      </c>
      <c r="F1373">
        <v>6900</v>
      </c>
      <c r="G1373" t="s">
        <v>331</v>
      </c>
      <c r="H1373" s="15">
        <v>45292</v>
      </c>
      <c r="I1373">
        <v>6900</v>
      </c>
      <c r="J1373">
        <v>0</v>
      </c>
    </row>
    <row r="1374" spans="1:10" x14ac:dyDescent="0.3">
      <c r="A1374" s="15">
        <v>45444</v>
      </c>
      <c r="B1374" t="s">
        <v>270</v>
      </c>
      <c r="C1374" t="s">
        <v>110</v>
      </c>
      <c r="D1374" t="s">
        <v>86</v>
      </c>
      <c r="E1374" t="s">
        <v>87</v>
      </c>
      <c r="F1374">
        <v>44200</v>
      </c>
      <c r="G1374" t="s">
        <v>331</v>
      </c>
      <c r="H1374" s="15">
        <v>45292</v>
      </c>
      <c r="I1374">
        <v>44200</v>
      </c>
      <c r="J1374">
        <v>0</v>
      </c>
    </row>
    <row r="1375" spans="1:10" x14ac:dyDescent="0.3">
      <c r="A1375" s="15">
        <v>45444</v>
      </c>
      <c r="B1375" t="s">
        <v>271</v>
      </c>
      <c r="C1375" t="s">
        <v>81</v>
      </c>
      <c r="D1375" t="s">
        <v>82</v>
      </c>
      <c r="E1375" t="s">
        <v>97</v>
      </c>
      <c r="F1375">
        <v>2900</v>
      </c>
      <c r="G1375" t="s">
        <v>331</v>
      </c>
      <c r="H1375" s="15">
        <v>45292</v>
      </c>
      <c r="I1375">
        <v>2900</v>
      </c>
      <c r="J1375">
        <v>0</v>
      </c>
    </row>
    <row r="1376" spans="1:10" x14ac:dyDescent="0.3">
      <c r="A1376" s="15">
        <v>45444</v>
      </c>
      <c r="B1376" t="s">
        <v>272</v>
      </c>
      <c r="C1376" t="s">
        <v>125</v>
      </c>
      <c r="D1376" t="s">
        <v>96</v>
      </c>
      <c r="E1376" t="s">
        <v>103</v>
      </c>
      <c r="F1376">
        <v>101100</v>
      </c>
      <c r="G1376" t="s">
        <v>331</v>
      </c>
      <c r="H1376" s="15">
        <v>45292</v>
      </c>
      <c r="I1376">
        <v>101100</v>
      </c>
      <c r="J1376">
        <v>0</v>
      </c>
    </row>
    <row r="1377" spans="1:10" x14ac:dyDescent="0.3">
      <c r="A1377" s="15">
        <v>45444</v>
      </c>
      <c r="B1377" t="s">
        <v>273</v>
      </c>
      <c r="C1377" t="s">
        <v>81</v>
      </c>
      <c r="D1377" t="s">
        <v>82</v>
      </c>
      <c r="E1377" t="s">
        <v>101</v>
      </c>
      <c r="F1377">
        <v>3300</v>
      </c>
      <c r="G1377" t="s">
        <v>331</v>
      </c>
      <c r="H1377" s="15">
        <v>45292</v>
      </c>
      <c r="I1377">
        <v>3300</v>
      </c>
      <c r="J1377">
        <v>0</v>
      </c>
    </row>
    <row r="1378" spans="1:10" x14ac:dyDescent="0.3">
      <c r="A1378" s="15">
        <v>45444</v>
      </c>
      <c r="B1378" t="s">
        <v>274</v>
      </c>
      <c r="C1378" t="s">
        <v>91</v>
      </c>
      <c r="D1378" t="s">
        <v>99</v>
      </c>
      <c r="E1378" t="s">
        <v>87</v>
      </c>
      <c r="F1378">
        <v>11400</v>
      </c>
      <c r="G1378" t="s">
        <v>331</v>
      </c>
      <c r="H1378" s="15">
        <v>45292</v>
      </c>
      <c r="I1378">
        <v>11400</v>
      </c>
      <c r="J1378">
        <v>0</v>
      </c>
    </row>
    <row r="1379" spans="1:10" x14ac:dyDescent="0.3">
      <c r="A1379" s="15">
        <v>45444</v>
      </c>
      <c r="B1379" t="s">
        <v>276</v>
      </c>
      <c r="C1379" t="s">
        <v>81</v>
      </c>
      <c r="D1379" t="s">
        <v>82</v>
      </c>
      <c r="E1379" t="s">
        <v>103</v>
      </c>
      <c r="F1379">
        <v>3300</v>
      </c>
      <c r="G1379" t="s">
        <v>331</v>
      </c>
      <c r="H1379" s="15">
        <v>45292</v>
      </c>
      <c r="I1379">
        <v>3300</v>
      </c>
      <c r="J1379">
        <v>0</v>
      </c>
    </row>
    <row r="1380" spans="1:10" x14ac:dyDescent="0.3">
      <c r="A1380" s="15">
        <v>45444</v>
      </c>
      <c r="B1380" t="s">
        <v>277</v>
      </c>
      <c r="C1380" t="s">
        <v>91</v>
      </c>
      <c r="D1380" t="s">
        <v>86</v>
      </c>
      <c r="E1380" t="s">
        <v>97</v>
      </c>
      <c r="F1380">
        <v>8000</v>
      </c>
      <c r="G1380" t="s">
        <v>331</v>
      </c>
      <c r="H1380" s="15">
        <v>45292</v>
      </c>
      <c r="I1380">
        <v>8000</v>
      </c>
      <c r="J1380">
        <v>0</v>
      </c>
    </row>
    <row r="1381" spans="1:10" x14ac:dyDescent="0.3">
      <c r="A1381" s="15">
        <v>45444</v>
      </c>
      <c r="B1381" t="s">
        <v>278</v>
      </c>
      <c r="C1381" t="s">
        <v>81</v>
      </c>
      <c r="D1381" t="s">
        <v>82</v>
      </c>
      <c r="E1381" t="s">
        <v>92</v>
      </c>
      <c r="F1381">
        <v>1900</v>
      </c>
      <c r="G1381" t="s">
        <v>331</v>
      </c>
      <c r="H1381" s="15">
        <v>45292</v>
      </c>
      <c r="I1381">
        <v>1900</v>
      </c>
      <c r="J1381">
        <v>0</v>
      </c>
    </row>
    <row r="1382" spans="1:10" x14ac:dyDescent="0.3">
      <c r="A1382" s="15">
        <v>45444</v>
      </c>
      <c r="B1382" t="s">
        <v>279</v>
      </c>
      <c r="C1382" t="s">
        <v>91</v>
      </c>
      <c r="D1382" t="s">
        <v>99</v>
      </c>
      <c r="E1382" t="s">
        <v>89</v>
      </c>
      <c r="F1382">
        <v>9800</v>
      </c>
      <c r="G1382" t="s">
        <v>331</v>
      </c>
      <c r="H1382" s="15">
        <v>45292</v>
      </c>
      <c r="I1382">
        <v>9800</v>
      </c>
      <c r="J1382">
        <v>0</v>
      </c>
    </row>
    <row r="1383" spans="1:10" x14ac:dyDescent="0.3">
      <c r="A1383" s="15">
        <v>45444</v>
      </c>
      <c r="B1383" t="s">
        <v>280</v>
      </c>
      <c r="C1383" t="s">
        <v>91</v>
      </c>
      <c r="D1383" t="s">
        <v>96</v>
      </c>
      <c r="E1383" t="s">
        <v>83</v>
      </c>
      <c r="F1383">
        <v>6300</v>
      </c>
      <c r="G1383" t="s">
        <v>331</v>
      </c>
      <c r="H1383" s="15">
        <v>45292</v>
      </c>
      <c r="I1383">
        <v>6300</v>
      </c>
      <c r="J1383">
        <v>0</v>
      </c>
    </row>
    <row r="1384" spans="1:10" x14ac:dyDescent="0.3">
      <c r="A1384" s="15">
        <v>45444</v>
      </c>
      <c r="B1384" t="s">
        <v>281</v>
      </c>
      <c r="C1384" t="s">
        <v>110</v>
      </c>
      <c r="D1384" t="s">
        <v>86</v>
      </c>
      <c r="E1384" t="s">
        <v>92</v>
      </c>
      <c r="F1384">
        <v>46800</v>
      </c>
      <c r="G1384" t="s">
        <v>331</v>
      </c>
      <c r="H1384" s="15">
        <v>45292</v>
      </c>
      <c r="I1384">
        <v>46800</v>
      </c>
      <c r="J1384">
        <v>0</v>
      </c>
    </row>
    <row r="1385" spans="1:10" x14ac:dyDescent="0.3">
      <c r="A1385" s="15">
        <v>45444</v>
      </c>
      <c r="B1385" t="s">
        <v>282</v>
      </c>
      <c r="C1385" t="s">
        <v>91</v>
      </c>
      <c r="D1385" t="s">
        <v>86</v>
      </c>
      <c r="E1385" t="s">
        <v>92</v>
      </c>
      <c r="F1385">
        <v>7000</v>
      </c>
      <c r="G1385" t="s">
        <v>331</v>
      </c>
      <c r="H1385" s="15">
        <v>45292</v>
      </c>
      <c r="I1385">
        <v>7000</v>
      </c>
      <c r="J1385">
        <v>0</v>
      </c>
    </row>
    <row r="1386" spans="1:10" x14ac:dyDescent="0.3">
      <c r="A1386" s="15">
        <v>45444</v>
      </c>
      <c r="B1386" t="s">
        <v>283</v>
      </c>
      <c r="C1386" t="s">
        <v>110</v>
      </c>
      <c r="D1386" t="s">
        <v>82</v>
      </c>
      <c r="E1386" t="s">
        <v>87</v>
      </c>
      <c r="F1386">
        <v>34200</v>
      </c>
      <c r="G1386" t="s">
        <v>331</v>
      </c>
      <c r="H1386" s="15">
        <v>45292</v>
      </c>
      <c r="I1386">
        <v>34200</v>
      </c>
      <c r="J1386">
        <v>0</v>
      </c>
    </row>
    <row r="1387" spans="1:10" x14ac:dyDescent="0.3">
      <c r="A1387" s="15">
        <v>45444</v>
      </c>
      <c r="B1387" t="s">
        <v>284</v>
      </c>
      <c r="C1387" t="s">
        <v>81</v>
      </c>
      <c r="D1387" t="s">
        <v>82</v>
      </c>
      <c r="E1387" t="s">
        <v>101</v>
      </c>
      <c r="F1387">
        <v>2400</v>
      </c>
      <c r="G1387" t="s">
        <v>331</v>
      </c>
      <c r="H1387" s="15">
        <v>45292</v>
      </c>
      <c r="I1387">
        <v>2400</v>
      </c>
      <c r="J1387">
        <v>0</v>
      </c>
    </row>
    <row r="1388" spans="1:10" x14ac:dyDescent="0.3">
      <c r="A1388" s="15">
        <v>45444</v>
      </c>
      <c r="B1388" t="s">
        <v>285</v>
      </c>
      <c r="C1388" t="s">
        <v>91</v>
      </c>
      <c r="D1388" t="s">
        <v>82</v>
      </c>
      <c r="E1388" t="s">
        <v>83</v>
      </c>
      <c r="F1388">
        <v>10900</v>
      </c>
      <c r="G1388" t="s">
        <v>331</v>
      </c>
      <c r="H1388" s="15">
        <v>45292</v>
      </c>
      <c r="I1388">
        <v>10900</v>
      </c>
      <c r="J1388">
        <v>0</v>
      </c>
    </row>
    <row r="1389" spans="1:10" x14ac:dyDescent="0.3">
      <c r="A1389" s="15">
        <v>45444</v>
      </c>
      <c r="B1389" t="s">
        <v>286</v>
      </c>
      <c r="C1389" t="s">
        <v>125</v>
      </c>
      <c r="D1389" t="s">
        <v>86</v>
      </c>
      <c r="E1389" t="s">
        <v>92</v>
      </c>
      <c r="F1389">
        <v>92400</v>
      </c>
      <c r="G1389" t="s">
        <v>331</v>
      </c>
      <c r="H1389" s="15">
        <v>45292</v>
      </c>
      <c r="I1389">
        <v>92400</v>
      </c>
      <c r="J1389">
        <v>0</v>
      </c>
    </row>
    <row r="1390" spans="1:10" x14ac:dyDescent="0.3">
      <c r="A1390" s="15">
        <v>45444</v>
      </c>
      <c r="B1390" t="s">
        <v>287</v>
      </c>
      <c r="C1390" t="s">
        <v>81</v>
      </c>
      <c r="D1390" t="s">
        <v>99</v>
      </c>
      <c r="E1390" t="s">
        <v>87</v>
      </c>
      <c r="F1390">
        <v>2300</v>
      </c>
      <c r="G1390" t="s">
        <v>331</v>
      </c>
      <c r="H1390" s="15">
        <v>45292</v>
      </c>
      <c r="I1390">
        <v>2300</v>
      </c>
      <c r="J1390">
        <v>0</v>
      </c>
    </row>
    <row r="1391" spans="1:10" x14ac:dyDescent="0.3">
      <c r="A1391" s="15">
        <v>45444</v>
      </c>
      <c r="B1391" t="s">
        <v>288</v>
      </c>
      <c r="C1391" t="s">
        <v>81</v>
      </c>
      <c r="D1391" t="s">
        <v>99</v>
      </c>
      <c r="E1391" t="s">
        <v>97</v>
      </c>
      <c r="F1391">
        <v>2600</v>
      </c>
      <c r="G1391" t="s">
        <v>331</v>
      </c>
      <c r="H1391" s="15">
        <v>45292</v>
      </c>
      <c r="I1391">
        <v>2600</v>
      </c>
      <c r="J1391">
        <v>0</v>
      </c>
    </row>
    <row r="1392" spans="1:10" x14ac:dyDescent="0.3">
      <c r="A1392" s="15">
        <v>45444</v>
      </c>
      <c r="B1392" t="s">
        <v>289</v>
      </c>
      <c r="C1392" t="s">
        <v>91</v>
      </c>
      <c r="D1392" t="s">
        <v>86</v>
      </c>
      <c r="E1392" t="s">
        <v>101</v>
      </c>
      <c r="F1392">
        <v>9400</v>
      </c>
      <c r="G1392" t="s">
        <v>331</v>
      </c>
      <c r="H1392" s="15">
        <v>45292</v>
      </c>
      <c r="I1392">
        <v>9400</v>
      </c>
      <c r="J1392">
        <v>0</v>
      </c>
    </row>
    <row r="1393" spans="1:10" x14ac:dyDescent="0.3">
      <c r="A1393" s="15">
        <v>45444</v>
      </c>
      <c r="B1393" t="s">
        <v>290</v>
      </c>
      <c r="C1393" t="s">
        <v>81</v>
      </c>
      <c r="D1393" t="s">
        <v>82</v>
      </c>
      <c r="E1393" t="s">
        <v>103</v>
      </c>
      <c r="F1393">
        <v>2800</v>
      </c>
      <c r="G1393" t="s">
        <v>331</v>
      </c>
      <c r="H1393" s="15">
        <v>45292</v>
      </c>
      <c r="I1393">
        <v>2800</v>
      </c>
      <c r="J1393">
        <v>0</v>
      </c>
    </row>
    <row r="1394" spans="1:10" x14ac:dyDescent="0.3">
      <c r="A1394" s="15">
        <v>45444</v>
      </c>
      <c r="B1394" t="s">
        <v>291</v>
      </c>
      <c r="C1394" t="s">
        <v>81</v>
      </c>
      <c r="D1394" t="s">
        <v>82</v>
      </c>
      <c r="E1394" t="s">
        <v>83</v>
      </c>
      <c r="F1394">
        <v>3100</v>
      </c>
      <c r="G1394" t="s">
        <v>331</v>
      </c>
      <c r="H1394" s="15">
        <v>45292</v>
      </c>
      <c r="I1394">
        <v>3100</v>
      </c>
      <c r="J1394">
        <v>0</v>
      </c>
    </row>
    <row r="1395" spans="1:10" x14ac:dyDescent="0.3">
      <c r="A1395" s="15">
        <v>45444</v>
      </c>
      <c r="B1395" t="s">
        <v>292</v>
      </c>
      <c r="C1395" t="s">
        <v>91</v>
      </c>
      <c r="D1395" t="s">
        <v>86</v>
      </c>
      <c r="E1395" t="s">
        <v>89</v>
      </c>
      <c r="F1395">
        <v>8600</v>
      </c>
      <c r="G1395" t="s">
        <v>331</v>
      </c>
      <c r="H1395" s="15">
        <v>45292</v>
      </c>
      <c r="I1395">
        <v>8600</v>
      </c>
      <c r="J1395">
        <v>0</v>
      </c>
    </row>
    <row r="1396" spans="1:10" x14ac:dyDescent="0.3">
      <c r="A1396" s="15">
        <v>45444</v>
      </c>
      <c r="B1396" t="s">
        <v>293</v>
      </c>
      <c r="C1396" t="s">
        <v>81</v>
      </c>
      <c r="D1396" t="s">
        <v>86</v>
      </c>
      <c r="E1396" t="s">
        <v>103</v>
      </c>
      <c r="F1396">
        <v>2200</v>
      </c>
      <c r="G1396" t="s">
        <v>331</v>
      </c>
      <c r="H1396" s="15">
        <v>45292</v>
      </c>
      <c r="I1396">
        <v>2200</v>
      </c>
      <c r="J1396">
        <v>0</v>
      </c>
    </row>
    <row r="1397" spans="1:10" x14ac:dyDescent="0.3">
      <c r="A1397" s="15">
        <v>45444</v>
      </c>
      <c r="B1397" t="s">
        <v>294</v>
      </c>
      <c r="C1397" t="s">
        <v>91</v>
      </c>
      <c r="D1397" t="s">
        <v>82</v>
      </c>
      <c r="E1397" t="s">
        <v>97</v>
      </c>
      <c r="F1397">
        <v>9500</v>
      </c>
      <c r="G1397" t="s">
        <v>331</v>
      </c>
      <c r="H1397" s="15">
        <v>45292</v>
      </c>
      <c r="I1397">
        <v>9500</v>
      </c>
      <c r="J1397">
        <v>0</v>
      </c>
    </row>
    <row r="1398" spans="1:10" x14ac:dyDescent="0.3">
      <c r="A1398" s="15">
        <v>45444</v>
      </c>
      <c r="B1398" t="s">
        <v>295</v>
      </c>
      <c r="C1398" t="s">
        <v>81</v>
      </c>
      <c r="D1398" t="s">
        <v>82</v>
      </c>
      <c r="E1398" t="s">
        <v>103</v>
      </c>
      <c r="F1398">
        <v>2300</v>
      </c>
      <c r="G1398" t="s">
        <v>331</v>
      </c>
      <c r="H1398" s="15">
        <v>45292</v>
      </c>
      <c r="I1398">
        <v>2300</v>
      </c>
      <c r="J1398">
        <v>0</v>
      </c>
    </row>
    <row r="1399" spans="1:10" x14ac:dyDescent="0.3">
      <c r="A1399" s="15">
        <v>45444</v>
      </c>
      <c r="B1399" t="s">
        <v>297</v>
      </c>
      <c r="C1399" t="s">
        <v>91</v>
      </c>
      <c r="D1399" t="s">
        <v>86</v>
      </c>
      <c r="E1399" t="s">
        <v>103</v>
      </c>
      <c r="F1399">
        <v>9100</v>
      </c>
      <c r="G1399" t="s">
        <v>331</v>
      </c>
      <c r="H1399" s="15">
        <v>45292</v>
      </c>
      <c r="I1399">
        <v>9100</v>
      </c>
      <c r="J1399">
        <v>0</v>
      </c>
    </row>
    <row r="1400" spans="1:10" x14ac:dyDescent="0.3">
      <c r="A1400" s="15">
        <v>45444</v>
      </c>
      <c r="B1400" t="s">
        <v>298</v>
      </c>
      <c r="C1400" t="s">
        <v>81</v>
      </c>
      <c r="D1400" t="s">
        <v>86</v>
      </c>
      <c r="E1400" t="s">
        <v>89</v>
      </c>
      <c r="F1400">
        <v>2700</v>
      </c>
      <c r="G1400" t="s">
        <v>331</v>
      </c>
      <c r="H1400" s="15">
        <v>45292</v>
      </c>
      <c r="I1400">
        <v>2700</v>
      </c>
      <c r="J1400">
        <v>0</v>
      </c>
    </row>
    <row r="1401" spans="1:10" x14ac:dyDescent="0.3">
      <c r="A1401" s="15">
        <v>45444</v>
      </c>
      <c r="B1401" t="s">
        <v>299</v>
      </c>
      <c r="C1401" t="s">
        <v>81</v>
      </c>
      <c r="D1401" t="s">
        <v>99</v>
      </c>
      <c r="E1401" t="s">
        <v>103</v>
      </c>
      <c r="F1401">
        <v>2900</v>
      </c>
      <c r="G1401" t="s">
        <v>331</v>
      </c>
      <c r="H1401" s="15">
        <v>45292</v>
      </c>
      <c r="I1401">
        <v>2900</v>
      </c>
      <c r="J1401">
        <v>0</v>
      </c>
    </row>
    <row r="1402" spans="1:10" x14ac:dyDescent="0.3">
      <c r="A1402" s="15">
        <v>45444</v>
      </c>
      <c r="B1402" t="s">
        <v>300</v>
      </c>
      <c r="C1402" t="s">
        <v>91</v>
      </c>
      <c r="D1402" t="s">
        <v>82</v>
      </c>
      <c r="E1402" t="s">
        <v>89</v>
      </c>
      <c r="F1402">
        <v>10900</v>
      </c>
      <c r="G1402" t="s">
        <v>331</v>
      </c>
      <c r="H1402" s="15">
        <v>45292</v>
      </c>
      <c r="I1402">
        <v>10900</v>
      </c>
      <c r="J1402">
        <v>0</v>
      </c>
    </row>
    <row r="1403" spans="1:10" x14ac:dyDescent="0.3">
      <c r="A1403" s="15">
        <v>45444</v>
      </c>
      <c r="B1403" t="s">
        <v>301</v>
      </c>
      <c r="C1403" t="s">
        <v>125</v>
      </c>
      <c r="D1403" t="s">
        <v>82</v>
      </c>
      <c r="E1403" t="s">
        <v>92</v>
      </c>
      <c r="F1403">
        <v>0</v>
      </c>
      <c r="G1403" t="s">
        <v>333</v>
      </c>
      <c r="H1403" s="15">
        <v>45292</v>
      </c>
      <c r="I1403">
        <v>116700</v>
      </c>
      <c r="J1403">
        <v>-116700</v>
      </c>
    </row>
    <row r="1404" spans="1:10" x14ac:dyDescent="0.3">
      <c r="A1404" s="15">
        <v>45444</v>
      </c>
      <c r="B1404" t="s">
        <v>303</v>
      </c>
      <c r="C1404" t="s">
        <v>81</v>
      </c>
      <c r="D1404" t="s">
        <v>82</v>
      </c>
      <c r="E1404" t="s">
        <v>83</v>
      </c>
      <c r="F1404">
        <v>1700</v>
      </c>
      <c r="G1404" t="s">
        <v>331</v>
      </c>
      <c r="H1404" s="15">
        <v>45292</v>
      </c>
      <c r="I1404">
        <v>1700</v>
      </c>
      <c r="J1404">
        <v>0</v>
      </c>
    </row>
    <row r="1405" spans="1:10" x14ac:dyDescent="0.3">
      <c r="A1405" s="15">
        <v>45444</v>
      </c>
      <c r="B1405" t="s">
        <v>304</v>
      </c>
      <c r="C1405" t="s">
        <v>81</v>
      </c>
      <c r="D1405" t="s">
        <v>86</v>
      </c>
      <c r="E1405" t="s">
        <v>92</v>
      </c>
      <c r="F1405">
        <v>2100</v>
      </c>
      <c r="G1405" t="s">
        <v>331</v>
      </c>
      <c r="H1405" s="15">
        <v>45292</v>
      </c>
      <c r="I1405">
        <v>2100</v>
      </c>
      <c r="J1405">
        <v>0</v>
      </c>
    </row>
    <row r="1406" spans="1:10" x14ac:dyDescent="0.3">
      <c r="A1406" s="15">
        <v>45444</v>
      </c>
      <c r="B1406" t="s">
        <v>305</v>
      </c>
      <c r="C1406" t="s">
        <v>91</v>
      </c>
      <c r="D1406" t="s">
        <v>82</v>
      </c>
      <c r="E1406" t="s">
        <v>103</v>
      </c>
      <c r="F1406">
        <v>7700</v>
      </c>
      <c r="G1406" t="s">
        <v>331</v>
      </c>
      <c r="H1406" s="15">
        <v>45292</v>
      </c>
      <c r="I1406">
        <v>7700</v>
      </c>
      <c r="J1406">
        <v>0</v>
      </c>
    </row>
    <row r="1407" spans="1:10" x14ac:dyDescent="0.3">
      <c r="A1407" s="15">
        <v>45444</v>
      </c>
      <c r="B1407" t="s">
        <v>306</v>
      </c>
      <c r="C1407" t="s">
        <v>91</v>
      </c>
      <c r="D1407" t="s">
        <v>82</v>
      </c>
      <c r="E1407" t="s">
        <v>87</v>
      </c>
      <c r="F1407">
        <v>10500</v>
      </c>
      <c r="G1407" t="s">
        <v>331</v>
      </c>
      <c r="H1407" s="15">
        <v>45292</v>
      </c>
      <c r="I1407">
        <v>10500</v>
      </c>
      <c r="J1407">
        <v>0</v>
      </c>
    </row>
    <row r="1408" spans="1:10" x14ac:dyDescent="0.3">
      <c r="A1408" s="15">
        <v>45444</v>
      </c>
      <c r="B1408" t="s">
        <v>307</v>
      </c>
      <c r="C1408" t="s">
        <v>81</v>
      </c>
      <c r="D1408" t="s">
        <v>86</v>
      </c>
      <c r="E1408" t="s">
        <v>97</v>
      </c>
      <c r="F1408">
        <v>2300</v>
      </c>
      <c r="G1408" t="s">
        <v>331</v>
      </c>
      <c r="H1408" s="15">
        <v>45292</v>
      </c>
      <c r="I1408">
        <v>2300</v>
      </c>
      <c r="J1408">
        <v>0</v>
      </c>
    </row>
    <row r="1409" spans="1:10" x14ac:dyDescent="0.3">
      <c r="A1409" s="15">
        <v>45444</v>
      </c>
      <c r="B1409" t="s">
        <v>308</v>
      </c>
      <c r="C1409" t="s">
        <v>91</v>
      </c>
      <c r="D1409" t="s">
        <v>86</v>
      </c>
      <c r="E1409" t="s">
        <v>92</v>
      </c>
      <c r="F1409">
        <v>8000</v>
      </c>
      <c r="G1409" t="s">
        <v>331</v>
      </c>
      <c r="H1409" s="15">
        <v>45292</v>
      </c>
      <c r="I1409">
        <v>8000</v>
      </c>
      <c r="J1409">
        <v>0</v>
      </c>
    </row>
    <row r="1410" spans="1:10" x14ac:dyDescent="0.3">
      <c r="A1410" s="15">
        <v>45444</v>
      </c>
      <c r="B1410" t="s">
        <v>309</v>
      </c>
      <c r="C1410" t="s">
        <v>91</v>
      </c>
      <c r="D1410" t="s">
        <v>82</v>
      </c>
      <c r="E1410" t="s">
        <v>87</v>
      </c>
      <c r="F1410">
        <v>9700</v>
      </c>
      <c r="G1410" t="s">
        <v>331</v>
      </c>
      <c r="H1410" s="15">
        <v>45292</v>
      </c>
      <c r="I1410">
        <v>9700</v>
      </c>
      <c r="J1410">
        <v>0</v>
      </c>
    </row>
    <row r="1411" spans="1:10" x14ac:dyDescent="0.3">
      <c r="A1411" s="15">
        <v>45444</v>
      </c>
      <c r="B1411" t="s">
        <v>310</v>
      </c>
      <c r="C1411" t="s">
        <v>91</v>
      </c>
      <c r="D1411" t="s">
        <v>99</v>
      </c>
      <c r="E1411" t="s">
        <v>87</v>
      </c>
      <c r="F1411">
        <v>10000</v>
      </c>
      <c r="G1411" t="s">
        <v>331</v>
      </c>
      <c r="H1411" s="15">
        <v>45292</v>
      </c>
      <c r="I1411">
        <v>10000</v>
      </c>
      <c r="J1411">
        <v>0</v>
      </c>
    </row>
    <row r="1412" spans="1:10" x14ac:dyDescent="0.3">
      <c r="A1412" s="15">
        <v>45444</v>
      </c>
      <c r="B1412" t="s">
        <v>312</v>
      </c>
      <c r="C1412" t="s">
        <v>91</v>
      </c>
      <c r="D1412" t="s">
        <v>86</v>
      </c>
      <c r="E1412" t="s">
        <v>103</v>
      </c>
      <c r="F1412">
        <v>9400</v>
      </c>
      <c r="G1412" t="s">
        <v>331</v>
      </c>
      <c r="H1412" s="15">
        <v>45292</v>
      </c>
      <c r="I1412">
        <v>9400</v>
      </c>
      <c r="J1412">
        <v>0</v>
      </c>
    </row>
    <row r="1413" spans="1:10" x14ac:dyDescent="0.3">
      <c r="A1413" s="15">
        <v>45444</v>
      </c>
      <c r="B1413" t="s">
        <v>313</v>
      </c>
      <c r="C1413" t="s">
        <v>91</v>
      </c>
      <c r="D1413" t="s">
        <v>82</v>
      </c>
      <c r="E1413" t="s">
        <v>101</v>
      </c>
      <c r="F1413">
        <v>12700</v>
      </c>
      <c r="G1413" t="s">
        <v>331</v>
      </c>
      <c r="H1413" s="15">
        <v>45292</v>
      </c>
      <c r="I1413">
        <v>12700</v>
      </c>
      <c r="J1413">
        <v>0</v>
      </c>
    </row>
    <row r="1414" spans="1:10" x14ac:dyDescent="0.3">
      <c r="A1414" s="15">
        <v>45444</v>
      </c>
      <c r="B1414" t="s">
        <v>314</v>
      </c>
      <c r="C1414" t="s">
        <v>91</v>
      </c>
      <c r="D1414" t="s">
        <v>82</v>
      </c>
      <c r="E1414" t="s">
        <v>103</v>
      </c>
      <c r="F1414">
        <v>10100</v>
      </c>
      <c r="G1414" t="s">
        <v>331</v>
      </c>
      <c r="H1414" s="15">
        <v>45292</v>
      </c>
      <c r="I1414">
        <v>10100</v>
      </c>
      <c r="J1414">
        <v>0</v>
      </c>
    </row>
    <row r="1415" spans="1:10" x14ac:dyDescent="0.3">
      <c r="A1415" s="15">
        <v>45444</v>
      </c>
      <c r="B1415" t="s">
        <v>315</v>
      </c>
      <c r="C1415" t="s">
        <v>125</v>
      </c>
      <c r="D1415" t="s">
        <v>86</v>
      </c>
      <c r="E1415" t="s">
        <v>92</v>
      </c>
      <c r="F1415">
        <v>76200</v>
      </c>
      <c r="G1415" t="s">
        <v>331</v>
      </c>
      <c r="H1415" s="15">
        <v>45292</v>
      </c>
      <c r="I1415">
        <v>76200</v>
      </c>
      <c r="J1415">
        <v>0</v>
      </c>
    </row>
    <row r="1416" spans="1:10" x14ac:dyDescent="0.3">
      <c r="A1416" s="15">
        <v>45444</v>
      </c>
      <c r="B1416" t="s">
        <v>316</v>
      </c>
      <c r="C1416" t="s">
        <v>81</v>
      </c>
      <c r="D1416" t="s">
        <v>96</v>
      </c>
      <c r="E1416" t="s">
        <v>92</v>
      </c>
      <c r="F1416">
        <v>1800</v>
      </c>
      <c r="G1416" t="s">
        <v>331</v>
      </c>
      <c r="H1416" s="15">
        <v>45292</v>
      </c>
      <c r="I1416">
        <v>1800</v>
      </c>
      <c r="J1416">
        <v>0</v>
      </c>
    </row>
    <row r="1417" spans="1:10" x14ac:dyDescent="0.3">
      <c r="A1417" s="15">
        <v>45444</v>
      </c>
      <c r="B1417" t="s">
        <v>317</v>
      </c>
      <c r="C1417" t="s">
        <v>125</v>
      </c>
      <c r="D1417" t="s">
        <v>82</v>
      </c>
      <c r="E1417" t="s">
        <v>92</v>
      </c>
      <c r="F1417">
        <v>73500</v>
      </c>
      <c r="G1417" t="s">
        <v>331</v>
      </c>
      <c r="H1417" s="15">
        <v>45292</v>
      </c>
      <c r="I1417">
        <v>73500</v>
      </c>
      <c r="J1417">
        <v>0</v>
      </c>
    </row>
    <row r="1418" spans="1:10" x14ac:dyDescent="0.3">
      <c r="A1418" s="15">
        <v>45444</v>
      </c>
      <c r="B1418" t="s">
        <v>318</v>
      </c>
      <c r="C1418" t="s">
        <v>110</v>
      </c>
      <c r="D1418" t="s">
        <v>82</v>
      </c>
      <c r="E1418" t="s">
        <v>97</v>
      </c>
      <c r="F1418">
        <v>29600</v>
      </c>
      <c r="G1418" t="s">
        <v>331</v>
      </c>
      <c r="H1418" s="15">
        <v>45292</v>
      </c>
      <c r="I1418">
        <v>29600</v>
      </c>
      <c r="J1418">
        <v>0</v>
      </c>
    </row>
    <row r="1419" spans="1:10" x14ac:dyDescent="0.3">
      <c r="A1419" s="15">
        <v>45444</v>
      </c>
      <c r="B1419" t="s">
        <v>320</v>
      </c>
      <c r="C1419" t="s">
        <v>91</v>
      </c>
      <c r="D1419" t="s">
        <v>86</v>
      </c>
      <c r="E1419" t="s">
        <v>97</v>
      </c>
      <c r="F1419">
        <v>7700</v>
      </c>
      <c r="G1419" t="s">
        <v>331</v>
      </c>
      <c r="H1419" s="15">
        <v>45292</v>
      </c>
      <c r="I1419">
        <v>7700</v>
      </c>
      <c r="J1419">
        <v>0</v>
      </c>
    </row>
    <row r="1420" spans="1:10" x14ac:dyDescent="0.3">
      <c r="A1420" s="15">
        <v>45444</v>
      </c>
      <c r="B1420" t="s">
        <v>321</v>
      </c>
      <c r="C1420" t="s">
        <v>81</v>
      </c>
      <c r="D1420" t="s">
        <v>99</v>
      </c>
      <c r="E1420" t="s">
        <v>101</v>
      </c>
      <c r="F1420">
        <v>3500</v>
      </c>
      <c r="G1420" t="s">
        <v>331</v>
      </c>
      <c r="H1420" s="15">
        <v>45292</v>
      </c>
      <c r="I1420">
        <v>3500</v>
      </c>
      <c r="J1420">
        <v>0</v>
      </c>
    </row>
    <row r="1421" spans="1:10" x14ac:dyDescent="0.3">
      <c r="A1421" s="15">
        <v>45444</v>
      </c>
      <c r="B1421" t="s">
        <v>322</v>
      </c>
      <c r="C1421" t="s">
        <v>81</v>
      </c>
      <c r="D1421" t="s">
        <v>82</v>
      </c>
      <c r="E1421" t="s">
        <v>103</v>
      </c>
      <c r="F1421">
        <v>2000</v>
      </c>
      <c r="G1421" t="s">
        <v>331</v>
      </c>
      <c r="H1421" s="15">
        <v>45292</v>
      </c>
      <c r="I1421">
        <v>2000</v>
      </c>
      <c r="J1421">
        <v>0</v>
      </c>
    </row>
    <row r="1422" spans="1:10" x14ac:dyDescent="0.3">
      <c r="A1422" s="15">
        <v>45444</v>
      </c>
      <c r="B1422" t="s">
        <v>323</v>
      </c>
      <c r="C1422" t="s">
        <v>110</v>
      </c>
      <c r="D1422" t="s">
        <v>82</v>
      </c>
      <c r="E1422" t="s">
        <v>89</v>
      </c>
      <c r="F1422">
        <v>23400</v>
      </c>
      <c r="G1422" t="s">
        <v>331</v>
      </c>
      <c r="H1422" s="15">
        <v>45292</v>
      </c>
      <c r="I1422">
        <v>23400</v>
      </c>
      <c r="J1422">
        <v>0</v>
      </c>
    </row>
    <row r="1423" spans="1:10" x14ac:dyDescent="0.3">
      <c r="A1423" s="15">
        <v>45444</v>
      </c>
      <c r="B1423" t="s">
        <v>324</v>
      </c>
      <c r="C1423" t="s">
        <v>81</v>
      </c>
      <c r="D1423" t="s">
        <v>86</v>
      </c>
      <c r="E1423" t="s">
        <v>87</v>
      </c>
      <c r="F1423">
        <v>2700</v>
      </c>
      <c r="G1423" t="s">
        <v>331</v>
      </c>
      <c r="H1423" s="15">
        <v>45292</v>
      </c>
      <c r="I1423">
        <v>2700</v>
      </c>
      <c r="J1423">
        <v>0</v>
      </c>
    </row>
    <row r="1424" spans="1:10" x14ac:dyDescent="0.3">
      <c r="A1424" s="15">
        <v>45444</v>
      </c>
      <c r="B1424" t="s">
        <v>325</v>
      </c>
      <c r="C1424" t="s">
        <v>91</v>
      </c>
      <c r="D1424" t="s">
        <v>86</v>
      </c>
      <c r="E1424" t="s">
        <v>87</v>
      </c>
      <c r="F1424">
        <v>8800</v>
      </c>
      <c r="G1424" t="s">
        <v>331</v>
      </c>
      <c r="H1424" s="15">
        <v>45292</v>
      </c>
      <c r="I1424">
        <v>8800</v>
      </c>
      <c r="J1424">
        <v>0</v>
      </c>
    </row>
    <row r="1425" spans="1:10" x14ac:dyDescent="0.3">
      <c r="A1425" s="15">
        <v>45444</v>
      </c>
      <c r="B1425" t="s">
        <v>326</v>
      </c>
      <c r="C1425" t="s">
        <v>91</v>
      </c>
      <c r="D1425" t="s">
        <v>86</v>
      </c>
      <c r="E1425" t="s">
        <v>92</v>
      </c>
      <c r="F1425">
        <v>7900</v>
      </c>
      <c r="G1425" t="s">
        <v>331</v>
      </c>
      <c r="H1425" s="15">
        <v>45292</v>
      </c>
      <c r="I1425">
        <v>7900</v>
      </c>
      <c r="J1425">
        <v>0</v>
      </c>
    </row>
    <row r="1426" spans="1:10" x14ac:dyDescent="0.3">
      <c r="A1426" s="15">
        <v>45444</v>
      </c>
      <c r="B1426" t="s">
        <v>327</v>
      </c>
      <c r="C1426" t="s">
        <v>125</v>
      </c>
      <c r="D1426" t="s">
        <v>99</v>
      </c>
      <c r="E1426" t="s">
        <v>97</v>
      </c>
      <c r="F1426">
        <v>77500</v>
      </c>
      <c r="G1426" t="s">
        <v>331</v>
      </c>
      <c r="H1426" s="15">
        <v>45292</v>
      </c>
      <c r="I1426">
        <v>77500</v>
      </c>
      <c r="J1426">
        <v>0</v>
      </c>
    </row>
    <row r="1427" spans="1:10" x14ac:dyDescent="0.3">
      <c r="A1427" s="15">
        <v>45444</v>
      </c>
      <c r="B1427" t="s">
        <v>329</v>
      </c>
      <c r="C1427" t="s">
        <v>81</v>
      </c>
      <c r="D1427" t="s">
        <v>86</v>
      </c>
      <c r="E1427" t="s">
        <v>101</v>
      </c>
      <c r="F1427">
        <v>2200</v>
      </c>
      <c r="G1427" t="s">
        <v>331</v>
      </c>
      <c r="H1427" s="15">
        <v>45292</v>
      </c>
      <c r="I1427">
        <v>2200</v>
      </c>
      <c r="J1427">
        <v>0</v>
      </c>
    </row>
    <row r="1428" spans="1:10" x14ac:dyDescent="0.3">
      <c r="A1428" s="15">
        <v>45444</v>
      </c>
      <c r="B1428" t="s">
        <v>330</v>
      </c>
      <c r="C1428" t="s">
        <v>125</v>
      </c>
      <c r="D1428" t="s">
        <v>86</v>
      </c>
      <c r="E1428" t="s">
        <v>87</v>
      </c>
      <c r="F1428">
        <v>105400</v>
      </c>
      <c r="G1428" t="s">
        <v>331</v>
      </c>
      <c r="H1428" s="15">
        <v>45292</v>
      </c>
      <c r="I1428">
        <v>105400</v>
      </c>
      <c r="J1428">
        <v>0</v>
      </c>
    </row>
    <row r="1429" spans="1:10" x14ac:dyDescent="0.3">
      <c r="A1429" s="15">
        <v>45444</v>
      </c>
      <c r="B1429" t="s">
        <v>335</v>
      </c>
      <c r="C1429" t="s">
        <v>91</v>
      </c>
      <c r="D1429" t="s">
        <v>86</v>
      </c>
      <c r="E1429" t="s">
        <v>89</v>
      </c>
      <c r="F1429">
        <v>7300</v>
      </c>
      <c r="G1429" t="s">
        <v>331</v>
      </c>
      <c r="H1429" s="15">
        <v>45323</v>
      </c>
      <c r="I1429">
        <v>7300</v>
      </c>
      <c r="J1429">
        <v>0</v>
      </c>
    </row>
    <row r="1430" spans="1:10" x14ac:dyDescent="0.3">
      <c r="A1430" s="15">
        <v>45444</v>
      </c>
      <c r="B1430" t="s">
        <v>336</v>
      </c>
      <c r="C1430" t="s">
        <v>81</v>
      </c>
      <c r="D1430" t="s">
        <v>82</v>
      </c>
      <c r="E1430" t="s">
        <v>103</v>
      </c>
      <c r="F1430">
        <v>1500</v>
      </c>
      <c r="G1430" t="s">
        <v>331</v>
      </c>
      <c r="H1430" s="15">
        <v>45323</v>
      </c>
      <c r="I1430">
        <v>1500</v>
      </c>
      <c r="J1430">
        <v>0</v>
      </c>
    </row>
    <row r="1431" spans="1:10" x14ac:dyDescent="0.3">
      <c r="A1431" s="15">
        <v>45444</v>
      </c>
      <c r="B1431" t="s">
        <v>337</v>
      </c>
      <c r="C1431" t="s">
        <v>91</v>
      </c>
      <c r="D1431" t="s">
        <v>82</v>
      </c>
      <c r="E1431" t="s">
        <v>92</v>
      </c>
      <c r="F1431">
        <v>6200</v>
      </c>
      <c r="G1431" t="s">
        <v>331</v>
      </c>
      <c r="H1431" s="15">
        <v>45323</v>
      </c>
      <c r="I1431">
        <v>6200</v>
      </c>
      <c r="J1431">
        <v>0</v>
      </c>
    </row>
    <row r="1432" spans="1:10" x14ac:dyDescent="0.3">
      <c r="A1432" s="15">
        <v>45444</v>
      </c>
      <c r="B1432" t="s">
        <v>338</v>
      </c>
      <c r="C1432" t="s">
        <v>91</v>
      </c>
      <c r="D1432" t="s">
        <v>82</v>
      </c>
      <c r="E1432" t="s">
        <v>103</v>
      </c>
      <c r="F1432">
        <v>5700</v>
      </c>
      <c r="G1432" t="s">
        <v>331</v>
      </c>
      <c r="H1432" s="15">
        <v>45323</v>
      </c>
      <c r="I1432">
        <v>5700</v>
      </c>
      <c r="J1432">
        <v>0</v>
      </c>
    </row>
    <row r="1433" spans="1:10" x14ac:dyDescent="0.3">
      <c r="A1433" s="15">
        <v>45444</v>
      </c>
      <c r="B1433" t="s">
        <v>339</v>
      </c>
      <c r="C1433" t="s">
        <v>81</v>
      </c>
      <c r="D1433" t="s">
        <v>82</v>
      </c>
      <c r="E1433" t="s">
        <v>103</v>
      </c>
      <c r="F1433">
        <v>1800</v>
      </c>
      <c r="G1433" t="s">
        <v>331</v>
      </c>
      <c r="H1433" s="15">
        <v>45323</v>
      </c>
      <c r="I1433">
        <v>1800</v>
      </c>
      <c r="J1433">
        <v>0</v>
      </c>
    </row>
    <row r="1434" spans="1:10" x14ac:dyDescent="0.3">
      <c r="A1434" s="15">
        <v>45444</v>
      </c>
      <c r="B1434" t="s">
        <v>340</v>
      </c>
      <c r="C1434" t="s">
        <v>81</v>
      </c>
      <c r="D1434" t="s">
        <v>82</v>
      </c>
      <c r="E1434" t="s">
        <v>87</v>
      </c>
      <c r="F1434">
        <v>1800</v>
      </c>
      <c r="G1434" t="s">
        <v>331</v>
      </c>
      <c r="H1434" s="15">
        <v>45323</v>
      </c>
      <c r="I1434">
        <v>1800</v>
      </c>
      <c r="J1434">
        <v>0</v>
      </c>
    </row>
    <row r="1435" spans="1:10" x14ac:dyDescent="0.3">
      <c r="A1435" s="15">
        <v>45444</v>
      </c>
      <c r="B1435" t="s">
        <v>341</v>
      </c>
      <c r="C1435" t="s">
        <v>110</v>
      </c>
      <c r="D1435" t="s">
        <v>82</v>
      </c>
      <c r="E1435" t="s">
        <v>92</v>
      </c>
      <c r="F1435">
        <v>18800</v>
      </c>
      <c r="G1435" t="s">
        <v>331</v>
      </c>
      <c r="H1435" s="15">
        <v>45323</v>
      </c>
      <c r="I1435">
        <v>18800</v>
      </c>
      <c r="J1435">
        <v>0</v>
      </c>
    </row>
    <row r="1436" spans="1:10" x14ac:dyDescent="0.3">
      <c r="A1436" s="15">
        <v>45444</v>
      </c>
      <c r="B1436" t="s">
        <v>342</v>
      </c>
      <c r="C1436" t="s">
        <v>91</v>
      </c>
      <c r="D1436" t="s">
        <v>82</v>
      </c>
      <c r="E1436" t="s">
        <v>83</v>
      </c>
      <c r="F1436">
        <v>7100</v>
      </c>
      <c r="G1436" t="s">
        <v>331</v>
      </c>
      <c r="H1436" s="15">
        <v>45352</v>
      </c>
      <c r="I1436">
        <v>7100</v>
      </c>
      <c r="J1436">
        <v>0</v>
      </c>
    </row>
    <row r="1437" spans="1:10" x14ac:dyDescent="0.3">
      <c r="A1437" s="15">
        <v>45444</v>
      </c>
      <c r="B1437" t="s">
        <v>343</v>
      </c>
      <c r="C1437" t="s">
        <v>81</v>
      </c>
      <c r="D1437" t="s">
        <v>82</v>
      </c>
      <c r="E1437" t="s">
        <v>89</v>
      </c>
      <c r="F1437">
        <v>2500</v>
      </c>
      <c r="G1437" t="s">
        <v>331</v>
      </c>
      <c r="H1437" s="15">
        <v>45352</v>
      </c>
      <c r="I1437">
        <v>2500</v>
      </c>
      <c r="J1437">
        <v>0</v>
      </c>
    </row>
    <row r="1438" spans="1:10" x14ac:dyDescent="0.3">
      <c r="A1438" s="15">
        <v>45444</v>
      </c>
      <c r="B1438" t="s">
        <v>344</v>
      </c>
      <c r="C1438" t="s">
        <v>110</v>
      </c>
      <c r="D1438" t="s">
        <v>86</v>
      </c>
      <c r="E1438" t="s">
        <v>89</v>
      </c>
      <c r="F1438">
        <v>21100</v>
      </c>
      <c r="G1438" t="s">
        <v>331</v>
      </c>
      <c r="H1438" s="15">
        <v>45352</v>
      </c>
      <c r="I1438">
        <v>21100</v>
      </c>
      <c r="J1438">
        <v>0</v>
      </c>
    </row>
    <row r="1439" spans="1:10" x14ac:dyDescent="0.3">
      <c r="A1439" s="15">
        <v>45444</v>
      </c>
      <c r="B1439" t="s">
        <v>345</v>
      </c>
      <c r="C1439" t="s">
        <v>91</v>
      </c>
      <c r="D1439" t="s">
        <v>86</v>
      </c>
      <c r="E1439" t="s">
        <v>83</v>
      </c>
      <c r="F1439">
        <v>6000</v>
      </c>
      <c r="G1439" t="s">
        <v>331</v>
      </c>
      <c r="H1439" s="15">
        <v>45352</v>
      </c>
      <c r="I1439">
        <v>6000</v>
      </c>
      <c r="J1439">
        <v>0</v>
      </c>
    </row>
    <row r="1440" spans="1:10" x14ac:dyDescent="0.3">
      <c r="A1440" s="15">
        <v>45444</v>
      </c>
      <c r="B1440" t="s">
        <v>346</v>
      </c>
      <c r="C1440" t="s">
        <v>81</v>
      </c>
      <c r="D1440" t="s">
        <v>86</v>
      </c>
      <c r="E1440" t="s">
        <v>97</v>
      </c>
      <c r="F1440">
        <v>1700</v>
      </c>
      <c r="G1440" t="s">
        <v>332</v>
      </c>
      <c r="H1440" s="15">
        <v>45352</v>
      </c>
      <c r="I1440">
        <v>1600</v>
      </c>
      <c r="J1440">
        <v>100</v>
      </c>
    </row>
    <row r="1441" spans="1:10" x14ac:dyDescent="0.3">
      <c r="A1441" s="15">
        <v>45444</v>
      </c>
      <c r="B1441" t="s">
        <v>347</v>
      </c>
      <c r="C1441" t="s">
        <v>91</v>
      </c>
      <c r="D1441" t="s">
        <v>82</v>
      </c>
      <c r="E1441" t="s">
        <v>83</v>
      </c>
      <c r="F1441">
        <v>5700</v>
      </c>
      <c r="G1441" t="s">
        <v>331</v>
      </c>
      <c r="H1441" s="15">
        <v>45383</v>
      </c>
      <c r="I1441">
        <v>5700</v>
      </c>
      <c r="J1441">
        <v>0</v>
      </c>
    </row>
    <row r="1442" spans="1:10" x14ac:dyDescent="0.3">
      <c r="A1442" s="15">
        <v>45444</v>
      </c>
      <c r="B1442" t="s">
        <v>348</v>
      </c>
      <c r="C1442" t="s">
        <v>125</v>
      </c>
      <c r="D1442" t="s">
        <v>86</v>
      </c>
      <c r="E1442" t="s">
        <v>92</v>
      </c>
      <c r="F1442">
        <v>59200</v>
      </c>
      <c r="G1442" t="s">
        <v>331</v>
      </c>
      <c r="H1442" s="15">
        <v>45383</v>
      </c>
      <c r="I1442">
        <v>59200</v>
      </c>
      <c r="J1442">
        <v>0</v>
      </c>
    </row>
    <row r="1443" spans="1:10" x14ac:dyDescent="0.3">
      <c r="A1443" s="15">
        <v>45444</v>
      </c>
      <c r="B1443" t="s">
        <v>349</v>
      </c>
      <c r="C1443" t="s">
        <v>110</v>
      </c>
      <c r="D1443" t="s">
        <v>86</v>
      </c>
      <c r="E1443" t="s">
        <v>89</v>
      </c>
      <c r="F1443">
        <v>0</v>
      </c>
      <c r="G1443" t="s">
        <v>333</v>
      </c>
      <c r="H1443" s="15">
        <v>45383</v>
      </c>
      <c r="I1443">
        <v>21600</v>
      </c>
      <c r="J1443">
        <v>-21600</v>
      </c>
    </row>
    <row r="1444" spans="1:10" x14ac:dyDescent="0.3">
      <c r="A1444" s="15">
        <v>45444</v>
      </c>
      <c r="B1444" t="s">
        <v>350</v>
      </c>
      <c r="C1444" t="s">
        <v>91</v>
      </c>
      <c r="D1444" t="s">
        <v>82</v>
      </c>
      <c r="E1444" t="s">
        <v>83</v>
      </c>
      <c r="F1444">
        <v>4800</v>
      </c>
      <c r="G1444" t="s">
        <v>331</v>
      </c>
      <c r="H1444" s="15">
        <v>45383</v>
      </c>
      <c r="I1444">
        <v>4800</v>
      </c>
      <c r="J1444">
        <v>0</v>
      </c>
    </row>
    <row r="1445" spans="1:10" x14ac:dyDescent="0.3">
      <c r="A1445" s="15">
        <v>45444</v>
      </c>
      <c r="B1445" t="s">
        <v>351</v>
      </c>
      <c r="C1445" t="s">
        <v>81</v>
      </c>
      <c r="D1445" t="s">
        <v>86</v>
      </c>
      <c r="E1445" t="s">
        <v>83</v>
      </c>
      <c r="F1445">
        <v>2300</v>
      </c>
      <c r="G1445" t="s">
        <v>331</v>
      </c>
      <c r="H1445" s="15">
        <v>45383</v>
      </c>
      <c r="I1445">
        <v>2300</v>
      </c>
      <c r="J1445">
        <v>0</v>
      </c>
    </row>
    <row r="1446" spans="1:10" x14ac:dyDescent="0.3">
      <c r="A1446" s="15">
        <v>45444</v>
      </c>
      <c r="B1446" t="s">
        <v>352</v>
      </c>
      <c r="C1446" t="s">
        <v>91</v>
      </c>
      <c r="D1446" t="s">
        <v>82</v>
      </c>
      <c r="E1446" t="s">
        <v>89</v>
      </c>
      <c r="F1446">
        <v>6100</v>
      </c>
      <c r="G1446" t="s">
        <v>331</v>
      </c>
      <c r="H1446" s="15">
        <v>45383</v>
      </c>
      <c r="I1446">
        <v>6100</v>
      </c>
      <c r="J1446">
        <v>0</v>
      </c>
    </row>
    <row r="1447" spans="1:10" x14ac:dyDescent="0.3">
      <c r="A1447" s="15">
        <v>45444</v>
      </c>
      <c r="B1447" t="s">
        <v>353</v>
      </c>
      <c r="C1447" t="s">
        <v>81</v>
      </c>
      <c r="D1447" t="s">
        <v>99</v>
      </c>
      <c r="E1447" t="s">
        <v>103</v>
      </c>
      <c r="F1447">
        <v>1200</v>
      </c>
      <c r="G1447" t="s">
        <v>331</v>
      </c>
      <c r="H1447" s="15">
        <v>45383</v>
      </c>
      <c r="I1447">
        <v>1200</v>
      </c>
      <c r="J1447">
        <v>0</v>
      </c>
    </row>
    <row r="1448" spans="1:10" x14ac:dyDescent="0.3">
      <c r="A1448" s="15">
        <v>45444</v>
      </c>
      <c r="B1448" t="s">
        <v>354</v>
      </c>
      <c r="C1448" t="s">
        <v>81</v>
      </c>
      <c r="D1448" t="s">
        <v>82</v>
      </c>
      <c r="E1448" t="s">
        <v>92</v>
      </c>
      <c r="F1448">
        <v>1800</v>
      </c>
      <c r="G1448" t="s">
        <v>331</v>
      </c>
      <c r="H1448" s="15">
        <v>45413</v>
      </c>
      <c r="I1448">
        <v>1800</v>
      </c>
      <c r="J1448">
        <v>0</v>
      </c>
    </row>
    <row r="1449" spans="1:10" x14ac:dyDescent="0.3">
      <c r="A1449" s="15">
        <v>45444</v>
      </c>
      <c r="B1449" t="s">
        <v>355</v>
      </c>
      <c r="C1449" t="s">
        <v>81</v>
      </c>
      <c r="D1449" t="s">
        <v>86</v>
      </c>
      <c r="E1449" t="s">
        <v>97</v>
      </c>
      <c r="F1449">
        <v>2200</v>
      </c>
      <c r="G1449" t="s">
        <v>331</v>
      </c>
      <c r="H1449" s="15">
        <v>45413</v>
      </c>
      <c r="I1449">
        <v>2200</v>
      </c>
      <c r="J1449">
        <v>0</v>
      </c>
    </row>
    <row r="1450" spans="1:10" x14ac:dyDescent="0.3">
      <c r="A1450" s="15">
        <v>45444</v>
      </c>
      <c r="B1450" t="s">
        <v>356</v>
      </c>
      <c r="C1450" t="s">
        <v>110</v>
      </c>
      <c r="D1450" t="s">
        <v>82</v>
      </c>
      <c r="E1450" t="s">
        <v>97</v>
      </c>
      <c r="F1450">
        <v>33000</v>
      </c>
      <c r="G1450" t="s">
        <v>331</v>
      </c>
      <c r="H1450" s="15">
        <v>45413</v>
      </c>
      <c r="I1450">
        <v>33000</v>
      </c>
      <c r="J1450">
        <v>0</v>
      </c>
    </row>
    <row r="1451" spans="1:10" x14ac:dyDescent="0.3">
      <c r="A1451" s="15">
        <v>45444</v>
      </c>
      <c r="B1451" t="s">
        <v>357</v>
      </c>
      <c r="C1451" t="s">
        <v>125</v>
      </c>
      <c r="D1451" t="s">
        <v>86</v>
      </c>
      <c r="E1451" t="s">
        <v>97</v>
      </c>
      <c r="F1451">
        <v>79900</v>
      </c>
      <c r="G1451" t="s">
        <v>331</v>
      </c>
      <c r="H1451" s="15">
        <v>45413</v>
      </c>
      <c r="I1451">
        <v>79900</v>
      </c>
      <c r="J1451">
        <v>0</v>
      </c>
    </row>
    <row r="1452" spans="1:10" x14ac:dyDescent="0.3">
      <c r="A1452" s="15">
        <v>45444</v>
      </c>
      <c r="B1452" t="s">
        <v>358</v>
      </c>
      <c r="C1452" t="s">
        <v>110</v>
      </c>
      <c r="D1452" t="s">
        <v>86</v>
      </c>
      <c r="E1452" t="s">
        <v>83</v>
      </c>
      <c r="F1452">
        <v>25500</v>
      </c>
      <c r="G1452" t="s">
        <v>331</v>
      </c>
      <c r="H1452" s="15">
        <v>45413</v>
      </c>
      <c r="I1452">
        <v>25500</v>
      </c>
      <c r="J1452">
        <v>0</v>
      </c>
    </row>
    <row r="1453" spans="1:10" x14ac:dyDescent="0.3">
      <c r="A1453" s="15">
        <v>45444</v>
      </c>
      <c r="B1453" t="s">
        <v>359</v>
      </c>
      <c r="C1453" t="s">
        <v>110</v>
      </c>
      <c r="D1453" t="s">
        <v>86</v>
      </c>
      <c r="E1453" t="s">
        <v>101</v>
      </c>
      <c r="F1453">
        <v>31400</v>
      </c>
      <c r="G1453" t="s">
        <v>331</v>
      </c>
      <c r="H1453" s="15">
        <v>45413</v>
      </c>
      <c r="I1453">
        <v>31400</v>
      </c>
      <c r="J1453">
        <v>0</v>
      </c>
    </row>
    <row r="1454" spans="1:10" x14ac:dyDescent="0.3">
      <c r="A1454" s="15">
        <v>45444</v>
      </c>
      <c r="B1454" t="s">
        <v>360</v>
      </c>
      <c r="C1454" t="s">
        <v>91</v>
      </c>
      <c r="D1454" t="s">
        <v>86</v>
      </c>
      <c r="E1454" t="s">
        <v>103</v>
      </c>
      <c r="F1454">
        <v>5700</v>
      </c>
      <c r="G1454" t="s">
        <v>84</v>
      </c>
      <c r="H1454" s="15">
        <v>45444</v>
      </c>
      <c r="I1454">
        <v>0</v>
      </c>
      <c r="J1454">
        <v>5700</v>
      </c>
    </row>
    <row r="1455" spans="1:10" x14ac:dyDescent="0.3">
      <c r="A1455" s="15">
        <v>45444</v>
      </c>
      <c r="B1455" t="s">
        <v>361</v>
      </c>
      <c r="C1455" t="s">
        <v>91</v>
      </c>
      <c r="D1455" t="s">
        <v>86</v>
      </c>
      <c r="E1455" t="s">
        <v>83</v>
      </c>
      <c r="F1455">
        <v>5700</v>
      </c>
      <c r="G1455" t="s">
        <v>84</v>
      </c>
      <c r="H1455" s="15">
        <v>45444</v>
      </c>
      <c r="I1455">
        <v>0</v>
      </c>
      <c r="J1455">
        <v>5700</v>
      </c>
    </row>
    <row r="1456" spans="1:10" x14ac:dyDescent="0.3">
      <c r="A1456" s="15">
        <v>45444</v>
      </c>
      <c r="B1456" t="s">
        <v>362</v>
      </c>
      <c r="C1456" t="s">
        <v>91</v>
      </c>
      <c r="D1456" t="s">
        <v>82</v>
      </c>
      <c r="E1456" t="s">
        <v>101</v>
      </c>
      <c r="F1456">
        <v>5400</v>
      </c>
      <c r="G1456" t="s">
        <v>84</v>
      </c>
      <c r="H1456" s="15">
        <v>45444</v>
      </c>
      <c r="I1456">
        <v>0</v>
      </c>
      <c r="J1456">
        <v>5400</v>
      </c>
    </row>
    <row r="1457" spans="1:10" x14ac:dyDescent="0.3">
      <c r="A1457" s="15">
        <v>45444</v>
      </c>
      <c r="B1457" t="s">
        <v>363</v>
      </c>
      <c r="C1457" t="s">
        <v>91</v>
      </c>
      <c r="D1457" t="s">
        <v>86</v>
      </c>
      <c r="E1457" t="s">
        <v>83</v>
      </c>
      <c r="F1457">
        <v>5100</v>
      </c>
      <c r="G1457" t="s">
        <v>84</v>
      </c>
      <c r="H1457" s="15">
        <v>45444</v>
      </c>
      <c r="I1457">
        <v>0</v>
      </c>
      <c r="J1457">
        <v>5100</v>
      </c>
    </row>
    <row r="1458" spans="1:10" x14ac:dyDescent="0.3">
      <c r="A1458" s="15">
        <v>45444</v>
      </c>
      <c r="B1458" t="s">
        <v>364</v>
      </c>
      <c r="C1458" t="s">
        <v>91</v>
      </c>
      <c r="D1458" t="s">
        <v>82</v>
      </c>
      <c r="E1458" t="s">
        <v>101</v>
      </c>
      <c r="F1458">
        <v>6700</v>
      </c>
      <c r="G1458" t="s">
        <v>84</v>
      </c>
      <c r="H1458" s="15">
        <v>45444</v>
      </c>
      <c r="I1458">
        <v>0</v>
      </c>
      <c r="J1458">
        <v>6700</v>
      </c>
    </row>
    <row r="1459" spans="1:10" x14ac:dyDescent="0.3">
      <c r="A1459" s="15">
        <v>45444</v>
      </c>
      <c r="B1459" t="s">
        <v>365</v>
      </c>
      <c r="C1459" t="s">
        <v>91</v>
      </c>
      <c r="D1459" t="s">
        <v>82</v>
      </c>
      <c r="E1459" t="s">
        <v>92</v>
      </c>
      <c r="F1459">
        <v>7300</v>
      </c>
      <c r="G1459" t="s">
        <v>84</v>
      </c>
      <c r="H1459" s="15">
        <v>45444</v>
      </c>
      <c r="I1459">
        <v>0</v>
      </c>
      <c r="J1459">
        <v>7300</v>
      </c>
    </row>
    <row r="1460" spans="1:10" x14ac:dyDescent="0.3">
      <c r="A1460" s="15">
        <v>45474</v>
      </c>
      <c r="B1460" t="s">
        <v>80</v>
      </c>
      <c r="C1460" t="s">
        <v>81</v>
      </c>
      <c r="D1460" t="s">
        <v>82</v>
      </c>
      <c r="E1460" t="s">
        <v>83</v>
      </c>
      <c r="F1460">
        <v>1900</v>
      </c>
      <c r="G1460" t="s">
        <v>331</v>
      </c>
      <c r="H1460" s="15">
        <v>45292</v>
      </c>
      <c r="I1460">
        <v>1900</v>
      </c>
      <c r="J1460">
        <v>0</v>
      </c>
    </row>
    <row r="1461" spans="1:10" x14ac:dyDescent="0.3">
      <c r="A1461" s="15">
        <v>45474</v>
      </c>
      <c r="B1461" t="s">
        <v>85</v>
      </c>
      <c r="C1461" t="s">
        <v>81</v>
      </c>
      <c r="D1461" t="s">
        <v>86</v>
      </c>
      <c r="E1461" t="s">
        <v>87</v>
      </c>
      <c r="F1461">
        <v>3200</v>
      </c>
      <c r="G1461" t="s">
        <v>331</v>
      </c>
      <c r="H1461" s="15">
        <v>45292</v>
      </c>
      <c r="I1461">
        <v>3200</v>
      </c>
      <c r="J1461">
        <v>0</v>
      </c>
    </row>
    <row r="1462" spans="1:10" x14ac:dyDescent="0.3">
      <c r="A1462" s="15">
        <v>45474</v>
      </c>
      <c r="B1462" t="s">
        <v>88</v>
      </c>
      <c r="C1462" t="s">
        <v>81</v>
      </c>
      <c r="D1462" t="s">
        <v>86</v>
      </c>
      <c r="E1462" t="s">
        <v>89</v>
      </c>
      <c r="F1462">
        <v>2400</v>
      </c>
      <c r="G1462" t="s">
        <v>331</v>
      </c>
      <c r="H1462" s="15">
        <v>45292</v>
      </c>
      <c r="I1462">
        <v>2400</v>
      </c>
      <c r="J1462">
        <v>0</v>
      </c>
    </row>
    <row r="1463" spans="1:10" x14ac:dyDescent="0.3">
      <c r="A1463" s="15">
        <v>45474</v>
      </c>
      <c r="B1463" t="s">
        <v>90</v>
      </c>
      <c r="C1463" t="s">
        <v>91</v>
      </c>
      <c r="D1463" t="s">
        <v>82</v>
      </c>
      <c r="E1463" t="s">
        <v>92</v>
      </c>
      <c r="F1463">
        <v>8300</v>
      </c>
      <c r="G1463" t="s">
        <v>331</v>
      </c>
      <c r="H1463" s="15">
        <v>45292</v>
      </c>
      <c r="I1463">
        <v>8300</v>
      </c>
      <c r="J1463">
        <v>0</v>
      </c>
    </row>
    <row r="1464" spans="1:10" x14ac:dyDescent="0.3">
      <c r="A1464" s="15">
        <v>45474</v>
      </c>
      <c r="B1464" t="s">
        <v>93</v>
      </c>
      <c r="C1464" t="s">
        <v>81</v>
      </c>
      <c r="D1464" t="s">
        <v>86</v>
      </c>
      <c r="E1464" t="s">
        <v>83</v>
      </c>
      <c r="F1464">
        <v>2200</v>
      </c>
      <c r="G1464" t="s">
        <v>331</v>
      </c>
      <c r="H1464" s="15">
        <v>45292</v>
      </c>
      <c r="I1464">
        <v>2200</v>
      </c>
      <c r="J1464">
        <v>0</v>
      </c>
    </row>
    <row r="1465" spans="1:10" x14ac:dyDescent="0.3">
      <c r="A1465" s="15">
        <v>45474</v>
      </c>
      <c r="B1465" t="s">
        <v>94</v>
      </c>
      <c r="C1465" t="s">
        <v>91</v>
      </c>
      <c r="D1465" t="s">
        <v>86</v>
      </c>
      <c r="E1465" t="s">
        <v>83</v>
      </c>
      <c r="F1465">
        <v>6900</v>
      </c>
      <c r="G1465" t="s">
        <v>331</v>
      </c>
      <c r="H1465" s="15">
        <v>45292</v>
      </c>
      <c r="I1465">
        <v>6900</v>
      </c>
      <c r="J1465">
        <v>0</v>
      </c>
    </row>
    <row r="1466" spans="1:10" x14ac:dyDescent="0.3">
      <c r="A1466" s="15">
        <v>45474</v>
      </c>
      <c r="B1466" t="s">
        <v>95</v>
      </c>
      <c r="C1466" t="s">
        <v>81</v>
      </c>
      <c r="D1466" t="s">
        <v>96</v>
      </c>
      <c r="E1466" t="s">
        <v>97</v>
      </c>
      <c r="F1466">
        <v>3100</v>
      </c>
      <c r="G1466" t="s">
        <v>331</v>
      </c>
      <c r="H1466" s="15">
        <v>45292</v>
      </c>
      <c r="I1466">
        <v>3100</v>
      </c>
      <c r="J1466">
        <v>0</v>
      </c>
    </row>
    <row r="1467" spans="1:10" x14ac:dyDescent="0.3">
      <c r="A1467" s="15">
        <v>45474</v>
      </c>
      <c r="B1467" t="s">
        <v>98</v>
      </c>
      <c r="C1467" t="s">
        <v>81</v>
      </c>
      <c r="D1467" t="s">
        <v>99</v>
      </c>
      <c r="E1467" t="s">
        <v>92</v>
      </c>
      <c r="F1467">
        <v>2300</v>
      </c>
      <c r="G1467" t="s">
        <v>334</v>
      </c>
      <c r="H1467" s="15">
        <v>45292</v>
      </c>
      <c r="I1467">
        <v>2500</v>
      </c>
      <c r="J1467">
        <v>-200</v>
      </c>
    </row>
    <row r="1468" spans="1:10" x14ac:dyDescent="0.3">
      <c r="A1468" s="15">
        <v>45474</v>
      </c>
      <c r="B1468" t="s">
        <v>100</v>
      </c>
      <c r="C1468" t="s">
        <v>81</v>
      </c>
      <c r="D1468" t="s">
        <v>86</v>
      </c>
      <c r="E1468" t="s">
        <v>101</v>
      </c>
      <c r="F1468">
        <v>1800</v>
      </c>
      <c r="G1468" t="s">
        <v>331</v>
      </c>
      <c r="H1468" s="15">
        <v>45292</v>
      </c>
      <c r="I1468">
        <v>1800</v>
      </c>
      <c r="J1468">
        <v>0</v>
      </c>
    </row>
    <row r="1469" spans="1:10" x14ac:dyDescent="0.3">
      <c r="A1469" s="15">
        <v>45474</v>
      </c>
      <c r="B1469" t="s">
        <v>102</v>
      </c>
      <c r="C1469" t="s">
        <v>81</v>
      </c>
      <c r="D1469" t="s">
        <v>99</v>
      </c>
      <c r="E1469" t="s">
        <v>103</v>
      </c>
      <c r="F1469">
        <v>4000</v>
      </c>
      <c r="G1469" t="s">
        <v>331</v>
      </c>
      <c r="H1469" s="15">
        <v>45292</v>
      </c>
      <c r="I1469">
        <v>4000</v>
      </c>
      <c r="J1469">
        <v>0</v>
      </c>
    </row>
    <row r="1470" spans="1:10" x14ac:dyDescent="0.3">
      <c r="A1470" s="15">
        <v>45474</v>
      </c>
      <c r="B1470" t="s">
        <v>104</v>
      </c>
      <c r="C1470" t="s">
        <v>91</v>
      </c>
      <c r="D1470" t="s">
        <v>99</v>
      </c>
      <c r="E1470" t="s">
        <v>87</v>
      </c>
      <c r="F1470">
        <v>7000</v>
      </c>
      <c r="G1470" t="s">
        <v>331</v>
      </c>
      <c r="H1470" s="15">
        <v>45292</v>
      </c>
      <c r="I1470">
        <v>7000</v>
      </c>
      <c r="J1470">
        <v>0</v>
      </c>
    </row>
    <row r="1471" spans="1:10" x14ac:dyDescent="0.3">
      <c r="A1471" s="15">
        <v>45474</v>
      </c>
      <c r="B1471" t="s">
        <v>105</v>
      </c>
      <c r="C1471" t="s">
        <v>91</v>
      </c>
      <c r="D1471" t="s">
        <v>86</v>
      </c>
      <c r="E1471" t="s">
        <v>89</v>
      </c>
      <c r="F1471">
        <v>11400</v>
      </c>
      <c r="G1471" t="s">
        <v>331</v>
      </c>
      <c r="H1471" s="15">
        <v>45292</v>
      </c>
      <c r="I1471">
        <v>11400</v>
      </c>
      <c r="J1471">
        <v>0</v>
      </c>
    </row>
    <row r="1472" spans="1:10" x14ac:dyDescent="0.3">
      <c r="A1472" s="15">
        <v>45474</v>
      </c>
      <c r="B1472" t="s">
        <v>106</v>
      </c>
      <c r="C1472" t="s">
        <v>81</v>
      </c>
      <c r="D1472" t="s">
        <v>99</v>
      </c>
      <c r="E1472" t="s">
        <v>92</v>
      </c>
      <c r="F1472">
        <v>2700</v>
      </c>
      <c r="G1472" t="s">
        <v>331</v>
      </c>
      <c r="H1472" s="15">
        <v>45292</v>
      </c>
      <c r="I1472">
        <v>2700</v>
      </c>
      <c r="J1472">
        <v>0</v>
      </c>
    </row>
    <row r="1473" spans="1:10" x14ac:dyDescent="0.3">
      <c r="A1473" s="15">
        <v>45474</v>
      </c>
      <c r="B1473" t="s">
        <v>107</v>
      </c>
      <c r="C1473" t="s">
        <v>91</v>
      </c>
      <c r="D1473" t="s">
        <v>82</v>
      </c>
      <c r="E1473" t="s">
        <v>89</v>
      </c>
      <c r="F1473">
        <v>0</v>
      </c>
      <c r="G1473" t="s">
        <v>333</v>
      </c>
      <c r="H1473" s="15">
        <v>45292</v>
      </c>
      <c r="I1473">
        <v>8000</v>
      </c>
      <c r="J1473">
        <v>-8000</v>
      </c>
    </row>
    <row r="1474" spans="1:10" x14ac:dyDescent="0.3">
      <c r="A1474" s="15">
        <v>45474</v>
      </c>
      <c r="B1474" t="s">
        <v>108</v>
      </c>
      <c r="C1474" t="s">
        <v>91</v>
      </c>
      <c r="D1474" t="s">
        <v>86</v>
      </c>
      <c r="E1474" t="s">
        <v>87</v>
      </c>
      <c r="F1474">
        <v>8500</v>
      </c>
      <c r="G1474" t="s">
        <v>331</v>
      </c>
      <c r="H1474" s="15">
        <v>45292</v>
      </c>
      <c r="I1474">
        <v>8500</v>
      </c>
      <c r="J1474">
        <v>0</v>
      </c>
    </row>
    <row r="1475" spans="1:10" x14ac:dyDescent="0.3">
      <c r="A1475" s="15">
        <v>45474</v>
      </c>
      <c r="B1475" t="s">
        <v>109</v>
      </c>
      <c r="C1475" t="s">
        <v>110</v>
      </c>
      <c r="D1475" t="s">
        <v>82</v>
      </c>
      <c r="E1475" t="s">
        <v>103</v>
      </c>
      <c r="F1475">
        <v>37800</v>
      </c>
      <c r="G1475" t="s">
        <v>331</v>
      </c>
      <c r="H1475" s="15">
        <v>45292</v>
      </c>
      <c r="I1475">
        <v>37800</v>
      </c>
      <c r="J1475">
        <v>0</v>
      </c>
    </row>
    <row r="1476" spans="1:10" x14ac:dyDescent="0.3">
      <c r="A1476" s="15">
        <v>45474</v>
      </c>
      <c r="B1476" t="s">
        <v>111</v>
      </c>
      <c r="C1476" t="s">
        <v>91</v>
      </c>
      <c r="D1476" t="s">
        <v>82</v>
      </c>
      <c r="E1476" t="s">
        <v>83</v>
      </c>
      <c r="F1476">
        <v>8800</v>
      </c>
      <c r="G1476" t="s">
        <v>331</v>
      </c>
      <c r="H1476" s="15">
        <v>45292</v>
      </c>
      <c r="I1476">
        <v>8800</v>
      </c>
      <c r="J1476">
        <v>0</v>
      </c>
    </row>
    <row r="1477" spans="1:10" x14ac:dyDescent="0.3">
      <c r="A1477" s="15">
        <v>45474</v>
      </c>
      <c r="B1477" t="s">
        <v>112</v>
      </c>
      <c r="C1477" t="s">
        <v>91</v>
      </c>
      <c r="D1477" t="s">
        <v>82</v>
      </c>
      <c r="E1477" t="s">
        <v>92</v>
      </c>
      <c r="F1477">
        <v>8600</v>
      </c>
      <c r="G1477" t="s">
        <v>331</v>
      </c>
      <c r="H1477" s="15">
        <v>45292</v>
      </c>
      <c r="I1477">
        <v>8600</v>
      </c>
      <c r="J1477">
        <v>0</v>
      </c>
    </row>
    <row r="1478" spans="1:10" x14ac:dyDescent="0.3">
      <c r="A1478" s="15">
        <v>45474</v>
      </c>
      <c r="B1478" t="s">
        <v>113</v>
      </c>
      <c r="C1478" t="s">
        <v>81</v>
      </c>
      <c r="D1478" t="s">
        <v>96</v>
      </c>
      <c r="E1478" t="s">
        <v>89</v>
      </c>
      <c r="F1478">
        <v>2500</v>
      </c>
      <c r="G1478" t="s">
        <v>331</v>
      </c>
      <c r="H1478" s="15">
        <v>45292</v>
      </c>
      <c r="I1478">
        <v>2500</v>
      </c>
      <c r="J1478">
        <v>0</v>
      </c>
    </row>
    <row r="1479" spans="1:10" x14ac:dyDescent="0.3">
      <c r="A1479" s="15">
        <v>45474</v>
      </c>
      <c r="B1479" t="s">
        <v>114</v>
      </c>
      <c r="C1479" t="s">
        <v>110</v>
      </c>
      <c r="D1479" t="s">
        <v>99</v>
      </c>
      <c r="E1479" t="s">
        <v>97</v>
      </c>
      <c r="F1479">
        <v>41600</v>
      </c>
      <c r="G1479" t="s">
        <v>331</v>
      </c>
      <c r="H1479" s="15">
        <v>45292</v>
      </c>
      <c r="I1479">
        <v>41600</v>
      </c>
      <c r="J1479">
        <v>0</v>
      </c>
    </row>
    <row r="1480" spans="1:10" x14ac:dyDescent="0.3">
      <c r="A1480" s="15">
        <v>45474</v>
      </c>
      <c r="B1480" t="s">
        <v>115</v>
      </c>
      <c r="C1480" t="s">
        <v>81</v>
      </c>
      <c r="D1480" t="s">
        <v>82</v>
      </c>
      <c r="E1480" t="s">
        <v>101</v>
      </c>
      <c r="F1480">
        <v>2600</v>
      </c>
      <c r="G1480" t="s">
        <v>331</v>
      </c>
      <c r="H1480" s="15">
        <v>45292</v>
      </c>
      <c r="I1480">
        <v>2600</v>
      </c>
      <c r="J1480">
        <v>0</v>
      </c>
    </row>
    <row r="1481" spans="1:10" x14ac:dyDescent="0.3">
      <c r="A1481" s="15">
        <v>45474</v>
      </c>
      <c r="B1481" t="s">
        <v>116</v>
      </c>
      <c r="C1481" t="s">
        <v>81</v>
      </c>
      <c r="D1481" t="s">
        <v>86</v>
      </c>
      <c r="E1481" t="s">
        <v>87</v>
      </c>
      <c r="F1481">
        <v>2900</v>
      </c>
      <c r="G1481" t="s">
        <v>331</v>
      </c>
      <c r="H1481" s="15">
        <v>45292</v>
      </c>
      <c r="I1481">
        <v>2900</v>
      </c>
      <c r="J1481">
        <v>0</v>
      </c>
    </row>
    <row r="1482" spans="1:10" x14ac:dyDescent="0.3">
      <c r="A1482" s="15">
        <v>45474</v>
      </c>
      <c r="B1482" t="s">
        <v>117</v>
      </c>
      <c r="C1482" t="s">
        <v>81</v>
      </c>
      <c r="D1482" t="s">
        <v>86</v>
      </c>
      <c r="E1482" t="s">
        <v>103</v>
      </c>
      <c r="F1482">
        <v>2500</v>
      </c>
      <c r="G1482" t="s">
        <v>331</v>
      </c>
      <c r="H1482" s="15">
        <v>45292</v>
      </c>
      <c r="I1482">
        <v>2500</v>
      </c>
      <c r="J1482">
        <v>0</v>
      </c>
    </row>
    <row r="1483" spans="1:10" x14ac:dyDescent="0.3">
      <c r="A1483" s="15">
        <v>45474</v>
      </c>
      <c r="B1483" t="s">
        <v>118</v>
      </c>
      <c r="C1483" t="s">
        <v>81</v>
      </c>
      <c r="D1483" t="s">
        <v>82</v>
      </c>
      <c r="E1483" t="s">
        <v>103</v>
      </c>
      <c r="F1483">
        <v>2900</v>
      </c>
      <c r="G1483" t="s">
        <v>332</v>
      </c>
      <c r="H1483" s="15">
        <v>45292</v>
      </c>
      <c r="I1483">
        <v>2500</v>
      </c>
      <c r="J1483">
        <v>400</v>
      </c>
    </row>
    <row r="1484" spans="1:10" x14ac:dyDescent="0.3">
      <c r="A1484" s="15">
        <v>45474</v>
      </c>
      <c r="B1484" t="s">
        <v>119</v>
      </c>
      <c r="C1484" t="s">
        <v>91</v>
      </c>
      <c r="D1484" t="s">
        <v>96</v>
      </c>
      <c r="E1484" t="s">
        <v>89</v>
      </c>
      <c r="F1484">
        <v>12800</v>
      </c>
      <c r="G1484" t="s">
        <v>331</v>
      </c>
      <c r="H1484" s="15">
        <v>45292</v>
      </c>
      <c r="I1484">
        <v>12800</v>
      </c>
      <c r="J1484">
        <v>0</v>
      </c>
    </row>
    <row r="1485" spans="1:10" x14ac:dyDescent="0.3">
      <c r="A1485" s="15">
        <v>45474</v>
      </c>
      <c r="B1485" t="s">
        <v>120</v>
      </c>
      <c r="C1485" t="s">
        <v>81</v>
      </c>
      <c r="D1485" t="s">
        <v>86</v>
      </c>
      <c r="E1485" t="s">
        <v>101</v>
      </c>
      <c r="F1485">
        <v>2200</v>
      </c>
      <c r="G1485" t="s">
        <v>331</v>
      </c>
      <c r="H1485" s="15">
        <v>45292</v>
      </c>
      <c r="I1485">
        <v>2200</v>
      </c>
      <c r="J1485">
        <v>0</v>
      </c>
    </row>
    <row r="1486" spans="1:10" x14ac:dyDescent="0.3">
      <c r="A1486" s="15">
        <v>45474</v>
      </c>
      <c r="B1486" t="s">
        <v>123</v>
      </c>
      <c r="C1486" t="s">
        <v>81</v>
      </c>
      <c r="D1486" t="s">
        <v>82</v>
      </c>
      <c r="E1486" t="s">
        <v>92</v>
      </c>
      <c r="F1486">
        <v>2200</v>
      </c>
      <c r="G1486" t="s">
        <v>331</v>
      </c>
      <c r="H1486" s="15">
        <v>45292</v>
      </c>
      <c r="I1486">
        <v>2200</v>
      </c>
      <c r="J1486">
        <v>0</v>
      </c>
    </row>
    <row r="1487" spans="1:10" x14ac:dyDescent="0.3">
      <c r="A1487" s="15">
        <v>45474</v>
      </c>
      <c r="B1487" t="s">
        <v>124</v>
      </c>
      <c r="C1487" t="s">
        <v>125</v>
      </c>
      <c r="D1487" t="s">
        <v>82</v>
      </c>
      <c r="E1487" t="s">
        <v>97</v>
      </c>
      <c r="F1487">
        <v>82700</v>
      </c>
      <c r="G1487" t="s">
        <v>331</v>
      </c>
      <c r="H1487" s="15">
        <v>45292</v>
      </c>
      <c r="I1487">
        <v>82700</v>
      </c>
      <c r="J1487">
        <v>0</v>
      </c>
    </row>
    <row r="1488" spans="1:10" x14ac:dyDescent="0.3">
      <c r="A1488" s="15">
        <v>45474</v>
      </c>
      <c r="B1488" t="s">
        <v>126</v>
      </c>
      <c r="C1488" t="s">
        <v>91</v>
      </c>
      <c r="D1488" t="s">
        <v>82</v>
      </c>
      <c r="E1488" t="s">
        <v>83</v>
      </c>
      <c r="F1488">
        <v>8800</v>
      </c>
      <c r="G1488" t="s">
        <v>331</v>
      </c>
      <c r="H1488" s="15">
        <v>45292</v>
      </c>
      <c r="I1488">
        <v>8800</v>
      </c>
      <c r="J1488">
        <v>0</v>
      </c>
    </row>
    <row r="1489" spans="1:10" x14ac:dyDescent="0.3">
      <c r="A1489" s="15">
        <v>45474</v>
      </c>
      <c r="B1489" t="s">
        <v>127</v>
      </c>
      <c r="C1489" t="s">
        <v>81</v>
      </c>
      <c r="D1489" t="s">
        <v>82</v>
      </c>
      <c r="E1489" t="s">
        <v>101</v>
      </c>
      <c r="F1489">
        <v>2100</v>
      </c>
      <c r="G1489" t="s">
        <v>331</v>
      </c>
      <c r="H1489" s="15">
        <v>45292</v>
      </c>
      <c r="I1489">
        <v>2100</v>
      </c>
      <c r="J1489">
        <v>0</v>
      </c>
    </row>
    <row r="1490" spans="1:10" x14ac:dyDescent="0.3">
      <c r="A1490" s="15">
        <v>45474</v>
      </c>
      <c r="B1490" t="s">
        <v>128</v>
      </c>
      <c r="C1490" t="s">
        <v>81</v>
      </c>
      <c r="D1490" t="s">
        <v>82</v>
      </c>
      <c r="E1490" t="s">
        <v>92</v>
      </c>
      <c r="F1490">
        <v>1700</v>
      </c>
      <c r="G1490" t="s">
        <v>331</v>
      </c>
      <c r="H1490" s="15">
        <v>45292</v>
      </c>
      <c r="I1490">
        <v>1700</v>
      </c>
      <c r="J1490">
        <v>0</v>
      </c>
    </row>
    <row r="1491" spans="1:10" x14ac:dyDescent="0.3">
      <c r="A1491" s="15">
        <v>45474</v>
      </c>
      <c r="B1491" t="s">
        <v>129</v>
      </c>
      <c r="C1491" t="s">
        <v>110</v>
      </c>
      <c r="D1491" t="s">
        <v>86</v>
      </c>
      <c r="E1491" t="s">
        <v>92</v>
      </c>
      <c r="F1491">
        <v>36700</v>
      </c>
      <c r="G1491" t="s">
        <v>331</v>
      </c>
      <c r="H1491" s="15">
        <v>45292</v>
      </c>
      <c r="I1491">
        <v>36700</v>
      </c>
      <c r="J1491">
        <v>0</v>
      </c>
    </row>
    <row r="1492" spans="1:10" x14ac:dyDescent="0.3">
      <c r="A1492" s="15">
        <v>45474</v>
      </c>
      <c r="B1492" t="s">
        <v>131</v>
      </c>
      <c r="C1492" t="s">
        <v>81</v>
      </c>
      <c r="D1492" t="s">
        <v>86</v>
      </c>
      <c r="E1492" t="s">
        <v>101</v>
      </c>
      <c r="F1492">
        <v>1900</v>
      </c>
      <c r="G1492" t="s">
        <v>331</v>
      </c>
      <c r="H1492" s="15">
        <v>45292</v>
      </c>
      <c r="I1492">
        <v>1900</v>
      </c>
      <c r="J1492">
        <v>0</v>
      </c>
    </row>
    <row r="1493" spans="1:10" x14ac:dyDescent="0.3">
      <c r="A1493" s="15">
        <v>45474</v>
      </c>
      <c r="B1493" t="s">
        <v>133</v>
      </c>
      <c r="C1493" t="s">
        <v>81</v>
      </c>
      <c r="D1493" t="s">
        <v>96</v>
      </c>
      <c r="E1493" t="s">
        <v>87</v>
      </c>
      <c r="F1493">
        <v>2700</v>
      </c>
      <c r="G1493" t="s">
        <v>331</v>
      </c>
      <c r="H1493" s="15">
        <v>45292</v>
      </c>
      <c r="I1493">
        <v>2700</v>
      </c>
      <c r="J1493">
        <v>0</v>
      </c>
    </row>
    <row r="1494" spans="1:10" x14ac:dyDescent="0.3">
      <c r="A1494" s="15">
        <v>45474</v>
      </c>
      <c r="B1494" t="s">
        <v>134</v>
      </c>
      <c r="C1494" t="s">
        <v>81</v>
      </c>
      <c r="D1494" t="s">
        <v>82</v>
      </c>
      <c r="E1494" t="s">
        <v>92</v>
      </c>
      <c r="F1494">
        <v>2900</v>
      </c>
      <c r="G1494" t="s">
        <v>331</v>
      </c>
      <c r="H1494" s="15">
        <v>45292</v>
      </c>
      <c r="I1494">
        <v>2900</v>
      </c>
      <c r="J1494">
        <v>0</v>
      </c>
    </row>
    <row r="1495" spans="1:10" x14ac:dyDescent="0.3">
      <c r="A1495" s="15">
        <v>45474</v>
      </c>
      <c r="B1495" t="s">
        <v>135</v>
      </c>
      <c r="C1495" t="s">
        <v>81</v>
      </c>
      <c r="D1495" t="s">
        <v>82</v>
      </c>
      <c r="E1495" t="s">
        <v>103</v>
      </c>
      <c r="F1495">
        <v>2800</v>
      </c>
      <c r="G1495" t="s">
        <v>331</v>
      </c>
      <c r="H1495" s="15">
        <v>45292</v>
      </c>
      <c r="I1495">
        <v>2800</v>
      </c>
      <c r="J1495">
        <v>0</v>
      </c>
    </row>
    <row r="1496" spans="1:10" x14ac:dyDescent="0.3">
      <c r="A1496" s="15">
        <v>45474</v>
      </c>
      <c r="B1496" t="s">
        <v>136</v>
      </c>
      <c r="C1496" t="s">
        <v>81</v>
      </c>
      <c r="D1496" t="s">
        <v>82</v>
      </c>
      <c r="E1496" t="s">
        <v>101</v>
      </c>
      <c r="F1496">
        <v>2900</v>
      </c>
      <c r="G1496" t="s">
        <v>331</v>
      </c>
      <c r="H1496" s="15">
        <v>45292</v>
      </c>
      <c r="I1496">
        <v>2900</v>
      </c>
      <c r="J1496">
        <v>0</v>
      </c>
    </row>
    <row r="1497" spans="1:10" x14ac:dyDescent="0.3">
      <c r="A1497" s="15">
        <v>45474</v>
      </c>
      <c r="B1497" t="s">
        <v>137</v>
      </c>
      <c r="C1497" t="s">
        <v>81</v>
      </c>
      <c r="D1497" t="s">
        <v>82</v>
      </c>
      <c r="E1497" t="s">
        <v>89</v>
      </c>
      <c r="F1497">
        <v>1700</v>
      </c>
      <c r="G1497" t="s">
        <v>331</v>
      </c>
      <c r="H1497" s="15">
        <v>45292</v>
      </c>
      <c r="I1497">
        <v>1700</v>
      </c>
      <c r="J1497">
        <v>0</v>
      </c>
    </row>
    <row r="1498" spans="1:10" x14ac:dyDescent="0.3">
      <c r="A1498" s="15">
        <v>45474</v>
      </c>
      <c r="B1498" t="s">
        <v>138</v>
      </c>
      <c r="C1498" t="s">
        <v>81</v>
      </c>
      <c r="D1498" t="s">
        <v>86</v>
      </c>
      <c r="E1498" t="s">
        <v>97</v>
      </c>
      <c r="F1498">
        <v>3300</v>
      </c>
      <c r="G1498" t="s">
        <v>331</v>
      </c>
      <c r="H1498" s="15">
        <v>45292</v>
      </c>
      <c r="I1498">
        <v>3300</v>
      </c>
      <c r="J1498">
        <v>0</v>
      </c>
    </row>
    <row r="1499" spans="1:10" x14ac:dyDescent="0.3">
      <c r="A1499" s="15">
        <v>45474</v>
      </c>
      <c r="B1499" t="s">
        <v>139</v>
      </c>
      <c r="C1499" t="s">
        <v>91</v>
      </c>
      <c r="D1499" t="s">
        <v>82</v>
      </c>
      <c r="E1499" t="s">
        <v>103</v>
      </c>
      <c r="F1499">
        <v>6800</v>
      </c>
      <c r="G1499" t="s">
        <v>331</v>
      </c>
      <c r="H1499" s="15">
        <v>45292</v>
      </c>
      <c r="I1499">
        <v>6800</v>
      </c>
      <c r="J1499">
        <v>0</v>
      </c>
    </row>
    <row r="1500" spans="1:10" x14ac:dyDescent="0.3">
      <c r="A1500" s="15">
        <v>45474</v>
      </c>
      <c r="B1500" t="s">
        <v>140</v>
      </c>
      <c r="C1500" t="s">
        <v>81</v>
      </c>
      <c r="D1500" t="s">
        <v>99</v>
      </c>
      <c r="E1500" t="s">
        <v>97</v>
      </c>
      <c r="F1500">
        <v>1800</v>
      </c>
      <c r="G1500" t="s">
        <v>331</v>
      </c>
      <c r="H1500" s="15">
        <v>45292</v>
      </c>
      <c r="I1500">
        <v>1800</v>
      </c>
      <c r="J1500">
        <v>0</v>
      </c>
    </row>
    <row r="1501" spans="1:10" x14ac:dyDescent="0.3">
      <c r="A1501" s="15">
        <v>45474</v>
      </c>
      <c r="B1501" t="s">
        <v>141</v>
      </c>
      <c r="C1501" t="s">
        <v>125</v>
      </c>
      <c r="D1501" t="s">
        <v>99</v>
      </c>
      <c r="E1501" t="s">
        <v>103</v>
      </c>
      <c r="F1501">
        <v>106100</v>
      </c>
      <c r="G1501" t="s">
        <v>332</v>
      </c>
      <c r="H1501" s="15">
        <v>45292</v>
      </c>
      <c r="I1501">
        <v>100200</v>
      </c>
      <c r="J1501">
        <v>5900</v>
      </c>
    </row>
    <row r="1502" spans="1:10" x14ac:dyDescent="0.3">
      <c r="A1502" s="15">
        <v>45474</v>
      </c>
      <c r="B1502" t="s">
        <v>142</v>
      </c>
      <c r="C1502" t="s">
        <v>125</v>
      </c>
      <c r="D1502" t="s">
        <v>82</v>
      </c>
      <c r="E1502" t="s">
        <v>92</v>
      </c>
      <c r="F1502">
        <v>93300</v>
      </c>
      <c r="G1502" t="s">
        <v>331</v>
      </c>
      <c r="H1502" s="15">
        <v>45292</v>
      </c>
      <c r="I1502">
        <v>93300</v>
      </c>
      <c r="J1502">
        <v>0</v>
      </c>
    </row>
    <row r="1503" spans="1:10" x14ac:dyDescent="0.3">
      <c r="A1503" s="15">
        <v>45474</v>
      </c>
      <c r="B1503" t="s">
        <v>143</v>
      </c>
      <c r="C1503" t="s">
        <v>91</v>
      </c>
      <c r="D1503" t="s">
        <v>99</v>
      </c>
      <c r="E1503" t="s">
        <v>103</v>
      </c>
      <c r="F1503">
        <v>8000</v>
      </c>
      <c r="G1503" t="s">
        <v>331</v>
      </c>
      <c r="H1503" s="15">
        <v>45292</v>
      </c>
      <c r="I1503">
        <v>8000</v>
      </c>
      <c r="J1503">
        <v>0</v>
      </c>
    </row>
    <row r="1504" spans="1:10" x14ac:dyDescent="0.3">
      <c r="A1504" s="15">
        <v>45474</v>
      </c>
      <c r="B1504" t="s">
        <v>144</v>
      </c>
      <c r="C1504" t="s">
        <v>81</v>
      </c>
      <c r="D1504" t="s">
        <v>82</v>
      </c>
      <c r="E1504" t="s">
        <v>92</v>
      </c>
      <c r="F1504">
        <v>2600</v>
      </c>
      <c r="G1504" t="s">
        <v>331</v>
      </c>
      <c r="H1504" s="15">
        <v>45292</v>
      </c>
      <c r="I1504">
        <v>2600</v>
      </c>
      <c r="J1504">
        <v>0</v>
      </c>
    </row>
    <row r="1505" spans="1:10" x14ac:dyDescent="0.3">
      <c r="A1505" s="15">
        <v>45474</v>
      </c>
      <c r="B1505" t="s">
        <v>145</v>
      </c>
      <c r="C1505" t="s">
        <v>91</v>
      </c>
      <c r="D1505" t="s">
        <v>82</v>
      </c>
      <c r="E1505" t="s">
        <v>87</v>
      </c>
      <c r="F1505">
        <v>8200</v>
      </c>
      <c r="G1505" t="s">
        <v>331</v>
      </c>
      <c r="H1505" s="15">
        <v>45292</v>
      </c>
      <c r="I1505">
        <v>8200</v>
      </c>
      <c r="J1505">
        <v>0</v>
      </c>
    </row>
    <row r="1506" spans="1:10" x14ac:dyDescent="0.3">
      <c r="A1506" s="15">
        <v>45474</v>
      </c>
      <c r="B1506" t="s">
        <v>146</v>
      </c>
      <c r="C1506" t="s">
        <v>91</v>
      </c>
      <c r="D1506" t="s">
        <v>86</v>
      </c>
      <c r="E1506" t="s">
        <v>87</v>
      </c>
      <c r="F1506">
        <v>9200</v>
      </c>
      <c r="G1506" t="s">
        <v>331</v>
      </c>
      <c r="H1506" s="15">
        <v>45292</v>
      </c>
      <c r="I1506">
        <v>9200</v>
      </c>
      <c r="J1506">
        <v>0</v>
      </c>
    </row>
    <row r="1507" spans="1:10" x14ac:dyDescent="0.3">
      <c r="A1507" s="15">
        <v>45474</v>
      </c>
      <c r="B1507" t="s">
        <v>147</v>
      </c>
      <c r="C1507" t="s">
        <v>81</v>
      </c>
      <c r="D1507" t="s">
        <v>82</v>
      </c>
      <c r="E1507" t="s">
        <v>92</v>
      </c>
      <c r="F1507">
        <v>2600</v>
      </c>
      <c r="G1507" t="s">
        <v>331</v>
      </c>
      <c r="H1507" s="15">
        <v>45292</v>
      </c>
      <c r="I1507">
        <v>2600</v>
      </c>
      <c r="J1507">
        <v>0</v>
      </c>
    </row>
    <row r="1508" spans="1:10" x14ac:dyDescent="0.3">
      <c r="A1508" s="15">
        <v>45474</v>
      </c>
      <c r="B1508" t="s">
        <v>148</v>
      </c>
      <c r="C1508" t="s">
        <v>110</v>
      </c>
      <c r="D1508" t="s">
        <v>86</v>
      </c>
      <c r="E1508" t="s">
        <v>89</v>
      </c>
      <c r="F1508">
        <v>23500</v>
      </c>
      <c r="G1508" t="s">
        <v>331</v>
      </c>
      <c r="H1508" s="15">
        <v>45292</v>
      </c>
      <c r="I1508">
        <v>23500</v>
      </c>
      <c r="J1508">
        <v>0</v>
      </c>
    </row>
    <row r="1509" spans="1:10" x14ac:dyDescent="0.3">
      <c r="A1509" s="15">
        <v>45474</v>
      </c>
      <c r="B1509" t="s">
        <v>149</v>
      </c>
      <c r="C1509" t="s">
        <v>110</v>
      </c>
      <c r="D1509" t="s">
        <v>82</v>
      </c>
      <c r="E1509" t="s">
        <v>103</v>
      </c>
      <c r="F1509">
        <v>31000</v>
      </c>
      <c r="G1509" t="s">
        <v>331</v>
      </c>
      <c r="H1509" s="15">
        <v>45292</v>
      </c>
      <c r="I1509">
        <v>31000</v>
      </c>
      <c r="J1509">
        <v>0</v>
      </c>
    </row>
    <row r="1510" spans="1:10" x14ac:dyDescent="0.3">
      <c r="A1510" s="15">
        <v>45474</v>
      </c>
      <c r="B1510" t="s">
        <v>150</v>
      </c>
      <c r="C1510" t="s">
        <v>91</v>
      </c>
      <c r="D1510" t="s">
        <v>99</v>
      </c>
      <c r="E1510" t="s">
        <v>101</v>
      </c>
      <c r="F1510">
        <v>8700</v>
      </c>
      <c r="G1510" t="s">
        <v>331</v>
      </c>
      <c r="H1510" s="15">
        <v>45292</v>
      </c>
      <c r="I1510">
        <v>8700</v>
      </c>
      <c r="J1510">
        <v>0</v>
      </c>
    </row>
    <row r="1511" spans="1:10" x14ac:dyDescent="0.3">
      <c r="A1511" s="15">
        <v>45474</v>
      </c>
      <c r="B1511" t="s">
        <v>151</v>
      </c>
      <c r="C1511" t="s">
        <v>91</v>
      </c>
      <c r="D1511" t="s">
        <v>82</v>
      </c>
      <c r="E1511" t="s">
        <v>97</v>
      </c>
      <c r="F1511">
        <v>8200</v>
      </c>
      <c r="G1511" t="s">
        <v>331</v>
      </c>
      <c r="H1511" s="15">
        <v>45292</v>
      </c>
      <c r="I1511">
        <v>8200</v>
      </c>
      <c r="J1511">
        <v>0</v>
      </c>
    </row>
    <row r="1512" spans="1:10" x14ac:dyDescent="0.3">
      <c r="A1512" s="15">
        <v>45474</v>
      </c>
      <c r="B1512" t="s">
        <v>152</v>
      </c>
      <c r="C1512" t="s">
        <v>81</v>
      </c>
      <c r="D1512" t="s">
        <v>99</v>
      </c>
      <c r="E1512" t="s">
        <v>87</v>
      </c>
      <c r="F1512">
        <v>3100</v>
      </c>
      <c r="G1512" t="s">
        <v>331</v>
      </c>
      <c r="H1512" s="15">
        <v>45292</v>
      </c>
      <c r="I1512">
        <v>3100</v>
      </c>
      <c r="J1512">
        <v>0</v>
      </c>
    </row>
    <row r="1513" spans="1:10" x14ac:dyDescent="0.3">
      <c r="A1513" s="15">
        <v>45474</v>
      </c>
      <c r="B1513" t="s">
        <v>153</v>
      </c>
      <c r="C1513" t="s">
        <v>110</v>
      </c>
      <c r="D1513" t="s">
        <v>99</v>
      </c>
      <c r="E1513" t="s">
        <v>87</v>
      </c>
      <c r="F1513">
        <v>31500</v>
      </c>
      <c r="G1513" t="s">
        <v>331</v>
      </c>
      <c r="H1513" s="15">
        <v>45292</v>
      </c>
      <c r="I1513">
        <v>31500</v>
      </c>
      <c r="J1513">
        <v>0</v>
      </c>
    </row>
    <row r="1514" spans="1:10" x14ac:dyDescent="0.3">
      <c r="A1514" s="15">
        <v>45474</v>
      </c>
      <c r="B1514" t="s">
        <v>154</v>
      </c>
      <c r="C1514" t="s">
        <v>91</v>
      </c>
      <c r="D1514" t="s">
        <v>86</v>
      </c>
      <c r="E1514" t="s">
        <v>103</v>
      </c>
      <c r="F1514">
        <v>8800</v>
      </c>
      <c r="G1514" t="s">
        <v>331</v>
      </c>
      <c r="H1514" s="15">
        <v>45292</v>
      </c>
      <c r="I1514">
        <v>8800</v>
      </c>
      <c r="J1514">
        <v>0</v>
      </c>
    </row>
    <row r="1515" spans="1:10" x14ac:dyDescent="0.3">
      <c r="A1515" s="15">
        <v>45474</v>
      </c>
      <c r="B1515" t="s">
        <v>155</v>
      </c>
      <c r="C1515" t="s">
        <v>91</v>
      </c>
      <c r="D1515" t="s">
        <v>82</v>
      </c>
      <c r="E1515" t="s">
        <v>92</v>
      </c>
      <c r="F1515">
        <v>7100</v>
      </c>
      <c r="G1515" t="s">
        <v>331</v>
      </c>
      <c r="H1515" s="15">
        <v>45292</v>
      </c>
      <c r="I1515">
        <v>7100</v>
      </c>
      <c r="J1515">
        <v>0</v>
      </c>
    </row>
    <row r="1516" spans="1:10" x14ac:dyDescent="0.3">
      <c r="A1516" s="15">
        <v>45474</v>
      </c>
      <c r="B1516" t="s">
        <v>156</v>
      </c>
      <c r="C1516" t="s">
        <v>81</v>
      </c>
      <c r="D1516" t="s">
        <v>86</v>
      </c>
      <c r="E1516" t="s">
        <v>101</v>
      </c>
      <c r="F1516">
        <v>2300</v>
      </c>
      <c r="G1516" t="s">
        <v>331</v>
      </c>
      <c r="H1516" s="15">
        <v>45292</v>
      </c>
      <c r="I1516">
        <v>2300</v>
      </c>
      <c r="J1516">
        <v>0</v>
      </c>
    </row>
    <row r="1517" spans="1:10" x14ac:dyDescent="0.3">
      <c r="A1517" s="15">
        <v>45474</v>
      </c>
      <c r="B1517" t="s">
        <v>157</v>
      </c>
      <c r="C1517" t="s">
        <v>81</v>
      </c>
      <c r="D1517" t="s">
        <v>82</v>
      </c>
      <c r="E1517" t="s">
        <v>92</v>
      </c>
      <c r="F1517">
        <v>1800</v>
      </c>
      <c r="G1517" t="s">
        <v>331</v>
      </c>
      <c r="H1517" s="15">
        <v>45292</v>
      </c>
      <c r="I1517">
        <v>1800</v>
      </c>
      <c r="J1517">
        <v>0</v>
      </c>
    </row>
    <row r="1518" spans="1:10" x14ac:dyDescent="0.3">
      <c r="A1518" s="15">
        <v>45474</v>
      </c>
      <c r="B1518" t="s">
        <v>158</v>
      </c>
      <c r="C1518" t="s">
        <v>91</v>
      </c>
      <c r="D1518" t="s">
        <v>96</v>
      </c>
      <c r="E1518" t="s">
        <v>83</v>
      </c>
      <c r="F1518">
        <v>11400</v>
      </c>
      <c r="G1518" t="s">
        <v>331</v>
      </c>
      <c r="H1518" s="15">
        <v>45292</v>
      </c>
      <c r="I1518">
        <v>11400</v>
      </c>
      <c r="J1518">
        <v>0</v>
      </c>
    </row>
    <row r="1519" spans="1:10" x14ac:dyDescent="0.3">
      <c r="A1519" s="15">
        <v>45474</v>
      </c>
      <c r="B1519" t="s">
        <v>159</v>
      </c>
      <c r="C1519" t="s">
        <v>81</v>
      </c>
      <c r="D1519" t="s">
        <v>86</v>
      </c>
      <c r="E1519" t="s">
        <v>87</v>
      </c>
      <c r="F1519">
        <v>2400</v>
      </c>
      <c r="G1519" t="s">
        <v>331</v>
      </c>
      <c r="H1519" s="15">
        <v>45292</v>
      </c>
      <c r="I1519">
        <v>2400</v>
      </c>
      <c r="J1519">
        <v>0</v>
      </c>
    </row>
    <row r="1520" spans="1:10" x14ac:dyDescent="0.3">
      <c r="A1520" s="15">
        <v>45474</v>
      </c>
      <c r="B1520" t="s">
        <v>161</v>
      </c>
      <c r="C1520" t="s">
        <v>91</v>
      </c>
      <c r="D1520" t="s">
        <v>99</v>
      </c>
      <c r="E1520" t="s">
        <v>83</v>
      </c>
      <c r="F1520">
        <v>10100</v>
      </c>
      <c r="G1520" t="s">
        <v>331</v>
      </c>
      <c r="H1520" s="15">
        <v>45292</v>
      </c>
      <c r="I1520">
        <v>10100</v>
      </c>
      <c r="J1520">
        <v>0</v>
      </c>
    </row>
    <row r="1521" spans="1:10" x14ac:dyDescent="0.3">
      <c r="A1521" s="15">
        <v>45474</v>
      </c>
      <c r="B1521" t="s">
        <v>162</v>
      </c>
      <c r="C1521" t="s">
        <v>91</v>
      </c>
      <c r="D1521" t="s">
        <v>82</v>
      </c>
      <c r="E1521" t="s">
        <v>103</v>
      </c>
      <c r="F1521">
        <v>12700</v>
      </c>
      <c r="G1521" t="s">
        <v>331</v>
      </c>
      <c r="H1521" s="15">
        <v>45292</v>
      </c>
      <c r="I1521">
        <v>12700</v>
      </c>
      <c r="J1521">
        <v>0</v>
      </c>
    </row>
    <row r="1522" spans="1:10" x14ac:dyDescent="0.3">
      <c r="A1522" s="15">
        <v>45474</v>
      </c>
      <c r="B1522" t="s">
        <v>164</v>
      </c>
      <c r="C1522" t="s">
        <v>81</v>
      </c>
      <c r="D1522" t="s">
        <v>99</v>
      </c>
      <c r="E1522" t="s">
        <v>89</v>
      </c>
      <c r="F1522">
        <v>2500</v>
      </c>
      <c r="G1522" t="s">
        <v>331</v>
      </c>
      <c r="H1522" s="15">
        <v>45292</v>
      </c>
      <c r="I1522">
        <v>2500</v>
      </c>
      <c r="J1522">
        <v>0</v>
      </c>
    </row>
    <row r="1523" spans="1:10" x14ac:dyDescent="0.3">
      <c r="A1523" s="15">
        <v>45474</v>
      </c>
      <c r="B1523" t="s">
        <v>165</v>
      </c>
      <c r="C1523" t="s">
        <v>81</v>
      </c>
      <c r="D1523" t="s">
        <v>82</v>
      </c>
      <c r="E1523" t="s">
        <v>97</v>
      </c>
      <c r="F1523">
        <v>2700</v>
      </c>
      <c r="G1523" t="s">
        <v>331</v>
      </c>
      <c r="H1523" s="15">
        <v>45292</v>
      </c>
      <c r="I1523">
        <v>2700</v>
      </c>
      <c r="J1523">
        <v>0</v>
      </c>
    </row>
    <row r="1524" spans="1:10" x14ac:dyDescent="0.3">
      <c r="A1524" s="15">
        <v>45474</v>
      </c>
      <c r="B1524" t="s">
        <v>166</v>
      </c>
      <c r="C1524" t="s">
        <v>81</v>
      </c>
      <c r="D1524" t="s">
        <v>99</v>
      </c>
      <c r="E1524" t="s">
        <v>103</v>
      </c>
      <c r="F1524">
        <v>2600</v>
      </c>
      <c r="G1524" t="s">
        <v>331</v>
      </c>
      <c r="H1524" s="15">
        <v>45292</v>
      </c>
      <c r="I1524">
        <v>2600</v>
      </c>
      <c r="J1524">
        <v>0</v>
      </c>
    </row>
    <row r="1525" spans="1:10" x14ac:dyDescent="0.3">
      <c r="A1525" s="15">
        <v>45474</v>
      </c>
      <c r="B1525" t="s">
        <v>167</v>
      </c>
      <c r="C1525" t="s">
        <v>81</v>
      </c>
      <c r="D1525" t="s">
        <v>82</v>
      </c>
      <c r="E1525" t="s">
        <v>97</v>
      </c>
      <c r="F1525">
        <v>2100</v>
      </c>
      <c r="G1525" t="s">
        <v>331</v>
      </c>
      <c r="H1525" s="15">
        <v>45292</v>
      </c>
      <c r="I1525">
        <v>2100</v>
      </c>
      <c r="J1525">
        <v>0</v>
      </c>
    </row>
    <row r="1526" spans="1:10" x14ac:dyDescent="0.3">
      <c r="A1526" s="15">
        <v>45474</v>
      </c>
      <c r="B1526" t="s">
        <v>168</v>
      </c>
      <c r="C1526" t="s">
        <v>91</v>
      </c>
      <c r="D1526" t="s">
        <v>86</v>
      </c>
      <c r="E1526" t="s">
        <v>103</v>
      </c>
      <c r="F1526">
        <v>12300</v>
      </c>
      <c r="G1526" t="s">
        <v>331</v>
      </c>
      <c r="H1526" s="15">
        <v>45292</v>
      </c>
      <c r="I1526">
        <v>12300</v>
      </c>
      <c r="J1526">
        <v>0</v>
      </c>
    </row>
    <row r="1527" spans="1:10" x14ac:dyDescent="0.3">
      <c r="A1527" s="15">
        <v>45474</v>
      </c>
      <c r="B1527" t="s">
        <v>169</v>
      </c>
      <c r="C1527" t="s">
        <v>81</v>
      </c>
      <c r="D1527" t="s">
        <v>86</v>
      </c>
      <c r="E1527" t="s">
        <v>103</v>
      </c>
      <c r="F1527">
        <v>2000</v>
      </c>
      <c r="G1527" t="s">
        <v>331</v>
      </c>
      <c r="H1527" s="15">
        <v>45292</v>
      </c>
      <c r="I1527">
        <v>2000</v>
      </c>
      <c r="J1527">
        <v>0</v>
      </c>
    </row>
    <row r="1528" spans="1:10" x14ac:dyDescent="0.3">
      <c r="A1528" s="15">
        <v>45474</v>
      </c>
      <c r="B1528" t="s">
        <v>170</v>
      </c>
      <c r="C1528" t="s">
        <v>91</v>
      </c>
      <c r="D1528" t="s">
        <v>99</v>
      </c>
      <c r="E1528" t="s">
        <v>83</v>
      </c>
      <c r="F1528">
        <v>6500</v>
      </c>
      <c r="G1528" t="s">
        <v>331</v>
      </c>
      <c r="H1528" s="15">
        <v>45292</v>
      </c>
      <c r="I1528">
        <v>6500</v>
      </c>
      <c r="J1528">
        <v>0</v>
      </c>
    </row>
    <row r="1529" spans="1:10" x14ac:dyDescent="0.3">
      <c r="A1529" s="15">
        <v>45474</v>
      </c>
      <c r="B1529" t="s">
        <v>171</v>
      </c>
      <c r="C1529" t="s">
        <v>81</v>
      </c>
      <c r="D1529" t="s">
        <v>99</v>
      </c>
      <c r="E1529" t="s">
        <v>97</v>
      </c>
      <c r="F1529">
        <v>1800</v>
      </c>
      <c r="G1529" t="s">
        <v>331</v>
      </c>
      <c r="H1529" s="15">
        <v>45292</v>
      </c>
      <c r="I1529">
        <v>1800</v>
      </c>
      <c r="J1529">
        <v>0</v>
      </c>
    </row>
    <row r="1530" spans="1:10" x14ac:dyDescent="0.3">
      <c r="A1530" s="15">
        <v>45474</v>
      </c>
      <c r="B1530" t="s">
        <v>172</v>
      </c>
      <c r="C1530" t="s">
        <v>91</v>
      </c>
      <c r="D1530" t="s">
        <v>96</v>
      </c>
      <c r="E1530" t="s">
        <v>101</v>
      </c>
      <c r="F1530">
        <v>7700</v>
      </c>
      <c r="G1530" t="s">
        <v>331</v>
      </c>
      <c r="H1530" s="15">
        <v>45292</v>
      </c>
      <c r="I1530">
        <v>7700</v>
      </c>
      <c r="J1530">
        <v>0</v>
      </c>
    </row>
    <row r="1531" spans="1:10" x14ac:dyDescent="0.3">
      <c r="A1531" s="15">
        <v>45474</v>
      </c>
      <c r="B1531" t="s">
        <v>173</v>
      </c>
      <c r="C1531" t="s">
        <v>81</v>
      </c>
      <c r="D1531" t="s">
        <v>86</v>
      </c>
      <c r="E1531" t="s">
        <v>103</v>
      </c>
      <c r="F1531">
        <v>3700</v>
      </c>
      <c r="G1531" t="s">
        <v>331</v>
      </c>
      <c r="H1531" s="15">
        <v>45292</v>
      </c>
      <c r="I1531">
        <v>3700</v>
      </c>
      <c r="J1531">
        <v>0</v>
      </c>
    </row>
    <row r="1532" spans="1:10" x14ac:dyDescent="0.3">
      <c r="A1532" s="15">
        <v>45474</v>
      </c>
      <c r="B1532" t="s">
        <v>174</v>
      </c>
      <c r="C1532" t="s">
        <v>81</v>
      </c>
      <c r="D1532" t="s">
        <v>82</v>
      </c>
      <c r="E1532" t="s">
        <v>92</v>
      </c>
      <c r="F1532">
        <v>2400</v>
      </c>
      <c r="G1532" t="s">
        <v>331</v>
      </c>
      <c r="H1532" s="15">
        <v>45292</v>
      </c>
      <c r="I1532">
        <v>2400</v>
      </c>
      <c r="J1532">
        <v>0</v>
      </c>
    </row>
    <row r="1533" spans="1:10" x14ac:dyDescent="0.3">
      <c r="A1533" s="15">
        <v>45474</v>
      </c>
      <c r="B1533" t="s">
        <v>175</v>
      </c>
      <c r="C1533" t="s">
        <v>91</v>
      </c>
      <c r="D1533" t="s">
        <v>96</v>
      </c>
      <c r="E1533" t="s">
        <v>83</v>
      </c>
      <c r="F1533">
        <v>8800</v>
      </c>
      <c r="G1533" t="s">
        <v>331</v>
      </c>
      <c r="H1533" s="15">
        <v>45292</v>
      </c>
      <c r="I1533">
        <v>8800</v>
      </c>
      <c r="J1533">
        <v>0</v>
      </c>
    </row>
    <row r="1534" spans="1:10" x14ac:dyDescent="0.3">
      <c r="A1534" s="15">
        <v>45474</v>
      </c>
      <c r="B1534" t="s">
        <v>176</v>
      </c>
      <c r="C1534" t="s">
        <v>81</v>
      </c>
      <c r="D1534" t="s">
        <v>99</v>
      </c>
      <c r="E1534" t="s">
        <v>92</v>
      </c>
      <c r="F1534">
        <v>2900</v>
      </c>
      <c r="G1534" t="s">
        <v>331</v>
      </c>
      <c r="H1534" s="15">
        <v>45292</v>
      </c>
      <c r="I1534">
        <v>2900</v>
      </c>
      <c r="J1534">
        <v>0</v>
      </c>
    </row>
    <row r="1535" spans="1:10" x14ac:dyDescent="0.3">
      <c r="A1535" s="15">
        <v>45474</v>
      </c>
      <c r="B1535" t="s">
        <v>177</v>
      </c>
      <c r="C1535" t="s">
        <v>81</v>
      </c>
      <c r="D1535" t="s">
        <v>96</v>
      </c>
      <c r="E1535" t="s">
        <v>83</v>
      </c>
      <c r="F1535">
        <v>2900</v>
      </c>
      <c r="G1535" t="s">
        <v>331</v>
      </c>
      <c r="H1535" s="15">
        <v>45292</v>
      </c>
      <c r="I1535">
        <v>2900</v>
      </c>
      <c r="J1535">
        <v>0</v>
      </c>
    </row>
    <row r="1536" spans="1:10" x14ac:dyDescent="0.3">
      <c r="A1536" s="15">
        <v>45474</v>
      </c>
      <c r="B1536" t="s">
        <v>178</v>
      </c>
      <c r="C1536" t="s">
        <v>91</v>
      </c>
      <c r="D1536" t="s">
        <v>82</v>
      </c>
      <c r="E1536" t="s">
        <v>89</v>
      </c>
      <c r="F1536">
        <v>8400</v>
      </c>
      <c r="G1536" t="s">
        <v>331</v>
      </c>
      <c r="H1536" s="15">
        <v>45292</v>
      </c>
      <c r="I1536">
        <v>8400</v>
      </c>
      <c r="J1536">
        <v>0</v>
      </c>
    </row>
    <row r="1537" spans="1:10" x14ac:dyDescent="0.3">
      <c r="A1537" s="15">
        <v>45474</v>
      </c>
      <c r="B1537" t="s">
        <v>179</v>
      </c>
      <c r="C1537" t="s">
        <v>110</v>
      </c>
      <c r="D1537" t="s">
        <v>86</v>
      </c>
      <c r="E1537" t="s">
        <v>87</v>
      </c>
      <c r="F1537">
        <v>30000</v>
      </c>
      <c r="G1537" t="s">
        <v>331</v>
      </c>
      <c r="H1537" s="15">
        <v>45292</v>
      </c>
      <c r="I1537">
        <v>30000</v>
      </c>
      <c r="J1537">
        <v>0</v>
      </c>
    </row>
    <row r="1538" spans="1:10" x14ac:dyDescent="0.3">
      <c r="A1538" s="15">
        <v>45474</v>
      </c>
      <c r="B1538" t="s">
        <v>180</v>
      </c>
      <c r="C1538" t="s">
        <v>91</v>
      </c>
      <c r="D1538" t="s">
        <v>86</v>
      </c>
      <c r="E1538" t="s">
        <v>83</v>
      </c>
      <c r="F1538">
        <v>8500</v>
      </c>
      <c r="G1538" t="s">
        <v>331</v>
      </c>
      <c r="H1538" s="15">
        <v>45292</v>
      </c>
      <c r="I1538">
        <v>8500</v>
      </c>
      <c r="J1538">
        <v>0</v>
      </c>
    </row>
    <row r="1539" spans="1:10" x14ac:dyDescent="0.3">
      <c r="A1539" s="15">
        <v>45474</v>
      </c>
      <c r="B1539" t="s">
        <v>181</v>
      </c>
      <c r="C1539" t="s">
        <v>91</v>
      </c>
      <c r="D1539" t="s">
        <v>82</v>
      </c>
      <c r="E1539" t="s">
        <v>97</v>
      </c>
      <c r="F1539">
        <v>10100</v>
      </c>
      <c r="G1539" t="s">
        <v>331</v>
      </c>
      <c r="H1539" s="15">
        <v>45292</v>
      </c>
      <c r="I1539">
        <v>10100</v>
      </c>
      <c r="J1539">
        <v>0</v>
      </c>
    </row>
    <row r="1540" spans="1:10" x14ac:dyDescent="0.3">
      <c r="A1540" s="15">
        <v>45474</v>
      </c>
      <c r="B1540" t="s">
        <v>182</v>
      </c>
      <c r="C1540" t="s">
        <v>125</v>
      </c>
      <c r="D1540" t="s">
        <v>82</v>
      </c>
      <c r="E1540" t="s">
        <v>92</v>
      </c>
      <c r="F1540">
        <v>80700</v>
      </c>
      <c r="G1540" t="s">
        <v>331</v>
      </c>
      <c r="H1540" s="15">
        <v>45292</v>
      </c>
      <c r="I1540">
        <v>80700</v>
      </c>
      <c r="J1540">
        <v>0</v>
      </c>
    </row>
    <row r="1541" spans="1:10" x14ac:dyDescent="0.3">
      <c r="A1541" s="15">
        <v>45474</v>
      </c>
      <c r="B1541" t="s">
        <v>183</v>
      </c>
      <c r="C1541" t="s">
        <v>91</v>
      </c>
      <c r="D1541" t="s">
        <v>96</v>
      </c>
      <c r="E1541" t="s">
        <v>92</v>
      </c>
      <c r="F1541">
        <v>9500</v>
      </c>
      <c r="G1541" t="s">
        <v>331</v>
      </c>
      <c r="H1541" s="15">
        <v>45292</v>
      </c>
      <c r="I1541">
        <v>9500</v>
      </c>
      <c r="J1541">
        <v>0</v>
      </c>
    </row>
    <row r="1542" spans="1:10" x14ac:dyDescent="0.3">
      <c r="A1542" s="15">
        <v>45474</v>
      </c>
      <c r="B1542" t="s">
        <v>184</v>
      </c>
      <c r="C1542" t="s">
        <v>81</v>
      </c>
      <c r="D1542" t="s">
        <v>82</v>
      </c>
      <c r="E1542" t="s">
        <v>83</v>
      </c>
      <c r="F1542">
        <v>2600</v>
      </c>
      <c r="G1542" t="s">
        <v>331</v>
      </c>
      <c r="H1542" s="15">
        <v>45292</v>
      </c>
      <c r="I1542">
        <v>2600</v>
      </c>
      <c r="J1542">
        <v>0</v>
      </c>
    </row>
    <row r="1543" spans="1:10" x14ac:dyDescent="0.3">
      <c r="A1543" s="15">
        <v>45474</v>
      </c>
      <c r="B1543" t="s">
        <v>185</v>
      </c>
      <c r="C1543" t="s">
        <v>81</v>
      </c>
      <c r="D1543" t="s">
        <v>96</v>
      </c>
      <c r="E1543" t="s">
        <v>97</v>
      </c>
      <c r="F1543">
        <v>2000</v>
      </c>
      <c r="G1543" t="s">
        <v>331</v>
      </c>
      <c r="H1543" s="15">
        <v>45292</v>
      </c>
      <c r="I1543">
        <v>2000</v>
      </c>
      <c r="J1543">
        <v>0</v>
      </c>
    </row>
    <row r="1544" spans="1:10" x14ac:dyDescent="0.3">
      <c r="A1544" s="15">
        <v>45474</v>
      </c>
      <c r="B1544" t="s">
        <v>186</v>
      </c>
      <c r="C1544" t="s">
        <v>91</v>
      </c>
      <c r="D1544" t="s">
        <v>82</v>
      </c>
      <c r="E1544" t="s">
        <v>103</v>
      </c>
      <c r="F1544">
        <v>12100</v>
      </c>
      <c r="G1544" t="s">
        <v>331</v>
      </c>
      <c r="H1544" s="15">
        <v>45292</v>
      </c>
      <c r="I1544">
        <v>12100</v>
      </c>
      <c r="J1544">
        <v>0</v>
      </c>
    </row>
    <row r="1545" spans="1:10" x14ac:dyDescent="0.3">
      <c r="A1545" s="15">
        <v>45474</v>
      </c>
      <c r="B1545" t="s">
        <v>187</v>
      </c>
      <c r="C1545" t="s">
        <v>110</v>
      </c>
      <c r="D1545" t="s">
        <v>86</v>
      </c>
      <c r="E1545" t="s">
        <v>97</v>
      </c>
      <c r="F1545">
        <v>32300</v>
      </c>
      <c r="G1545" t="s">
        <v>331</v>
      </c>
      <c r="H1545" s="15">
        <v>45292</v>
      </c>
      <c r="I1545">
        <v>32300</v>
      </c>
      <c r="J1545">
        <v>0</v>
      </c>
    </row>
    <row r="1546" spans="1:10" x14ac:dyDescent="0.3">
      <c r="A1546" s="15">
        <v>45474</v>
      </c>
      <c r="B1546" t="s">
        <v>188</v>
      </c>
      <c r="C1546" t="s">
        <v>91</v>
      </c>
      <c r="D1546" t="s">
        <v>82</v>
      </c>
      <c r="E1546" t="s">
        <v>92</v>
      </c>
      <c r="F1546">
        <v>12000</v>
      </c>
      <c r="G1546" t="s">
        <v>331</v>
      </c>
      <c r="H1546" s="15">
        <v>45292</v>
      </c>
      <c r="I1546">
        <v>12000</v>
      </c>
      <c r="J1546">
        <v>0</v>
      </c>
    </row>
    <row r="1547" spans="1:10" x14ac:dyDescent="0.3">
      <c r="A1547" s="15">
        <v>45474</v>
      </c>
      <c r="B1547" t="s">
        <v>189</v>
      </c>
      <c r="C1547" t="s">
        <v>81</v>
      </c>
      <c r="D1547" t="s">
        <v>86</v>
      </c>
      <c r="E1547" t="s">
        <v>103</v>
      </c>
      <c r="F1547">
        <v>2000</v>
      </c>
      <c r="G1547" t="s">
        <v>331</v>
      </c>
      <c r="H1547" s="15">
        <v>45292</v>
      </c>
      <c r="I1547">
        <v>2000</v>
      </c>
      <c r="J1547">
        <v>0</v>
      </c>
    </row>
    <row r="1548" spans="1:10" x14ac:dyDescent="0.3">
      <c r="A1548" s="15">
        <v>45474</v>
      </c>
      <c r="B1548" t="s">
        <v>190</v>
      </c>
      <c r="C1548" t="s">
        <v>81</v>
      </c>
      <c r="D1548" t="s">
        <v>99</v>
      </c>
      <c r="E1548" t="s">
        <v>89</v>
      </c>
      <c r="F1548">
        <v>2000</v>
      </c>
      <c r="G1548" t="s">
        <v>331</v>
      </c>
      <c r="H1548" s="15">
        <v>45292</v>
      </c>
      <c r="I1548">
        <v>2000</v>
      </c>
      <c r="J1548">
        <v>0</v>
      </c>
    </row>
    <row r="1549" spans="1:10" x14ac:dyDescent="0.3">
      <c r="A1549" s="15">
        <v>45474</v>
      </c>
      <c r="B1549" t="s">
        <v>191</v>
      </c>
      <c r="C1549" t="s">
        <v>91</v>
      </c>
      <c r="D1549" t="s">
        <v>86</v>
      </c>
      <c r="E1549" t="s">
        <v>87</v>
      </c>
      <c r="F1549">
        <v>6900</v>
      </c>
      <c r="G1549" t="s">
        <v>331</v>
      </c>
      <c r="H1549" s="15">
        <v>45292</v>
      </c>
      <c r="I1549">
        <v>6900</v>
      </c>
      <c r="J1549">
        <v>0</v>
      </c>
    </row>
    <row r="1550" spans="1:10" x14ac:dyDescent="0.3">
      <c r="A1550" s="15">
        <v>45474</v>
      </c>
      <c r="B1550" t="s">
        <v>192</v>
      </c>
      <c r="C1550" t="s">
        <v>81</v>
      </c>
      <c r="D1550" t="s">
        <v>82</v>
      </c>
      <c r="E1550" t="s">
        <v>97</v>
      </c>
      <c r="F1550">
        <v>2700</v>
      </c>
      <c r="G1550" t="s">
        <v>331</v>
      </c>
      <c r="H1550" s="15">
        <v>45292</v>
      </c>
      <c r="I1550">
        <v>2700</v>
      </c>
      <c r="J1550">
        <v>0</v>
      </c>
    </row>
    <row r="1551" spans="1:10" x14ac:dyDescent="0.3">
      <c r="A1551" s="15">
        <v>45474</v>
      </c>
      <c r="B1551" t="s">
        <v>193</v>
      </c>
      <c r="C1551" t="s">
        <v>81</v>
      </c>
      <c r="D1551" t="s">
        <v>82</v>
      </c>
      <c r="E1551" t="s">
        <v>87</v>
      </c>
      <c r="F1551">
        <v>3200</v>
      </c>
      <c r="G1551" t="s">
        <v>331</v>
      </c>
      <c r="H1551" s="15">
        <v>45292</v>
      </c>
      <c r="I1551">
        <v>3200</v>
      </c>
      <c r="J1551">
        <v>0</v>
      </c>
    </row>
    <row r="1552" spans="1:10" x14ac:dyDescent="0.3">
      <c r="A1552" s="15">
        <v>45474</v>
      </c>
      <c r="B1552" t="s">
        <v>194</v>
      </c>
      <c r="C1552" t="s">
        <v>91</v>
      </c>
      <c r="D1552" t="s">
        <v>82</v>
      </c>
      <c r="E1552" t="s">
        <v>101</v>
      </c>
      <c r="F1552">
        <v>10400</v>
      </c>
      <c r="G1552" t="s">
        <v>331</v>
      </c>
      <c r="H1552" s="15">
        <v>45292</v>
      </c>
      <c r="I1552">
        <v>10400</v>
      </c>
      <c r="J1552">
        <v>0</v>
      </c>
    </row>
    <row r="1553" spans="1:10" x14ac:dyDescent="0.3">
      <c r="A1553" s="15">
        <v>45474</v>
      </c>
      <c r="B1553" t="s">
        <v>195</v>
      </c>
      <c r="C1553" t="s">
        <v>91</v>
      </c>
      <c r="D1553" t="s">
        <v>86</v>
      </c>
      <c r="E1553" t="s">
        <v>97</v>
      </c>
      <c r="F1553">
        <v>6800</v>
      </c>
      <c r="G1553" t="s">
        <v>331</v>
      </c>
      <c r="H1553" s="15">
        <v>45292</v>
      </c>
      <c r="I1553">
        <v>6800</v>
      </c>
      <c r="J1553">
        <v>0</v>
      </c>
    </row>
    <row r="1554" spans="1:10" x14ac:dyDescent="0.3">
      <c r="A1554" s="15">
        <v>45474</v>
      </c>
      <c r="B1554" t="s">
        <v>196</v>
      </c>
      <c r="C1554" t="s">
        <v>81</v>
      </c>
      <c r="D1554" t="s">
        <v>86</v>
      </c>
      <c r="E1554" t="s">
        <v>87</v>
      </c>
      <c r="F1554">
        <v>2600</v>
      </c>
      <c r="G1554" t="s">
        <v>331</v>
      </c>
      <c r="H1554" s="15">
        <v>45292</v>
      </c>
      <c r="I1554">
        <v>2600</v>
      </c>
      <c r="J1554">
        <v>0</v>
      </c>
    </row>
    <row r="1555" spans="1:10" x14ac:dyDescent="0.3">
      <c r="A1555" s="15">
        <v>45474</v>
      </c>
      <c r="B1555" t="s">
        <v>197</v>
      </c>
      <c r="C1555" t="s">
        <v>91</v>
      </c>
      <c r="D1555" t="s">
        <v>82</v>
      </c>
      <c r="E1555" t="s">
        <v>89</v>
      </c>
      <c r="F1555">
        <v>10400</v>
      </c>
      <c r="G1555" t="s">
        <v>331</v>
      </c>
      <c r="H1555" s="15">
        <v>45292</v>
      </c>
      <c r="I1555">
        <v>10400</v>
      </c>
      <c r="J1555">
        <v>0</v>
      </c>
    </row>
    <row r="1556" spans="1:10" x14ac:dyDescent="0.3">
      <c r="A1556" s="15">
        <v>45474</v>
      </c>
      <c r="B1556" t="s">
        <v>198</v>
      </c>
      <c r="C1556" t="s">
        <v>81</v>
      </c>
      <c r="D1556" t="s">
        <v>82</v>
      </c>
      <c r="E1556" t="s">
        <v>89</v>
      </c>
      <c r="F1556">
        <v>2900</v>
      </c>
      <c r="G1556" t="s">
        <v>331</v>
      </c>
      <c r="H1556" s="15">
        <v>45292</v>
      </c>
      <c r="I1556">
        <v>2900</v>
      </c>
      <c r="J1556">
        <v>0</v>
      </c>
    </row>
    <row r="1557" spans="1:10" x14ac:dyDescent="0.3">
      <c r="A1557" s="15">
        <v>45474</v>
      </c>
      <c r="B1557" t="s">
        <v>199</v>
      </c>
      <c r="C1557" t="s">
        <v>81</v>
      </c>
      <c r="D1557" t="s">
        <v>86</v>
      </c>
      <c r="E1557" t="s">
        <v>89</v>
      </c>
      <c r="F1557">
        <v>2200</v>
      </c>
      <c r="G1557" t="s">
        <v>331</v>
      </c>
      <c r="H1557" s="15">
        <v>45292</v>
      </c>
      <c r="I1557">
        <v>2200</v>
      </c>
      <c r="J1557">
        <v>0</v>
      </c>
    </row>
    <row r="1558" spans="1:10" x14ac:dyDescent="0.3">
      <c r="A1558" s="15">
        <v>45474</v>
      </c>
      <c r="B1558" t="s">
        <v>200</v>
      </c>
      <c r="C1558" t="s">
        <v>91</v>
      </c>
      <c r="D1558" t="s">
        <v>86</v>
      </c>
      <c r="E1558" t="s">
        <v>92</v>
      </c>
      <c r="F1558">
        <v>8400</v>
      </c>
      <c r="G1558" t="s">
        <v>331</v>
      </c>
      <c r="H1558" s="15">
        <v>45292</v>
      </c>
      <c r="I1558">
        <v>8400</v>
      </c>
      <c r="J1558">
        <v>0</v>
      </c>
    </row>
    <row r="1559" spans="1:10" x14ac:dyDescent="0.3">
      <c r="A1559" s="15">
        <v>45474</v>
      </c>
      <c r="B1559" t="s">
        <v>201</v>
      </c>
      <c r="C1559" t="s">
        <v>81</v>
      </c>
      <c r="D1559" t="s">
        <v>86</v>
      </c>
      <c r="E1559" t="s">
        <v>83</v>
      </c>
      <c r="F1559">
        <v>1800</v>
      </c>
      <c r="G1559" t="s">
        <v>331</v>
      </c>
      <c r="H1559" s="15">
        <v>45292</v>
      </c>
      <c r="I1559">
        <v>1800</v>
      </c>
      <c r="J1559">
        <v>0</v>
      </c>
    </row>
    <row r="1560" spans="1:10" x14ac:dyDescent="0.3">
      <c r="A1560" s="15">
        <v>45474</v>
      </c>
      <c r="B1560" t="s">
        <v>202</v>
      </c>
      <c r="C1560" t="s">
        <v>91</v>
      </c>
      <c r="D1560" t="s">
        <v>82</v>
      </c>
      <c r="E1560" t="s">
        <v>92</v>
      </c>
      <c r="F1560">
        <v>11000</v>
      </c>
      <c r="G1560" t="s">
        <v>331</v>
      </c>
      <c r="H1560" s="15">
        <v>45292</v>
      </c>
      <c r="I1560">
        <v>11000</v>
      </c>
      <c r="J1560">
        <v>0</v>
      </c>
    </row>
    <row r="1561" spans="1:10" x14ac:dyDescent="0.3">
      <c r="A1561" s="15">
        <v>45474</v>
      </c>
      <c r="B1561" t="s">
        <v>203</v>
      </c>
      <c r="C1561" t="s">
        <v>110</v>
      </c>
      <c r="D1561" t="s">
        <v>86</v>
      </c>
      <c r="E1561" t="s">
        <v>92</v>
      </c>
      <c r="F1561">
        <v>32000</v>
      </c>
      <c r="G1561" t="s">
        <v>331</v>
      </c>
      <c r="H1561" s="15">
        <v>45292</v>
      </c>
      <c r="I1561">
        <v>32000</v>
      </c>
      <c r="J1561">
        <v>0</v>
      </c>
    </row>
    <row r="1562" spans="1:10" x14ac:dyDescent="0.3">
      <c r="A1562" s="15">
        <v>45474</v>
      </c>
      <c r="B1562" t="s">
        <v>204</v>
      </c>
      <c r="C1562" t="s">
        <v>81</v>
      </c>
      <c r="D1562" t="s">
        <v>82</v>
      </c>
      <c r="E1562" t="s">
        <v>87</v>
      </c>
      <c r="F1562">
        <v>2200</v>
      </c>
      <c r="G1562" t="s">
        <v>331</v>
      </c>
      <c r="H1562" s="15">
        <v>45292</v>
      </c>
      <c r="I1562">
        <v>2200</v>
      </c>
      <c r="J1562">
        <v>0</v>
      </c>
    </row>
    <row r="1563" spans="1:10" x14ac:dyDescent="0.3">
      <c r="A1563" s="15">
        <v>45474</v>
      </c>
      <c r="B1563" t="s">
        <v>205</v>
      </c>
      <c r="C1563" t="s">
        <v>91</v>
      </c>
      <c r="D1563" t="s">
        <v>86</v>
      </c>
      <c r="E1563" t="s">
        <v>103</v>
      </c>
      <c r="F1563">
        <v>10600</v>
      </c>
      <c r="G1563" t="s">
        <v>331</v>
      </c>
      <c r="H1563" s="15">
        <v>45292</v>
      </c>
      <c r="I1563">
        <v>10600</v>
      </c>
      <c r="J1563">
        <v>0</v>
      </c>
    </row>
    <row r="1564" spans="1:10" x14ac:dyDescent="0.3">
      <c r="A1564" s="15">
        <v>45474</v>
      </c>
      <c r="B1564" t="s">
        <v>206</v>
      </c>
      <c r="C1564" t="s">
        <v>81</v>
      </c>
      <c r="D1564" t="s">
        <v>86</v>
      </c>
      <c r="E1564" t="s">
        <v>89</v>
      </c>
      <c r="F1564">
        <v>3000</v>
      </c>
      <c r="G1564" t="s">
        <v>331</v>
      </c>
      <c r="H1564" s="15">
        <v>45292</v>
      </c>
      <c r="I1564">
        <v>3000</v>
      </c>
      <c r="J1564">
        <v>0</v>
      </c>
    </row>
    <row r="1565" spans="1:10" x14ac:dyDescent="0.3">
      <c r="A1565" s="15">
        <v>45474</v>
      </c>
      <c r="B1565" t="s">
        <v>207</v>
      </c>
      <c r="C1565" t="s">
        <v>81</v>
      </c>
      <c r="D1565" t="s">
        <v>82</v>
      </c>
      <c r="E1565" t="s">
        <v>89</v>
      </c>
      <c r="F1565">
        <v>4100</v>
      </c>
      <c r="G1565" t="s">
        <v>331</v>
      </c>
      <c r="H1565" s="15">
        <v>45292</v>
      </c>
      <c r="I1565">
        <v>4100</v>
      </c>
      <c r="J1565">
        <v>0</v>
      </c>
    </row>
    <row r="1566" spans="1:10" x14ac:dyDescent="0.3">
      <c r="A1566" s="15">
        <v>45474</v>
      </c>
      <c r="B1566" t="s">
        <v>208</v>
      </c>
      <c r="C1566" t="s">
        <v>91</v>
      </c>
      <c r="D1566" t="s">
        <v>99</v>
      </c>
      <c r="E1566" t="s">
        <v>89</v>
      </c>
      <c r="F1566">
        <v>7300</v>
      </c>
      <c r="G1566" t="s">
        <v>331</v>
      </c>
      <c r="H1566" s="15">
        <v>45292</v>
      </c>
      <c r="I1566">
        <v>7300</v>
      </c>
      <c r="J1566">
        <v>0</v>
      </c>
    </row>
    <row r="1567" spans="1:10" x14ac:dyDescent="0.3">
      <c r="A1567" s="15">
        <v>45474</v>
      </c>
      <c r="B1567" t="s">
        <v>209</v>
      </c>
      <c r="C1567" t="s">
        <v>81</v>
      </c>
      <c r="D1567" t="s">
        <v>86</v>
      </c>
      <c r="E1567" t="s">
        <v>83</v>
      </c>
      <c r="F1567">
        <v>2700</v>
      </c>
      <c r="G1567" t="s">
        <v>331</v>
      </c>
      <c r="H1567" s="15">
        <v>45292</v>
      </c>
      <c r="I1567">
        <v>2700</v>
      </c>
      <c r="J1567">
        <v>0</v>
      </c>
    </row>
    <row r="1568" spans="1:10" x14ac:dyDescent="0.3">
      <c r="A1568" s="15">
        <v>45474</v>
      </c>
      <c r="B1568" t="s">
        <v>210</v>
      </c>
      <c r="C1568" t="s">
        <v>125</v>
      </c>
      <c r="D1568" t="s">
        <v>96</v>
      </c>
      <c r="E1568" t="s">
        <v>89</v>
      </c>
      <c r="F1568">
        <v>90300</v>
      </c>
      <c r="G1568" t="s">
        <v>331</v>
      </c>
      <c r="H1568" s="15">
        <v>45292</v>
      </c>
      <c r="I1568">
        <v>90300</v>
      </c>
      <c r="J1568">
        <v>0</v>
      </c>
    </row>
    <row r="1569" spans="1:10" x14ac:dyDescent="0.3">
      <c r="A1569" s="15">
        <v>45474</v>
      </c>
      <c r="B1569" t="s">
        <v>211</v>
      </c>
      <c r="C1569" t="s">
        <v>110</v>
      </c>
      <c r="D1569" t="s">
        <v>82</v>
      </c>
      <c r="E1569" t="s">
        <v>92</v>
      </c>
      <c r="F1569">
        <v>28900</v>
      </c>
      <c r="G1569" t="s">
        <v>331</v>
      </c>
      <c r="H1569" s="15">
        <v>45292</v>
      </c>
      <c r="I1569">
        <v>28900</v>
      </c>
      <c r="J1569">
        <v>0</v>
      </c>
    </row>
    <row r="1570" spans="1:10" x14ac:dyDescent="0.3">
      <c r="A1570" s="15">
        <v>45474</v>
      </c>
      <c r="B1570" t="s">
        <v>212</v>
      </c>
      <c r="C1570" t="s">
        <v>81</v>
      </c>
      <c r="D1570" t="s">
        <v>96</v>
      </c>
      <c r="E1570" t="s">
        <v>101</v>
      </c>
      <c r="F1570">
        <v>2700</v>
      </c>
      <c r="G1570" t="s">
        <v>331</v>
      </c>
      <c r="H1570" s="15">
        <v>45292</v>
      </c>
      <c r="I1570">
        <v>2700</v>
      </c>
      <c r="J1570">
        <v>0</v>
      </c>
    </row>
    <row r="1571" spans="1:10" x14ac:dyDescent="0.3">
      <c r="A1571" s="15">
        <v>45474</v>
      </c>
      <c r="B1571" t="s">
        <v>213</v>
      </c>
      <c r="C1571" t="s">
        <v>81</v>
      </c>
      <c r="D1571" t="s">
        <v>82</v>
      </c>
      <c r="E1571" t="s">
        <v>97</v>
      </c>
      <c r="F1571">
        <v>3300</v>
      </c>
      <c r="G1571" t="s">
        <v>331</v>
      </c>
      <c r="H1571" s="15">
        <v>45292</v>
      </c>
      <c r="I1571">
        <v>3300</v>
      </c>
      <c r="J1571">
        <v>0</v>
      </c>
    </row>
    <row r="1572" spans="1:10" x14ac:dyDescent="0.3">
      <c r="A1572" s="15">
        <v>45474</v>
      </c>
      <c r="B1572" t="s">
        <v>214</v>
      </c>
      <c r="C1572" t="s">
        <v>91</v>
      </c>
      <c r="D1572" t="s">
        <v>82</v>
      </c>
      <c r="E1572" t="s">
        <v>89</v>
      </c>
      <c r="F1572">
        <v>8700</v>
      </c>
      <c r="G1572" t="s">
        <v>331</v>
      </c>
      <c r="H1572" s="15">
        <v>45292</v>
      </c>
      <c r="I1572">
        <v>8700</v>
      </c>
      <c r="J1572">
        <v>0</v>
      </c>
    </row>
    <row r="1573" spans="1:10" x14ac:dyDescent="0.3">
      <c r="A1573" s="15">
        <v>45474</v>
      </c>
      <c r="B1573" t="s">
        <v>215</v>
      </c>
      <c r="C1573" t="s">
        <v>110</v>
      </c>
      <c r="D1573" t="s">
        <v>99</v>
      </c>
      <c r="E1573" t="s">
        <v>89</v>
      </c>
      <c r="F1573">
        <v>42900</v>
      </c>
      <c r="G1573" t="s">
        <v>331</v>
      </c>
      <c r="H1573" s="15">
        <v>45292</v>
      </c>
      <c r="I1573">
        <v>42900</v>
      </c>
      <c r="J1573">
        <v>0</v>
      </c>
    </row>
    <row r="1574" spans="1:10" x14ac:dyDescent="0.3">
      <c r="A1574" s="15">
        <v>45474</v>
      </c>
      <c r="B1574" t="s">
        <v>216</v>
      </c>
      <c r="C1574" t="s">
        <v>81</v>
      </c>
      <c r="D1574" t="s">
        <v>82</v>
      </c>
      <c r="E1574" t="s">
        <v>97</v>
      </c>
      <c r="F1574">
        <v>3100</v>
      </c>
      <c r="G1574" t="s">
        <v>331</v>
      </c>
      <c r="H1574" s="15">
        <v>45292</v>
      </c>
      <c r="I1574">
        <v>3100</v>
      </c>
      <c r="J1574">
        <v>0</v>
      </c>
    </row>
    <row r="1575" spans="1:10" x14ac:dyDescent="0.3">
      <c r="A1575" s="15">
        <v>45474</v>
      </c>
      <c r="B1575" t="s">
        <v>217</v>
      </c>
      <c r="C1575" t="s">
        <v>91</v>
      </c>
      <c r="D1575" t="s">
        <v>82</v>
      </c>
      <c r="E1575" t="s">
        <v>97</v>
      </c>
      <c r="F1575">
        <v>8400</v>
      </c>
      <c r="G1575" t="s">
        <v>331</v>
      </c>
      <c r="H1575" s="15">
        <v>45292</v>
      </c>
      <c r="I1575">
        <v>8400</v>
      </c>
      <c r="J1575">
        <v>0</v>
      </c>
    </row>
    <row r="1576" spans="1:10" x14ac:dyDescent="0.3">
      <c r="A1576" s="15">
        <v>45474</v>
      </c>
      <c r="B1576" t="s">
        <v>218</v>
      </c>
      <c r="C1576" t="s">
        <v>110</v>
      </c>
      <c r="D1576" t="s">
        <v>99</v>
      </c>
      <c r="E1576" t="s">
        <v>92</v>
      </c>
      <c r="F1576">
        <v>29900</v>
      </c>
      <c r="G1576" t="s">
        <v>331</v>
      </c>
      <c r="H1576" s="15">
        <v>45292</v>
      </c>
      <c r="I1576">
        <v>29900</v>
      </c>
      <c r="J1576">
        <v>0</v>
      </c>
    </row>
    <row r="1577" spans="1:10" x14ac:dyDescent="0.3">
      <c r="A1577" s="15">
        <v>45474</v>
      </c>
      <c r="B1577" t="s">
        <v>219</v>
      </c>
      <c r="C1577" t="s">
        <v>81</v>
      </c>
      <c r="D1577" t="s">
        <v>99</v>
      </c>
      <c r="E1577" t="s">
        <v>89</v>
      </c>
      <c r="F1577">
        <v>2500</v>
      </c>
      <c r="G1577" t="s">
        <v>331</v>
      </c>
      <c r="H1577" s="15">
        <v>45292</v>
      </c>
      <c r="I1577">
        <v>2500</v>
      </c>
      <c r="J1577">
        <v>0</v>
      </c>
    </row>
    <row r="1578" spans="1:10" x14ac:dyDescent="0.3">
      <c r="A1578" s="15">
        <v>45474</v>
      </c>
      <c r="B1578" t="s">
        <v>220</v>
      </c>
      <c r="C1578" t="s">
        <v>110</v>
      </c>
      <c r="D1578" t="s">
        <v>82</v>
      </c>
      <c r="E1578" t="s">
        <v>89</v>
      </c>
      <c r="F1578">
        <v>30800</v>
      </c>
      <c r="G1578" t="s">
        <v>331</v>
      </c>
      <c r="H1578" s="15">
        <v>45292</v>
      </c>
      <c r="I1578">
        <v>30800</v>
      </c>
      <c r="J1578">
        <v>0</v>
      </c>
    </row>
    <row r="1579" spans="1:10" x14ac:dyDescent="0.3">
      <c r="A1579" s="15">
        <v>45474</v>
      </c>
      <c r="B1579" t="s">
        <v>221</v>
      </c>
      <c r="C1579" t="s">
        <v>91</v>
      </c>
      <c r="D1579" t="s">
        <v>96</v>
      </c>
      <c r="E1579" t="s">
        <v>83</v>
      </c>
      <c r="F1579">
        <v>8200</v>
      </c>
      <c r="G1579" t="s">
        <v>331</v>
      </c>
      <c r="H1579" s="15">
        <v>45292</v>
      </c>
      <c r="I1579">
        <v>8200</v>
      </c>
      <c r="J1579">
        <v>0</v>
      </c>
    </row>
    <row r="1580" spans="1:10" x14ac:dyDescent="0.3">
      <c r="A1580" s="15">
        <v>45474</v>
      </c>
      <c r="B1580" t="s">
        <v>222</v>
      </c>
      <c r="C1580" t="s">
        <v>110</v>
      </c>
      <c r="D1580" t="s">
        <v>96</v>
      </c>
      <c r="E1580" t="s">
        <v>97</v>
      </c>
      <c r="F1580">
        <v>26100</v>
      </c>
      <c r="G1580" t="s">
        <v>331</v>
      </c>
      <c r="H1580" s="15">
        <v>45292</v>
      </c>
      <c r="I1580">
        <v>26100</v>
      </c>
      <c r="J1580">
        <v>0</v>
      </c>
    </row>
    <row r="1581" spans="1:10" x14ac:dyDescent="0.3">
      <c r="A1581" s="15">
        <v>45474</v>
      </c>
      <c r="B1581" t="s">
        <v>223</v>
      </c>
      <c r="C1581" t="s">
        <v>81</v>
      </c>
      <c r="D1581" t="s">
        <v>99</v>
      </c>
      <c r="E1581" t="s">
        <v>87</v>
      </c>
      <c r="F1581">
        <v>2100</v>
      </c>
      <c r="G1581" t="s">
        <v>331</v>
      </c>
      <c r="H1581" s="15">
        <v>45292</v>
      </c>
      <c r="I1581">
        <v>2100</v>
      </c>
      <c r="J1581">
        <v>0</v>
      </c>
    </row>
    <row r="1582" spans="1:10" x14ac:dyDescent="0.3">
      <c r="A1582" s="15">
        <v>45474</v>
      </c>
      <c r="B1582" t="s">
        <v>224</v>
      </c>
      <c r="C1582" t="s">
        <v>91</v>
      </c>
      <c r="D1582" t="s">
        <v>82</v>
      </c>
      <c r="E1582" t="s">
        <v>101</v>
      </c>
      <c r="F1582">
        <v>10300</v>
      </c>
      <c r="G1582" t="s">
        <v>331</v>
      </c>
      <c r="H1582" s="15">
        <v>45292</v>
      </c>
      <c r="I1582">
        <v>10300</v>
      </c>
      <c r="J1582">
        <v>0</v>
      </c>
    </row>
    <row r="1583" spans="1:10" x14ac:dyDescent="0.3">
      <c r="A1583" s="15">
        <v>45474</v>
      </c>
      <c r="B1583" t="s">
        <v>225</v>
      </c>
      <c r="C1583" t="s">
        <v>110</v>
      </c>
      <c r="D1583" t="s">
        <v>99</v>
      </c>
      <c r="E1583" t="s">
        <v>103</v>
      </c>
      <c r="F1583">
        <v>42200</v>
      </c>
      <c r="G1583" t="s">
        <v>331</v>
      </c>
      <c r="H1583" s="15">
        <v>45292</v>
      </c>
      <c r="I1583">
        <v>42200</v>
      </c>
      <c r="J1583">
        <v>0</v>
      </c>
    </row>
    <row r="1584" spans="1:10" x14ac:dyDescent="0.3">
      <c r="A1584" s="15">
        <v>45474</v>
      </c>
      <c r="B1584" t="s">
        <v>226</v>
      </c>
      <c r="C1584" t="s">
        <v>91</v>
      </c>
      <c r="D1584" t="s">
        <v>82</v>
      </c>
      <c r="E1584" t="s">
        <v>103</v>
      </c>
      <c r="F1584">
        <v>6300</v>
      </c>
      <c r="G1584" t="s">
        <v>331</v>
      </c>
      <c r="H1584" s="15">
        <v>45292</v>
      </c>
      <c r="I1584">
        <v>6300</v>
      </c>
      <c r="J1584">
        <v>0</v>
      </c>
    </row>
    <row r="1585" spans="1:10" x14ac:dyDescent="0.3">
      <c r="A1585" s="15">
        <v>45474</v>
      </c>
      <c r="B1585" t="s">
        <v>227</v>
      </c>
      <c r="C1585" t="s">
        <v>110</v>
      </c>
      <c r="D1585" t="s">
        <v>86</v>
      </c>
      <c r="E1585" t="s">
        <v>87</v>
      </c>
      <c r="F1585">
        <v>25900</v>
      </c>
      <c r="G1585" t="s">
        <v>331</v>
      </c>
      <c r="H1585" s="15">
        <v>45292</v>
      </c>
      <c r="I1585">
        <v>25900</v>
      </c>
      <c r="J1585">
        <v>0</v>
      </c>
    </row>
    <row r="1586" spans="1:10" x14ac:dyDescent="0.3">
      <c r="A1586" s="15">
        <v>45474</v>
      </c>
      <c r="B1586" t="s">
        <v>228</v>
      </c>
      <c r="C1586" t="s">
        <v>91</v>
      </c>
      <c r="D1586" t="s">
        <v>96</v>
      </c>
      <c r="E1586" t="s">
        <v>89</v>
      </c>
      <c r="F1586">
        <v>11400</v>
      </c>
      <c r="G1586" t="s">
        <v>331</v>
      </c>
      <c r="H1586" s="15">
        <v>45292</v>
      </c>
      <c r="I1586">
        <v>11400</v>
      </c>
      <c r="J1586">
        <v>0</v>
      </c>
    </row>
    <row r="1587" spans="1:10" x14ac:dyDescent="0.3">
      <c r="A1587" s="15">
        <v>45474</v>
      </c>
      <c r="B1587" t="s">
        <v>229</v>
      </c>
      <c r="C1587" t="s">
        <v>81</v>
      </c>
      <c r="D1587" t="s">
        <v>82</v>
      </c>
      <c r="E1587" t="s">
        <v>83</v>
      </c>
      <c r="F1587">
        <v>3000</v>
      </c>
      <c r="G1587" t="s">
        <v>331</v>
      </c>
      <c r="H1587" s="15">
        <v>45292</v>
      </c>
      <c r="I1587">
        <v>3000</v>
      </c>
      <c r="J1587">
        <v>0</v>
      </c>
    </row>
    <row r="1588" spans="1:10" x14ac:dyDescent="0.3">
      <c r="A1588" s="15">
        <v>45474</v>
      </c>
      <c r="B1588" t="s">
        <v>230</v>
      </c>
      <c r="C1588" t="s">
        <v>81</v>
      </c>
      <c r="D1588" t="s">
        <v>86</v>
      </c>
      <c r="E1588" t="s">
        <v>101</v>
      </c>
      <c r="F1588">
        <v>3400</v>
      </c>
      <c r="G1588" t="s">
        <v>331</v>
      </c>
      <c r="H1588" s="15">
        <v>45292</v>
      </c>
      <c r="I1588">
        <v>3400</v>
      </c>
      <c r="J1588">
        <v>0</v>
      </c>
    </row>
    <row r="1589" spans="1:10" x14ac:dyDescent="0.3">
      <c r="A1589" s="15">
        <v>45474</v>
      </c>
      <c r="B1589" t="s">
        <v>231</v>
      </c>
      <c r="C1589" t="s">
        <v>91</v>
      </c>
      <c r="D1589" t="s">
        <v>82</v>
      </c>
      <c r="E1589" t="s">
        <v>92</v>
      </c>
      <c r="F1589">
        <v>6900</v>
      </c>
      <c r="G1589" t="s">
        <v>331</v>
      </c>
      <c r="H1589" s="15">
        <v>45292</v>
      </c>
      <c r="I1589">
        <v>6900</v>
      </c>
      <c r="J1589">
        <v>0</v>
      </c>
    </row>
    <row r="1590" spans="1:10" x14ac:dyDescent="0.3">
      <c r="A1590" s="15">
        <v>45474</v>
      </c>
      <c r="B1590" t="s">
        <v>232</v>
      </c>
      <c r="C1590" t="s">
        <v>125</v>
      </c>
      <c r="D1590" t="s">
        <v>86</v>
      </c>
      <c r="E1590" t="s">
        <v>83</v>
      </c>
      <c r="F1590">
        <v>121100</v>
      </c>
      <c r="G1590" t="s">
        <v>332</v>
      </c>
      <c r="H1590" s="15">
        <v>45292</v>
      </c>
      <c r="I1590">
        <v>104900</v>
      </c>
      <c r="J1590">
        <v>16200</v>
      </c>
    </row>
    <row r="1591" spans="1:10" x14ac:dyDescent="0.3">
      <c r="A1591" s="15">
        <v>45474</v>
      </c>
      <c r="B1591" t="s">
        <v>233</v>
      </c>
      <c r="C1591" t="s">
        <v>81</v>
      </c>
      <c r="D1591" t="s">
        <v>82</v>
      </c>
      <c r="E1591" t="s">
        <v>87</v>
      </c>
      <c r="F1591">
        <v>3300</v>
      </c>
      <c r="G1591" t="s">
        <v>331</v>
      </c>
      <c r="H1591" s="15">
        <v>45292</v>
      </c>
      <c r="I1591">
        <v>3300</v>
      </c>
      <c r="J1591">
        <v>0</v>
      </c>
    </row>
    <row r="1592" spans="1:10" x14ac:dyDescent="0.3">
      <c r="A1592" s="15">
        <v>45474</v>
      </c>
      <c r="B1592" t="s">
        <v>234</v>
      </c>
      <c r="C1592" t="s">
        <v>110</v>
      </c>
      <c r="D1592" t="s">
        <v>82</v>
      </c>
      <c r="E1592" t="s">
        <v>103</v>
      </c>
      <c r="F1592">
        <v>41200</v>
      </c>
      <c r="G1592" t="s">
        <v>331</v>
      </c>
      <c r="H1592" s="15">
        <v>45292</v>
      </c>
      <c r="I1592">
        <v>41200</v>
      </c>
      <c r="J1592">
        <v>0</v>
      </c>
    </row>
    <row r="1593" spans="1:10" x14ac:dyDescent="0.3">
      <c r="A1593" s="15">
        <v>45474</v>
      </c>
      <c r="B1593" t="s">
        <v>235</v>
      </c>
      <c r="C1593" t="s">
        <v>91</v>
      </c>
      <c r="D1593" t="s">
        <v>96</v>
      </c>
      <c r="E1593" t="s">
        <v>103</v>
      </c>
      <c r="F1593">
        <v>10500</v>
      </c>
      <c r="G1593" t="s">
        <v>331</v>
      </c>
      <c r="H1593" s="15">
        <v>45292</v>
      </c>
      <c r="I1593">
        <v>10500</v>
      </c>
      <c r="J1593">
        <v>0</v>
      </c>
    </row>
    <row r="1594" spans="1:10" x14ac:dyDescent="0.3">
      <c r="A1594" s="15">
        <v>45474</v>
      </c>
      <c r="B1594" t="s">
        <v>236</v>
      </c>
      <c r="C1594" t="s">
        <v>110</v>
      </c>
      <c r="D1594" t="s">
        <v>82</v>
      </c>
      <c r="E1594" t="s">
        <v>97</v>
      </c>
      <c r="F1594">
        <v>27200</v>
      </c>
      <c r="G1594" t="s">
        <v>331</v>
      </c>
      <c r="H1594" s="15">
        <v>45292</v>
      </c>
      <c r="I1594">
        <v>27200</v>
      </c>
      <c r="J1594">
        <v>0</v>
      </c>
    </row>
    <row r="1595" spans="1:10" x14ac:dyDescent="0.3">
      <c r="A1595" s="15">
        <v>45474</v>
      </c>
      <c r="B1595" t="s">
        <v>237</v>
      </c>
      <c r="C1595" t="s">
        <v>91</v>
      </c>
      <c r="D1595" t="s">
        <v>82</v>
      </c>
      <c r="E1595" t="s">
        <v>83</v>
      </c>
      <c r="F1595">
        <v>8100</v>
      </c>
      <c r="G1595" t="s">
        <v>331</v>
      </c>
      <c r="H1595" s="15">
        <v>45292</v>
      </c>
      <c r="I1595">
        <v>8100</v>
      </c>
      <c r="J1595">
        <v>0</v>
      </c>
    </row>
    <row r="1596" spans="1:10" x14ac:dyDescent="0.3">
      <c r="A1596" s="15">
        <v>45474</v>
      </c>
      <c r="B1596" t="s">
        <v>238</v>
      </c>
      <c r="C1596" t="s">
        <v>81</v>
      </c>
      <c r="D1596" t="s">
        <v>99</v>
      </c>
      <c r="E1596" t="s">
        <v>97</v>
      </c>
      <c r="F1596">
        <v>2600</v>
      </c>
      <c r="G1596" t="s">
        <v>331</v>
      </c>
      <c r="H1596" s="15">
        <v>45292</v>
      </c>
      <c r="I1596">
        <v>2600</v>
      </c>
      <c r="J1596">
        <v>0</v>
      </c>
    </row>
    <row r="1597" spans="1:10" x14ac:dyDescent="0.3">
      <c r="A1597" s="15">
        <v>45474</v>
      </c>
      <c r="B1597" t="s">
        <v>239</v>
      </c>
      <c r="C1597" t="s">
        <v>81</v>
      </c>
      <c r="D1597" t="s">
        <v>82</v>
      </c>
      <c r="E1597" t="s">
        <v>103</v>
      </c>
      <c r="F1597">
        <v>2500</v>
      </c>
      <c r="G1597" t="s">
        <v>331</v>
      </c>
      <c r="H1597" s="15">
        <v>45292</v>
      </c>
      <c r="I1597">
        <v>2500</v>
      </c>
      <c r="J1597">
        <v>0</v>
      </c>
    </row>
    <row r="1598" spans="1:10" x14ac:dyDescent="0.3">
      <c r="A1598" s="15">
        <v>45474</v>
      </c>
      <c r="B1598" t="s">
        <v>240</v>
      </c>
      <c r="C1598" t="s">
        <v>81</v>
      </c>
      <c r="D1598" t="s">
        <v>99</v>
      </c>
      <c r="E1598" t="s">
        <v>103</v>
      </c>
      <c r="F1598">
        <v>3000</v>
      </c>
      <c r="G1598" t="s">
        <v>331</v>
      </c>
      <c r="H1598" s="15">
        <v>45292</v>
      </c>
      <c r="I1598">
        <v>3000</v>
      </c>
      <c r="J1598">
        <v>0</v>
      </c>
    </row>
    <row r="1599" spans="1:10" x14ac:dyDescent="0.3">
      <c r="A1599" s="15">
        <v>45474</v>
      </c>
      <c r="B1599" t="s">
        <v>241</v>
      </c>
      <c r="C1599" t="s">
        <v>91</v>
      </c>
      <c r="D1599" t="s">
        <v>96</v>
      </c>
      <c r="E1599" t="s">
        <v>87</v>
      </c>
      <c r="F1599">
        <v>12100</v>
      </c>
      <c r="G1599" t="s">
        <v>331</v>
      </c>
      <c r="H1599" s="15">
        <v>45292</v>
      </c>
      <c r="I1599">
        <v>12100</v>
      </c>
      <c r="J1599">
        <v>0</v>
      </c>
    </row>
    <row r="1600" spans="1:10" x14ac:dyDescent="0.3">
      <c r="A1600" s="15">
        <v>45474</v>
      </c>
      <c r="B1600" t="s">
        <v>242</v>
      </c>
      <c r="C1600" t="s">
        <v>110</v>
      </c>
      <c r="D1600" t="s">
        <v>99</v>
      </c>
      <c r="E1600" t="s">
        <v>101</v>
      </c>
      <c r="F1600">
        <v>34800</v>
      </c>
      <c r="G1600" t="s">
        <v>331</v>
      </c>
      <c r="H1600" s="15">
        <v>45292</v>
      </c>
      <c r="I1600">
        <v>34800</v>
      </c>
      <c r="J1600">
        <v>0</v>
      </c>
    </row>
    <row r="1601" spans="1:10" x14ac:dyDescent="0.3">
      <c r="A1601" s="15">
        <v>45474</v>
      </c>
      <c r="B1601" t="s">
        <v>244</v>
      </c>
      <c r="C1601" t="s">
        <v>91</v>
      </c>
      <c r="D1601" t="s">
        <v>82</v>
      </c>
      <c r="E1601" t="s">
        <v>92</v>
      </c>
      <c r="F1601">
        <v>7800</v>
      </c>
      <c r="G1601" t="s">
        <v>331</v>
      </c>
      <c r="H1601" s="15">
        <v>45292</v>
      </c>
      <c r="I1601">
        <v>7800</v>
      </c>
      <c r="J1601">
        <v>0</v>
      </c>
    </row>
    <row r="1602" spans="1:10" x14ac:dyDescent="0.3">
      <c r="A1602" s="15">
        <v>45474</v>
      </c>
      <c r="B1602" t="s">
        <v>245</v>
      </c>
      <c r="C1602" t="s">
        <v>81</v>
      </c>
      <c r="D1602" t="s">
        <v>99</v>
      </c>
      <c r="E1602" t="s">
        <v>97</v>
      </c>
      <c r="F1602">
        <v>2600</v>
      </c>
      <c r="G1602" t="s">
        <v>331</v>
      </c>
      <c r="H1602" s="15">
        <v>45292</v>
      </c>
      <c r="I1602">
        <v>2600</v>
      </c>
      <c r="J1602">
        <v>0</v>
      </c>
    </row>
    <row r="1603" spans="1:10" x14ac:dyDescent="0.3">
      <c r="A1603" s="15">
        <v>45474</v>
      </c>
      <c r="B1603" t="s">
        <v>246</v>
      </c>
      <c r="C1603" t="s">
        <v>91</v>
      </c>
      <c r="D1603" t="s">
        <v>86</v>
      </c>
      <c r="E1603" t="s">
        <v>103</v>
      </c>
      <c r="F1603">
        <v>10100</v>
      </c>
      <c r="G1603" t="s">
        <v>331</v>
      </c>
      <c r="H1603" s="15">
        <v>45292</v>
      </c>
      <c r="I1603">
        <v>10100</v>
      </c>
      <c r="J1603">
        <v>0</v>
      </c>
    </row>
    <row r="1604" spans="1:10" x14ac:dyDescent="0.3">
      <c r="A1604" s="15">
        <v>45474</v>
      </c>
      <c r="B1604" t="s">
        <v>247</v>
      </c>
      <c r="C1604" t="s">
        <v>91</v>
      </c>
      <c r="D1604" t="s">
        <v>86</v>
      </c>
      <c r="E1604" t="s">
        <v>89</v>
      </c>
      <c r="F1604">
        <v>9100</v>
      </c>
      <c r="G1604" t="s">
        <v>331</v>
      </c>
      <c r="H1604" s="15">
        <v>45292</v>
      </c>
      <c r="I1604">
        <v>9100</v>
      </c>
      <c r="J1604">
        <v>0</v>
      </c>
    </row>
    <row r="1605" spans="1:10" x14ac:dyDescent="0.3">
      <c r="A1605" s="15">
        <v>45474</v>
      </c>
      <c r="B1605" t="s">
        <v>248</v>
      </c>
      <c r="C1605" t="s">
        <v>81</v>
      </c>
      <c r="D1605" t="s">
        <v>82</v>
      </c>
      <c r="E1605" t="s">
        <v>103</v>
      </c>
      <c r="F1605">
        <v>2100</v>
      </c>
      <c r="G1605" t="s">
        <v>331</v>
      </c>
      <c r="H1605" s="15">
        <v>45292</v>
      </c>
      <c r="I1605">
        <v>2100</v>
      </c>
      <c r="J1605">
        <v>0</v>
      </c>
    </row>
    <row r="1606" spans="1:10" x14ac:dyDescent="0.3">
      <c r="A1606" s="15">
        <v>45474</v>
      </c>
      <c r="B1606" t="s">
        <v>250</v>
      </c>
      <c r="C1606" t="s">
        <v>81</v>
      </c>
      <c r="D1606" t="s">
        <v>86</v>
      </c>
      <c r="E1606" t="s">
        <v>87</v>
      </c>
      <c r="F1606">
        <v>3300</v>
      </c>
      <c r="G1606" t="s">
        <v>331</v>
      </c>
      <c r="H1606" s="15">
        <v>45292</v>
      </c>
      <c r="I1606">
        <v>3300</v>
      </c>
      <c r="J1606">
        <v>0</v>
      </c>
    </row>
    <row r="1607" spans="1:10" x14ac:dyDescent="0.3">
      <c r="A1607" s="15">
        <v>45474</v>
      </c>
      <c r="B1607" t="s">
        <v>251</v>
      </c>
      <c r="C1607" t="s">
        <v>91</v>
      </c>
      <c r="D1607" t="s">
        <v>99</v>
      </c>
      <c r="E1607" t="s">
        <v>103</v>
      </c>
      <c r="F1607">
        <v>7700</v>
      </c>
      <c r="G1607" t="s">
        <v>331</v>
      </c>
      <c r="H1607" s="15">
        <v>45292</v>
      </c>
      <c r="I1607">
        <v>7700</v>
      </c>
      <c r="J1607">
        <v>0</v>
      </c>
    </row>
    <row r="1608" spans="1:10" x14ac:dyDescent="0.3">
      <c r="A1608" s="15">
        <v>45474</v>
      </c>
      <c r="B1608" t="s">
        <v>252</v>
      </c>
      <c r="C1608" t="s">
        <v>81</v>
      </c>
      <c r="D1608" t="s">
        <v>99</v>
      </c>
      <c r="E1608" t="s">
        <v>92</v>
      </c>
      <c r="F1608">
        <v>3400</v>
      </c>
      <c r="G1608" t="s">
        <v>331</v>
      </c>
      <c r="H1608" s="15">
        <v>45292</v>
      </c>
      <c r="I1608">
        <v>3400</v>
      </c>
      <c r="J1608">
        <v>0</v>
      </c>
    </row>
    <row r="1609" spans="1:10" x14ac:dyDescent="0.3">
      <c r="A1609" s="15">
        <v>45474</v>
      </c>
      <c r="B1609" t="s">
        <v>253</v>
      </c>
      <c r="C1609" t="s">
        <v>81</v>
      </c>
      <c r="D1609" t="s">
        <v>96</v>
      </c>
      <c r="E1609" t="s">
        <v>89</v>
      </c>
      <c r="F1609">
        <v>2400</v>
      </c>
      <c r="G1609" t="s">
        <v>331</v>
      </c>
      <c r="H1609" s="15">
        <v>45292</v>
      </c>
      <c r="I1609">
        <v>2400</v>
      </c>
      <c r="J1609">
        <v>0</v>
      </c>
    </row>
    <row r="1610" spans="1:10" x14ac:dyDescent="0.3">
      <c r="A1610" s="15">
        <v>45474</v>
      </c>
      <c r="B1610" t="s">
        <v>254</v>
      </c>
      <c r="C1610" t="s">
        <v>110</v>
      </c>
      <c r="D1610" t="s">
        <v>86</v>
      </c>
      <c r="E1610" t="s">
        <v>103</v>
      </c>
      <c r="F1610">
        <v>56100</v>
      </c>
      <c r="G1610" t="s">
        <v>331</v>
      </c>
      <c r="H1610" s="15">
        <v>45292</v>
      </c>
      <c r="I1610">
        <v>56100</v>
      </c>
      <c r="J1610">
        <v>0</v>
      </c>
    </row>
    <row r="1611" spans="1:10" x14ac:dyDescent="0.3">
      <c r="A1611" s="15">
        <v>45474</v>
      </c>
      <c r="B1611" t="s">
        <v>255</v>
      </c>
      <c r="C1611" t="s">
        <v>91</v>
      </c>
      <c r="D1611" t="s">
        <v>86</v>
      </c>
      <c r="E1611" t="s">
        <v>89</v>
      </c>
      <c r="F1611">
        <v>9900</v>
      </c>
      <c r="G1611" t="s">
        <v>331</v>
      </c>
      <c r="H1611" s="15">
        <v>45292</v>
      </c>
      <c r="I1611">
        <v>9900</v>
      </c>
      <c r="J1611">
        <v>0</v>
      </c>
    </row>
    <row r="1612" spans="1:10" x14ac:dyDescent="0.3">
      <c r="A1612" s="15">
        <v>45474</v>
      </c>
      <c r="B1612" t="s">
        <v>256</v>
      </c>
      <c r="C1612" t="s">
        <v>81</v>
      </c>
      <c r="D1612" t="s">
        <v>82</v>
      </c>
      <c r="E1612" t="s">
        <v>103</v>
      </c>
      <c r="F1612">
        <v>2600</v>
      </c>
      <c r="G1612" t="s">
        <v>331</v>
      </c>
      <c r="H1612" s="15">
        <v>45292</v>
      </c>
      <c r="I1612">
        <v>2600</v>
      </c>
      <c r="J1612">
        <v>0</v>
      </c>
    </row>
    <row r="1613" spans="1:10" x14ac:dyDescent="0.3">
      <c r="A1613" s="15">
        <v>45474</v>
      </c>
      <c r="B1613" t="s">
        <v>257</v>
      </c>
      <c r="C1613" t="s">
        <v>91</v>
      </c>
      <c r="D1613" t="s">
        <v>96</v>
      </c>
      <c r="E1613" t="s">
        <v>87</v>
      </c>
      <c r="F1613">
        <v>8400</v>
      </c>
      <c r="G1613" t="s">
        <v>331</v>
      </c>
      <c r="H1613" s="15">
        <v>45292</v>
      </c>
      <c r="I1613">
        <v>8400</v>
      </c>
      <c r="J1613">
        <v>0</v>
      </c>
    </row>
    <row r="1614" spans="1:10" x14ac:dyDescent="0.3">
      <c r="A1614" s="15">
        <v>45474</v>
      </c>
      <c r="B1614" t="s">
        <v>258</v>
      </c>
      <c r="C1614" t="s">
        <v>125</v>
      </c>
      <c r="D1614" t="s">
        <v>86</v>
      </c>
      <c r="E1614" t="s">
        <v>83</v>
      </c>
      <c r="F1614">
        <v>96300</v>
      </c>
      <c r="G1614" t="s">
        <v>331</v>
      </c>
      <c r="H1614" s="15">
        <v>45292</v>
      </c>
      <c r="I1614">
        <v>96300</v>
      </c>
      <c r="J1614">
        <v>0</v>
      </c>
    </row>
    <row r="1615" spans="1:10" x14ac:dyDescent="0.3">
      <c r="A1615" s="15">
        <v>45474</v>
      </c>
      <c r="B1615" t="s">
        <v>259</v>
      </c>
      <c r="C1615" t="s">
        <v>81</v>
      </c>
      <c r="D1615" t="s">
        <v>86</v>
      </c>
      <c r="E1615" t="s">
        <v>89</v>
      </c>
      <c r="F1615">
        <v>1900</v>
      </c>
      <c r="G1615" t="s">
        <v>331</v>
      </c>
      <c r="H1615" s="15">
        <v>45292</v>
      </c>
      <c r="I1615">
        <v>1900</v>
      </c>
      <c r="J1615">
        <v>0</v>
      </c>
    </row>
    <row r="1616" spans="1:10" x14ac:dyDescent="0.3">
      <c r="A1616" s="15">
        <v>45474</v>
      </c>
      <c r="B1616" t="s">
        <v>260</v>
      </c>
      <c r="C1616" t="s">
        <v>81</v>
      </c>
      <c r="D1616" t="s">
        <v>86</v>
      </c>
      <c r="E1616" t="s">
        <v>97</v>
      </c>
      <c r="F1616">
        <v>2300</v>
      </c>
      <c r="G1616" t="s">
        <v>331</v>
      </c>
      <c r="H1616" s="15">
        <v>45292</v>
      </c>
      <c r="I1616">
        <v>2300</v>
      </c>
      <c r="J1616">
        <v>0</v>
      </c>
    </row>
    <row r="1617" spans="1:10" x14ac:dyDescent="0.3">
      <c r="A1617" s="15">
        <v>45474</v>
      </c>
      <c r="B1617" t="s">
        <v>262</v>
      </c>
      <c r="C1617" t="s">
        <v>91</v>
      </c>
      <c r="D1617" t="s">
        <v>82</v>
      </c>
      <c r="E1617" t="s">
        <v>92</v>
      </c>
      <c r="F1617">
        <v>9400</v>
      </c>
      <c r="G1617" t="s">
        <v>332</v>
      </c>
      <c r="H1617" s="15">
        <v>45292</v>
      </c>
      <c r="I1617">
        <v>8600</v>
      </c>
      <c r="J1617">
        <v>800</v>
      </c>
    </row>
    <row r="1618" spans="1:10" x14ac:dyDescent="0.3">
      <c r="A1618" s="15">
        <v>45474</v>
      </c>
      <c r="B1618" t="s">
        <v>263</v>
      </c>
      <c r="C1618" t="s">
        <v>81</v>
      </c>
      <c r="D1618" t="s">
        <v>99</v>
      </c>
      <c r="E1618" t="s">
        <v>89</v>
      </c>
      <c r="F1618">
        <v>3200</v>
      </c>
      <c r="G1618" t="s">
        <v>331</v>
      </c>
      <c r="H1618" s="15">
        <v>45292</v>
      </c>
      <c r="I1618">
        <v>3200</v>
      </c>
      <c r="J1618">
        <v>0</v>
      </c>
    </row>
    <row r="1619" spans="1:10" x14ac:dyDescent="0.3">
      <c r="A1619" s="15">
        <v>45474</v>
      </c>
      <c r="B1619" t="s">
        <v>264</v>
      </c>
      <c r="C1619" t="s">
        <v>110</v>
      </c>
      <c r="D1619" t="s">
        <v>86</v>
      </c>
      <c r="E1619" t="s">
        <v>97</v>
      </c>
      <c r="F1619">
        <v>31500</v>
      </c>
      <c r="G1619" t="s">
        <v>331</v>
      </c>
      <c r="H1619" s="15">
        <v>45292</v>
      </c>
      <c r="I1619">
        <v>31500</v>
      </c>
      <c r="J1619">
        <v>0</v>
      </c>
    </row>
    <row r="1620" spans="1:10" x14ac:dyDescent="0.3">
      <c r="A1620" s="15">
        <v>45474</v>
      </c>
      <c r="B1620" t="s">
        <v>265</v>
      </c>
      <c r="C1620" t="s">
        <v>125</v>
      </c>
      <c r="D1620" t="s">
        <v>86</v>
      </c>
      <c r="E1620" t="s">
        <v>101</v>
      </c>
      <c r="F1620">
        <v>92200</v>
      </c>
      <c r="G1620" t="s">
        <v>331</v>
      </c>
      <c r="H1620" s="15">
        <v>45292</v>
      </c>
      <c r="I1620">
        <v>92200</v>
      </c>
      <c r="J1620">
        <v>0</v>
      </c>
    </row>
    <row r="1621" spans="1:10" x14ac:dyDescent="0.3">
      <c r="A1621" s="15">
        <v>45474</v>
      </c>
      <c r="B1621" t="s">
        <v>266</v>
      </c>
      <c r="C1621" t="s">
        <v>81</v>
      </c>
      <c r="D1621" t="s">
        <v>82</v>
      </c>
      <c r="E1621" t="s">
        <v>83</v>
      </c>
      <c r="F1621">
        <v>2200</v>
      </c>
      <c r="G1621" t="s">
        <v>331</v>
      </c>
      <c r="H1621" s="15">
        <v>45292</v>
      </c>
      <c r="I1621">
        <v>2200</v>
      </c>
      <c r="J1621">
        <v>0</v>
      </c>
    </row>
    <row r="1622" spans="1:10" x14ac:dyDescent="0.3">
      <c r="A1622" s="15">
        <v>45474</v>
      </c>
      <c r="B1622" t="s">
        <v>267</v>
      </c>
      <c r="C1622" t="s">
        <v>91</v>
      </c>
      <c r="D1622" t="s">
        <v>82</v>
      </c>
      <c r="E1622" t="s">
        <v>97</v>
      </c>
      <c r="F1622">
        <v>6900</v>
      </c>
      <c r="G1622" t="s">
        <v>331</v>
      </c>
      <c r="H1622" s="15">
        <v>45292</v>
      </c>
      <c r="I1622">
        <v>6900</v>
      </c>
      <c r="J1622">
        <v>0</v>
      </c>
    </row>
    <row r="1623" spans="1:10" x14ac:dyDescent="0.3">
      <c r="A1623" s="15">
        <v>45474</v>
      </c>
      <c r="B1623" t="s">
        <v>270</v>
      </c>
      <c r="C1623" t="s">
        <v>110</v>
      </c>
      <c r="D1623" t="s">
        <v>86</v>
      </c>
      <c r="E1623" t="s">
        <v>87</v>
      </c>
      <c r="F1623">
        <v>44200</v>
      </c>
      <c r="G1623" t="s">
        <v>331</v>
      </c>
      <c r="H1623" s="15">
        <v>45292</v>
      </c>
      <c r="I1623">
        <v>44200</v>
      </c>
      <c r="J1623">
        <v>0</v>
      </c>
    </row>
    <row r="1624" spans="1:10" x14ac:dyDescent="0.3">
      <c r="A1624" s="15">
        <v>45474</v>
      </c>
      <c r="B1624" t="s">
        <v>271</v>
      </c>
      <c r="C1624" t="s">
        <v>81</v>
      </c>
      <c r="D1624" t="s">
        <v>82</v>
      </c>
      <c r="E1624" t="s">
        <v>97</v>
      </c>
      <c r="F1624">
        <v>2900</v>
      </c>
      <c r="G1624" t="s">
        <v>331</v>
      </c>
      <c r="H1624" s="15">
        <v>45292</v>
      </c>
      <c r="I1624">
        <v>2900</v>
      </c>
      <c r="J1624">
        <v>0</v>
      </c>
    </row>
    <row r="1625" spans="1:10" x14ac:dyDescent="0.3">
      <c r="A1625" s="15">
        <v>45474</v>
      </c>
      <c r="B1625" t="s">
        <v>272</v>
      </c>
      <c r="C1625" t="s">
        <v>125</v>
      </c>
      <c r="D1625" t="s">
        <v>96</v>
      </c>
      <c r="E1625" t="s">
        <v>103</v>
      </c>
      <c r="F1625">
        <v>101100</v>
      </c>
      <c r="G1625" t="s">
        <v>331</v>
      </c>
      <c r="H1625" s="15">
        <v>45292</v>
      </c>
      <c r="I1625">
        <v>101100</v>
      </c>
      <c r="J1625">
        <v>0</v>
      </c>
    </row>
    <row r="1626" spans="1:10" x14ac:dyDescent="0.3">
      <c r="A1626" s="15">
        <v>45474</v>
      </c>
      <c r="B1626" t="s">
        <v>273</v>
      </c>
      <c r="C1626" t="s">
        <v>81</v>
      </c>
      <c r="D1626" t="s">
        <v>82</v>
      </c>
      <c r="E1626" t="s">
        <v>101</v>
      </c>
      <c r="F1626">
        <v>3300</v>
      </c>
      <c r="G1626" t="s">
        <v>331</v>
      </c>
      <c r="H1626" s="15">
        <v>45292</v>
      </c>
      <c r="I1626">
        <v>3300</v>
      </c>
      <c r="J1626">
        <v>0</v>
      </c>
    </row>
    <row r="1627" spans="1:10" x14ac:dyDescent="0.3">
      <c r="A1627" s="15">
        <v>45474</v>
      </c>
      <c r="B1627" t="s">
        <v>274</v>
      </c>
      <c r="C1627" t="s">
        <v>91</v>
      </c>
      <c r="D1627" t="s">
        <v>99</v>
      </c>
      <c r="E1627" t="s">
        <v>87</v>
      </c>
      <c r="F1627">
        <v>11400</v>
      </c>
      <c r="G1627" t="s">
        <v>331</v>
      </c>
      <c r="H1627" s="15">
        <v>45292</v>
      </c>
      <c r="I1627">
        <v>11400</v>
      </c>
      <c r="J1627">
        <v>0</v>
      </c>
    </row>
    <row r="1628" spans="1:10" x14ac:dyDescent="0.3">
      <c r="A1628" s="15">
        <v>45474</v>
      </c>
      <c r="B1628" t="s">
        <v>276</v>
      </c>
      <c r="C1628" t="s">
        <v>81</v>
      </c>
      <c r="D1628" t="s">
        <v>82</v>
      </c>
      <c r="E1628" t="s">
        <v>103</v>
      </c>
      <c r="F1628">
        <v>3300</v>
      </c>
      <c r="G1628" t="s">
        <v>331</v>
      </c>
      <c r="H1628" s="15">
        <v>45292</v>
      </c>
      <c r="I1628">
        <v>3300</v>
      </c>
      <c r="J1628">
        <v>0</v>
      </c>
    </row>
    <row r="1629" spans="1:10" x14ac:dyDescent="0.3">
      <c r="A1629" s="15">
        <v>45474</v>
      </c>
      <c r="B1629" t="s">
        <v>277</v>
      </c>
      <c r="C1629" t="s">
        <v>91</v>
      </c>
      <c r="D1629" t="s">
        <v>86</v>
      </c>
      <c r="E1629" t="s">
        <v>97</v>
      </c>
      <c r="F1629">
        <v>8000</v>
      </c>
      <c r="G1629" t="s">
        <v>331</v>
      </c>
      <c r="H1629" s="15">
        <v>45292</v>
      </c>
      <c r="I1629">
        <v>8000</v>
      </c>
      <c r="J1629">
        <v>0</v>
      </c>
    </row>
    <row r="1630" spans="1:10" x14ac:dyDescent="0.3">
      <c r="A1630" s="15">
        <v>45474</v>
      </c>
      <c r="B1630" t="s">
        <v>278</v>
      </c>
      <c r="C1630" t="s">
        <v>81</v>
      </c>
      <c r="D1630" t="s">
        <v>82</v>
      </c>
      <c r="E1630" t="s">
        <v>92</v>
      </c>
      <c r="F1630">
        <v>1900</v>
      </c>
      <c r="G1630" t="s">
        <v>331</v>
      </c>
      <c r="H1630" s="15">
        <v>45292</v>
      </c>
      <c r="I1630">
        <v>1900</v>
      </c>
      <c r="J1630">
        <v>0</v>
      </c>
    </row>
    <row r="1631" spans="1:10" x14ac:dyDescent="0.3">
      <c r="A1631" s="15">
        <v>45474</v>
      </c>
      <c r="B1631" t="s">
        <v>279</v>
      </c>
      <c r="C1631" t="s">
        <v>91</v>
      </c>
      <c r="D1631" t="s">
        <v>99</v>
      </c>
      <c r="E1631" t="s">
        <v>89</v>
      </c>
      <c r="F1631">
        <v>9800</v>
      </c>
      <c r="G1631" t="s">
        <v>331</v>
      </c>
      <c r="H1631" s="15">
        <v>45292</v>
      </c>
      <c r="I1631">
        <v>9800</v>
      </c>
      <c r="J1631">
        <v>0</v>
      </c>
    </row>
    <row r="1632" spans="1:10" x14ac:dyDescent="0.3">
      <c r="A1632" s="15">
        <v>45474</v>
      </c>
      <c r="B1632" t="s">
        <v>280</v>
      </c>
      <c r="C1632" t="s">
        <v>91</v>
      </c>
      <c r="D1632" t="s">
        <v>96</v>
      </c>
      <c r="E1632" t="s">
        <v>83</v>
      </c>
      <c r="F1632">
        <v>6300</v>
      </c>
      <c r="G1632" t="s">
        <v>331</v>
      </c>
      <c r="H1632" s="15">
        <v>45292</v>
      </c>
      <c r="I1632">
        <v>6300</v>
      </c>
      <c r="J1632">
        <v>0</v>
      </c>
    </row>
    <row r="1633" spans="1:10" x14ac:dyDescent="0.3">
      <c r="A1633" s="15">
        <v>45474</v>
      </c>
      <c r="B1633" t="s">
        <v>281</v>
      </c>
      <c r="C1633" t="s">
        <v>110</v>
      </c>
      <c r="D1633" t="s">
        <v>86</v>
      </c>
      <c r="E1633" t="s">
        <v>92</v>
      </c>
      <c r="F1633">
        <v>46800</v>
      </c>
      <c r="G1633" t="s">
        <v>331</v>
      </c>
      <c r="H1633" s="15">
        <v>45292</v>
      </c>
      <c r="I1633">
        <v>46800</v>
      </c>
      <c r="J1633">
        <v>0</v>
      </c>
    </row>
    <row r="1634" spans="1:10" x14ac:dyDescent="0.3">
      <c r="A1634" s="15">
        <v>45474</v>
      </c>
      <c r="B1634" t="s">
        <v>282</v>
      </c>
      <c r="C1634" t="s">
        <v>91</v>
      </c>
      <c r="D1634" t="s">
        <v>86</v>
      </c>
      <c r="E1634" t="s">
        <v>92</v>
      </c>
      <c r="F1634">
        <v>7000</v>
      </c>
      <c r="G1634" t="s">
        <v>331</v>
      </c>
      <c r="H1634" s="15">
        <v>45292</v>
      </c>
      <c r="I1634">
        <v>7000</v>
      </c>
      <c r="J1634">
        <v>0</v>
      </c>
    </row>
    <row r="1635" spans="1:10" x14ac:dyDescent="0.3">
      <c r="A1635" s="15">
        <v>45474</v>
      </c>
      <c r="B1635" t="s">
        <v>283</v>
      </c>
      <c r="C1635" t="s">
        <v>110</v>
      </c>
      <c r="D1635" t="s">
        <v>82</v>
      </c>
      <c r="E1635" t="s">
        <v>87</v>
      </c>
      <c r="F1635">
        <v>34200</v>
      </c>
      <c r="G1635" t="s">
        <v>331</v>
      </c>
      <c r="H1635" s="15">
        <v>45292</v>
      </c>
      <c r="I1635">
        <v>34200</v>
      </c>
      <c r="J1635">
        <v>0</v>
      </c>
    </row>
    <row r="1636" spans="1:10" x14ac:dyDescent="0.3">
      <c r="A1636" s="15">
        <v>45474</v>
      </c>
      <c r="B1636" t="s">
        <v>284</v>
      </c>
      <c r="C1636" t="s">
        <v>81</v>
      </c>
      <c r="D1636" t="s">
        <v>82</v>
      </c>
      <c r="E1636" t="s">
        <v>101</v>
      </c>
      <c r="F1636">
        <v>2400</v>
      </c>
      <c r="G1636" t="s">
        <v>331</v>
      </c>
      <c r="H1636" s="15">
        <v>45292</v>
      </c>
      <c r="I1636">
        <v>2400</v>
      </c>
      <c r="J1636">
        <v>0</v>
      </c>
    </row>
    <row r="1637" spans="1:10" x14ac:dyDescent="0.3">
      <c r="A1637" s="15">
        <v>45474</v>
      </c>
      <c r="B1637" t="s">
        <v>285</v>
      </c>
      <c r="C1637" t="s">
        <v>91</v>
      </c>
      <c r="D1637" t="s">
        <v>82</v>
      </c>
      <c r="E1637" t="s">
        <v>83</v>
      </c>
      <c r="F1637">
        <v>10900</v>
      </c>
      <c r="G1637" t="s">
        <v>331</v>
      </c>
      <c r="H1637" s="15">
        <v>45292</v>
      </c>
      <c r="I1637">
        <v>10900</v>
      </c>
      <c r="J1637">
        <v>0</v>
      </c>
    </row>
    <row r="1638" spans="1:10" x14ac:dyDescent="0.3">
      <c r="A1638" s="15">
        <v>45474</v>
      </c>
      <c r="B1638" t="s">
        <v>286</v>
      </c>
      <c r="C1638" t="s">
        <v>125</v>
      </c>
      <c r="D1638" t="s">
        <v>86</v>
      </c>
      <c r="E1638" t="s">
        <v>92</v>
      </c>
      <c r="F1638">
        <v>92400</v>
      </c>
      <c r="G1638" t="s">
        <v>331</v>
      </c>
      <c r="H1638" s="15">
        <v>45292</v>
      </c>
      <c r="I1638">
        <v>92400</v>
      </c>
      <c r="J1638">
        <v>0</v>
      </c>
    </row>
    <row r="1639" spans="1:10" x14ac:dyDescent="0.3">
      <c r="A1639" s="15">
        <v>45474</v>
      </c>
      <c r="B1639" t="s">
        <v>287</v>
      </c>
      <c r="C1639" t="s">
        <v>81</v>
      </c>
      <c r="D1639" t="s">
        <v>99</v>
      </c>
      <c r="E1639" t="s">
        <v>87</v>
      </c>
      <c r="F1639">
        <v>2300</v>
      </c>
      <c r="G1639" t="s">
        <v>331</v>
      </c>
      <c r="H1639" s="15">
        <v>45292</v>
      </c>
      <c r="I1639">
        <v>2300</v>
      </c>
      <c r="J1639">
        <v>0</v>
      </c>
    </row>
    <row r="1640" spans="1:10" x14ac:dyDescent="0.3">
      <c r="A1640" s="15">
        <v>45474</v>
      </c>
      <c r="B1640" t="s">
        <v>288</v>
      </c>
      <c r="C1640" t="s">
        <v>81</v>
      </c>
      <c r="D1640" t="s">
        <v>99</v>
      </c>
      <c r="E1640" t="s">
        <v>97</v>
      </c>
      <c r="F1640">
        <v>2600</v>
      </c>
      <c r="G1640" t="s">
        <v>331</v>
      </c>
      <c r="H1640" s="15">
        <v>45292</v>
      </c>
      <c r="I1640">
        <v>2600</v>
      </c>
      <c r="J1640">
        <v>0</v>
      </c>
    </row>
    <row r="1641" spans="1:10" x14ac:dyDescent="0.3">
      <c r="A1641" s="15">
        <v>45474</v>
      </c>
      <c r="B1641" t="s">
        <v>289</v>
      </c>
      <c r="C1641" t="s">
        <v>91</v>
      </c>
      <c r="D1641" t="s">
        <v>86</v>
      </c>
      <c r="E1641" t="s">
        <v>101</v>
      </c>
      <c r="F1641">
        <v>9400</v>
      </c>
      <c r="G1641" t="s">
        <v>331</v>
      </c>
      <c r="H1641" s="15">
        <v>45292</v>
      </c>
      <c r="I1641">
        <v>9400</v>
      </c>
      <c r="J1641">
        <v>0</v>
      </c>
    </row>
    <row r="1642" spans="1:10" x14ac:dyDescent="0.3">
      <c r="A1642" s="15">
        <v>45474</v>
      </c>
      <c r="B1642" t="s">
        <v>290</v>
      </c>
      <c r="C1642" t="s">
        <v>81</v>
      </c>
      <c r="D1642" t="s">
        <v>82</v>
      </c>
      <c r="E1642" t="s">
        <v>103</v>
      </c>
      <c r="F1642">
        <v>2800</v>
      </c>
      <c r="G1642" t="s">
        <v>331</v>
      </c>
      <c r="H1642" s="15">
        <v>45292</v>
      </c>
      <c r="I1642">
        <v>2800</v>
      </c>
      <c r="J1642">
        <v>0</v>
      </c>
    </row>
    <row r="1643" spans="1:10" x14ac:dyDescent="0.3">
      <c r="A1643" s="15">
        <v>45474</v>
      </c>
      <c r="B1643" t="s">
        <v>291</v>
      </c>
      <c r="C1643" t="s">
        <v>81</v>
      </c>
      <c r="D1643" t="s">
        <v>82</v>
      </c>
      <c r="E1643" t="s">
        <v>83</v>
      </c>
      <c r="F1643">
        <v>3100</v>
      </c>
      <c r="G1643" t="s">
        <v>331</v>
      </c>
      <c r="H1643" s="15">
        <v>45292</v>
      </c>
      <c r="I1643">
        <v>3100</v>
      </c>
      <c r="J1643">
        <v>0</v>
      </c>
    </row>
    <row r="1644" spans="1:10" x14ac:dyDescent="0.3">
      <c r="A1644" s="15">
        <v>45474</v>
      </c>
      <c r="B1644" t="s">
        <v>292</v>
      </c>
      <c r="C1644" t="s">
        <v>91</v>
      </c>
      <c r="D1644" t="s">
        <v>86</v>
      </c>
      <c r="E1644" t="s">
        <v>89</v>
      </c>
      <c r="F1644">
        <v>8600</v>
      </c>
      <c r="G1644" t="s">
        <v>331</v>
      </c>
      <c r="H1644" s="15">
        <v>45292</v>
      </c>
      <c r="I1644">
        <v>8600</v>
      </c>
      <c r="J1644">
        <v>0</v>
      </c>
    </row>
    <row r="1645" spans="1:10" x14ac:dyDescent="0.3">
      <c r="A1645" s="15">
        <v>45474</v>
      </c>
      <c r="B1645" t="s">
        <v>293</v>
      </c>
      <c r="C1645" t="s">
        <v>81</v>
      </c>
      <c r="D1645" t="s">
        <v>86</v>
      </c>
      <c r="E1645" t="s">
        <v>103</v>
      </c>
      <c r="F1645">
        <v>2200</v>
      </c>
      <c r="G1645" t="s">
        <v>331</v>
      </c>
      <c r="H1645" s="15">
        <v>45292</v>
      </c>
      <c r="I1645">
        <v>2200</v>
      </c>
      <c r="J1645">
        <v>0</v>
      </c>
    </row>
    <row r="1646" spans="1:10" x14ac:dyDescent="0.3">
      <c r="A1646" s="15">
        <v>45474</v>
      </c>
      <c r="B1646" t="s">
        <v>294</v>
      </c>
      <c r="C1646" t="s">
        <v>91</v>
      </c>
      <c r="D1646" t="s">
        <v>82</v>
      </c>
      <c r="E1646" t="s">
        <v>97</v>
      </c>
      <c r="F1646">
        <v>10400</v>
      </c>
      <c r="G1646" t="s">
        <v>332</v>
      </c>
      <c r="H1646" s="15">
        <v>45292</v>
      </c>
      <c r="I1646">
        <v>9500</v>
      </c>
      <c r="J1646">
        <v>900</v>
      </c>
    </row>
    <row r="1647" spans="1:10" x14ac:dyDescent="0.3">
      <c r="A1647" s="15">
        <v>45474</v>
      </c>
      <c r="B1647" t="s">
        <v>295</v>
      </c>
      <c r="C1647" t="s">
        <v>81</v>
      </c>
      <c r="D1647" t="s">
        <v>82</v>
      </c>
      <c r="E1647" t="s">
        <v>103</v>
      </c>
      <c r="F1647">
        <v>2300</v>
      </c>
      <c r="G1647" t="s">
        <v>331</v>
      </c>
      <c r="H1647" s="15">
        <v>45292</v>
      </c>
      <c r="I1647">
        <v>2300</v>
      </c>
      <c r="J1647">
        <v>0</v>
      </c>
    </row>
    <row r="1648" spans="1:10" x14ac:dyDescent="0.3">
      <c r="A1648" s="15">
        <v>45474</v>
      </c>
      <c r="B1648" t="s">
        <v>297</v>
      </c>
      <c r="C1648" t="s">
        <v>91</v>
      </c>
      <c r="D1648" t="s">
        <v>86</v>
      </c>
      <c r="E1648" t="s">
        <v>103</v>
      </c>
      <c r="F1648">
        <v>9100</v>
      </c>
      <c r="G1648" t="s">
        <v>331</v>
      </c>
      <c r="H1648" s="15">
        <v>45292</v>
      </c>
      <c r="I1648">
        <v>9100</v>
      </c>
      <c r="J1648">
        <v>0</v>
      </c>
    </row>
    <row r="1649" spans="1:10" x14ac:dyDescent="0.3">
      <c r="A1649" s="15">
        <v>45474</v>
      </c>
      <c r="B1649" t="s">
        <v>298</v>
      </c>
      <c r="C1649" t="s">
        <v>81</v>
      </c>
      <c r="D1649" t="s">
        <v>86</v>
      </c>
      <c r="E1649" t="s">
        <v>89</v>
      </c>
      <c r="F1649">
        <v>2700</v>
      </c>
      <c r="G1649" t="s">
        <v>331</v>
      </c>
      <c r="H1649" s="15">
        <v>45292</v>
      </c>
      <c r="I1649">
        <v>2700</v>
      </c>
      <c r="J1649">
        <v>0</v>
      </c>
    </row>
    <row r="1650" spans="1:10" x14ac:dyDescent="0.3">
      <c r="A1650" s="15">
        <v>45474</v>
      </c>
      <c r="B1650" t="s">
        <v>299</v>
      </c>
      <c r="C1650" t="s">
        <v>81</v>
      </c>
      <c r="D1650" t="s">
        <v>99</v>
      </c>
      <c r="E1650" t="s">
        <v>103</v>
      </c>
      <c r="F1650">
        <v>2900</v>
      </c>
      <c r="G1650" t="s">
        <v>331</v>
      </c>
      <c r="H1650" s="15">
        <v>45292</v>
      </c>
      <c r="I1650">
        <v>2900</v>
      </c>
      <c r="J1650">
        <v>0</v>
      </c>
    </row>
    <row r="1651" spans="1:10" x14ac:dyDescent="0.3">
      <c r="A1651" s="15">
        <v>45474</v>
      </c>
      <c r="B1651" t="s">
        <v>300</v>
      </c>
      <c r="C1651" t="s">
        <v>91</v>
      </c>
      <c r="D1651" t="s">
        <v>82</v>
      </c>
      <c r="E1651" t="s">
        <v>89</v>
      </c>
      <c r="F1651">
        <v>10900</v>
      </c>
      <c r="G1651" t="s">
        <v>331</v>
      </c>
      <c r="H1651" s="15">
        <v>45292</v>
      </c>
      <c r="I1651">
        <v>10900</v>
      </c>
      <c r="J1651">
        <v>0</v>
      </c>
    </row>
    <row r="1652" spans="1:10" x14ac:dyDescent="0.3">
      <c r="A1652" s="15">
        <v>45474</v>
      </c>
      <c r="B1652" t="s">
        <v>303</v>
      </c>
      <c r="C1652" t="s">
        <v>81</v>
      </c>
      <c r="D1652" t="s">
        <v>82</v>
      </c>
      <c r="E1652" t="s">
        <v>83</v>
      </c>
      <c r="F1652">
        <v>1700</v>
      </c>
      <c r="G1652" t="s">
        <v>331</v>
      </c>
      <c r="H1652" s="15">
        <v>45292</v>
      </c>
      <c r="I1652">
        <v>1700</v>
      </c>
      <c r="J1652">
        <v>0</v>
      </c>
    </row>
    <row r="1653" spans="1:10" x14ac:dyDescent="0.3">
      <c r="A1653" s="15">
        <v>45474</v>
      </c>
      <c r="B1653" t="s">
        <v>304</v>
      </c>
      <c r="C1653" t="s">
        <v>81</v>
      </c>
      <c r="D1653" t="s">
        <v>86</v>
      </c>
      <c r="E1653" t="s">
        <v>92</v>
      </c>
      <c r="F1653">
        <v>2100</v>
      </c>
      <c r="G1653" t="s">
        <v>331</v>
      </c>
      <c r="H1653" s="15">
        <v>45292</v>
      </c>
      <c r="I1653">
        <v>2100</v>
      </c>
      <c r="J1653">
        <v>0</v>
      </c>
    </row>
    <row r="1654" spans="1:10" x14ac:dyDescent="0.3">
      <c r="A1654" s="15">
        <v>45474</v>
      </c>
      <c r="B1654" t="s">
        <v>305</v>
      </c>
      <c r="C1654" t="s">
        <v>91</v>
      </c>
      <c r="D1654" t="s">
        <v>82</v>
      </c>
      <c r="E1654" t="s">
        <v>103</v>
      </c>
      <c r="F1654">
        <v>7700</v>
      </c>
      <c r="G1654" t="s">
        <v>331</v>
      </c>
      <c r="H1654" s="15">
        <v>45292</v>
      </c>
      <c r="I1654">
        <v>7700</v>
      </c>
      <c r="J1654">
        <v>0</v>
      </c>
    </row>
    <row r="1655" spans="1:10" x14ac:dyDescent="0.3">
      <c r="A1655" s="15">
        <v>45474</v>
      </c>
      <c r="B1655" t="s">
        <v>306</v>
      </c>
      <c r="C1655" t="s">
        <v>91</v>
      </c>
      <c r="D1655" t="s">
        <v>82</v>
      </c>
      <c r="E1655" t="s">
        <v>87</v>
      </c>
      <c r="F1655">
        <v>11700</v>
      </c>
      <c r="G1655" t="s">
        <v>332</v>
      </c>
      <c r="H1655" s="15">
        <v>45292</v>
      </c>
      <c r="I1655">
        <v>10500</v>
      </c>
      <c r="J1655">
        <v>1200</v>
      </c>
    </row>
    <row r="1656" spans="1:10" x14ac:dyDescent="0.3">
      <c r="A1656" s="15">
        <v>45474</v>
      </c>
      <c r="B1656" t="s">
        <v>307</v>
      </c>
      <c r="C1656" t="s">
        <v>81</v>
      </c>
      <c r="D1656" t="s">
        <v>86</v>
      </c>
      <c r="E1656" t="s">
        <v>97</v>
      </c>
      <c r="F1656">
        <v>2300</v>
      </c>
      <c r="G1656" t="s">
        <v>331</v>
      </c>
      <c r="H1656" s="15">
        <v>45292</v>
      </c>
      <c r="I1656">
        <v>2300</v>
      </c>
      <c r="J1656">
        <v>0</v>
      </c>
    </row>
    <row r="1657" spans="1:10" x14ac:dyDescent="0.3">
      <c r="A1657" s="15">
        <v>45474</v>
      </c>
      <c r="B1657" t="s">
        <v>308</v>
      </c>
      <c r="C1657" t="s">
        <v>91</v>
      </c>
      <c r="D1657" t="s">
        <v>86</v>
      </c>
      <c r="E1657" t="s">
        <v>92</v>
      </c>
      <c r="F1657">
        <v>8000</v>
      </c>
      <c r="G1657" t="s">
        <v>331</v>
      </c>
      <c r="H1657" s="15">
        <v>45292</v>
      </c>
      <c r="I1657">
        <v>8000</v>
      </c>
      <c r="J1657">
        <v>0</v>
      </c>
    </row>
    <row r="1658" spans="1:10" x14ac:dyDescent="0.3">
      <c r="A1658" s="15">
        <v>45474</v>
      </c>
      <c r="B1658" t="s">
        <v>309</v>
      </c>
      <c r="C1658" t="s">
        <v>91</v>
      </c>
      <c r="D1658" t="s">
        <v>82</v>
      </c>
      <c r="E1658" t="s">
        <v>87</v>
      </c>
      <c r="F1658">
        <v>9700</v>
      </c>
      <c r="G1658" t="s">
        <v>331</v>
      </c>
      <c r="H1658" s="15">
        <v>45292</v>
      </c>
      <c r="I1658">
        <v>9700</v>
      </c>
      <c r="J1658">
        <v>0</v>
      </c>
    </row>
    <row r="1659" spans="1:10" x14ac:dyDescent="0.3">
      <c r="A1659" s="15">
        <v>45474</v>
      </c>
      <c r="B1659" t="s">
        <v>310</v>
      </c>
      <c r="C1659" t="s">
        <v>91</v>
      </c>
      <c r="D1659" t="s">
        <v>99</v>
      </c>
      <c r="E1659" t="s">
        <v>87</v>
      </c>
      <c r="F1659">
        <v>10000</v>
      </c>
      <c r="G1659" t="s">
        <v>331</v>
      </c>
      <c r="H1659" s="15">
        <v>45292</v>
      </c>
      <c r="I1659">
        <v>10000</v>
      </c>
      <c r="J1659">
        <v>0</v>
      </c>
    </row>
    <row r="1660" spans="1:10" x14ac:dyDescent="0.3">
      <c r="A1660" s="15">
        <v>45474</v>
      </c>
      <c r="B1660" t="s">
        <v>312</v>
      </c>
      <c r="C1660" t="s">
        <v>91</v>
      </c>
      <c r="D1660" t="s">
        <v>86</v>
      </c>
      <c r="E1660" t="s">
        <v>103</v>
      </c>
      <c r="F1660">
        <v>0</v>
      </c>
      <c r="G1660" t="s">
        <v>333</v>
      </c>
      <c r="H1660" s="15">
        <v>45292</v>
      </c>
      <c r="I1660">
        <v>9400</v>
      </c>
      <c r="J1660">
        <v>-9400</v>
      </c>
    </row>
    <row r="1661" spans="1:10" x14ac:dyDescent="0.3">
      <c r="A1661" s="15">
        <v>45474</v>
      </c>
      <c r="B1661" t="s">
        <v>313</v>
      </c>
      <c r="C1661" t="s">
        <v>91</v>
      </c>
      <c r="D1661" t="s">
        <v>82</v>
      </c>
      <c r="E1661" t="s">
        <v>101</v>
      </c>
      <c r="F1661">
        <v>12700</v>
      </c>
      <c r="G1661" t="s">
        <v>331</v>
      </c>
      <c r="H1661" s="15">
        <v>45292</v>
      </c>
      <c r="I1661">
        <v>12700</v>
      </c>
      <c r="J1661">
        <v>0</v>
      </c>
    </row>
    <row r="1662" spans="1:10" x14ac:dyDescent="0.3">
      <c r="A1662" s="15">
        <v>45474</v>
      </c>
      <c r="B1662" t="s">
        <v>314</v>
      </c>
      <c r="C1662" t="s">
        <v>91</v>
      </c>
      <c r="D1662" t="s">
        <v>82</v>
      </c>
      <c r="E1662" t="s">
        <v>103</v>
      </c>
      <c r="F1662">
        <v>10100</v>
      </c>
      <c r="G1662" t="s">
        <v>331</v>
      </c>
      <c r="H1662" s="15">
        <v>45292</v>
      </c>
      <c r="I1662">
        <v>10100</v>
      </c>
      <c r="J1662">
        <v>0</v>
      </c>
    </row>
    <row r="1663" spans="1:10" x14ac:dyDescent="0.3">
      <c r="A1663" s="15">
        <v>45474</v>
      </c>
      <c r="B1663" t="s">
        <v>315</v>
      </c>
      <c r="C1663" t="s">
        <v>125</v>
      </c>
      <c r="D1663" t="s">
        <v>86</v>
      </c>
      <c r="E1663" t="s">
        <v>92</v>
      </c>
      <c r="F1663">
        <v>76200</v>
      </c>
      <c r="G1663" t="s">
        <v>331</v>
      </c>
      <c r="H1663" s="15">
        <v>45292</v>
      </c>
      <c r="I1663">
        <v>76200</v>
      </c>
      <c r="J1663">
        <v>0</v>
      </c>
    </row>
    <row r="1664" spans="1:10" x14ac:dyDescent="0.3">
      <c r="A1664" s="15">
        <v>45474</v>
      </c>
      <c r="B1664" t="s">
        <v>316</v>
      </c>
      <c r="C1664" t="s">
        <v>81</v>
      </c>
      <c r="D1664" t="s">
        <v>96</v>
      </c>
      <c r="E1664" t="s">
        <v>92</v>
      </c>
      <c r="F1664">
        <v>1800</v>
      </c>
      <c r="G1664" t="s">
        <v>331</v>
      </c>
      <c r="H1664" s="15">
        <v>45292</v>
      </c>
      <c r="I1664">
        <v>1800</v>
      </c>
      <c r="J1664">
        <v>0</v>
      </c>
    </row>
    <row r="1665" spans="1:10" x14ac:dyDescent="0.3">
      <c r="A1665" s="15">
        <v>45474</v>
      </c>
      <c r="B1665" t="s">
        <v>317</v>
      </c>
      <c r="C1665" t="s">
        <v>125</v>
      </c>
      <c r="D1665" t="s">
        <v>82</v>
      </c>
      <c r="E1665" t="s">
        <v>92</v>
      </c>
      <c r="F1665">
        <v>73500</v>
      </c>
      <c r="G1665" t="s">
        <v>331</v>
      </c>
      <c r="H1665" s="15">
        <v>45292</v>
      </c>
      <c r="I1665">
        <v>73500</v>
      </c>
      <c r="J1665">
        <v>0</v>
      </c>
    </row>
    <row r="1666" spans="1:10" x14ac:dyDescent="0.3">
      <c r="A1666" s="15">
        <v>45474</v>
      </c>
      <c r="B1666" t="s">
        <v>318</v>
      </c>
      <c r="C1666" t="s">
        <v>110</v>
      </c>
      <c r="D1666" t="s">
        <v>82</v>
      </c>
      <c r="E1666" t="s">
        <v>97</v>
      </c>
      <c r="F1666">
        <v>29600</v>
      </c>
      <c r="G1666" t="s">
        <v>331</v>
      </c>
      <c r="H1666" s="15">
        <v>45292</v>
      </c>
      <c r="I1666">
        <v>29600</v>
      </c>
      <c r="J1666">
        <v>0</v>
      </c>
    </row>
    <row r="1667" spans="1:10" x14ac:dyDescent="0.3">
      <c r="A1667" s="15">
        <v>45474</v>
      </c>
      <c r="B1667" t="s">
        <v>320</v>
      </c>
      <c r="C1667" t="s">
        <v>91</v>
      </c>
      <c r="D1667" t="s">
        <v>86</v>
      </c>
      <c r="E1667" t="s">
        <v>97</v>
      </c>
      <c r="F1667">
        <v>7700</v>
      </c>
      <c r="G1667" t="s">
        <v>331</v>
      </c>
      <c r="H1667" s="15">
        <v>45292</v>
      </c>
      <c r="I1667">
        <v>7700</v>
      </c>
      <c r="J1667">
        <v>0</v>
      </c>
    </row>
    <row r="1668" spans="1:10" x14ac:dyDescent="0.3">
      <c r="A1668" s="15">
        <v>45474</v>
      </c>
      <c r="B1668" t="s">
        <v>321</v>
      </c>
      <c r="C1668" t="s">
        <v>81</v>
      </c>
      <c r="D1668" t="s">
        <v>99</v>
      </c>
      <c r="E1668" t="s">
        <v>101</v>
      </c>
      <c r="F1668">
        <v>3300</v>
      </c>
      <c r="G1668" t="s">
        <v>334</v>
      </c>
      <c r="H1668" s="15">
        <v>45292</v>
      </c>
      <c r="I1668">
        <v>3500</v>
      </c>
      <c r="J1668">
        <v>-200</v>
      </c>
    </row>
    <row r="1669" spans="1:10" x14ac:dyDescent="0.3">
      <c r="A1669" s="15">
        <v>45474</v>
      </c>
      <c r="B1669" t="s">
        <v>322</v>
      </c>
      <c r="C1669" t="s">
        <v>81</v>
      </c>
      <c r="D1669" t="s">
        <v>82</v>
      </c>
      <c r="E1669" t="s">
        <v>103</v>
      </c>
      <c r="F1669">
        <v>2000</v>
      </c>
      <c r="G1669" t="s">
        <v>331</v>
      </c>
      <c r="H1669" s="15">
        <v>45292</v>
      </c>
      <c r="I1669">
        <v>2000</v>
      </c>
      <c r="J1669">
        <v>0</v>
      </c>
    </row>
    <row r="1670" spans="1:10" x14ac:dyDescent="0.3">
      <c r="A1670" s="15">
        <v>45474</v>
      </c>
      <c r="B1670" t="s">
        <v>323</v>
      </c>
      <c r="C1670" t="s">
        <v>110</v>
      </c>
      <c r="D1670" t="s">
        <v>82</v>
      </c>
      <c r="E1670" t="s">
        <v>89</v>
      </c>
      <c r="F1670">
        <v>23400</v>
      </c>
      <c r="G1670" t="s">
        <v>331</v>
      </c>
      <c r="H1670" s="15">
        <v>45292</v>
      </c>
      <c r="I1670">
        <v>23400</v>
      </c>
      <c r="J1670">
        <v>0</v>
      </c>
    </row>
    <row r="1671" spans="1:10" x14ac:dyDescent="0.3">
      <c r="A1671" s="15">
        <v>45474</v>
      </c>
      <c r="B1671" t="s">
        <v>324</v>
      </c>
      <c r="C1671" t="s">
        <v>81</v>
      </c>
      <c r="D1671" t="s">
        <v>86</v>
      </c>
      <c r="E1671" t="s">
        <v>87</v>
      </c>
      <c r="F1671">
        <v>2700</v>
      </c>
      <c r="G1671" t="s">
        <v>331</v>
      </c>
      <c r="H1671" s="15">
        <v>45292</v>
      </c>
      <c r="I1671">
        <v>2700</v>
      </c>
      <c r="J1671">
        <v>0</v>
      </c>
    </row>
    <row r="1672" spans="1:10" x14ac:dyDescent="0.3">
      <c r="A1672" s="15">
        <v>45474</v>
      </c>
      <c r="B1672" t="s">
        <v>325</v>
      </c>
      <c r="C1672" t="s">
        <v>91</v>
      </c>
      <c r="D1672" t="s">
        <v>86</v>
      </c>
      <c r="E1672" t="s">
        <v>87</v>
      </c>
      <c r="F1672">
        <v>8800</v>
      </c>
      <c r="G1672" t="s">
        <v>331</v>
      </c>
      <c r="H1672" s="15">
        <v>45292</v>
      </c>
      <c r="I1672">
        <v>8800</v>
      </c>
      <c r="J1672">
        <v>0</v>
      </c>
    </row>
    <row r="1673" spans="1:10" x14ac:dyDescent="0.3">
      <c r="A1673" s="15">
        <v>45474</v>
      </c>
      <c r="B1673" t="s">
        <v>326</v>
      </c>
      <c r="C1673" t="s">
        <v>91</v>
      </c>
      <c r="D1673" t="s">
        <v>86</v>
      </c>
      <c r="E1673" t="s">
        <v>92</v>
      </c>
      <c r="F1673">
        <v>7900</v>
      </c>
      <c r="G1673" t="s">
        <v>331</v>
      </c>
      <c r="H1673" s="15">
        <v>45292</v>
      </c>
      <c r="I1673">
        <v>7900</v>
      </c>
      <c r="J1673">
        <v>0</v>
      </c>
    </row>
    <row r="1674" spans="1:10" x14ac:dyDescent="0.3">
      <c r="A1674" s="15">
        <v>45474</v>
      </c>
      <c r="B1674" t="s">
        <v>327</v>
      </c>
      <c r="C1674" t="s">
        <v>125</v>
      </c>
      <c r="D1674" t="s">
        <v>99</v>
      </c>
      <c r="E1674" t="s">
        <v>97</v>
      </c>
      <c r="F1674">
        <v>77500</v>
      </c>
      <c r="G1674" t="s">
        <v>331</v>
      </c>
      <c r="H1674" s="15">
        <v>45292</v>
      </c>
      <c r="I1674">
        <v>77500</v>
      </c>
      <c r="J1674">
        <v>0</v>
      </c>
    </row>
    <row r="1675" spans="1:10" x14ac:dyDescent="0.3">
      <c r="A1675" s="15">
        <v>45474</v>
      </c>
      <c r="B1675" t="s">
        <v>329</v>
      </c>
      <c r="C1675" t="s">
        <v>81</v>
      </c>
      <c r="D1675" t="s">
        <v>86</v>
      </c>
      <c r="E1675" t="s">
        <v>101</v>
      </c>
      <c r="F1675">
        <v>2200</v>
      </c>
      <c r="G1675" t="s">
        <v>331</v>
      </c>
      <c r="H1675" s="15">
        <v>45292</v>
      </c>
      <c r="I1675">
        <v>2200</v>
      </c>
      <c r="J1675">
        <v>0</v>
      </c>
    </row>
    <row r="1676" spans="1:10" x14ac:dyDescent="0.3">
      <c r="A1676" s="15">
        <v>45474</v>
      </c>
      <c r="B1676" t="s">
        <v>330</v>
      </c>
      <c r="C1676" t="s">
        <v>125</v>
      </c>
      <c r="D1676" t="s">
        <v>86</v>
      </c>
      <c r="E1676" t="s">
        <v>87</v>
      </c>
      <c r="F1676">
        <v>105400</v>
      </c>
      <c r="G1676" t="s">
        <v>331</v>
      </c>
      <c r="H1676" s="15">
        <v>45292</v>
      </c>
      <c r="I1676">
        <v>105400</v>
      </c>
      <c r="J1676">
        <v>0</v>
      </c>
    </row>
    <row r="1677" spans="1:10" x14ac:dyDescent="0.3">
      <c r="A1677" s="15">
        <v>45474</v>
      </c>
      <c r="B1677" t="s">
        <v>335</v>
      </c>
      <c r="C1677" t="s">
        <v>91</v>
      </c>
      <c r="D1677" t="s">
        <v>86</v>
      </c>
      <c r="E1677" t="s">
        <v>89</v>
      </c>
      <c r="F1677">
        <v>7300</v>
      </c>
      <c r="G1677" t="s">
        <v>331</v>
      </c>
      <c r="H1677" s="15">
        <v>45323</v>
      </c>
      <c r="I1677">
        <v>7300</v>
      </c>
      <c r="J1677">
        <v>0</v>
      </c>
    </row>
    <row r="1678" spans="1:10" x14ac:dyDescent="0.3">
      <c r="A1678" s="15">
        <v>45474</v>
      </c>
      <c r="B1678" t="s">
        <v>336</v>
      </c>
      <c r="C1678" t="s">
        <v>81</v>
      </c>
      <c r="D1678" t="s">
        <v>82</v>
      </c>
      <c r="E1678" t="s">
        <v>103</v>
      </c>
      <c r="F1678">
        <v>1500</v>
      </c>
      <c r="G1678" t="s">
        <v>331</v>
      </c>
      <c r="H1678" s="15">
        <v>45323</v>
      </c>
      <c r="I1678">
        <v>1500</v>
      </c>
      <c r="J1678">
        <v>0</v>
      </c>
    </row>
    <row r="1679" spans="1:10" x14ac:dyDescent="0.3">
      <c r="A1679" s="15">
        <v>45474</v>
      </c>
      <c r="B1679" t="s">
        <v>337</v>
      </c>
      <c r="C1679" t="s">
        <v>91</v>
      </c>
      <c r="D1679" t="s">
        <v>82</v>
      </c>
      <c r="E1679" t="s">
        <v>92</v>
      </c>
      <c r="F1679">
        <v>6200</v>
      </c>
      <c r="G1679" t="s">
        <v>331</v>
      </c>
      <c r="H1679" s="15">
        <v>45323</v>
      </c>
      <c r="I1679">
        <v>6200</v>
      </c>
      <c r="J1679">
        <v>0</v>
      </c>
    </row>
    <row r="1680" spans="1:10" x14ac:dyDescent="0.3">
      <c r="A1680" s="15">
        <v>45474</v>
      </c>
      <c r="B1680" t="s">
        <v>338</v>
      </c>
      <c r="C1680" t="s">
        <v>91</v>
      </c>
      <c r="D1680" t="s">
        <v>82</v>
      </c>
      <c r="E1680" t="s">
        <v>103</v>
      </c>
      <c r="F1680">
        <v>5700</v>
      </c>
      <c r="G1680" t="s">
        <v>331</v>
      </c>
      <c r="H1680" s="15">
        <v>45323</v>
      </c>
      <c r="I1680">
        <v>5700</v>
      </c>
      <c r="J1680">
        <v>0</v>
      </c>
    </row>
    <row r="1681" spans="1:10" x14ac:dyDescent="0.3">
      <c r="A1681" s="15">
        <v>45474</v>
      </c>
      <c r="B1681" t="s">
        <v>339</v>
      </c>
      <c r="C1681" t="s">
        <v>81</v>
      </c>
      <c r="D1681" t="s">
        <v>82</v>
      </c>
      <c r="E1681" t="s">
        <v>103</v>
      </c>
      <c r="F1681">
        <v>1800</v>
      </c>
      <c r="G1681" t="s">
        <v>331</v>
      </c>
      <c r="H1681" s="15">
        <v>45323</v>
      </c>
      <c r="I1681">
        <v>1800</v>
      </c>
      <c r="J1681">
        <v>0</v>
      </c>
    </row>
    <row r="1682" spans="1:10" x14ac:dyDescent="0.3">
      <c r="A1682" s="15">
        <v>45474</v>
      </c>
      <c r="B1682" t="s">
        <v>340</v>
      </c>
      <c r="C1682" t="s">
        <v>81</v>
      </c>
      <c r="D1682" t="s">
        <v>82</v>
      </c>
      <c r="E1682" t="s">
        <v>87</v>
      </c>
      <c r="F1682">
        <v>1800</v>
      </c>
      <c r="G1682" t="s">
        <v>331</v>
      </c>
      <c r="H1682" s="15">
        <v>45323</v>
      </c>
      <c r="I1682">
        <v>1800</v>
      </c>
      <c r="J1682">
        <v>0</v>
      </c>
    </row>
    <row r="1683" spans="1:10" x14ac:dyDescent="0.3">
      <c r="A1683" s="15">
        <v>45474</v>
      </c>
      <c r="B1683" t="s">
        <v>341</v>
      </c>
      <c r="C1683" t="s">
        <v>110</v>
      </c>
      <c r="D1683" t="s">
        <v>82</v>
      </c>
      <c r="E1683" t="s">
        <v>92</v>
      </c>
      <c r="F1683">
        <v>18800</v>
      </c>
      <c r="G1683" t="s">
        <v>331</v>
      </c>
      <c r="H1683" s="15">
        <v>45323</v>
      </c>
      <c r="I1683">
        <v>18800</v>
      </c>
      <c r="J1683">
        <v>0</v>
      </c>
    </row>
    <row r="1684" spans="1:10" x14ac:dyDescent="0.3">
      <c r="A1684" s="15">
        <v>45474</v>
      </c>
      <c r="B1684" t="s">
        <v>342</v>
      </c>
      <c r="C1684" t="s">
        <v>91</v>
      </c>
      <c r="D1684" t="s">
        <v>82</v>
      </c>
      <c r="E1684" t="s">
        <v>83</v>
      </c>
      <c r="F1684">
        <v>7100</v>
      </c>
      <c r="G1684" t="s">
        <v>331</v>
      </c>
      <c r="H1684" s="15">
        <v>45352</v>
      </c>
      <c r="I1684">
        <v>7100</v>
      </c>
      <c r="J1684">
        <v>0</v>
      </c>
    </row>
    <row r="1685" spans="1:10" x14ac:dyDescent="0.3">
      <c r="A1685" s="15">
        <v>45474</v>
      </c>
      <c r="B1685" t="s">
        <v>343</v>
      </c>
      <c r="C1685" t="s">
        <v>81</v>
      </c>
      <c r="D1685" t="s">
        <v>82</v>
      </c>
      <c r="E1685" t="s">
        <v>89</v>
      </c>
      <c r="F1685">
        <v>2500</v>
      </c>
      <c r="G1685" t="s">
        <v>331</v>
      </c>
      <c r="H1685" s="15">
        <v>45352</v>
      </c>
      <c r="I1685">
        <v>2500</v>
      </c>
      <c r="J1685">
        <v>0</v>
      </c>
    </row>
    <row r="1686" spans="1:10" x14ac:dyDescent="0.3">
      <c r="A1686" s="15">
        <v>45474</v>
      </c>
      <c r="B1686" t="s">
        <v>344</v>
      </c>
      <c r="C1686" t="s">
        <v>110</v>
      </c>
      <c r="D1686" t="s">
        <v>86</v>
      </c>
      <c r="E1686" t="s">
        <v>89</v>
      </c>
      <c r="F1686">
        <v>21100</v>
      </c>
      <c r="G1686" t="s">
        <v>331</v>
      </c>
      <c r="H1686" s="15">
        <v>45352</v>
      </c>
      <c r="I1686">
        <v>21100</v>
      </c>
      <c r="J1686">
        <v>0</v>
      </c>
    </row>
    <row r="1687" spans="1:10" x14ac:dyDescent="0.3">
      <c r="A1687" s="15">
        <v>45474</v>
      </c>
      <c r="B1687" t="s">
        <v>345</v>
      </c>
      <c r="C1687" t="s">
        <v>91</v>
      </c>
      <c r="D1687" t="s">
        <v>86</v>
      </c>
      <c r="E1687" t="s">
        <v>83</v>
      </c>
      <c r="F1687">
        <v>6900</v>
      </c>
      <c r="G1687" t="s">
        <v>332</v>
      </c>
      <c r="H1687" s="15">
        <v>45352</v>
      </c>
      <c r="I1687">
        <v>6000</v>
      </c>
      <c r="J1687">
        <v>900</v>
      </c>
    </row>
    <row r="1688" spans="1:10" x14ac:dyDescent="0.3">
      <c r="A1688" s="15">
        <v>45474</v>
      </c>
      <c r="B1688" t="s">
        <v>346</v>
      </c>
      <c r="C1688" t="s">
        <v>81</v>
      </c>
      <c r="D1688" t="s">
        <v>86</v>
      </c>
      <c r="E1688" t="s">
        <v>97</v>
      </c>
      <c r="F1688">
        <v>1700</v>
      </c>
      <c r="G1688" t="s">
        <v>331</v>
      </c>
      <c r="H1688" s="15">
        <v>45352</v>
      </c>
      <c r="I1688">
        <v>1700</v>
      </c>
      <c r="J1688">
        <v>0</v>
      </c>
    </row>
    <row r="1689" spans="1:10" x14ac:dyDescent="0.3">
      <c r="A1689" s="15">
        <v>45474</v>
      </c>
      <c r="B1689" t="s">
        <v>347</v>
      </c>
      <c r="C1689" t="s">
        <v>91</v>
      </c>
      <c r="D1689" t="s">
        <v>82</v>
      </c>
      <c r="E1689" t="s">
        <v>83</v>
      </c>
      <c r="F1689">
        <v>5700</v>
      </c>
      <c r="G1689" t="s">
        <v>331</v>
      </c>
      <c r="H1689" s="15">
        <v>45383</v>
      </c>
      <c r="I1689">
        <v>5700</v>
      </c>
      <c r="J1689">
        <v>0</v>
      </c>
    </row>
    <row r="1690" spans="1:10" x14ac:dyDescent="0.3">
      <c r="A1690" s="15">
        <v>45474</v>
      </c>
      <c r="B1690" t="s">
        <v>348</v>
      </c>
      <c r="C1690" t="s">
        <v>125</v>
      </c>
      <c r="D1690" t="s">
        <v>86</v>
      </c>
      <c r="E1690" t="s">
        <v>92</v>
      </c>
      <c r="F1690">
        <v>59200</v>
      </c>
      <c r="G1690" t="s">
        <v>331</v>
      </c>
      <c r="H1690" s="15">
        <v>45383</v>
      </c>
      <c r="I1690">
        <v>59200</v>
      </c>
      <c r="J1690">
        <v>0</v>
      </c>
    </row>
    <row r="1691" spans="1:10" x14ac:dyDescent="0.3">
      <c r="A1691" s="15">
        <v>45474</v>
      </c>
      <c r="B1691" t="s">
        <v>350</v>
      </c>
      <c r="C1691" t="s">
        <v>91</v>
      </c>
      <c r="D1691" t="s">
        <v>82</v>
      </c>
      <c r="E1691" t="s">
        <v>83</v>
      </c>
      <c r="F1691">
        <v>4800</v>
      </c>
      <c r="G1691" t="s">
        <v>331</v>
      </c>
      <c r="H1691" s="15">
        <v>45383</v>
      </c>
      <c r="I1691">
        <v>4800</v>
      </c>
      <c r="J1691">
        <v>0</v>
      </c>
    </row>
    <row r="1692" spans="1:10" x14ac:dyDescent="0.3">
      <c r="A1692" s="15">
        <v>45474</v>
      </c>
      <c r="B1692" t="s">
        <v>351</v>
      </c>
      <c r="C1692" t="s">
        <v>81</v>
      </c>
      <c r="D1692" t="s">
        <v>86</v>
      </c>
      <c r="E1692" t="s">
        <v>83</v>
      </c>
      <c r="F1692">
        <v>2300</v>
      </c>
      <c r="G1692" t="s">
        <v>331</v>
      </c>
      <c r="H1692" s="15">
        <v>45383</v>
      </c>
      <c r="I1692">
        <v>2300</v>
      </c>
      <c r="J1692">
        <v>0</v>
      </c>
    </row>
    <row r="1693" spans="1:10" x14ac:dyDescent="0.3">
      <c r="A1693" s="15">
        <v>45474</v>
      </c>
      <c r="B1693" t="s">
        <v>352</v>
      </c>
      <c r="C1693" t="s">
        <v>91</v>
      </c>
      <c r="D1693" t="s">
        <v>82</v>
      </c>
      <c r="E1693" t="s">
        <v>89</v>
      </c>
      <c r="F1693">
        <v>6100</v>
      </c>
      <c r="G1693" t="s">
        <v>331</v>
      </c>
      <c r="H1693" s="15">
        <v>45383</v>
      </c>
      <c r="I1693">
        <v>6100</v>
      </c>
      <c r="J1693">
        <v>0</v>
      </c>
    </row>
    <row r="1694" spans="1:10" x14ac:dyDescent="0.3">
      <c r="A1694" s="15">
        <v>45474</v>
      </c>
      <c r="B1694" t="s">
        <v>353</v>
      </c>
      <c r="C1694" t="s">
        <v>81</v>
      </c>
      <c r="D1694" t="s">
        <v>99</v>
      </c>
      <c r="E1694" t="s">
        <v>103</v>
      </c>
      <c r="F1694">
        <v>1200</v>
      </c>
      <c r="G1694" t="s">
        <v>331</v>
      </c>
      <c r="H1694" s="15">
        <v>45383</v>
      </c>
      <c r="I1694">
        <v>1200</v>
      </c>
      <c r="J1694">
        <v>0</v>
      </c>
    </row>
    <row r="1695" spans="1:10" x14ac:dyDescent="0.3">
      <c r="A1695" s="15">
        <v>45474</v>
      </c>
      <c r="B1695" t="s">
        <v>354</v>
      </c>
      <c r="C1695" t="s">
        <v>81</v>
      </c>
      <c r="D1695" t="s">
        <v>82</v>
      </c>
      <c r="E1695" t="s">
        <v>92</v>
      </c>
      <c r="F1695">
        <v>1800</v>
      </c>
      <c r="G1695" t="s">
        <v>331</v>
      </c>
      <c r="H1695" s="15">
        <v>45413</v>
      </c>
      <c r="I1695">
        <v>1800</v>
      </c>
      <c r="J1695">
        <v>0</v>
      </c>
    </row>
    <row r="1696" spans="1:10" x14ac:dyDescent="0.3">
      <c r="A1696" s="15">
        <v>45474</v>
      </c>
      <c r="B1696" t="s">
        <v>355</v>
      </c>
      <c r="C1696" t="s">
        <v>81</v>
      </c>
      <c r="D1696" t="s">
        <v>86</v>
      </c>
      <c r="E1696" t="s">
        <v>97</v>
      </c>
      <c r="F1696">
        <v>2200</v>
      </c>
      <c r="G1696" t="s">
        <v>331</v>
      </c>
      <c r="H1696" s="15">
        <v>45413</v>
      </c>
      <c r="I1696">
        <v>2200</v>
      </c>
      <c r="J1696">
        <v>0</v>
      </c>
    </row>
    <row r="1697" spans="1:10" x14ac:dyDescent="0.3">
      <c r="A1697" s="15">
        <v>45474</v>
      </c>
      <c r="B1697" t="s">
        <v>356</v>
      </c>
      <c r="C1697" t="s">
        <v>110</v>
      </c>
      <c r="D1697" t="s">
        <v>82</v>
      </c>
      <c r="E1697" t="s">
        <v>97</v>
      </c>
      <c r="F1697">
        <v>33000</v>
      </c>
      <c r="G1697" t="s">
        <v>331</v>
      </c>
      <c r="H1697" s="15">
        <v>45413</v>
      </c>
      <c r="I1697">
        <v>33000</v>
      </c>
      <c r="J1697">
        <v>0</v>
      </c>
    </row>
    <row r="1698" spans="1:10" x14ac:dyDescent="0.3">
      <c r="A1698" s="15">
        <v>45474</v>
      </c>
      <c r="B1698" t="s">
        <v>357</v>
      </c>
      <c r="C1698" t="s">
        <v>125</v>
      </c>
      <c r="D1698" t="s">
        <v>86</v>
      </c>
      <c r="E1698" t="s">
        <v>97</v>
      </c>
      <c r="F1698">
        <v>79900</v>
      </c>
      <c r="G1698" t="s">
        <v>331</v>
      </c>
      <c r="H1698" s="15">
        <v>45413</v>
      </c>
      <c r="I1698">
        <v>79900</v>
      </c>
      <c r="J1698">
        <v>0</v>
      </c>
    </row>
    <row r="1699" spans="1:10" x14ac:dyDescent="0.3">
      <c r="A1699" s="15">
        <v>45474</v>
      </c>
      <c r="B1699" t="s">
        <v>358</v>
      </c>
      <c r="C1699" t="s">
        <v>110</v>
      </c>
      <c r="D1699" t="s">
        <v>86</v>
      </c>
      <c r="E1699" t="s">
        <v>83</v>
      </c>
      <c r="F1699">
        <v>25500</v>
      </c>
      <c r="G1699" t="s">
        <v>331</v>
      </c>
      <c r="H1699" s="15">
        <v>45413</v>
      </c>
      <c r="I1699">
        <v>25500</v>
      </c>
      <c r="J1699">
        <v>0</v>
      </c>
    </row>
    <row r="1700" spans="1:10" x14ac:dyDescent="0.3">
      <c r="A1700" s="15">
        <v>45474</v>
      </c>
      <c r="B1700" t="s">
        <v>359</v>
      </c>
      <c r="C1700" t="s">
        <v>110</v>
      </c>
      <c r="D1700" t="s">
        <v>86</v>
      </c>
      <c r="E1700" t="s">
        <v>101</v>
      </c>
      <c r="F1700">
        <v>31400</v>
      </c>
      <c r="G1700" t="s">
        <v>331</v>
      </c>
      <c r="H1700" s="15">
        <v>45413</v>
      </c>
      <c r="I1700">
        <v>31400</v>
      </c>
      <c r="J1700">
        <v>0</v>
      </c>
    </row>
    <row r="1701" spans="1:10" x14ac:dyDescent="0.3">
      <c r="A1701" s="15">
        <v>45474</v>
      </c>
      <c r="B1701" t="s">
        <v>360</v>
      </c>
      <c r="C1701" t="s">
        <v>91</v>
      </c>
      <c r="D1701" t="s">
        <v>86</v>
      </c>
      <c r="E1701" t="s">
        <v>103</v>
      </c>
      <c r="F1701">
        <v>5700</v>
      </c>
      <c r="G1701" t="s">
        <v>331</v>
      </c>
      <c r="H1701" s="15">
        <v>45444</v>
      </c>
      <c r="I1701">
        <v>5700</v>
      </c>
      <c r="J1701">
        <v>0</v>
      </c>
    </row>
    <row r="1702" spans="1:10" x14ac:dyDescent="0.3">
      <c r="A1702" s="15">
        <v>45474</v>
      </c>
      <c r="B1702" t="s">
        <v>361</v>
      </c>
      <c r="C1702" t="s">
        <v>91</v>
      </c>
      <c r="D1702" t="s">
        <v>86</v>
      </c>
      <c r="E1702" t="s">
        <v>83</v>
      </c>
      <c r="F1702">
        <v>5700</v>
      </c>
      <c r="G1702" t="s">
        <v>331</v>
      </c>
      <c r="H1702" s="15">
        <v>45444</v>
      </c>
      <c r="I1702">
        <v>5700</v>
      </c>
      <c r="J1702">
        <v>0</v>
      </c>
    </row>
    <row r="1703" spans="1:10" x14ac:dyDescent="0.3">
      <c r="A1703" s="15">
        <v>45474</v>
      </c>
      <c r="B1703" t="s">
        <v>362</v>
      </c>
      <c r="C1703" t="s">
        <v>91</v>
      </c>
      <c r="D1703" t="s">
        <v>82</v>
      </c>
      <c r="E1703" t="s">
        <v>101</v>
      </c>
      <c r="F1703">
        <v>5400</v>
      </c>
      <c r="G1703" t="s">
        <v>331</v>
      </c>
      <c r="H1703" s="15">
        <v>45444</v>
      </c>
      <c r="I1703">
        <v>5400</v>
      </c>
      <c r="J1703">
        <v>0</v>
      </c>
    </row>
    <row r="1704" spans="1:10" x14ac:dyDescent="0.3">
      <c r="A1704" s="15">
        <v>45474</v>
      </c>
      <c r="B1704" t="s">
        <v>363</v>
      </c>
      <c r="C1704" t="s">
        <v>91</v>
      </c>
      <c r="D1704" t="s">
        <v>86</v>
      </c>
      <c r="E1704" t="s">
        <v>83</v>
      </c>
      <c r="F1704">
        <v>5100</v>
      </c>
      <c r="G1704" t="s">
        <v>331</v>
      </c>
      <c r="H1704" s="15">
        <v>45444</v>
      </c>
      <c r="I1704">
        <v>5100</v>
      </c>
      <c r="J1704">
        <v>0</v>
      </c>
    </row>
    <row r="1705" spans="1:10" x14ac:dyDescent="0.3">
      <c r="A1705" s="15">
        <v>45474</v>
      </c>
      <c r="B1705" t="s">
        <v>364</v>
      </c>
      <c r="C1705" t="s">
        <v>91</v>
      </c>
      <c r="D1705" t="s">
        <v>82</v>
      </c>
      <c r="E1705" t="s">
        <v>101</v>
      </c>
      <c r="F1705">
        <v>6700</v>
      </c>
      <c r="G1705" t="s">
        <v>331</v>
      </c>
      <c r="H1705" s="15">
        <v>45444</v>
      </c>
      <c r="I1705">
        <v>6700</v>
      </c>
      <c r="J1705">
        <v>0</v>
      </c>
    </row>
    <row r="1706" spans="1:10" x14ac:dyDescent="0.3">
      <c r="A1706" s="15">
        <v>45474</v>
      </c>
      <c r="B1706" t="s">
        <v>365</v>
      </c>
      <c r="C1706" t="s">
        <v>91</v>
      </c>
      <c r="D1706" t="s">
        <v>82</v>
      </c>
      <c r="E1706" t="s">
        <v>92</v>
      </c>
      <c r="F1706">
        <v>7300</v>
      </c>
      <c r="G1706" t="s">
        <v>331</v>
      </c>
      <c r="H1706" s="15">
        <v>45444</v>
      </c>
      <c r="I1706">
        <v>7300</v>
      </c>
      <c r="J1706">
        <v>0</v>
      </c>
    </row>
    <row r="1707" spans="1:10" x14ac:dyDescent="0.3">
      <c r="A1707" s="15">
        <v>45474</v>
      </c>
      <c r="B1707" t="s">
        <v>366</v>
      </c>
      <c r="C1707" t="s">
        <v>81</v>
      </c>
      <c r="D1707" t="s">
        <v>99</v>
      </c>
      <c r="E1707" t="s">
        <v>92</v>
      </c>
      <c r="F1707">
        <v>1600</v>
      </c>
      <c r="G1707" t="s">
        <v>84</v>
      </c>
      <c r="H1707" s="15">
        <v>45474</v>
      </c>
      <c r="I1707">
        <v>0</v>
      </c>
      <c r="J1707">
        <v>1600</v>
      </c>
    </row>
    <row r="1708" spans="1:10" x14ac:dyDescent="0.3">
      <c r="A1708" s="15">
        <v>45474</v>
      </c>
      <c r="B1708" t="s">
        <v>367</v>
      </c>
      <c r="C1708" t="s">
        <v>91</v>
      </c>
      <c r="D1708" t="s">
        <v>82</v>
      </c>
      <c r="E1708" t="s">
        <v>92</v>
      </c>
      <c r="F1708">
        <v>5800</v>
      </c>
      <c r="G1708" t="s">
        <v>84</v>
      </c>
      <c r="H1708" s="15">
        <v>45474</v>
      </c>
      <c r="I1708">
        <v>0</v>
      </c>
      <c r="J1708">
        <v>5800</v>
      </c>
    </row>
    <row r="1709" spans="1:10" x14ac:dyDescent="0.3">
      <c r="A1709" s="15">
        <v>45474</v>
      </c>
      <c r="B1709" t="s">
        <v>368</v>
      </c>
      <c r="C1709" t="s">
        <v>81</v>
      </c>
      <c r="D1709" t="s">
        <v>86</v>
      </c>
      <c r="E1709" t="s">
        <v>89</v>
      </c>
      <c r="F1709">
        <v>1400</v>
      </c>
      <c r="G1709" t="s">
        <v>84</v>
      </c>
      <c r="H1709" s="15">
        <v>45474</v>
      </c>
      <c r="I1709">
        <v>0</v>
      </c>
      <c r="J1709">
        <v>1400</v>
      </c>
    </row>
    <row r="1710" spans="1:10" x14ac:dyDescent="0.3">
      <c r="A1710" s="15">
        <v>45474</v>
      </c>
      <c r="B1710" t="s">
        <v>369</v>
      </c>
      <c r="C1710" t="s">
        <v>81</v>
      </c>
      <c r="D1710" t="s">
        <v>86</v>
      </c>
      <c r="E1710" t="s">
        <v>83</v>
      </c>
      <c r="F1710">
        <v>2200</v>
      </c>
      <c r="G1710" t="s">
        <v>84</v>
      </c>
      <c r="H1710" s="15">
        <v>45474</v>
      </c>
      <c r="I1710">
        <v>0</v>
      </c>
      <c r="J1710">
        <v>2200</v>
      </c>
    </row>
    <row r="1711" spans="1:10" x14ac:dyDescent="0.3">
      <c r="A1711" s="15">
        <v>45474</v>
      </c>
      <c r="B1711" t="s">
        <v>370</v>
      </c>
      <c r="C1711" t="s">
        <v>81</v>
      </c>
      <c r="D1711" t="s">
        <v>99</v>
      </c>
      <c r="E1711" t="s">
        <v>87</v>
      </c>
      <c r="F1711">
        <v>2100</v>
      </c>
      <c r="G1711" t="s">
        <v>84</v>
      </c>
      <c r="H1711" s="15">
        <v>45474</v>
      </c>
      <c r="I1711">
        <v>0</v>
      </c>
      <c r="J1711">
        <v>2100</v>
      </c>
    </row>
    <row r="1712" spans="1:10" x14ac:dyDescent="0.3">
      <c r="A1712" s="15">
        <v>45474</v>
      </c>
      <c r="B1712" t="s">
        <v>371</v>
      </c>
      <c r="C1712" t="s">
        <v>81</v>
      </c>
      <c r="D1712" t="s">
        <v>82</v>
      </c>
      <c r="E1712" t="s">
        <v>89</v>
      </c>
      <c r="F1712">
        <v>2100</v>
      </c>
      <c r="G1712" t="s">
        <v>84</v>
      </c>
      <c r="H1712" s="15">
        <v>45474</v>
      </c>
      <c r="I1712">
        <v>0</v>
      </c>
      <c r="J1712">
        <v>2100</v>
      </c>
    </row>
    <row r="1713" spans="1:10" x14ac:dyDescent="0.3">
      <c r="A1713" s="15">
        <v>45505</v>
      </c>
      <c r="B1713" t="s">
        <v>80</v>
      </c>
      <c r="C1713" t="s">
        <v>81</v>
      </c>
      <c r="D1713" t="s">
        <v>82</v>
      </c>
      <c r="E1713" t="s">
        <v>83</v>
      </c>
      <c r="F1713">
        <v>1900</v>
      </c>
      <c r="G1713" t="s">
        <v>331</v>
      </c>
      <c r="H1713" s="15">
        <v>45292</v>
      </c>
      <c r="I1713">
        <v>1900</v>
      </c>
      <c r="J1713">
        <v>0</v>
      </c>
    </row>
    <row r="1714" spans="1:10" x14ac:dyDescent="0.3">
      <c r="A1714" s="15">
        <v>45505</v>
      </c>
      <c r="B1714" t="s">
        <v>85</v>
      </c>
      <c r="C1714" t="s">
        <v>81</v>
      </c>
      <c r="D1714" t="s">
        <v>86</v>
      </c>
      <c r="E1714" t="s">
        <v>87</v>
      </c>
      <c r="F1714">
        <v>3200</v>
      </c>
      <c r="G1714" t="s">
        <v>331</v>
      </c>
      <c r="H1714" s="15">
        <v>45292</v>
      </c>
      <c r="I1714">
        <v>3200</v>
      </c>
      <c r="J1714">
        <v>0</v>
      </c>
    </row>
    <row r="1715" spans="1:10" x14ac:dyDescent="0.3">
      <c r="A1715" s="15">
        <v>45505</v>
      </c>
      <c r="B1715" t="s">
        <v>88</v>
      </c>
      <c r="C1715" t="s">
        <v>81</v>
      </c>
      <c r="D1715" t="s">
        <v>86</v>
      </c>
      <c r="E1715" t="s">
        <v>89</v>
      </c>
      <c r="F1715">
        <v>2400</v>
      </c>
      <c r="G1715" t="s">
        <v>331</v>
      </c>
      <c r="H1715" s="15">
        <v>45292</v>
      </c>
      <c r="I1715">
        <v>2400</v>
      </c>
      <c r="J1715">
        <v>0</v>
      </c>
    </row>
    <row r="1716" spans="1:10" x14ac:dyDescent="0.3">
      <c r="A1716" s="15">
        <v>45505</v>
      </c>
      <c r="B1716" t="s">
        <v>90</v>
      </c>
      <c r="C1716" t="s">
        <v>91</v>
      </c>
      <c r="D1716" t="s">
        <v>82</v>
      </c>
      <c r="E1716" t="s">
        <v>92</v>
      </c>
      <c r="F1716">
        <v>8300</v>
      </c>
      <c r="G1716" t="s">
        <v>331</v>
      </c>
      <c r="H1716" s="15">
        <v>45292</v>
      </c>
      <c r="I1716">
        <v>8300</v>
      </c>
      <c r="J1716">
        <v>0</v>
      </c>
    </row>
    <row r="1717" spans="1:10" x14ac:dyDescent="0.3">
      <c r="A1717" s="15">
        <v>45505</v>
      </c>
      <c r="B1717" t="s">
        <v>93</v>
      </c>
      <c r="C1717" t="s">
        <v>81</v>
      </c>
      <c r="D1717" t="s">
        <v>86</v>
      </c>
      <c r="E1717" t="s">
        <v>83</v>
      </c>
      <c r="F1717">
        <v>2200</v>
      </c>
      <c r="G1717" t="s">
        <v>331</v>
      </c>
      <c r="H1717" s="15">
        <v>45292</v>
      </c>
      <c r="I1717">
        <v>2200</v>
      </c>
      <c r="J1717">
        <v>0</v>
      </c>
    </row>
    <row r="1718" spans="1:10" x14ac:dyDescent="0.3">
      <c r="A1718" s="15">
        <v>45505</v>
      </c>
      <c r="B1718" t="s">
        <v>94</v>
      </c>
      <c r="C1718" t="s">
        <v>91</v>
      </c>
      <c r="D1718" t="s">
        <v>86</v>
      </c>
      <c r="E1718" t="s">
        <v>83</v>
      </c>
      <c r="F1718">
        <v>6900</v>
      </c>
      <c r="G1718" t="s">
        <v>331</v>
      </c>
      <c r="H1718" s="15">
        <v>45292</v>
      </c>
      <c r="I1718">
        <v>6900</v>
      </c>
      <c r="J1718">
        <v>0</v>
      </c>
    </row>
    <row r="1719" spans="1:10" x14ac:dyDescent="0.3">
      <c r="A1719" s="15">
        <v>45505</v>
      </c>
      <c r="B1719" t="s">
        <v>95</v>
      </c>
      <c r="C1719" t="s">
        <v>81</v>
      </c>
      <c r="D1719" t="s">
        <v>96</v>
      </c>
      <c r="E1719" t="s">
        <v>97</v>
      </c>
      <c r="F1719">
        <v>3100</v>
      </c>
      <c r="G1719" t="s">
        <v>331</v>
      </c>
      <c r="H1719" s="15">
        <v>45292</v>
      </c>
      <c r="I1719">
        <v>3100</v>
      </c>
      <c r="J1719">
        <v>0</v>
      </c>
    </row>
    <row r="1720" spans="1:10" x14ac:dyDescent="0.3">
      <c r="A1720" s="15">
        <v>45505</v>
      </c>
      <c r="B1720" t="s">
        <v>98</v>
      </c>
      <c r="C1720" t="s">
        <v>81</v>
      </c>
      <c r="D1720" t="s">
        <v>99</v>
      </c>
      <c r="E1720" t="s">
        <v>92</v>
      </c>
      <c r="F1720">
        <v>2300</v>
      </c>
      <c r="G1720" t="s">
        <v>331</v>
      </c>
      <c r="H1720" s="15">
        <v>45292</v>
      </c>
      <c r="I1720">
        <v>2300</v>
      </c>
      <c r="J1720">
        <v>0</v>
      </c>
    </row>
    <row r="1721" spans="1:10" x14ac:dyDescent="0.3">
      <c r="A1721" s="15">
        <v>45505</v>
      </c>
      <c r="B1721" t="s">
        <v>100</v>
      </c>
      <c r="C1721" t="s">
        <v>81</v>
      </c>
      <c r="D1721" t="s">
        <v>86</v>
      </c>
      <c r="E1721" t="s">
        <v>101</v>
      </c>
      <c r="F1721">
        <v>1800</v>
      </c>
      <c r="G1721" t="s">
        <v>331</v>
      </c>
      <c r="H1721" s="15">
        <v>45292</v>
      </c>
      <c r="I1721">
        <v>1800</v>
      </c>
      <c r="J1721">
        <v>0</v>
      </c>
    </row>
    <row r="1722" spans="1:10" x14ac:dyDescent="0.3">
      <c r="A1722" s="15">
        <v>45505</v>
      </c>
      <c r="B1722" t="s">
        <v>102</v>
      </c>
      <c r="C1722" t="s">
        <v>81</v>
      </c>
      <c r="D1722" t="s">
        <v>99</v>
      </c>
      <c r="E1722" t="s">
        <v>103</v>
      </c>
      <c r="F1722">
        <v>3300</v>
      </c>
      <c r="G1722" t="s">
        <v>334</v>
      </c>
      <c r="H1722" s="15">
        <v>45292</v>
      </c>
      <c r="I1722">
        <v>4000</v>
      </c>
      <c r="J1722">
        <v>-700</v>
      </c>
    </row>
    <row r="1723" spans="1:10" x14ac:dyDescent="0.3">
      <c r="A1723" s="15">
        <v>45505</v>
      </c>
      <c r="B1723" t="s">
        <v>104</v>
      </c>
      <c r="C1723" t="s">
        <v>91</v>
      </c>
      <c r="D1723" t="s">
        <v>99</v>
      </c>
      <c r="E1723" t="s">
        <v>87</v>
      </c>
      <c r="F1723">
        <v>7000</v>
      </c>
      <c r="G1723" t="s">
        <v>331</v>
      </c>
      <c r="H1723" s="15">
        <v>45292</v>
      </c>
      <c r="I1723">
        <v>7000</v>
      </c>
      <c r="J1723">
        <v>0</v>
      </c>
    </row>
    <row r="1724" spans="1:10" x14ac:dyDescent="0.3">
      <c r="A1724" s="15">
        <v>45505</v>
      </c>
      <c r="B1724" t="s">
        <v>105</v>
      </c>
      <c r="C1724" t="s">
        <v>91</v>
      </c>
      <c r="D1724" t="s">
        <v>86</v>
      </c>
      <c r="E1724" t="s">
        <v>89</v>
      </c>
      <c r="F1724">
        <v>11400</v>
      </c>
      <c r="G1724" t="s">
        <v>331</v>
      </c>
      <c r="H1724" s="15">
        <v>45292</v>
      </c>
      <c r="I1724">
        <v>11400</v>
      </c>
      <c r="J1724">
        <v>0</v>
      </c>
    </row>
    <row r="1725" spans="1:10" x14ac:dyDescent="0.3">
      <c r="A1725" s="15">
        <v>45505</v>
      </c>
      <c r="B1725" t="s">
        <v>106</v>
      </c>
      <c r="C1725" t="s">
        <v>81</v>
      </c>
      <c r="D1725" t="s">
        <v>99</v>
      </c>
      <c r="E1725" t="s">
        <v>92</v>
      </c>
      <c r="F1725">
        <v>2700</v>
      </c>
      <c r="G1725" t="s">
        <v>331</v>
      </c>
      <c r="H1725" s="15">
        <v>45292</v>
      </c>
      <c r="I1725">
        <v>2700</v>
      </c>
      <c r="J1725">
        <v>0</v>
      </c>
    </row>
    <row r="1726" spans="1:10" x14ac:dyDescent="0.3">
      <c r="A1726" s="15">
        <v>45505</v>
      </c>
      <c r="B1726" t="s">
        <v>108</v>
      </c>
      <c r="C1726" t="s">
        <v>91</v>
      </c>
      <c r="D1726" t="s">
        <v>86</v>
      </c>
      <c r="E1726" t="s">
        <v>87</v>
      </c>
      <c r="F1726">
        <v>8500</v>
      </c>
      <c r="G1726" t="s">
        <v>331</v>
      </c>
      <c r="H1726" s="15">
        <v>45292</v>
      </c>
      <c r="I1726">
        <v>8500</v>
      </c>
      <c r="J1726">
        <v>0</v>
      </c>
    </row>
    <row r="1727" spans="1:10" x14ac:dyDescent="0.3">
      <c r="A1727" s="15">
        <v>45505</v>
      </c>
      <c r="B1727" t="s">
        <v>109</v>
      </c>
      <c r="C1727" t="s">
        <v>110</v>
      </c>
      <c r="D1727" t="s">
        <v>82</v>
      </c>
      <c r="E1727" t="s">
        <v>103</v>
      </c>
      <c r="F1727">
        <v>32700</v>
      </c>
      <c r="G1727" t="s">
        <v>334</v>
      </c>
      <c r="H1727" s="15">
        <v>45292</v>
      </c>
      <c r="I1727">
        <v>37800</v>
      </c>
      <c r="J1727">
        <v>-5100</v>
      </c>
    </row>
    <row r="1728" spans="1:10" x14ac:dyDescent="0.3">
      <c r="A1728" s="15">
        <v>45505</v>
      </c>
      <c r="B1728" t="s">
        <v>111</v>
      </c>
      <c r="C1728" t="s">
        <v>91</v>
      </c>
      <c r="D1728" t="s">
        <v>82</v>
      </c>
      <c r="E1728" t="s">
        <v>83</v>
      </c>
      <c r="F1728">
        <v>8800</v>
      </c>
      <c r="G1728" t="s">
        <v>331</v>
      </c>
      <c r="H1728" s="15">
        <v>45292</v>
      </c>
      <c r="I1728">
        <v>8800</v>
      </c>
      <c r="J1728">
        <v>0</v>
      </c>
    </row>
    <row r="1729" spans="1:10" x14ac:dyDescent="0.3">
      <c r="A1729" s="15">
        <v>45505</v>
      </c>
      <c r="B1729" t="s">
        <v>112</v>
      </c>
      <c r="C1729" t="s">
        <v>91</v>
      </c>
      <c r="D1729" t="s">
        <v>82</v>
      </c>
      <c r="E1729" t="s">
        <v>92</v>
      </c>
      <c r="F1729">
        <v>8600</v>
      </c>
      <c r="G1729" t="s">
        <v>331</v>
      </c>
      <c r="H1729" s="15">
        <v>45292</v>
      </c>
      <c r="I1729">
        <v>8600</v>
      </c>
      <c r="J1729">
        <v>0</v>
      </c>
    </row>
    <row r="1730" spans="1:10" x14ac:dyDescent="0.3">
      <c r="A1730" s="15">
        <v>45505</v>
      </c>
      <c r="B1730" t="s">
        <v>113</v>
      </c>
      <c r="C1730" t="s">
        <v>81</v>
      </c>
      <c r="D1730" t="s">
        <v>96</v>
      </c>
      <c r="E1730" t="s">
        <v>89</v>
      </c>
      <c r="F1730">
        <v>2500</v>
      </c>
      <c r="G1730" t="s">
        <v>331</v>
      </c>
      <c r="H1730" s="15">
        <v>45292</v>
      </c>
      <c r="I1730">
        <v>2500</v>
      </c>
      <c r="J1730">
        <v>0</v>
      </c>
    </row>
    <row r="1731" spans="1:10" x14ac:dyDescent="0.3">
      <c r="A1731" s="15">
        <v>45505</v>
      </c>
      <c r="B1731" t="s">
        <v>114</v>
      </c>
      <c r="C1731" t="s">
        <v>110</v>
      </c>
      <c r="D1731" t="s">
        <v>99</v>
      </c>
      <c r="E1731" t="s">
        <v>97</v>
      </c>
      <c r="F1731">
        <v>41600</v>
      </c>
      <c r="G1731" t="s">
        <v>331</v>
      </c>
      <c r="H1731" s="15">
        <v>45292</v>
      </c>
      <c r="I1731">
        <v>41600</v>
      </c>
      <c r="J1731">
        <v>0</v>
      </c>
    </row>
    <row r="1732" spans="1:10" x14ac:dyDescent="0.3">
      <c r="A1732" s="15">
        <v>45505</v>
      </c>
      <c r="B1732" t="s">
        <v>115</v>
      </c>
      <c r="C1732" t="s">
        <v>81</v>
      </c>
      <c r="D1732" t="s">
        <v>82</v>
      </c>
      <c r="E1732" t="s">
        <v>101</v>
      </c>
      <c r="F1732">
        <v>2600</v>
      </c>
      <c r="G1732" t="s">
        <v>331</v>
      </c>
      <c r="H1732" s="15">
        <v>45292</v>
      </c>
      <c r="I1732">
        <v>2600</v>
      </c>
      <c r="J1732">
        <v>0</v>
      </c>
    </row>
    <row r="1733" spans="1:10" x14ac:dyDescent="0.3">
      <c r="A1733" s="15">
        <v>45505</v>
      </c>
      <c r="B1733" t="s">
        <v>116</v>
      </c>
      <c r="C1733" t="s">
        <v>81</v>
      </c>
      <c r="D1733" t="s">
        <v>86</v>
      </c>
      <c r="E1733" t="s">
        <v>87</v>
      </c>
      <c r="F1733">
        <v>2900</v>
      </c>
      <c r="G1733" t="s">
        <v>331</v>
      </c>
      <c r="H1733" s="15">
        <v>45292</v>
      </c>
      <c r="I1733">
        <v>2900</v>
      </c>
      <c r="J1733">
        <v>0</v>
      </c>
    </row>
    <row r="1734" spans="1:10" x14ac:dyDescent="0.3">
      <c r="A1734" s="15">
        <v>45505</v>
      </c>
      <c r="B1734" t="s">
        <v>117</v>
      </c>
      <c r="C1734" t="s">
        <v>81</v>
      </c>
      <c r="D1734" t="s">
        <v>86</v>
      </c>
      <c r="E1734" t="s">
        <v>103</v>
      </c>
      <c r="F1734">
        <v>2500</v>
      </c>
      <c r="G1734" t="s">
        <v>331</v>
      </c>
      <c r="H1734" s="15">
        <v>45292</v>
      </c>
      <c r="I1734">
        <v>2500</v>
      </c>
      <c r="J1734">
        <v>0</v>
      </c>
    </row>
    <row r="1735" spans="1:10" x14ac:dyDescent="0.3">
      <c r="A1735" s="15">
        <v>45505</v>
      </c>
      <c r="B1735" t="s">
        <v>118</v>
      </c>
      <c r="C1735" t="s">
        <v>81</v>
      </c>
      <c r="D1735" t="s">
        <v>82</v>
      </c>
      <c r="E1735" t="s">
        <v>103</v>
      </c>
      <c r="F1735">
        <v>2900</v>
      </c>
      <c r="G1735" t="s">
        <v>331</v>
      </c>
      <c r="H1735" s="15">
        <v>45292</v>
      </c>
      <c r="I1735">
        <v>2900</v>
      </c>
      <c r="J1735">
        <v>0</v>
      </c>
    </row>
    <row r="1736" spans="1:10" x14ac:dyDescent="0.3">
      <c r="A1736" s="15">
        <v>45505</v>
      </c>
      <c r="B1736" t="s">
        <v>119</v>
      </c>
      <c r="C1736" t="s">
        <v>91</v>
      </c>
      <c r="D1736" t="s">
        <v>96</v>
      </c>
      <c r="E1736" t="s">
        <v>89</v>
      </c>
      <c r="F1736">
        <v>12800</v>
      </c>
      <c r="G1736" t="s">
        <v>331</v>
      </c>
      <c r="H1736" s="15">
        <v>45292</v>
      </c>
      <c r="I1736">
        <v>12800</v>
      </c>
      <c r="J1736">
        <v>0</v>
      </c>
    </row>
    <row r="1737" spans="1:10" x14ac:dyDescent="0.3">
      <c r="A1737" s="15">
        <v>45505</v>
      </c>
      <c r="B1737" t="s">
        <v>120</v>
      </c>
      <c r="C1737" t="s">
        <v>81</v>
      </c>
      <c r="D1737" t="s">
        <v>86</v>
      </c>
      <c r="E1737" t="s">
        <v>101</v>
      </c>
      <c r="F1737">
        <v>2200</v>
      </c>
      <c r="G1737" t="s">
        <v>331</v>
      </c>
      <c r="H1737" s="15">
        <v>45292</v>
      </c>
      <c r="I1737">
        <v>2200</v>
      </c>
      <c r="J1737">
        <v>0</v>
      </c>
    </row>
    <row r="1738" spans="1:10" x14ac:dyDescent="0.3">
      <c r="A1738" s="15">
        <v>45505</v>
      </c>
      <c r="B1738" t="s">
        <v>123</v>
      </c>
      <c r="C1738" t="s">
        <v>81</v>
      </c>
      <c r="D1738" t="s">
        <v>82</v>
      </c>
      <c r="E1738" t="s">
        <v>92</v>
      </c>
      <c r="F1738">
        <v>2200</v>
      </c>
      <c r="G1738" t="s">
        <v>331</v>
      </c>
      <c r="H1738" s="15">
        <v>45292</v>
      </c>
      <c r="I1738">
        <v>2200</v>
      </c>
      <c r="J1738">
        <v>0</v>
      </c>
    </row>
    <row r="1739" spans="1:10" x14ac:dyDescent="0.3">
      <c r="A1739" s="15">
        <v>45505</v>
      </c>
      <c r="B1739" t="s">
        <v>124</v>
      </c>
      <c r="C1739" t="s">
        <v>125</v>
      </c>
      <c r="D1739" t="s">
        <v>82</v>
      </c>
      <c r="E1739" t="s">
        <v>97</v>
      </c>
      <c r="F1739">
        <v>67900</v>
      </c>
      <c r="G1739" t="s">
        <v>334</v>
      </c>
      <c r="H1739" s="15">
        <v>45292</v>
      </c>
      <c r="I1739">
        <v>82700</v>
      </c>
      <c r="J1739">
        <v>-14800</v>
      </c>
    </row>
    <row r="1740" spans="1:10" x14ac:dyDescent="0.3">
      <c r="A1740" s="15">
        <v>45505</v>
      </c>
      <c r="B1740" t="s">
        <v>126</v>
      </c>
      <c r="C1740" t="s">
        <v>91</v>
      </c>
      <c r="D1740" t="s">
        <v>82</v>
      </c>
      <c r="E1740" t="s">
        <v>83</v>
      </c>
      <c r="F1740">
        <v>8800</v>
      </c>
      <c r="G1740" t="s">
        <v>331</v>
      </c>
      <c r="H1740" s="15">
        <v>45292</v>
      </c>
      <c r="I1740">
        <v>8800</v>
      </c>
      <c r="J1740">
        <v>0</v>
      </c>
    </row>
    <row r="1741" spans="1:10" x14ac:dyDescent="0.3">
      <c r="A1741" s="15">
        <v>45505</v>
      </c>
      <c r="B1741" t="s">
        <v>127</v>
      </c>
      <c r="C1741" t="s">
        <v>81</v>
      </c>
      <c r="D1741" t="s">
        <v>82</v>
      </c>
      <c r="E1741" t="s">
        <v>101</v>
      </c>
      <c r="F1741">
        <v>2100</v>
      </c>
      <c r="G1741" t="s">
        <v>331</v>
      </c>
      <c r="H1741" s="15">
        <v>45292</v>
      </c>
      <c r="I1741">
        <v>2100</v>
      </c>
      <c r="J1741">
        <v>0</v>
      </c>
    </row>
    <row r="1742" spans="1:10" x14ac:dyDescent="0.3">
      <c r="A1742" s="15">
        <v>45505</v>
      </c>
      <c r="B1742" t="s">
        <v>128</v>
      </c>
      <c r="C1742" t="s">
        <v>81</v>
      </c>
      <c r="D1742" t="s">
        <v>82</v>
      </c>
      <c r="E1742" t="s">
        <v>92</v>
      </c>
      <c r="F1742">
        <v>1700</v>
      </c>
      <c r="G1742" t="s">
        <v>331</v>
      </c>
      <c r="H1742" s="15">
        <v>45292</v>
      </c>
      <c r="I1742">
        <v>1700</v>
      </c>
      <c r="J1742">
        <v>0</v>
      </c>
    </row>
    <row r="1743" spans="1:10" x14ac:dyDescent="0.3">
      <c r="A1743" s="15">
        <v>45505</v>
      </c>
      <c r="B1743" t="s">
        <v>129</v>
      </c>
      <c r="C1743" t="s">
        <v>110</v>
      </c>
      <c r="D1743" t="s">
        <v>86</v>
      </c>
      <c r="E1743" t="s">
        <v>92</v>
      </c>
      <c r="F1743">
        <v>36700</v>
      </c>
      <c r="G1743" t="s">
        <v>331</v>
      </c>
      <c r="H1743" s="15">
        <v>45292</v>
      </c>
      <c r="I1743">
        <v>36700</v>
      </c>
      <c r="J1743">
        <v>0</v>
      </c>
    </row>
    <row r="1744" spans="1:10" x14ac:dyDescent="0.3">
      <c r="A1744" s="15">
        <v>45505</v>
      </c>
      <c r="B1744" t="s">
        <v>131</v>
      </c>
      <c r="C1744" t="s">
        <v>81</v>
      </c>
      <c r="D1744" t="s">
        <v>86</v>
      </c>
      <c r="E1744" t="s">
        <v>101</v>
      </c>
      <c r="F1744">
        <v>1900</v>
      </c>
      <c r="G1744" t="s">
        <v>331</v>
      </c>
      <c r="H1744" s="15">
        <v>45292</v>
      </c>
      <c r="I1744">
        <v>1900</v>
      </c>
      <c r="J1744">
        <v>0</v>
      </c>
    </row>
    <row r="1745" spans="1:10" x14ac:dyDescent="0.3">
      <c r="A1745" s="15">
        <v>45505</v>
      </c>
      <c r="B1745" t="s">
        <v>133</v>
      </c>
      <c r="C1745" t="s">
        <v>81</v>
      </c>
      <c r="D1745" t="s">
        <v>96</v>
      </c>
      <c r="E1745" t="s">
        <v>87</v>
      </c>
      <c r="F1745">
        <v>2700</v>
      </c>
      <c r="G1745" t="s">
        <v>331</v>
      </c>
      <c r="H1745" s="15">
        <v>45292</v>
      </c>
      <c r="I1745">
        <v>2700</v>
      </c>
      <c r="J1745">
        <v>0</v>
      </c>
    </row>
    <row r="1746" spans="1:10" x14ac:dyDescent="0.3">
      <c r="A1746" s="15">
        <v>45505</v>
      </c>
      <c r="B1746" t="s">
        <v>134</v>
      </c>
      <c r="C1746" t="s">
        <v>81</v>
      </c>
      <c r="D1746" t="s">
        <v>82</v>
      </c>
      <c r="E1746" t="s">
        <v>92</v>
      </c>
      <c r="F1746">
        <v>2900</v>
      </c>
      <c r="G1746" t="s">
        <v>331</v>
      </c>
      <c r="H1746" s="15">
        <v>45292</v>
      </c>
      <c r="I1746">
        <v>2900</v>
      </c>
      <c r="J1746">
        <v>0</v>
      </c>
    </row>
    <row r="1747" spans="1:10" x14ac:dyDescent="0.3">
      <c r="A1747" s="15">
        <v>45505</v>
      </c>
      <c r="B1747" t="s">
        <v>135</v>
      </c>
      <c r="C1747" t="s">
        <v>81</v>
      </c>
      <c r="D1747" t="s">
        <v>82</v>
      </c>
      <c r="E1747" t="s">
        <v>103</v>
      </c>
      <c r="F1747">
        <v>2800</v>
      </c>
      <c r="G1747" t="s">
        <v>331</v>
      </c>
      <c r="H1747" s="15">
        <v>45292</v>
      </c>
      <c r="I1747">
        <v>2800</v>
      </c>
      <c r="J1747">
        <v>0</v>
      </c>
    </row>
    <row r="1748" spans="1:10" x14ac:dyDescent="0.3">
      <c r="A1748" s="15">
        <v>45505</v>
      </c>
      <c r="B1748" t="s">
        <v>136</v>
      </c>
      <c r="C1748" t="s">
        <v>81</v>
      </c>
      <c r="D1748" t="s">
        <v>82</v>
      </c>
      <c r="E1748" t="s">
        <v>101</v>
      </c>
      <c r="F1748">
        <v>2900</v>
      </c>
      <c r="G1748" t="s">
        <v>331</v>
      </c>
      <c r="H1748" s="15">
        <v>45292</v>
      </c>
      <c r="I1748">
        <v>2900</v>
      </c>
      <c r="J1748">
        <v>0</v>
      </c>
    </row>
    <row r="1749" spans="1:10" x14ac:dyDescent="0.3">
      <c r="A1749" s="15">
        <v>45505</v>
      </c>
      <c r="B1749" t="s">
        <v>137</v>
      </c>
      <c r="C1749" t="s">
        <v>81</v>
      </c>
      <c r="D1749" t="s">
        <v>82</v>
      </c>
      <c r="E1749" t="s">
        <v>89</v>
      </c>
      <c r="F1749">
        <v>1700</v>
      </c>
      <c r="G1749" t="s">
        <v>331</v>
      </c>
      <c r="H1749" s="15">
        <v>45292</v>
      </c>
      <c r="I1749">
        <v>1700</v>
      </c>
      <c r="J1749">
        <v>0</v>
      </c>
    </row>
    <row r="1750" spans="1:10" x14ac:dyDescent="0.3">
      <c r="A1750" s="15">
        <v>45505</v>
      </c>
      <c r="B1750" t="s">
        <v>138</v>
      </c>
      <c r="C1750" t="s">
        <v>81</v>
      </c>
      <c r="D1750" t="s">
        <v>86</v>
      </c>
      <c r="E1750" t="s">
        <v>97</v>
      </c>
      <c r="F1750">
        <v>3300</v>
      </c>
      <c r="G1750" t="s">
        <v>331</v>
      </c>
      <c r="H1750" s="15">
        <v>45292</v>
      </c>
      <c r="I1750">
        <v>3300</v>
      </c>
      <c r="J1750">
        <v>0</v>
      </c>
    </row>
    <row r="1751" spans="1:10" x14ac:dyDescent="0.3">
      <c r="A1751" s="15">
        <v>45505</v>
      </c>
      <c r="B1751" t="s">
        <v>139</v>
      </c>
      <c r="C1751" t="s">
        <v>91</v>
      </c>
      <c r="D1751" t="s">
        <v>82</v>
      </c>
      <c r="E1751" t="s">
        <v>103</v>
      </c>
      <c r="F1751">
        <v>6800</v>
      </c>
      <c r="G1751" t="s">
        <v>331</v>
      </c>
      <c r="H1751" s="15">
        <v>45292</v>
      </c>
      <c r="I1751">
        <v>6800</v>
      </c>
      <c r="J1751">
        <v>0</v>
      </c>
    </row>
    <row r="1752" spans="1:10" x14ac:dyDescent="0.3">
      <c r="A1752" s="15">
        <v>45505</v>
      </c>
      <c r="B1752" t="s">
        <v>140</v>
      </c>
      <c r="C1752" t="s">
        <v>81</v>
      </c>
      <c r="D1752" t="s">
        <v>99</v>
      </c>
      <c r="E1752" t="s">
        <v>97</v>
      </c>
      <c r="F1752">
        <v>1800</v>
      </c>
      <c r="G1752" t="s">
        <v>331</v>
      </c>
      <c r="H1752" s="15">
        <v>45292</v>
      </c>
      <c r="I1752">
        <v>1800</v>
      </c>
      <c r="J1752">
        <v>0</v>
      </c>
    </row>
    <row r="1753" spans="1:10" x14ac:dyDescent="0.3">
      <c r="A1753" s="15">
        <v>45505</v>
      </c>
      <c r="B1753" t="s">
        <v>141</v>
      </c>
      <c r="C1753" t="s">
        <v>125</v>
      </c>
      <c r="D1753" t="s">
        <v>99</v>
      </c>
      <c r="E1753" t="s">
        <v>103</v>
      </c>
      <c r="F1753">
        <v>106100</v>
      </c>
      <c r="G1753" t="s">
        <v>331</v>
      </c>
      <c r="H1753" s="15">
        <v>45292</v>
      </c>
      <c r="I1753">
        <v>106100</v>
      </c>
      <c r="J1753">
        <v>0</v>
      </c>
    </row>
    <row r="1754" spans="1:10" x14ac:dyDescent="0.3">
      <c r="A1754" s="15">
        <v>45505</v>
      </c>
      <c r="B1754" t="s">
        <v>142</v>
      </c>
      <c r="C1754" t="s">
        <v>125</v>
      </c>
      <c r="D1754" t="s">
        <v>82</v>
      </c>
      <c r="E1754" t="s">
        <v>92</v>
      </c>
      <c r="F1754">
        <v>93300</v>
      </c>
      <c r="G1754" t="s">
        <v>331</v>
      </c>
      <c r="H1754" s="15">
        <v>45292</v>
      </c>
      <c r="I1754">
        <v>93300</v>
      </c>
      <c r="J1754">
        <v>0</v>
      </c>
    </row>
    <row r="1755" spans="1:10" x14ac:dyDescent="0.3">
      <c r="A1755" s="15">
        <v>45505</v>
      </c>
      <c r="B1755" t="s">
        <v>143</v>
      </c>
      <c r="C1755" t="s">
        <v>91</v>
      </c>
      <c r="D1755" t="s">
        <v>99</v>
      </c>
      <c r="E1755" t="s">
        <v>103</v>
      </c>
      <c r="F1755">
        <v>8000</v>
      </c>
      <c r="G1755" t="s">
        <v>331</v>
      </c>
      <c r="H1755" s="15">
        <v>45292</v>
      </c>
      <c r="I1755">
        <v>8000</v>
      </c>
      <c r="J1755">
        <v>0</v>
      </c>
    </row>
    <row r="1756" spans="1:10" x14ac:dyDescent="0.3">
      <c r="A1756" s="15">
        <v>45505</v>
      </c>
      <c r="B1756" t="s">
        <v>144</v>
      </c>
      <c r="C1756" t="s">
        <v>81</v>
      </c>
      <c r="D1756" t="s">
        <v>82</v>
      </c>
      <c r="E1756" t="s">
        <v>92</v>
      </c>
      <c r="F1756">
        <v>2600</v>
      </c>
      <c r="G1756" t="s">
        <v>331</v>
      </c>
      <c r="H1756" s="15">
        <v>45292</v>
      </c>
      <c r="I1756">
        <v>2600</v>
      </c>
      <c r="J1756">
        <v>0</v>
      </c>
    </row>
    <row r="1757" spans="1:10" x14ac:dyDescent="0.3">
      <c r="A1757" s="15">
        <v>45505</v>
      </c>
      <c r="B1757" t="s">
        <v>145</v>
      </c>
      <c r="C1757" t="s">
        <v>91</v>
      </c>
      <c r="D1757" t="s">
        <v>82</v>
      </c>
      <c r="E1757" t="s">
        <v>87</v>
      </c>
      <c r="F1757">
        <v>8200</v>
      </c>
      <c r="G1757" t="s">
        <v>331</v>
      </c>
      <c r="H1757" s="15">
        <v>45292</v>
      </c>
      <c r="I1757">
        <v>8200</v>
      </c>
      <c r="J1757">
        <v>0</v>
      </c>
    </row>
    <row r="1758" spans="1:10" x14ac:dyDescent="0.3">
      <c r="A1758" s="15">
        <v>45505</v>
      </c>
      <c r="B1758" t="s">
        <v>146</v>
      </c>
      <c r="C1758" t="s">
        <v>91</v>
      </c>
      <c r="D1758" t="s">
        <v>86</v>
      </c>
      <c r="E1758" t="s">
        <v>87</v>
      </c>
      <c r="F1758">
        <v>9200</v>
      </c>
      <c r="G1758" t="s">
        <v>331</v>
      </c>
      <c r="H1758" s="15">
        <v>45292</v>
      </c>
      <c r="I1758">
        <v>9200</v>
      </c>
      <c r="J1758">
        <v>0</v>
      </c>
    </row>
    <row r="1759" spans="1:10" x14ac:dyDescent="0.3">
      <c r="A1759" s="15">
        <v>45505</v>
      </c>
      <c r="B1759" t="s">
        <v>147</v>
      </c>
      <c r="C1759" t="s">
        <v>81</v>
      </c>
      <c r="D1759" t="s">
        <v>82</v>
      </c>
      <c r="E1759" t="s">
        <v>92</v>
      </c>
      <c r="F1759">
        <v>2600</v>
      </c>
      <c r="G1759" t="s">
        <v>331</v>
      </c>
      <c r="H1759" s="15">
        <v>45292</v>
      </c>
      <c r="I1759">
        <v>2600</v>
      </c>
      <c r="J1759">
        <v>0</v>
      </c>
    </row>
    <row r="1760" spans="1:10" x14ac:dyDescent="0.3">
      <c r="A1760" s="15">
        <v>45505</v>
      </c>
      <c r="B1760" t="s">
        <v>148</v>
      </c>
      <c r="C1760" t="s">
        <v>110</v>
      </c>
      <c r="D1760" t="s">
        <v>86</v>
      </c>
      <c r="E1760" t="s">
        <v>89</v>
      </c>
      <c r="F1760">
        <v>23500</v>
      </c>
      <c r="G1760" t="s">
        <v>331</v>
      </c>
      <c r="H1760" s="15">
        <v>45292</v>
      </c>
      <c r="I1760">
        <v>23500</v>
      </c>
      <c r="J1760">
        <v>0</v>
      </c>
    </row>
    <row r="1761" spans="1:10" x14ac:dyDescent="0.3">
      <c r="A1761" s="15">
        <v>45505</v>
      </c>
      <c r="B1761" t="s">
        <v>149</v>
      </c>
      <c r="C1761" t="s">
        <v>110</v>
      </c>
      <c r="D1761" t="s">
        <v>82</v>
      </c>
      <c r="E1761" t="s">
        <v>103</v>
      </c>
      <c r="F1761">
        <v>31000</v>
      </c>
      <c r="G1761" t="s">
        <v>331</v>
      </c>
      <c r="H1761" s="15">
        <v>45292</v>
      </c>
      <c r="I1761">
        <v>31000</v>
      </c>
      <c r="J1761">
        <v>0</v>
      </c>
    </row>
    <row r="1762" spans="1:10" x14ac:dyDescent="0.3">
      <c r="A1762" s="15">
        <v>45505</v>
      </c>
      <c r="B1762" t="s">
        <v>150</v>
      </c>
      <c r="C1762" t="s">
        <v>91</v>
      </c>
      <c r="D1762" t="s">
        <v>99</v>
      </c>
      <c r="E1762" t="s">
        <v>101</v>
      </c>
      <c r="F1762">
        <v>8700</v>
      </c>
      <c r="G1762" t="s">
        <v>331</v>
      </c>
      <c r="H1762" s="15">
        <v>45292</v>
      </c>
      <c r="I1762">
        <v>8700</v>
      </c>
      <c r="J1762">
        <v>0</v>
      </c>
    </row>
    <row r="1763" spans="1:10" x14ac:dyDescent="0.3">
      <c r="A1763" s="15">
        <v>45505</v>
      </c>
      <c r="B1763" t="s">
        <v>151</v>
      </c>
      <c r="C1763" t="s">
        <v>91</v>
      </c>
      <c r="D1763" t="s">
        <v>82</v>
      </c>
      <c r="E1763" t="s">
        <v>97</v>
      </c>
      <c r="F1763">
        <v>8200</v>
      </c>
      <c r="G1763" t="s">
        <v>331</v>
      </c>
      <c r="H1763" s="15">
        <v>45292</v>
      </c>
      <c r="I1763">
        <v>8200</v>
      </c>
      <c r="J1763">
        <v>0</v>
      </c>
    </row>
    <row r="1764" spans="1:10" x14ac:dyDescent="0.3">
      <c r="A1764" s="15">
        <v>45505</v>
      </c>
      <c r="B1764" t="s">
        <v>152</v>
      </c>
      <c r="C1764" t="s">
        <v>81</v>
      </c>
      <c r="D1764" t="s">
        <v>99</v>
      </c>
      <c r="E1764" t="s">
        <v>87</v>
      </c>
      <c r="F1764">
        <v>3100</v>
      </c>
      <c r="G1764" t="s">
        <v>331</v>
      </c>
      <c r="H1764" s="15">
        <v>45292</v>
      </c>
      <c r="I1764">
        <v>3100</v>
      </c>
      <c r="J1764">
        <v>0</v>
      </c>
    </row>
    <row r="1765" spans="1:10" x14ac:dyDescent="0.3">
      <c r="A1765" s="15">
        <v>45505</v>
      </c>
      <c r="B1765" t="s">
        <v>153</v>
      </c>
      <c r="C1765" t="s">
        <v>110</v>
      </c>
      <c r="D1765" t="s">
        <v>99</v>
      </c>
      <c r="E1765" t="s">
        <v>87</v>
      </c>
      <c r="F1765">
        <v>31500</v>
      </c>
      <c r="G1765" t="s">
        <v>331</v>
      </c>
      <c r="H1765" s="15">
        <v>45292</v>
      </c>
      <c r="I1765">
        <v>31500</v>
      </c>
      <c r="J1765">
        <v>0</v>
      </c>
    </row>
    <row r="1766" spans="1:10" x14ac:dyDescent="0.3">
      <c r="A1766" s="15">
        <v>45505</v>
      </c>
      <c r="B1766" t="s">
        <v>154</v>
      </c>
      <c r="C1766" t="s">
        <v>91</v>
      </c>
      <c r="D1766" t="s">
        <v>86</v>
      </c>
      <c r="E1766" t="s">
        <v>103</v>
      </c>
      <c r="F1766">
        <v>8800</v>
      </c>
      <c r="G1766" t="s">
        <v>331</v>
      </c>
      <c r="H1766" s="15">
        <v>45292</v>
      </c>
      <c r="I1766">
        <v>8800</v>
      </c>
      <c r="J1766">
        <v>0</v>
      </c>
    </row>
    <row r="1767" spans="1:10" x14ac:dyDescent="0.3">
      <c r="A1767" s="15">
        <v>45505</v>
      </c>
      <c r="B1767" t="s">
        <v>155</v>
      </c>
      <c r="C1767" t="s">
        <v>91</v>
      </c>
      <c r="D1767" t="s">
        <v>82</v>
      </c>
      <c r="E1767" t="s">
        <v>92</v>
      </c>
      <c r="F1767">
        <v>7100</v>
      </c>
      <c r="G1767" t="s">
        <v>331</v>
      </c>
      <c r="H1767" s="15">
        <v>45292</v>
      </c>
      <c r="I1767">
        <v>7100</v>
      </c>
      <c r="J1767">
        <v>0</v>
      </c>
    </row>
    <row r="1768" spans="1:10" x14ac:dyDescent="0.3">
      <c r="A1768" s="15">
        <v>45505</v>
      </c>
      <c r="B1768" t="s">
        <v>156</v>
      </c>
      <c r="C1768" t="s">
        <v>81</v>
      </c>
      <c r="D1768" t="s">
        <v>86</v>
      </c>
      <c r="E1768" t="s">
        <v>101</v>
      </c>
      <c r="F1768">
        <v>2300</v>
      </c>
      <c r="G1768" t="s">
        <v>331</v>
      </c>
      <c r="H1768" s="15">
        <v>45292</v>
      </c>
      <c r="I1768">
        <v>2300</v>
      </c>
      <c r="J1768">
        <v>0</v>
      </c>
    </row>
    <row r="1769" spans="1:10" x14ac:dyDescent="0.3">
      <c r="A1769" s="15">
        <v>45505</v>
      </c>
      <c r="B1769" t="s">
        <v>157</v>
      </c>
      <c r="C1769" t="s">
        <v>81</v>
      </c>
      <c r="D1769" t="s">
        <v>82</v>
      </c>
      <c r="E1769" t="s">
        <v>92</v>
      </c>
      <c r="F1769">
        <v>1800</v>
      </c>
      <c r="G1769" t="s">
        <v>331</v>
      </c>
      <c r="H1769" s="15">
        <v>45292</v>
      </c>
      <c r="I1769">
        <v>1800</v>
      </c>
      <c r="J1769">
        <v>0</v>
      </c>
    </row>
    <row r="1770" spans="1:10" x14ac:dyDescent="0.3">
      <c r="A1770" s="15">
        <v>45505</v>
      </c>
      <c r="B1770" t="s">
        <v>158</v>
      </c>
      <c r="C1770" t="s">
        <v>91</v>
      </c>
      <c r="D1770" t="s">
        <v>96</v>
      </c>
      <c r="E1770" t="s">
        <v>83</v>
      </c>
      <c r="F1770">
        <v>11400</v>
      </c>
      <c r="G1770" t="s">
        <v>331</v>
      </c>
      <c r="H1770" s="15">
        <v>45292</v>
      </c>
      <c r="I1770">
        <v>11400</v>
      </c>
      <c r="J1770">
        <v>0</v>
      </c>
    </row>
    <row r="1771" spans="1:10" x14ac:dyDescent="0.3">
      <c r="A1771" s="15">
        <v>45505</v>
      </c>
      <c r="B1771" t="s">
        <v>159</v>
      </c>
      <c r="C1771" t="s">
        <v>81</v>
      </c>
      <c r="D1771" t="s">
        <v>86</v>
      </c>
      <c r="E1771" t="s">
        <v>87</v>
      </c>
      <c r="F1771">
        <v>2400</v>
      </c>
      <c r="G1771" t="s">
        <v>331</v>
      </c>
      <c r="H1771" s="15">
        <v>45292</v>
      </c>
      <c r="I1771">
        <v>2400</v>
      </c>
      <c r="J1771">
        <v>0</v>
      </c>
    </row>
    <row r="1772" spans="1:10" x14ac:dyDescent="0.3">
      <c r="A1772" s="15">
        <v>45505</v>
      </c>
      <c r="B1772" t="s">
        <v>161</v>
      </c>
      <c r="C1772" t="s">
        <v>91</v>
      </c>
      <c r="D1772" t="s">
        <v>99</v>
      </c>
      <c r="E1772" t="s">
        <v>83</v>
      </c>
      <c r="F1772">
        <v>10100</v>
      </c>
      <c r="G1772" t="s">
        <v>331</v>
      </c>
      <c r="H1772" s="15">
        <v>45292</v>
      </c>
      <c r="I1772">
        <v>10100</v>
      </c>
      <c r="J1772">
        <v>0</v>
      </c>
    </row>
    <row r="1773" spans="1:10" x14ac:dyDescent="0.3">
      <c r="A1773" s="15">
        <v>45505</v>
      </c>
      <c r="B1773" t="s">
        <v>162</v>
      </c>
      <c r="C1773" t="s">
        <v>91</v>
      </c>
      <c r="D1773" t="s">
        <v>82</v>
      </c>
      <c r="E1773" t="s">
        <v>103</v>
      </c>
      <c r="F1773">
        <v>12700</v>
      </c>
      <c r="G1773" t="s">
        <v>331</v>
      </c>
      <c r="H1773" s="15">
        <v>45292</v>
      </c>
      <c r="I1773">
        <v>12700</v>
      </c>
      <c r="J1773">
        <v>0</v>
      </c>
    </row>
    <row r="1774" spans="1:10" x14ac:dyDescent="0.3">
      <c r="A1774" s="15">
        <v>45505</v>
      </c>
      <c r="B1774" t="s">
        <v>164</v>
      </c>
      <c r="C1774" t="s">
        <v>81</v>
      </c>
      <c r="D1774" t="s">
        <v>99</v>
      </c>
      <c r="E1774" t="s">
        <v>89</v>
      </c>
      <c r="F1774">
        <v>2500</v>
      </c>
      <c r="G1774" t="s">
        <v>331</v>
      </c>
      <c r="H1774" s="15">
        <v>45292</v>
      </c>
      <c r="I1774">
        <v>2500</v>
      </c>
      <c r="J1774">
        <v>0</v>
      </c>
    </row>
    <row r="1775" spans="1:10" x14ac:dyDescent="0.3">
      <c r="A1775" s="15">
        <v>45505</v>
      </c>
      <c r="B1775" t="s">
        <v>165</v>
      </c>
      <c r="C1775" t="s">
        <v>81</v>
      </c>
      <c r="D1775" t="s">
        <v>82</v>
      </c>
      <c r="E1775" t="s">
        <v>97</v>
      </c>
      <c r="F1775">
        <v>2700</v>
      </c>
      <c r="G1775" t="s">
        <v>331</v>
      </c>
      <c r="H1775" s="15">
        <v>45292</v>
      </c>
      <c r="I1775">
        <v>2700</v>
      </c>
      <c r="J1775">
        <v>0</v>
      </c>
    </row>
    <row r="1776" spans="1:10" x14ac:dyDescent="0.3">
      <c r="A1776" s="15">
        <v>45505</v>
      </c>
      <c r="B1776" t="s">
        <v>166</v>
      </c>
      <c r="C1776" t="s">
        <v>81</v>
      </c>
      <c r="D1776" t="s">
        <v>99</v>
      </c>
      <c r="E1776" t="s">
        <v>103</v>
      </c>
      <c r="F1776">
        <v>2600</v>
      </c>
      <c r="G1776" t="s">
        <v>331</v>
      </c>
      <c r="H1776" s="15">
        <v>45292</v>
      </c>
      <c r="I1776">
        <v>2600</v>
      </c>
      <c r="J1776">
        <v>0</v>
      </c>
    </row>
    <row r="1777" spans="1:10" x14ac:dyDescent="0.3">
      <c r="A1777" s="15">
        <v>45505</v>
      </c>
      <c r="B1777" t="s">
        <v>167</v>
      </c>
      <c r="C1777" t="s">
        <v>81</v>
      </c>
      <c r="D1777" t="s">
        <v>82</v>
      </c>
      <c r="E1777" t="s">
        <v>97</v>
      </c>
      <c r="F1777">
        <v>2100</v>
      </c>
      <c r="G1777" t="s">
        <v>331</v>
      </c>
      <c r="H1777" s="15">
        <v>45292</v>
      </c>
      <c r="I1777">
        <v>2100</v>
      </c>
      <c r="J1777">
        <v>0</v>
      </c>
    </row>
    <row r="1778" spans="1:10" x14ac:dyDescent="0.3">
      <c r="A1778" s="15">
        <v>45505</v>
      </c>
      <c r="B1778" t="s">
        <v>168</v>
      </c>
      <c r="C1778" t="s">
        <v>91</v>
      </c>
      <c r="D1778" t="s">
        <v>86</v>
      </c>
      <c r="E1778" t="s">
        <v>103</v>
      </c>
      <c r="F1778">
        <v>12300</v>
      </c>
      <c r="G1778" t="s">
        <v>331</v>
      </c>
      <c r="H1778" s="15">
        <v>45292</v>
      </c>
      <c r="I1778">
        <v>12300</v>
      </c>
      <c r="J1778">
        <v>0</v>
      </c>
    </row>
    <row r="1779" spans="1:10" x14ac:dyDescent="0.3">
      <c r="A1779" s="15">
        <v>45505</v>
      </c>
      <c r="B1779" t="s">
        <v>169</v>
      </c>
      <c r="C1779" t="s">
        <v>81</v>
      </c>
      <c r="D1779" t="s">
        <v>86</v>
      </c>
      <c r="E1779" t="s">
        <v>103</v>
      </c>
      <c r="F1779">
        <v>2000</v>
      </c>
      <c r="G1779" t="s">
        <v>331</v>
      </c>
      <c r="H1779" s="15">
        <v>45292</v>
      </c>
      <c r="I1779">
        <v>2000</v>
      </c>
      <c r="J1779">
        <v>0</v>
      </c>
    </row>
    <row r="1780" spans="1:10" x14ac:dyDescent="0.3">
      <c r="A1780" s="15">
        <v>45505</v>
      </c>
      <c r="B1780" t="s">
        <v>170</v>
      </c>
      <c r="C1780" t="s">
        <v>91</v>
      </c>
      <c r="D1780" t="s">
        <v>99</v>
      </c>
      <c r="E1780" t="s">
        <v>83</v>
      </c>
      <c r="F1780">
        <v>6500</v>
      </c>
      <c r="G1780" t="s">
        <v>331</v>
      </c>
      <c r="H1780" s="15">
        <v>45292</v>
      </c>
      <c r="I1780">
        <v>6500</v>
      </c>
      <c r="J1780">
        <v>0</v>
      </c>
    </row>
    <row r="1781" spans="1:10" x14ac:dyDescent="0.3">
      <c r="A1781" s="15">
        <v>45505</v>
      </c>
      <c r="B1781" t="s">
        <v>171</v>
      </c>
      <c r="C1781" t="s">
        <v>81</v>
      </c>
      <c r="D1781" t="s">
        <v>99</v>
      </c>
      <c r="E1781" t="s">
        <v>97</v>
      </c>
      <c r="F1781">
        <v>1800</v>
      </c>
      <c r="G1781" t="s">
        <v>331</v>
      </c>
      <c r="H1781" s="15">
        <v>45292</v>
      </c>
      <c r="I1781">
        <v>1800</v>
      </c>
      <c r="J1781">
        <v>0</v>
      </c>
    </row>
    <row r="1782" spans="1:10" x14ac:dyDescent="0.3">
      <c r="A1782" s="15">
        <v>45505</v>
      </c>
      <c r="B1782" t="s">
        <v>172</v>
      </c>
      <c r="C1782" t="s">
        <v>91</v>
      </c>
      <c r="D1782" t="s">
        <v>96</v>
      </c>
      <c r="E1782" t="s">
        <v>101</v>
      </c>
      <c r="F1782">
        <v>7700</v>
      </c>
      <c r="G1782" t="s">
        <v>331</v>
      </c>
      <c r="H1782" s="15">
        <v>45292</v>
      </c>
      <c r="I1782">
        <v>7700</v>
      </c>
      <c r="J1782">
        <v>0</v>
      </c>
    </row>
    <row r="1783" spans="1:10" x14ac:dyDescent="0.3">
      <c r="A1783" s="15">
        <v>45505</v>
      </c>
      <c r="B1783" t="s">
        <v>173</v>
      </c>
      <c r="C1783" t="s">
        <v>81</v>
      </c>
      <c r="D1783" t="s">
        <v>86</v>
      </c>
      <c r="E1783" t="s">
        <v>103</v>
      </c>
      <c r="F1783">
        <v>3700</v>
      </c>
      <c r="G1783" t="s">
        <v>331</v>
      </c>
      <c r="H1783" s="15">
        <v>45292</v>
      </c>
      <c r="I1783">
        <v>3700</v>
      </c>
      <c r="J1783">
        <v>0</v>
      </c>
    </row>
    <row r="1784" spans="1:10" x14ac:dyDescent="0.3">
      <c r="A1784" s="15">
        <v>45505</v>
      </c>
      <c r="B1784" t="s">
        <v>174</v>
      </c>
      <c r="C1784" t="s">
        <v>81</v>
      </c>
      <c r="D1784" t="s">
        <v>82</v>
      </c>
      <c r="E1784" t="s">
        <v>92</v>
      </c>
      <c r="F1784">
        <v>2400</v>
      </c>
      <c r="G1784" t="s">
        <v>331</v>
      </c>
      <c r="H1784" s="15">
        <v>45292</v>
      </c>
      <c r="I1784">
        <v>2400</v>
      </c>
      <c r="J1784">
        <v>0</v>
      </c>
    </row>
    <row r="1785" spans="1:10" x14ac:dyDescent="0.3">
      <c r="A1785" s="15">
        <v>45505</v>
      </c>
      <c r="B1785" t="s">
        <v>175</v>
      </c>
      <c r="C1785" t="s">
        <v>91</v>
      </c>
      <c r="D1785" t="s">
        <v>96</v>
      </c>
      <c r="E1785" t="s">
        <v>83</v>
      </c>
      <c r="F1785">
        <v>8800</v>
      </c>
      <c r="G1785" t="s">
        <v>331</v>
      </c>
      <c r="H1785" s="15">
        <v>45292</v>
      </c>
      <c r="I1785">
        <v>8800</v>
      </c>
      <c r="J1785">
        <v>0</v>
      </c>
    </row>
    <row r="1786" spans="1:10" x14ac:dyDescent="0.3">
      <c r="A1786" s="15">
        <v>45505</v>
      </c>
      <c r="B1786" t="s">
        <v>176</v>
      </c>
      <c r="C1786" t="s">
        <v>81</v>
      </c>
      <c r="D1786" t="s">
        <v>99</v>
      </c>
      <c r="E1786" t="s">
        <v>92</v>
      </c>
      <c r="F1786">
        <v>2900</v>
      </c>
      <c r="G1786" t="s">
        <v>331</v>
      </c>
      <c r="H1786" s="15">
        <v>45292</v>
      </c>
      <c r="I1786">
        <v>2900</v>
      </c>
      <c r="J1786">
        <v>0</v>
      </c>
    </row>
    <row r="1787" spans="1:10" x14ac:dyDescent="0.3">
      <c r="A1787" s="15">
        <v>45505</v>
      </c>
      <c r="B1787" t="s">
        <v>177</v>
      </c>
      <c r="C1787" t="s">
        <v>81</v>
      </c>
      <c r="D1787" t="s">
        <v>96</v>
      </c>
      <c r="E1787" t="s">
        <v>83</v>
      </c>
      <c r="F1787">
        <v>2900</v>
      </c>
      <c r="G1787" t="s">
        <v>331</v>
      </c>
      <c r="H1787" s="15">
        <v>45292</v>
      </c>
      <c r="I1787">
        <v>2900</v>
      </c>
      <c r="J1787">
        <v>0</v>
      </c>
    </row>
    <row r="1788" spans="1:10" x14ac:dyDescent="0.3">
      <c r="A1788" s="15">
        <v>45505</v>
      </c>
      <c r="B1788" t="s">
        <v>178</v>
      </c>
      <c r="C1788" t="s">
        <v>91</v>
      </c>
      <c r="D1788" t="s">
        <v>82</v>
      </c>
      <c r="E1788" t="s">
        <v>89</v>
      </c>
      <c r="F1788">
        <v>8400</v>
      </c>
      <c r="G1788" t="s">
        <v>331</v>
      </c>
      <c r="H1788" s="15">
        <v>45292</v>
      </c>
      <c r="I1788">
        <v>8400</v>
      </c>
      <c r="J1788">
        <v>0</v>
      </c>
    </row>
    <row r="1789" spans="1:10" x14ac:dyDescent="0.3">
      <c r="A1789" s="15">
        <v>45505</v>
      </c>
      <c r="B1789" t="s">
        <v>179</v>
      </c>
      <c r="C1789" t="s">
        <v>110</v>
      </c>
      <c r="D1789" t="s">
        <v>86</v>
      </c>
      <c r="E1789" t="s">
        <v>87</v>
      </c>
      <c r="F1789">
        <v>30000</v>
      </c>
      <c r="G1789" t="s">
        <v>331</v>
      </c>
      <c r="H1789" s="15">
        <v>45292</v>
      </c>
      <c r="I1789">
        <v>30000</v>
      </c>
      <c r="J1789">
        <v>0</v>
      </c>
    </row>
    <row r="1790" spans="1:10" x14ac:dyDescent="0.3">
      <c r="A1790" s="15">
        <v>45505</v>
      </c>
      <c r="B1790" t="s">
        <v>180</v>
      </c>
      <c r="C1790" t="s">
        <v>91</v>
      </c>
      <c r="D1790" t="s">
        <v>86</v>
      </c>
      <c r="E1790" t="s">
        <v>83</v>
      </c>
      <c r="F1790">
        <v>8500</v>
      </c>
      <c r="G1790" t="s">
        <v>331</v>
      </c>
      <c r="H1790" s="15">
        <v>45292</v>
      </c>
      <c r="I1790">
        <v>8500</v>
      </c>
      <c r="J1790">
        <v>0</v>
      </c>
    </row>
    <row r="1791" spans="1:10" x14ac:dyDescent="0.3">
      <c r="A1791" s="15">
        <v>45505</v>
      </c>
      <c r="B1791" t="s">
        <v>181</v>
      </c>
      <c r="C1791" t="s">
        <v>91</v>
      </c>
      <c r="D1791" t="s">
        <v>82</v>
      </c>
      <c r="E1791" t="s">
        <v>97</v>
      </c>
      <c r="F1791">
        <v>10100</v>
      </c>
      <c r="G1791" t="s">
        <v>331</v>
      </c>
      <c r="H1791" s="15">
        <v>45292</v>
      </c>
      <c r="I1791">
        <v>10100</v>
      </c>
      <c r="J1791">
        <v>0</v>
      </c>
    </row>
    <row r="1792" spans="1:10" x14ac:dyDescent="0.3">
      <c r="A1792" s="15">
        <v>45505</v>
      </c>
      <c r="B1792" t="s">
        <v>182</v>
      </c>
      <c r="C1792" t="s">
        <v>125</v>
      </c>
      <c r="D1792" t="s">
        <v>82</v>
      </c>
      <c r="E1792" t="s">
        <v>92</v>
      </c>
      <c r="F1792">
        <v>80700</v>
      </c>
      <c r="G1792" t="s">
        <v>331</v>
      </c>
      <c r="H1792" s="15">
        <v>45292</v>
      </c>
      <c r="I1792">
        <v>80700</v>
      </c>
      <c r="J1792">
        <v>0</v>
      </c>
    </row>
    <row r="1793" spans="1:10" x14ac:dyDescent="0.3">
      <c r="A1793" s="15">
        <v>45505</v>
      </c>
      <c r="B1793" t="s">
        <v>183</v>
      </c>
      <c r="C1793" t="s">
        <v>91</v>
      </c>
      <c r="D1793" t="s">
        <v>96</v>
      </c>
      <c r="E1793" t="s">
        <v>92</v>
      </c>
      <c r="F1793">
        <v>9500</v>
      </c>
      <c r="G1793" t="s">
        <v>331</v>
      </c>
      <c r="H1793" s="15">
        <v>45292</v>
      </c>
      <c r="I1793">
        <v>9500</v>
      </c>
      <c r="J1793">
        <v>0</v>
      </c>
    </row>
    <row r="1794" spans="1:10" x14ac:dyDescent="0.3">
      <c r="A1794" s="15">
        <v>45505</v>
      </c>
      <c r="B1794" t="s">
        <v>184</v>
      </c>
      <c r="C1794" t="s">
        <v>81</v>
      </c>
      <c r="D1794" t="s">
        <v>82</v>
      </c>
      <c r="E1794" t="s">
        <v>83</v>
      </c>
      <c r="F1794">
        <v>2600</v>
      </c>
      <c r="G1794" t="s">
        <v>331</v>
      </c>
      <c r="H1794" s="15">
        <v>45292</v>
      </c>
      <c r="I1794">
        <v>2600</v>
      </c>
      <c r="J1794">
        <v>0</v>
      </c>
    </row>
    <row r="1795" spans="1:10" x14ac:dyDescent="0.3">
      <c r="A1795" s="15">
        <v>45505</v>
      </c>
      <c r="B1795" t="s">
        <v>185</v>
      </c>
      <c r="C1795" t="s">
        <v>81</v>
      </c>
      <c r="D1795" t="s">
        <v>96</v>
      </c>
      <c r="E1795" t="s">
        <v>97</v>
      </c>
      <c r="F1795">
        <v>2000</v>
      </c>
      <c r="G1795" t="s">
        <v>331</v>
      </c>
      <c r="H1795" s="15">
        <v>45292</v>
      </c>
      <c r="I1795">
        <v>2000</v>
      </c>
      <c r="J1795">
        <v>0</v>
      </c>
    </row>
    <row r="1796" spans="1:10" x14ac:dyDescent="0.3">
      <c r="A1796" s="15">
        <v>45505</v>
      </c>
      <c r="B1796" t="s">
        <v>186</v>
      </c>
      <c r="C1796" t="s">
        <v>91</v>
      </c>
      <c r="D1796" t="s">
        <v>82</v>
      </c>
      <c r="E1796" t="s">
        <v>103</v>
      </c>
      <c r="F1796">
        <v>12100</v>
      </c>
      <c r="G1796" t="s">
        <v>331</v>
      </c>
      <c r="H1796" s="15">
        <v>45292</v>
      </c>
      <c r="I1796">
        <v>12100</v>
      </c>
      <c r="J1796">
        <v>0</v>
      </c>
    </row>
    <row r="1797" spans="1:10" x14ac:dyDescent="0.3">
      <c r="A1797" s="15">
        <v>45505</v>
      </c>
      <c r="B1797" t="s">
        <v>187</v>
      </c>
      <c r="C1797" t="s">
        <v>110</v>
      </c>
      <c r="D1797" t="s">
        <v>86</v>
      </c>
      <c r="E1797" t="s">
        <v>97</v>
      </c>
      <c r="F1797">
        <v>32300</v>
      </c>
      <c r="G1797" t="s">
        <v>331</v>
      </c>
      <c r="H1797" s="15">
        <v>45292</v>
      </c>
      <c r="I1797">
        <v>32300</v>
      </c>
      <c r="J1797">
        <v>0</v>
      </c>
    </row>
    <row r="1798" spans="1:10" x14ac:dyDescent="0.3">
      <c r="A1798" s="15">
        <v>45505</v>
      </c>
      <c r="B1798" t="s">
        <v>188</v>
      </c>
      <c r="C1798" t="s">
        <v>91</v>
      </c>
      <c r="D1798" t="s">
        <v>82</v>
      </c>
      <c r="E1798" t="s">
        <v>92</v>
      </c>
      <c r="F1798">
        <v>12000</v>
      </c>
      <c r="G1798" t="s">
        <v>331</v>
      </c>
      <c r="H1798" s="15">
        <v>45292</v>
      </c>
      <c r="I1798">
        <v>12000</v>
      </c>
      <c r="J1798">
        <v>0</v>
      </c>
    </row>
    <row r="1799" spans="1:10" x14ac:dyDescent="0.3">
      <c r="A1799" s="15">
        <v>45505</v>
      </c>
      <c r="B1799" t="s">
        <v>189</v>
      </c>
      <c r="C1799" t="s">
        <v>81</v>
      </c>
      <c r="D1799" t="s">
        <v>86</v>
      </c>
      <c r="E1799" t="s">
        <v>103</v>
      </c>
      <c r="F1799">
        <v>2000</v>
      </c>
      <c r="G1799" t="s">
        <v>331</v>
      </c>
      <c r="H1799" s="15">
        <v>45292</v>
      </c>
      <c r="I1799">
        <v>2000</v>
      </c>
      <c r="J1799">
        <v>0</v>
      </c>
    </row>
    <row r="1800" spans="1:10" x14ac:dyDescent="0.3">
      <c r="A1800" s="15">
        <v>45505</v>
      </c>
      <c r="B1800" t="s">
        <v>190</v>
      </c>
      <c r="C1800" t="s">
        <v>81</v>
      </c>
      <c r="D1800" t="s">
        <v>99</v>
      </c>
      <c r="E1800" t="s">
        <v>89</v>
      </c>
      <c r="F1800">
        <v>2000</v>
      </c>
      <c r="G1800" t="s">
        <v>331</v>
      </c>
      <c r="H1800" s="15">
        <v>45292</v>
      </c>
      <c r="I1800">
        <v>2000</v>
      </c>
      <c r="J1800">
        <v>0</v>
      </c>
    </row>
    <row r="1801" spans="1:10" x14ac:dyDescent="0.3">
      <c r="A1801" s="15">
        <v>45505</v>
      </c>
      <c r="B1801" t="s">
        <v>191</v>
      </c>
      <c r="C1801" t="s">
        <v>91</v>
      </c>
      <c r="D1801" t="s">
        <v>86</v>
      </c>
      <c r="E1801" t="s">
        <v>87</v>
      </c>
      <c r="F1801">
        <v>6900</v>
      </c>
      <c r="G1801" t="s">
        <v>331</v>
      </c>
      <c r="H1801" s="15">
        <v>45292</v>
      </c>
      <c r="I1801">
        <v>6900</v>
      </c>
      <c r="J1801">
        <v>0</v>
      </c>
    </row>
    <row r="1802" spans="1:10" x14ac:dyDescent="0.3">
      <c r="A1802" s="15">
        <v>45505</v>
      </c>
      <c r="B1802" t="s">
        <v>192</v>
      </c>
      <c r="C1802" t="s">
        <v>81</v>
      </c>
      <c r="D1802" t="s">
        <v>82</v>
      </c>
      <c r="E1802" t="s">
        <v>97</v>
      </c>
      <c r="F1802">
        <v>2700</v>
      </c>
      <c r="G1802" t="s">
        <v>331</v>
      </c>
      <c r="H1802" s="15">
        <v>45292</v>
      </c>
      <c r="I1802">
        <v>2700</v>
      </c>
      <c r="J1802">
        <v>0</v>
      </c>
    </row>
    <row r="1803" spans="1:10" x14ac:dyDescent="0.3">
      <c r="A1803" s="15">
        <v>45505</v>
      </c>
      <c r="B1803" t="s">
        <v>193</v>
      </c>
      <c r="C1803" t="s">
        <v>81</v>
      </c>
      <c r="D1803" t="s">
        <v>82</v>
      </c>
      <c r="E1803" t="s">
        <v>87</v>
      </c>
      <c r="F1803">
        <v>3200</v>
      </c>
      <c r="G1803" t="s">
        <v>331</v>
      </c>
      <c r="H1803" s="15">
        <v>45292</v>
      </c>
      <c r="I1803">
        <v>3200</v>
      </c>
      <c r="J1803">
        <v>0</v>
      </c>
    </row>
    <row r="1804" spans="1:10" x14ac:dyDescent="0.3">
      <c r="A1804" s="15">
        <v>45505</v>
      </c>
      <c r="B1804" t="s">
        <v>194</v>
      </c>
      <c r="C1804" t="s">
        <v>91</v>
      </c>
      <c r="D1804" t="s">
        <v>82</v>
      </c>
      <c r="E1804" t="s">
        <v>101</v>
      </c>
      <c r="F1804">
        <v>10400</v>
      </c>
      <c r="G1804" t="s">
        <v>331</v>
      </c>
      <c r="H1804" s="15">
        <v>45292</v>
      </c>
      <c r="I1804">
        <v>10400</v>
      </c>
      <c r="J1804">
        <v>0</v>
      </c>
    </row>
    <row r="1805" spans="1:10" x14ac:dyDescent="0.3">
      <c r="A1805" s="15">
        <v>45505</v>
      </c>
      <c r="B1805" t="s">
        <v>195</v>
      </c>
      <c r="C1805" t="s">
        <v>91</v>
      </c>
      <c r="D1805" t="s">
        <v>86</v>
      </c>
      <c r="E1805" t="s">
        <v>97</v>
      </c>
      <c r="F1805">
        <v>6800</v>
      </c>
      <c r="G1805" t="s">
        <v>331</v>
      </c>
      <c r="H1805" s="15">
        <v>45292</v>
      </c>
      <c r="I1805">
        <v>6800</v>
      </c>
      <c r="J1805">
        <v>0</v>
      </c>
    </row>
    <row r="1806" spans="1:10" x14ac:dyDescent="0.3">
      <c r="A1806" s="15">
        <v>45505</v>
      </c>
      <c r="B1806" t="s">
        <v>196</v>
      </c>
      <c r="C1806" t="s">
        <v>81</v>
      </c>
      <c r="D1806" t="s">
        <v>86</v>
      </c>
      <c r="E1806" t="s">
        <v>87</v>
      </c>
      <c r="F1806">
        <v>2600</v>
      </c>
      <c r="G1806" t="s">
        <v>331</v>
      </c>
      <c r="H1806" s="15">
        <v>45292</v>
      </c>
      <c r="I1806">
        <v>2600</v>
      </c>
      <c r="J1806">
        <v>0</v>
      </c>
    </row>
    <row r="1807" spans="1:10" x14ac:dyDescent="0.3">
      <c r="A1807" s="15">
        <v>45505</v>
      </c>
      <c r="B1807" t="s">
        <v>197</v>
      </c>
      <c r="C1807" t="s">
        <v>91</v>
      </c>
      <c r="D1807" t="s">
        <v>82</v>
      </c>
      <c r="E1807" t="s">
        <v>89</v>
      </c>
      <c r="F1807">
        <v>10400</v>
      </c>
      <c r="G1807" t="s">
        <v>331</v>
      </c>
      <c r="H1807" s="15">
        <v>45292</v>
      </c>
      <c r="I1807">
        <v>10400</v>
      </c>
      <c r="J1807">
        <v>0</v>
      </c>
    </row>
    <row r="1808" spans="1:10" x14ac:dyDescent="0.3">
      <c r="A1808" s="15">
        <v>45505</v>
      </c>
      <c r="B1808" t="s">
        <v>198</v>
      </c>
      <c r="C1808" t="s">
        <v>81</v>
      </c>
      <c r="D1808" t="s">
        <v>82</v>
      </c>
      <c r="E1808" t="s">
        <v>89</v>
      </c>
      <c r="F1808">
        <v>2900</v>
      </c>
      <c r="G1808" t="s">
        <v>331</v>
      </c>
      <c r="H1808" s="15">
        <v>45292</v>
      </c>
      <c r="I1808">
        <v>2900</v>
      </c>
      <c r="J1808">
        <v>0</v>
      </c>
    </row>
    <row r="1809" spans="1:10" x14ac:dyDescent="0.3">
      <c r="A1809" s="15">
        <v>45505</v>
      </c>
      <c r="B1809" t="s">
        <v>199</v>
      </c>
      <c r="C1809" t="s">
        <v>81</v>
      </c>
      <c r="D1809" t="s">
        <v>86</v>
      </c>
      <c r="E1809" t="s">
        <v>89</v>
      </c>
      <c r="F1809">
        <v>2200</v>
      </c>
      <c r="G1809" t="s">
        <v>331</v>
      </c>
      <c r="H1809" s="15">
        <v>45292</v>
      </c>
      <c r="I1809">
        <v>2200</v>
      </c>
      <c r="J1809">
        <v>0</v>
      </c>
    </row>
    <row r="1810" spans="1:10" x14ac:dyDescent="0.3">
      <c r="A1810" s="15">
        <v>45505</v>
      </c>
      <c r="B1810" t="s">
        <v>200</v>
      </c>
      <c r="C1810" t="s">
        <v>91</v>
      </c>
      <c r="D1810" t="s">
        <v>86</v>
      </c>
      <c r="E1810" t="s">
        <v>92</v>
      </c>
      <c r="F1810">
        <v>8400</v>
      </c>
      <c r="G1810" t="s">
        <v>331</v>
      </c>
      <c r="H1810" s="15">
        <v>45292</v>
      </c>
      <c r="I1810">
        <v>8400</v>
      </c>
      <c r="J1810">
        <v>0</v>
      </c>
    </row>
    <row r="1811" spans="1:10" x14ac:dyDescent="0.3">
      <c r="A1811" s="15">
        <v>45505</v>
      </c>
      <c r="B1811" t="s">
        <v>201</v>
      </c>
      <c r="C1811" t="s">
        <v>81</v>
      </c>
      <c r="D1811" t="s">
        <v>86</v>
      </c>
      <c r="E1811" t="s">
        <v>83</v>
      </c>
      <c r="F1811">
        <v>1800</v>
      </c>
      <c r="G1811" t="s">
        <v>331</v>
      </c>
      <c r="H1811" s="15">
        <v>45292</v>
      </c>
      <c r="I1811">
        <v>1800</v>
      </c>
      <c r="J1811">
        <v>0</v>
      </c>
    </row>
    <row r="1812" spans="1:10" x14ac:dyDescent="0.3">
      <c r="A1812" s="15">
        <v>45505</v>
      </c>
      <c r="B1812" t="s">
        <v>202</v>
      </c>
      <c r="C1812" t="s">
        <v>91</v>
      </c>
      <c r="D1812" t="s">
        <v>82</v>
      </c>
      <c r="E1812" t="s">
        <v>92</v>
      </c>
      <c r="F1812">
        <v>11000</v>
      </c>
      <c r="G1812" t="s">
        <v>331</v>
      </c>
      <c r="H1812" s="15">
        <v>45292</v>
      </c>
      <c r="I1812">
        <v>11000</v>
      </c>
      <c r="J1812">
        <v>0</v>
      </c>
    </row>
    <row r="1813" spans="1:10" x14ac:dyDescent="0.3">
      <c r="A1813" s="15">
        <v>45505</v>
      </c>
      <c r="B1813" t="s">
        <v>203</v>
      </c>
      <c r="C1813" t="s">
        <v>110</v>
      </c>
      <c r="D1813" t="s">
        <v>86</v>
      </c>
      <c r="E1813" t="s">
        <v>92</v>
      </c>
      <c r="F1813">
        <v>32000</v>
      </c>
      <c r="G1813" t="s">
        <v>331</v>
      </c>
      <c r="H1813" s="15">
        <v>45292</v>
      </c>
      <c r="I1813">
        <v>32000</v>
      </c>
      <c r="J1813">
        <v>0</v>
      </c>
    </row>
    <row r="1814" spans="1:10" x14ac:dyDescent="0.3">
      <c r="A1814" s="15">
        <v>45505</v>
      </c>
      <c r="B1814" t="s">
        <v>204</v>
      </c>
      <c r="C1814" t="s">
        <v>81</v>
      </c>
      <c r="D1814" t="s">
        <v>82</v>
      </c>
      <c r="E1814" t="s">
        <v>87</v>
      </c>
      <c r="F1814">
        <v>2200</v>
      </c>
      <c r="G1814" t="s">
        <v>331</v>
      </c>
      <c r="H1814" s="15">
        <v>45292</v>
      </c>
      <c r="I1814">
        <v>2200</v>
      </c>
      <c r="J1814">
        <v>0</v>
      </c>
    </row>
    <row r="1815" spans="1:10" x14ac:dyDescent="0.3">
      <c r="A1815" s="15">
        <v>45505</v>
      </c>
      <c r="B1815" t="s">
        <v>205</v>
      </c>
      <c r="C1815" t="s">
        <v>91</v>
      </c>
      <c r="D1815" t="s">
        <v>86</v>
      </c>
      <c r="E1815" t="s">
        <v>103</v>
      </c>
      <c r="F1815">
        <v>10600</v>
      </c>
      <c r="G1815" t="s">
        <v>331</v>
      </c>
      <c r="H1815" s="15">
        <v>45292</v>
      </c>
      <c r="I1815">
        <v>10600</v>
      </c>
      <c r="J1815">
        <v>0</v>
      </c>
    </row>
    <row r="1816" spans="1:10" x14ac:dyDescent="0.3">
      <c r="A1816" s="15">
        <v>45505</v>
      </c>
      <c r="B1816" t="s">
        <v>206</v>
      </c>
      <c r="C1816" t="s">
        <v>81</v>
      </c>
      <c r="D1816" t="s">
        <v>86</v>
      </c>
      <c r="E1816" t="s">
        <v>89</v>
      </c>
      <c r="F1816">
        <v>3000</v>
      </c>
      <c r="G1816" t="s">
        <v>331</v>
      </c>
      <c r="H1816" s="15">
        <v>45292</v>
      </c>
      <c r="I1816">
        <v>3000</v>
      </c>
      <c r="J1816">
        <v>0</v>
      </c>
    </row>
    <row r="1817" spans="1:10" x14ac:dyDescent="0.3">
      <c r="A1817" s="15">
        <v>45505</v>
      </c>
      <c r="B1817" t="s">
        <v>207</v>
      </c>
      <c r="C1817" t="s">
        <v>81</v>
      </c>
      <c r="D1817" t="s">
        <v>82</v>
      </c>
      <c r="E1817" t="s">
        <v>89</v>
      </c>
      <c r="F1817">
        <v>4100</v>
      </c>
      <c r="G1817" t="s">
        <v>331</v>
      </c>
      <c r="H1817" s="15">
        <v>45292</v>
      </c>
      <c r="I1817">
        <v>4100</v>
      </c>
      <c r="J1817">
        <v>0</v>
      </c>
    </row>
    <row r="1818" spans="1:10" x14ac:dyDescent="0.3">
      <c r="A1818" s="15">
        <v>45505</v>
      </c>
      <c r="B1818" t="s">
        <v>208</v>
      </c>
      <c r="C1818" t="s">
        <v>91</v>
      </c>
      <c r="D1818" t="s">
        <v>99</v>
      </c>
      <c r="E1818" t="s">
        <v>89</v>
      </c>
      <c r="F1818">
        <v>7300</v>
      </c>
      <c r="G1818" t="s">
        <v>331</v>
      </c>
      <c r="H1818" s="15">
        <v>45292</v>
      </c>
      <c r="I1818">
        <v>7300</v>
      </c>
      <c r="J1818">
        <v>0</v>
      </c>
    </row>
    <row r="1819" spans="1:10" x14ac:dyDescent="0.3">
      <c r="A1819" s="15">
        <v>45505</v>
      </c>
      <c r="B1819" t="s">
        <v>209</v>
      </c>
      <c r="C1819" t="s">
        <v>81</v>
      </c>
      <c r="D1819" t="s">
        <v>86</v>
      </c>
      <c r="E1819" t="s">
        <v>83</v>
      </c>
      <c r="F1819">
        <v>2700</v>
      </c>
      <c r="G1819" t="s">
        <v>331</v>
      </c>
      <c r="H1819" s="15">
        <v>45292</v>
      </c>
      <c r="I1819">
        <v>2700</v>
      </c>
      <c r="J1819">
        <v>0</v>
      </c>
    </row>
    <row r="1820" spans="1:10" x14ac:dyDescent="0.3">
      <c r="A1820" s="15">
        <v>45505</v>
      </c>
      <c r="B1820" t="s">
        <v>210</v>
      </c>
      <c r="C1820" t="s">
        <v>125</v>
      </c>
      <c r="D1820" t="s">
        <v>96</v>
      </c>
      <c r="E1820" t="s">
        <v>89</v>
      </c>
      <c r="F1820">
        <v>90300</v>
      </c>
      <c r="G1820" t="s">
        <v>331</v>
      </c>
      <c r="H1820" s="15">
        <v>45292</v>
      </c>
      <c r="I1820">
        <v>90300</v>
      </c>
      <c r="J1820">
        <v>0</v>
      </c>
    </row>
    <row r="1821" spans="1:10" x14ac:dyDescent="0.3">
      <c r="A1821" s="15">
        <v>45505</v>
      </c>
      <c r="B1821" t="s">
        <v>211</v>
      </c>
      <c r="C1821" t="s">
        <v>110</v>
      </c>
      <c r="D1821" t="s">
        <v>82</v>
      </c>
      <c r="E1821" t="s">
        <v>92</v>
      </c>
      <c r="F1821">
        <v>28900</v>
      </c>
      <c r="G1821" t="s">
        <v>331</v>
      </c>
      <c r="H1821" s="15">
        <v>45292</v>
      </c>
      <c r="I1821">
        <v>28900</v>
      </c>
      <c r="J1821">
        <v>0</v>
      </c>
    </row>
    <row r="1822" spans="1:10" x14ac:dyDescent="0.3">
      <c r="A1822" s="15">
        <v>45505</v>
      </c>
      <c r="B1822" t="s">
        <v>212</v>
      </c>
      <c r="C1822" t="s">
        <v>81</v>
      </c>
      <c r="D1822" t="s">
        <v>96</v>
      </c>
      <c r="E1822" t="s">
        <v>101</v>
      </c>
      <c r="F1822">
        <v>2700</v>
      </c>
      <c r="G1822" t="s">
        <v>331</v>
      </c>
      <c r="H1822" s="15">
        <v>45292</v>
      </c>
      <c r="I1822">
        <v>2700</v>
      </c>
      <c r="J1822">
        <v>0</v>
      </c>
    </row>
    <row r="1823" spans="1:10" x14ac:dyDescent="0.3">
      <c r="A1823" s="15">
        <v>45505</v>
      </c>
      <c r="B1823" t="s">
        <v>213</v>
      </c>
      <c r="C1823" t="s">
        <v>81</v>
      </c>
      <c r="D1823" t="s">
        <v>82</v>
      </c>
      <c r="E1823" t="s">
        <v>97</v>
      </c>
      <c r="F1823">
        <v>3300</v>
      </c>
      <c r="G1823" t="s">
        <v>331</v>
      </c>
      <c r="H1823" s="15">
        <v>45292</v>
      </c>
      <c r="I1823">
        <v>3300</v>
      </c>
      <c r="J1823">
        <v>0</v>
      </c>
    </row>
    <row r="1824" spans="1:10" x14ac:dyDescent="0.3">
      <c r="A1824" s="15">
        <v>45505</v>
      </c>
      <c r="B1824" t="s">
        <v>214</v>
      </c>
      <c r="C1824" t="s">
        <v>91</v>
      </c>
      <c r="D1824" t="s">
        <v>82</v>
      </c>
      <c r="E1824" t="s">
        <v>89</v>
      </c>
      <c r="F1824">
        <v>8700</v>
      </c>
      <c r="G1824" t="s">
        <v>331</v>
      </c>
      <c r="H1824" s="15">
        <v>45292</v>
      </c>
      <c r="I1824">
        <v>8700</v>
      </c>
      <c r="J1824">
        <v>0</v>
      </c>
    </row>
    <row r="1825" spans="1:10" x14ac:dyDescent="0.3">
      <c r="A1825" s="15">
        <v>45505</v>
      </c>
      <c r="B1825" t="s">
        <v>215</v>
      </c>
      <c r="C1825" t="s">
        <v>110</v>
      </c>
      <c r="D1825" t="s">
        <v>99</v>
      </c>
      <c r="E1825" t="s">
        <v>89</v>
      </c>
      <c r="F1825">
        <v>42900</v>
      </c>
      <c r="G1825" t="s">
        <v>331</v>
      </c>
      <c r="H1825" s="15">
        <v>45292</v>
      </c>
      <c r="I1825">
        <v>42900</v>
      </c>
      <c r="J1825">
        <v>0</v>
      </c>
    </row>
    <row r="1826" spans="1:10" x14ac:dyDescent="0.3">
      <c r="A1826" s="15">
        <v>45505</v>
      </c>
      <c r="B1826" t="s">
        <v>216</v>
      </c>
      <c r="C1826" t="s">
        <v>81</v>
      </c>
      <c r="D1826" t="s">
        <v>82</v>
      </c>
      <c r="E1826" t="s">
        <v>97</v>
      </c>
      <c r="F1826">
        <v>3500</v>
      </c>
      <c r="G1826" t="s">
        <v>332</v>
      </c>
      <c r="H1826" s="15">
        <v>45292</v>
      </c>
      <c r="I1826">
        <v>3100</v>
      </c>
      <c r="J1826">
        <v>400</v>
      </c>
    </row>
    <row r="1827" spans="1:10" x14ac:dyDescent="0.3">
      <c r="A1827" s="15">
        <v>45505</v>
      </c>
      <c r="B1827" t="s">
        <v>217</v>
      </c>
      <c r="C1827" t="s">
        <v>91</v>
      </c>
      <c r="D1827" t="s">
        <v>82</v>
      </c>
      <c r="E1827" t="s">
        <v>97</v>
      </c>
      <c r="F1827">
        <v>9000</v>
      </c>
      <c r="G1827" t="s">
        <v>332</v>
      </c>
      <c r="H1827" s="15">
        <v>45292</v>
      </c>
      <c r="I1827">
        <v>8400</v>
      </c>
      <c r="J1827">
        <v>600</v>
      </c>
    </row>
    <row r="1828" spans="1:10" x14ac:dyDescent="0.3">
      <c r="A1828" s="15">
        <v>45505</v>
      </c>
      <c r="B1828" t="s">
        <v>218</v>
      </c>
      <c r="C1828" t="s">
        <v>110</v>
      </c>
      <c r="D1828" t="s">
        <v>99</v>
      </c>
      <c r="E1828" t="s">
        <v>92</v>
      </c>
      <c r="F1828">
        <v>29900</v>
      </c>
      <c r="G1828" t="s">
        <v>331</v>
      </c>
      <c r="H1828" s="15">
        <v>45292</v>
      </c>
      <c r="I1828">
        <v>29900</v>
      </c>
      <c r="J1828">
        <v>0</v>
      </c>
    </row>
    <row r="1829" spans="1:10" x14ac:dyDescent="0.3">
      <c r="A1829" s="15">
        <v>45505</v>
      </c>
      <c r="B1829" t="s">
        <v>219</v>
      </c>
      <c r="C1829" t="s">
        <v>81</v>
      </c>
      <c r="D1829" t="s">
        <v>99</v>
      </c>
      <c r="E1829" t="s">
        <v>89</v>
      </c>
      <c r="F1829">
        <v>2500</v>
      </c>
      <c r="G1829" t="s">
        <v>331</v>
      </c>
      <c r="H1829" s="15">
        <v>45292</v>
      </c>
      <c r="I1829">
        <v>2500</v>
      </c>
      <c r="J1829">
        <v>0</v>
      </c>
    </row>
    <row r="1830" spans="1:10" x14ac:dyDescent="0.3">
      <c r="A1830" s="15">
        <v>45505</v>
      </c>
      <c r="B1830" t="s">
        <v>220</v>
      </c>
      <c r="C1830" t="s">
        <v>110</v>
      </c>
      <c r="D1830" t="s">
        <v>82</v>
      </c>
      <c r="E1830" t="s">
        <v>89</v>
      </c>
      <c r="F1830">
        <v>30800</v>
      </c>
      <c r="G1830" t="s">
        <v>331</v>
      </c>
      <c r="H1830" s="15">
        <v>45292</v>
      </c>
      <c r="I1830">
        <v>30800</v>
      </c>
      <c r="J1830">
        <v>0</v>
      </c>
    </row>
    <row r="1831" spans="1:10" x14ac:dyDescent="0.3">
      <c r="A1831" s="15">
        <v>45505</v>
      </c>
      <c r="B1831" t="s">
        <v>221</v>
      </c>
      <c r="C1831" t="s">
        <v>91</v>
      </c>
      <c r="D1831" t="s">
        <v>96</v>
      </c>
      <c r="E1831" t="s">
        <v>83</v>
      </c>
      <c r="F1831">
        <v>8200</v>
      </c>
      <c r="G1831" t="s">
        <v>331</v>
      </c>
      <c r="H1831" s="15">
        <v>45292</v>
      </c>
      <c r="I1831">
        <v>8200</v>
      </c>
      <c r="J1831">
        <v>0</v>
      </c>
    </row>
    <row r="1832" spans="1:10" x14ac:dyDescent="0.3">
      <c r="A1832" s="15">
        <v>45505</v>
      </c>
      <c r="B1832" t="s">
        <v>222</v>
      </c>
      <c r="C1832" t="s">
        <v>110</v>
      </c>
      <c r="D1832" t="s">
        <v>96</v>
      </c>
      <c r="E1832" t="s">
        <v>97</v>
      </c>
      <c r="F1832">
        <v>26100</v>
      </c>
      <c r="G1832" t="s">
        <v>331</v>
      </c>
      <c r="H1832" s="15">
        <v>45292</v>
      </c>
      <c r="I1832">
        <v>26100</v>
      </c>
      <c r="J1832">
        <v>0</v>
      </c>
    </row>
    <row r="1833" spans="1:10" x14ac:dyDescent="0.3">
      <c r="A1833" s="15">
        <v>45505</v>
      </c>
      <c r="B1833" t="s">
        <v>223</v>
      </c>
      <c r="C1833" t="s">
        <v>81</v>
      </c>
      <c r="D1833" t="s">
        <v>99</v>
      </c>
      <c r="E1833" t="s">
        <v>87</v>
      </c>
      <c r="F1833">
        <v>2100</v>
      </c>
      <c r="G1833" t="s">
        <v>331</v>
      </c>
      <c r="H1833" s="15">
        <v>45292</v>
      </c>
      <c r="I1833">
        <v>2100</v>
      </c>
      <c r="J1833">
        <v>0</v>
      </c>
    </row>
    <row r="1834" spans="1:10" x14ac:dyDescent="0.3">
      <c r="A1834" s="15">
        <v>45505</v>
      </c>
      <c r="B1834" t="s">
        <v>224</v>
      </c>
      <c r="C1834" t="s">
        <v>91</v>
      </c>
      <c r="D1834" t="s">
        <v>82</v>
      </c>
      <c r="E1834" t="s">
        <v>101</v>
      </c>
      <c r="F1834">
        <v>10300</v>
      </c>
      <c r="G1834" t="s">
        <v>331</v>
      </c>
      <c r="H1834" s="15">
        <v>45292</v>
      </c>
      <c r="I1834">
        <v>10300</v>
      </c>
      <c r="J1834">
        <v>0</v>
      </c>
    </row>
    <row r="1835" spans="1:10" x14ac:dyDescent="0.3">
      <c r="A1835" s="15">
        <v>45505</v>
      </c>
      <c r="B1835" t="s">
        <v>225</v>
      </c>
      <c r="C1835" t="s">
        <v>110</v>
      </c>
      <c r="D1835" t="s">
        <v>99</v>
      </c>
      <c r="E1835" t="s">
        <v>103</v>
      </c>
      <c r="F1835">
        <v>42200</v>
      </c>
      <c r="G1835" t="s">
        <v>331</v>
      </c>
      <c r="H1835" s="15">
        <v>45292</v>
      </c>
      <c r="I1835">
        <v>42200</v>
      </c>
      <c r="J1835">
        <v>0</v>
      </c>
    </row>
    <row r="1836" spans="1:10" x14ac:dyDescent="0.3">
      <c r="A1836" s="15">
        <v>45505</v>
      </c>
      <c r="B1836" t="s">
        <v>226</v>
      </c>
      <c r="C1836" t="s">
        <v>91</v>
      </c>
      <c r="D1836" t="s">
        <v>82</v>
      </c>
      <c r="E1836" t="s">
        <v>103</v>
      </c>
      <c r="F1836">
        <v>6300</v>
      </c>
      <c r="G1836" t="s">
        <v>331</v>
      </c>
      <c r="H1836" s="15">
        <v>45292</v>
      </c>
      <c r="I1836">
        <v>6300</v>
      </c>
      <c r="J1836">
        <v>0</v>
      </c>
    </row>
    <row r="1837" spans="1:10" x14ac:dyDescent="0.3">
      <c r="A1837" s="15">
        <v>45505</v>
      </c>
      <c r="B1837" t="s">
        <v>227</v>
      </c>
      <c r="C1837" t="s">
        <v>110</v>
      </c>
      <c r="D1837" t="s">
        <v>86</v>
      </c>
      <c r="E1837" t="s">
        <v>87</v>
      </c>
      <c r="F1837">
        <v>25900</v>
      </c>
      <c r="G1837" t="s">
        <v>331</v>
      </c>
      <c r="H1837" s="15">
        <v>45292</v>
      </c>
      <c r="I1837">
        <v>25900</v>
      </c>
      <c r="J1837">
        <v>0</v>
      </c>
    </row>
    <row r="1838" spans="1:10" x14ac:dyDescent="0.3">
      <c r="A1838" s="15">
        <v>45505</v>
      </c>
      <c r="B1838" t="s">
        <v>228</v>
      </c>
      <c r="C1838" t="s">
        <v>91</v>
      </c>
      <c r="D1838" t="s">
        <v>96</v>
      </c>
      <c r="E1838" t="s">
        <v>89</v>
      </c>
      <c r="F1838">
        <v>12000</v>
      </c>
      <c r="G1838" t="s">
        <v>332</v>
      </c>
      <c r="H1838" s="15">
        <v>45292</v>
      </c>
      <c r="I1838">
        <v>11400</v>
      </c>
      <c r="J1838">
        <v>600</v>
      </c>
    </row>
    <row r="1839" spans="1:10" x14ac:dyDescent="0.3">
      <c r="A1839" s="15">
        <v>45505</v>
      </c>
      <c r="B1839" t="s">
        <v>229</v>
      </c>
      <c r="C1839" t="s">
        <v>81</v>
      </c>
      <c r="D1839" t="s">
        <v>82</v>
      </c>
      <c r="E1839" t="s">
        <v>83</v>
      </c>
      <c r="F1839">
        <v>3000</v>
      </c>
      <c r="G1839" t="s">
        <v>331</v>
      </c>
      <c r="H1839" s="15">
        <v>45292</v>
      </c>
      <c r="I1839">
        <v>3000</v>
      </c>
      <c r="J1839">
        <v>0</v>
      </c>
    </row>
    <row r="1840" spans="1:10" x14ac:dyDescent="0.3">
      <c r="A1840" s="15">
        <v>45505</v>
      </c>
      <c r="B1840" t="s">
        <v>230</v>
      </c>
      <c r="C1840" t="s">
        <v>81</v>
      </c>
      <c r="D1840" t="s">
        <v>86</v>
      </c>
      <c r="E1840" t="s">
        <v>101</v>
      </c>
      <c r="F1840">
        <v>3400</v>
      </c>
      <c r="G1840" t="s">
        <v>331</v>
      </c>
      <c r="H1840" s="15">
        <v>45292</v>
      </c>
      <c r="I1840">
        <v>3400</v>
      </c>
      <c r="J1840">
        <v>0</v>
      </c>
    </row>
    <row r="1841" spans="1:10" x14ac:dyDescent="0.3">
      <c r="A1841" s="15">
        <v>45505</v>
      </c>
      <c r="B1841" t="s">
        <v>231</v>
      </c>
      <c r="C1841" t="s">
        <v>91</v>
      </c>
      <c r="D1841" t="s">
        <v>82</v>
      </c>
      <c r="E1841" t="s">
        <v>92</v>
      </c>
      <c r="F1841">
        <v>6900</v>
      </c>
      <c r="G1841" t="s">
        <v>331</v>
      </c>
      <c r="H1841" s="15">
        <v>45292</v>
      </c>
      <c r="I1841">
        <v>6900</v>
      </c>
      <c r="J1841">
        <v>0</v>
      </c>
    </row>
    <row r="1842" spans="1:10" x14ac:dyDescent="0.3">
      <c r="A1842" s="15">
        <v>45505</v>
      </c>
      <c r="B1842" t="s">
        <v>232</v>
      </c>
      <c r="C1842" t="s">
        <v>125</v>
      </c>
      <c r="D1842" t="s">
        <v>86</v>
      </c>
      <c r="E1842" t="s">
        <v>83</v>
      </c>
      <c r="F1842">
        <v>121100</v>
      </c>
      <c r="G1842" t="s">
        <v>331</v>
      </c>
      <c r="H1842" s="15">
        <v>45292</v>
      </c>
      <c r="I1842">
        <v>121100</v>
      </c>
      <c r="J1842">
        <v>0</v>
      </c>
    </row>
    <row r="1843" spans="1:10" x14ac:dyDescent="0.3">
      <c r="A1843" s="15">
        <v>45505</v>
      </c>
      <c r="B1843" t="s">
        <v>233</v>
      </c>
      <c r="C1843" t="s">
        <v>81</v>
      </c>
      <c r="D1843" t="s">
        <v>82</v>
      </c>
      <c r="E1843" t="s">
        <v>87</v>
      </c>
      <c r="F1843">
        <v>3300</v>
      </c>
      <c r="G1843" t="s">
        <v>331</v>
      </c>
      <c r="H1843" s="15">
        <v>45292</v>
      </c>
      <c r="I1843">
        <v>3300</v>
      </c>
      <c r="J1843">
        <v>0</v>
      </c>
    </row>
    <row r="1844" spans="1:10" x14ac:dyDescent="0.3">
      <c r="A1844" s="15">
        <v>45505</v>
      </c>
      <c r="B1844" t="s">
        <v>234</v>
      </c>
      <c r="C1844" t="s">
        <v>110</v>
      </c>
      <c r="D1844" t="s">
        <v>82</v>
      </c>
      <c r="E1844" t="s">
        <v>103</v>
      </c>
      <c r="F1844">
        <v>41200</v>
      </c>
      <c r="G1844" t="s">
        <v>331</v>
      </c>
      <c r="H1844" s="15">
        <v>45292</v>
      </c>
      <c r="I1844">
        <v>41200</v>
      </c>
      <c r="J1844">
        <v>0</v>
      </c>
    </row>
    <row r="1845" spans="1:10" x14ac:dyDescent="0.3">
      <c r="A1845" s="15">
        <v>45505</v>
      </c>
      <c r="B1845" t="s">
        <v>235</v>
      </c>
      <c r="C1845" t="s">
        <v>91</v>
      </c>
      <c r="D1845" t="s">
        <v>96</v>
      </c>
      <c r="E1845" t="s">
        <v>103</v>
      </c>
      <c r="F1845">
        <v>10500</v>
      </c>
      <c r="G1845" t="s">
        <v>331</v>
      </c>
      <c r="H1845" s="15">
        <v>45292</v>
      </c>
      <c r="I1845">
        <v>10500</v>
      </c>
      <c r="J1845">
        <v>0</v>
      </c>
    </row>
    <row r="1846" spans="1:10" x14ac:dyDescent="0.3">
      <c r="A1846" s="15">
        <v>45505</v>
      </c>
      <c r="B1846" t="s">
        <v>236</v>
      </c>
      <c r="C1846" t="s">
        <v>110</v>
      </c>
      <c r="D1846" t="s">
        <v>82</v>
      </c>
      <c r="E1846" t="s">
        <v>97</v>
      </c>
      <c r="F1846">
        <v>27200</v>
      </c>
      <c r="G1846" t="s">
        <v>331</v>
      </c>
      <c r="H1846" s="15">
        <v>45292</v>
      </c>
      <c r="I1846">
        <v>27200</v>
      </c>
      <c r="J1846">
        <v>0</v>
      </c>
    </row>
    <row r="1847" spans="1:10" x14ac:dyDescent="0.3">
      <c r="A1847" s="15">
        <v>45505</v>
      </c>
      <c r="B1847" t="s">
        <v>237</v>
      </c>
      <c r="C1847" t="s">
        <v>91</v>
      </c>
      <c r="D1847" t="s">
        <v>82</v>
      </c>
      <c r="E1847" t="s">
        <v>83</v>
      </c>
      <c r="F1847">
        <v>8100</v>
      </c>
      <c r="G1847" t="s">
        <v>331</v>
      </c>
      <c r="H1847" s="15">
        <v>45292</v>
      </c>
      <c r="I1847">
        <v>8100</v>
      </c>
      <c r="J1847">
        <v>0</v>
      </c>
    </row>
    <row r="1848" spans="1:10" x14ac:dyDescent="0.3">
      <c r="A1848" s="15">
        <v>45505</v>
      </c>
      <c r="B1848" t="s">
        <v>238</v>
      </c>
      <c r="C1848" t="s">
        <v>81</v>
      </c>
      <c r="D1848" t="s">
        <v>99</v>
      </c>
      <c r="E1848" t="s">
        <v>97</v>
      </c>
      <c r="F1848">
        <v>2600</v>
      </c>
      <c r="G1848" t="s">
        <v>331</v>
      </c>
      <c r="H1848" s="15">
        <v>45292</v>
      </c>
      <c r="I1848">
        <v>2600</v>
      </c>
      <c r="J1848">
        <v>0</v>
      </c>
    </row>
    <row r="1849" spans="1:10" x14ac:dyDescent="0.3">
      <c r="A1849" s="15">
        <v>45505</v>
      </c>
      <c r="B1849" t="s">
        <v>239</v>
      </c>
      <c r="C1849" t="s">
        <v>81</v>
      </c>
      <c r="D1849" t="s">
        <v>82</v>
      </c>
      <c r="E1849" t="s">
        <v>103</v>
      </c>
      <c r="F1849">
        <v>2500</v>
      </c>
      <c r="G1849" t="s">
        <v>331</v>
      </c>
      <c r="H1849" s="15">
        <v>45292</v>
      </c>
      <c r="I1849">
        <v>2500</v>
      </c>
      <c r="J1849">
        <v>0</v>
      </c>
    </row>
    <row r="1850" spans="1:10" x14ac:dyDescent="0.3">
      <c r="A1850" s="15">
        <v>45505</v>
      </c>
      <c r="B1850" t="s">
        <v>240</v>
      </c>
      <c r="C1850" t="s">
        <v>81</v>
      </c>
      <c r="D1850" t="s">
        <v>99</v>
      </c>
      <c r="E1850" t="s">
        <v>103</v>
      </c>
      <c r="F1850">
        <v>3000</v>
      </c>
      <c r="G1850" t="s">
        <v>331</v>
      </c>
      <c r="H1850" s="15">
        <v>45292</v>
      </c>
      <c r="I1850">
        <v>3000</v>
      </c>
      <c r="J1850">
        <v>0</v>
      </c>
    </row>
    <row r="1851" spans="1:10" x14ac:dyDescent="0.3">
      <c r="A1851" s="15">
        <v>45505</v>
      </c>
      <c r="B1851" t="s">
        <v>241</v>
      </c>
      <c r="C1851" t="s">
        <v>91</v>
      </c>
      <c r="D1851" t="s">
        <v>96</v>
      </c>
      <c r="E1851" t="s">
        <v>87</v>
      </c>
      <c r="F1851">
        <v>12100</v>
      </c>
      <c r="G1851" t="s">
        <v>331</v>
      </c>
      <c r="H1851" s="15">
        <v>45292</v>
      </c>
      <c r="I1851">
        <v>12100</v>
      </c>
      <c r="J1851">
        <v>0</v>
      </c>
    </row>
    <row r="1852" spans="1:10" x14ac:dyDescent="0.3">
      <c r="A1852" s="15">
        <v>45505</v>
      </c>
      <c r="B1852" t="s">
        <v>242</v>
      </c>
      <c r="C1852" t="s">
        <v>110</v>
      </c>
      <c r="D1852" t="s">
        <v>99</v>
      </c>
      <c r="E1852" t="s">
        <v>101</v>
      </c>
      <c r="F1852">
        <v>34800</v>
      </c>
      <c r="G1852" t="s">
        <v>331</v>
      </c>
      <c r="H1852" s="15">
        <v>45292</v>
      </c>
      <c r="I1852">
        <v>34800</v>
      </c>
      <c r="J1852">
        <v>0</v>
      </c>
    </row>
    <row r="1853" spans="1:10" x14ac:dyDescent="0.3">
      <c r="A1853" s="15">
        <v>45505</v>
      </c>
      <c r="B1853" t="s">
        <v>244</v>
      </c>
      <c r="C1853" t="s">
        <v>91</v>
      </c>
      <c r="D1853" t="s">
        <v>82</v>
      </c>
      <c r="E1853" t="s">
        <v>92</v>
      </c>
      <c r="F1853">
        <v>7800</v>
      </c>
      <c r="G1853" t="s">
        <v>331</v>
      </c>
      <c r="H1853" s="15">
        <v>45292</v>
      </c>
      <c r="I1853">
        <v>7800</v>
      </c>
      <c r="J1853">
        <v>0</v>
      </c>
    </row>
    <row r="1854" spans="1:10" x14ac:dyDescent="0.3">
      <c r="A1854" s="15">
        <v>45505</v>
      </c>
      <c r="B1854" t="s">
        <v>245</v>
      </c>
      <c r="C1854" t="s">
        <v>81</v>
      </c>
      <c r="D1854" t="s">
        <v>99</v>
      </c>
      <c r="E1854" t="s">
        <v>97</v>
      </c>
      <c r="F1854">
        <v>2600</v>
      </c>
      <c r="G1854" t="s">
        <v>331</v>
      </c>
      <c r="H1854" s="15">
        <v>45292</v>
      </c>
      <c r="I1854">
        <v>2600</v>
      </c>
      <c r="J1854">
        <v>0</v>
      </c>
    </row>
    <row r="1855" spans="1:10" x14ac:dyDescent="0.3">
      <c r="A1855" s="15">
        <v>45505</v>
      </c>
      <c r="B1855" t="s">
        <v>246</v>
      </c>
      <c r="C1855" t="s">
        <v>91</v>
      </c>
      <c r="D1855" t="s">
        <v>86</v>
      </c>
      <c r="E1855" t="s">
        <v>103</v>
      </c>
      <c r="F1855">
        <v>10100</v>
      </c>
      <c r="G1855" t="s">
        <v>331</v>
      </c>
      <c r="H1855" s="15">
        <v>45292</v>
      </c>
      <c r="I1855">
        <v>10100</v>
      </c>
      <c r="J1855">
        <v>0</v>
      </c>
    </row>
    <row r="1856" spans="1:10" x14ac:dyDescent="0.3">
      <c r="A1856" s="15">
        <v>45505</v>
      </c>
      <c r="B1856" t="s">
        <v>247</v>
      </c>
      <c r="C1856" t="s">
        <v>91</v>
      </c>
      <c r="D1856" t="s">
        <v>86</v>
      </c>
      <c r="E1856" t="s">
        <v>89</v>
      </c>
      <c r="F1856">
        <v>9100</v>
      </c>
      <c r="G1856" t="s">
        <v>331</v>
      </c>
      <c r="H1856" s="15">
        <v>45292</v>
      </c>
      <c r="I1856">
        <v>9100</v>
      </c>
      <c r="J1856">
        <v>0</v>
      </c>
    </row>
    <row r="1857" spans="1:10" x14ac:dyDescent="0.3">
      <c r="A1857" s="15">
        <v>45505</v>
      </c>
      <c r="B1857" t="s">
        <v>248</v>
      </c>
      <c r="C1857" t="s">
        <v>81</v>
      </c>
      <c r="D1857" t="s">
        <v>82</v>
      </c>
      <c r="E1857" t="s">
        <v>103</v>
      </c>
      <c r="F1857">
        <v>2100</v>
      </c>
      <c r="G1857" t="s">
        <v>331</v>
      </c>
      <c r="H1857" s="15">
        <v>45292</v>
      </c>
      <c r="I1857">
        <v>2100</v>
      </c>
      <c r="J1857">
        <v>0</v>
      </c>
    </row>
    <row r="1858" spans="1:10" x14ac:dyDescent="0.3">
      <c r="A1858" s="15">
        <v>45505</v>
      </c>
      <c r="B1858" t="s">
        <v>250</v>
      </c>
      <c r="C1858" t="s">
        <v>81</v>
      </c>
      <c r="D1858" t="s">
        <v>86</v>
      </c>
      <c r="E1858" t="s">
        <v>87</v>
      </c>
      <c r="F1858">
        <v>3300</v>
      </c>
      <c r="G1858" t="s">
        <v>331</v>
      </c>
      <c r="H1858" s="15">
        <v>45292</v>
      </c>
      <c r="I1858">
        <v>3300</v>
      </c>
      <c r="J1858">
        <v>0</v>
      </c>
    </row>
    <row r="1859" spans="1:10" x14ac:dyDescent="0.3">
      <c r="A1859" s="15">
        <v>45505</v>
      </c>
      <c r="B1859" t="s">
        <v>251</v>
      </c>
      <c r="C1859" t="s">
        <v>91</v>
      </c>
      <c r="D1859" t="s">
        <v>99</v>
      </c>
      <c r="E1859" t="s">
        <v>103</v>
      </c>
      <c r="F1859">
        <v>7700</v>
      </c>
      <c r="G1859" t="s">
        <v>331</v>
      </c>
      <c r="H1859" s="15">
        <v>45292</v>
      </c>
      <c r="I1859">
        <v>7700</v>
      </c>
      <c r="J1859">
        <v>0</v>
      </c>
    </row>
    <row r="1860" spans="1:10" x14ac:dyDescent="0.3">
      <c r="A1860" s="15">
        <v>45505</v>
      </c>
      <c r="B1860" t="s">
        <v>252</v>
      </c>
      <c r="C1860" t="s">
        <v>81</v>
      </c>
      <c r="D1860" t="s">
        <v>99</v>
      </c>
      <c r="E1860" t="s">
        <v>92</v>
      </c>
      <c r="F1860">
        <v>3400</v>
      </c>
      <c r="G1860" t="s">
        <v>331</v>
      </c>
      <c r="H1860" s="15">
        <v>45292</v>
      </c>
      <c r="I1860">
        <v>3400</v>
      </c>
      <c r="J1860">
        <v>0</v>
      </c>
    </row>
    <row r="1861" spans="1:10" x14ac:dyDescent="0.3">
      <c r="A1861" s="15">
        <v>45505</v>
      </c>
      <c r="B1861" t="s">
        <v>253</v>
      </c>
      <c r="C1861" t="s">
        <v>81</v>
      </c>
      <c r="D1861" t="s">
        <v>96</v>
      </c>
      <c r="E1861" t="s">
        <v>89</v>
      </c>
      <c r="F1861">
        <v>2400</v>
      </c>
      <c r="G1861" t="s">
        <v>331</v>
      </c>
      <c r="H1861" s="15">
        <v>45292</v>
      </c>
      <c r="I1861">
        <v>2400</v>
      </c>
      <c r="J1861">
        <v>0</v>
      </c>
    </row>
    <row r="1862" spans="1:10" x14ac:dyDescent="0.3">
      <c r="A1862" s="15">
        <v>45505</v>
      </c>
      <c r="B1862" t="s">
        <v>254</v>
      </c>
      <c r="C1862" t="s">
        <v>110</v>
      </c>
      <c r="D1862" t="s">
        <v>86</v>
      </c>
      <c r="E1862" t="s">
        <v>103</v>
      </c>
      <c r="F1862">
        <v>56100</v>
      </c>
      <c r="G1862" t="s">
        <v>331</v>
      </c>
      <c r="H1862" s="15">
        <v>45292</v>
      </c>
      <c r="I1862">
        <v>56100</v>
      </c>
      <c r="J1862">
        <v>0</v>
      </c>
    </row>
    <row r="1863" spans="1:10" x14ac:dyDescent="0.3">
      <c r="A1863" s="15">
        <v>45505</v>
      </c>
      <c r="B1863" t="s">
        <v>255</v>
      </c>
      <c r="C1863" t="s">
        <v>91</v>
      </c>
      <c r="D1863" t="s">
        <v>86</v>
      </c>
      <c r="E1863" t="s">
        <v>89</v>
      </c>
      <c r="F1863">
        <v>9900</v>
      </c>
      <c r="G1863" t="s">
        <v>331</v>
      </c>
      <c r="H1863" s="15">
        <v>45292</v>
      </c>
      <c r="I1863">
        <v>9900</v>
      </c>
      <c r="J1863">
        <v>0</v>
      </c>
    </row>
    <row r="1864" spans="1:10" x14ac:dyDescent="0.3">
      <c r="A1864" s="15">
        <v>45505</v>
      </c>
      <c r="B1864" t="s">
        <v>256</v>
      </c>
      <c r="C1864" t="s">
        <v>81</v>
      </c>
      <c r="D1864" t="s">
        <v>82</v>
      </c>
      <c r="E1864" t="s">
        <v>103</v>
      </c>
      <c r="F1864">
        <v>2600</v>
      </c>
      <c r="G1864" t="s">
        <v>331</v>
      </c>
      <c r="H1864" s="15">
        <v>45292</v>
      </c>
      <c r="I1864">
        <v>2600</v>
      </c>
      <c r="J1864">
        <v>0</v>
      </c>
    </row>
    <row r="1865" spans="1:10" x14ac:dyDescent="0.3">
      <c r="A1865" s="15">
        <v>45505</v>
      </c>
      <c r="B1865" t="s">
        <v>257</v>
      </c>
      <c r="C1865" t="s">
        <v>91</v>
      </c>
      <c r="D1865" t="s">
        <v>96</v>
      </c>
      <c r="E1865" t="s">
        <v>87</v>
      </c>
      <c r="F1865">
        <v>8400</v>
      </c>
      <c r="G1865" t="s">
        <v>331</v>
      </c>
      <c r="H1865" s="15">
        <v>45292</v>
      </c>
      <c r="I1865">
        <v>8400</v>
      </c>
      <c r="J1865">
        <v>0</v>
      </c>
    </row>
    <row r="1866" spans="1:10" x14ac:dyDescent="0.3">
      <c r="A1866" s="15">
        <v>45505</v>
      </c>
      <c r="B1866" t="s">
        <v>258</v>
      </c>
      <c r="C1866" t="s">
        <v>125</v>
      </c>
      <c r="D1866" t="s">
        <v>86</v>
      </c>
      <c r="E1866" t="s">
        <v>83</v>
      </c>
      <c r="F1866">
        <v>96300</v>
      </c>
      <c r="G1866" t="s">
        <v>331</v>
      </c>
      <c r="H1866" s="15">
        <v>45292</v>
      </c>
      <c r="I1866">
        <v>96300</v>
      </c>
      <c r="J1866">
        <v>0</v>
      </c>
    </row>
    <row r="1867" spans="1:10" x14ac:dyDescent="0.3">
      <c r="A1867" s="15">
        <v>45505</v>
      </c>
      <c r="B1867" t="s">
        <v>259</v>
      </c>
      <c r="C1867" t="s">
        <v>81</v>
      </c>
      <c r="D1867" t="s">
        <v>86</v>
      </c>
      <c r="E1867" t="s">
        <v>89</v>
      </c>
      <c r="F1867">
        <v>1900</v>
      </c>
      <c r="G1867" t="s">
        <v>331</v>
      </c>
      <c r="H1867" s="15">
        <v>45292</v>
      </c>
      <c r="I1867">
        <v>1900</v>
      </c>
      <c r="J1867">
        <v>0</v>
      </c>
    </row>
    <row r="1868" spans="1:10" x14ac:dyDescent="0.3">
      <c r="A1868" s="15">
        <v>45505</v>
      </c>
      <c r="B1868" t="s">
        <v>260</v>
      </c>
      <c r="C1868" t="s">
        <v>81</v>
      </c>
      <c r="D1868" t="s">
        <v>86</v>
      </c>
      <c r="E1868" t="s">
        <v>97</v>
      </c>
      <c r="F1868">
        <v>2300</v>
      </c>
      <c r="G1868" t="s">
        <v>331</v>
      </c>
      <c r="H1868" s="15">
        <v>45292</v>
      </c>
      <c r="I1868">
        <v>2300</v>
      </c>
      <c r="J1868">
        <v>0</v>
      </c>
    </row>
    <row r="1869" spans="1:10" x14ac:dyDescent="0.3">
      <c r="A1869" s="15">
        <v>45505</v>
      </c>
      <c r="B1869" t="s">
        <v>262</v>
      </c>
      <c r="C1869" t="s">
        <v>91</v>
      </c>
      <c r="D1869" t="s">
        <v>82</v>
      </c>
      <c r="E1869" t="s">
        <v>92</v>
      </c>
      <c r="F1869">
        <v>9400</v>
      </c>
      <c r="G1869" t="s">
        <v>331</v>
      </c>
      <c r="H1869" s="15">
        <v>45292</v>
      </c>
      <c r="I1869">
        <v>9400</v>
      </c>
      <c r="J1869">
        <v>0</v>
      </c>
    </row>
    <row r="1870" spans="1:10" x14ac:dyDescent="0.3">
      <c r="A1870" s="15">
        <v>45505</v>
      </c>
      <c r="B1870" t="s">
        <v>263</v>
      </c>
      <c r="C1870" t="s">
        <v>81</v>
      </c>
      <c r="D1870" t="s">
        <v>99</v>
      </c>
      <c r="E1870" t="s">
        <v>89</v>
      </c>
      <c r="F1870">
        <v>3200</v>
      </c>
      <c r="G1870" t="s">
        <v>331</v>
      </c>
      <c r="H1870" s="15">
        <v>45292</v>
      </c>
      <c r="I1870">
        <v>3200</v>
      </c>
      <c r="J1870">
        <v>0</v>
      </c>
    </row>
    <row r="1871" spans="1:10" x14ac:dyDescent="0.3">
      <c r="A1871" s="15">
        <v>45505</v>
      </c>
      <c r="B1871" t="s">
        <v>264</v>
      </c>
      <c r="C1871" t="s">
        <v>110</v>
      </c>
      <c r="D1871" t="s">
        <v>86</v>
      </c>
      <c r="E1871" t="s">
        <v>97</v>
      </c>
      <c r="F1871">
        <v>31500</v>
      </c>
      <c r="G1871" t="s">
        <v>331</v>
      </c>
      <c r="H1871" s="15">
        <v>45292</v>
      </c>
      <c r="I1871">
        <v>31500</v>
      </c>
      <c r="J1871">
        <v>0</v>
      </c>
    </row>
    <row r="1872" spans="1:10" x14ac:dyDescent="0.3">
      <c r="A1872" s="15">
        <v>45505</v>
      </c>
      <c r="B1872" t="s">
        <v>265</v>
      </c>
      <c r="C1872" t="s">
        <v>125</v>
      </c>
      <c r="D1872" t="s">
        <v>86</v>
      </c>
      <c r="E1872" t="s">
        <v>101</v>
      </c>
      <c r="F1872">
        <v>92200</v>
      </c>
      <c r="G1872" t="s">
        <v>331</v>
      </c>
      <c r="H1872" s="15">
        <v>45292</v>
      </c>
      <c r="I1872">
        <v>92200</v>
      </c>
      <c r="J1872">
        <v>0</v>
      </c>
    </row>
    <row r="1873" spans="1:10" x14ac:dyDescent="0.3">
      <c r="A1873" s="15">
        <v>45505</v>
      </c>
      <c r="B1873" t="s">
        <v>266</v>
      </c>
      <c r="C1873" t="s">
        <v>81</v>
      </c>
      <c r="D1873" t="s">
        <v>82</v>
      </c>
      <c r="E1873" t="s">
        <v>83</v>
      </c>
      <c r="F1873">
        <v>2200</v>
      </c>
      <c r="G1873" t="s">
        <v>331</v>
      </c>
      <c r="H1873" s="15">
        <v>45292</v>
      </c>
      <c r="I1873">
        <v>2200</v>
      </c>
      <c r="J1873">
        <v>0</v>
      </c>
    </row>
    <row r="1874" spans="1:10" x14ac:dyDescent="0.3">
      <c r="A1874" s="15">
        <v>45505</v>
      </c>
      <c r="B1874" t="s">
        <v>267</v>
      </c>
      <c r="C1874" t="s">
        <v>91</v>
      </c>
      <c r="D1874" t="s">
        <v>82</v>
      </c>
      <c r="E1874" t="s">
        <v>97</v>
      </c>
      <c r="F1874">
        <v>6900</v>
      </c>
      <c r="G1874" t="s">
        <v>331</v>
      </c>
      <c r="H1874" s="15">
        <v>45292</v>
      </c>
      <c r="I1874">
        <v>6900</v>
      </c>
      <c r="J1874">
        <v>0</v>
      </c>
    </row>
    <row r="1875" spans="1:10" x14ac:dyDescent="0.3">
      <c r="A1875" s="15">
        <v>45505</v>
      </c>
      <c r="B1875" t="s">
        <v>270</v>
      </c>
      <c r="C1875" t="s">
        <v>110</v>
      </c>
      <c r="D1875" t="s">
        <v>86</v>
      </c>
      <c r="E1875" t="s">
        <v>87</v>
      </c>
      <c r="F1875">
        <v>0</v>
      </c>
      <c r="G1875" t="s">
        <v>333</v>
      </c>
      <c r="H1875" s="15">
        <v>45292</v>
      </c>
      <c r="I1875">
        <v>44200</v>
      </c>
      <c r="J1875">
        <v>-44200</v>
      </c>
    </row>
    <row r="1876" spans="1:10" x14ac:dyDescent="0.3">
      <c r="A1876" s="15">
        <v>45505</v>
      </c>
      <c r="B1876" t="s">
        <v>271</v>
      </c>
      <c r="C1876" t="s">
        <v>81</v>
      </c>
      <c r="D1876" t="s">
        <v>82</v>
      </c>
      <c r="E1876" t="s">
        <v>97</v>
      </c>
      <c r="F1876">
        <v>2900</v>
      </c>
      <c r="G1876" t="s">
        <v>331</v>
      </c>
      <c r="H1876" s="15">
        <v>45292</v>
      </c>
      <c r="I1876">
        <v>2900</v>
      </c>
      <c r="J1876">
        <v>0</v>
      </c>
    </row>
    <row r="1877" spans="1:10" x14ac:dyDescent="0.3">
      <c r="A1877" s="15">
        <v>45505</v>
      </c>
      <c r="B1877" t="s">
        <v>272</v>
      </c>
      <c r="C1877" t="s">
        <v>125</v>
      </c>
      <c r="D1877" t="s">
        <v>96</v>
      </c>
      <c r="E1877" t="s">
        <v>103</v>
      </c>
      <c r="F1877">
        <v>101100</v>
      </c>
      <c r="G1877" t="s">
        <v>331</v>
      </c>
      <c r="H1877" s="15">
        <v>45292</v>
      </c>
      <c r="I1877">
        <v>101100</v>
      </c>
      <c r="J1877">
        <v>0</v>
      </c>
    </row>
    <row r="1878" spans="1:10" x14ac:dyDescent="0.3">
      <c r="A1878" s="15">
        <v>45505</v>
      </c>
      <c r="B1878" t="s">
        <v>273</v>
      </c>
      <c r="C1878" t="s">
        <v>81</v>
      </c>
      <c r="D1878" t="s">
        <v>82</v>
      </c>
      <c r="E1878" t="s">
        <v>101</v>
      </c>
      <c r="F1878">
        <v>3300</v>
      </c>
      <c r="G1878" t="s">
        <v>331</v>
      </c>
      <c r="H1878" s="15">
        <v>45292</v>
      </c>
      <c r="I1878">
        <v>3300</v>
      </c>
      <c r="J1878">
        <v>0</v>
      </c>
    </row>
    <row r="1879" spans="1:10" x14ac:dyDescent="0.3">
      <c r="A1879" s="15">
        <v>45505</v>
      </c>
      <c r="B1879" t="s">
        <v>274</v>
      </c>
      <c r="C1879" t="s">
        <v>91</v>
      </c>
      <c r="D1879" t="s">
        <v>99</v>
      </c>
      <c r="E1879" t="s">
        <v>87</v>
      </c>
      <c r="F1879">
        <v>11400</v>
      </c>
      <c r="G1879" t="s">
        <v>331</v>
      </c>
      <c r="H1879" s="15">
        <v>45292</v>
      </c>
      <c r="I1879">
        <v>11400</v>
      </c>
      <c r="J1879">
        <v>0</v>
      </c>
    </row>
    <row r="1880" spans="1:10" x14ac:dyDescent="0.3">
      <c r="A1880" s="15">
        <v>45505</v>
      </c>
      <c r="B1880" t="s">
        <v>276</v>
      </c>
      <c r="C1880" t="s">
        <v>81</v>
      </c>
      <c r="D1880" t="s">
        <v>82</v>
      </c>
      <c r="E1880" t="s">
        <v>103</v>
      </c>
      <c r="F1880">
        <v>3300</v>
      </c>
      <c r="G1880" t="s">
        <v>331</v>
      </c>
      <c r="H1880" s="15">
        <v>45292</v>
      </c>
      <c r="I1880">
        <v>3300</v>
      </c>
      <c r="J1880">
        <v>0</v>
      </c>
    </row>
    <row r="1881" spans="1:10" x14ac:dyDescent="0.3">
      <c r="A1881" s="15">
        <v>45505</v>
      </c>
      <c r="B1881" t="s">
        <v>277</v>
      </c>
      <c r="C1881" t="s">
        <v>91</v>
      </c>
      <c r="D1881" t="s">
        <v>86</v>
      </c>
      <c r="E1881" t="s">
        <v>97</v>
      </c>
      <c r="F1881">
        <v>8000</v>
      </c>
      <c r="G1881" t="s">
        <v>331</v>
      </c>
      <c r="H1881" s="15">
        <v>45292</v>
      </c>
      <c r="I1881">
        <v>8000</v>
      </c>
      <c r="J1881">
        <v>0</v>
      </c>
    </row>
    <row r="1882" spans="1:10" x14ac:dyDescent="0.3">
      <c r="A1882" s="15">
        <v>45505</v>
      </c>
      <c r="B1882" t="s">
        <v>278</v>
      </c>
      <c r="C1882" t="s">
        <v>81</v>
      </c>
      <c r="D1882" t="s">
        <v>82</v>
      </c>
      <c r="E1882" t="s">
        <v>92</v>
      </c>
      <c r="F1882">
        <v>1900</v>
      </c>
      <c r="G1882" t="s">
        <v>331</v>
      </c>
      <c r="H1882" s="15">
        <v>45292</v>
      </c>
      <c r="I1882">
        <v>1900</v>
      </c>
      <c r="J1882">
        <v>0</v>
      </c>
    </row>
    <row r="1883" spans="1:10" x14ac:dyDescent="0.3">
      <c r="A1883" s="15">
        <v>45505</v>
      </c>
      <c r="B1883" t="s">
        <v>279</v>
      </c>
      <c r="C1883" t="s">
        <v>91</v>
      </c>
      <c r="D1883" t="s">
        <v>99</v>
      </c>
      <c r="E1883" t="s">
        <v>89</v>
      </c>
      <c r="F1883">
        <v>9800</v>
      </c>
      <c r="G1883" t="s">
        <v>331</v>
      </c>
      <c r="H1883" s="15">
        <v>45292</v>
      </c>
      <c r="I1883">
        <v>9800</v>
      </c>
      <c r="J1883">
        <v>0</v>
      </c>
    </row>
    <row r="1884" spans="1:10" x14ac:dyDescent="0.3">
      <c r="A1884" s="15">
        <v>45505</v>
      </c>
      <c r="B1884" t="s">
        <v>280</v>
      </c>
      <c r="C1884" t="s">
        <v>91</v>
      </c>
      <c r="D1884" t="s">
        <v>96</v>
      </c>
      <c r="E1884" t="s">
        <v>83</v>
      </c>
      <c r="F1884">
        <v>6300</v>
      </c>
      <c r="G1884" t="s">
        <v>331</v>
      </c>
      <c r="H1884" s="15">
        <v>45292</v>
      </c>
      <c r="I1884">
        <v>6300</v>
      </c>
      <c r="J1884">
        <v>0</v>
      </c>
    </row>
    <row r="1885" spans="1:10" x14ac:dyDescent="0.3">
      <c r="A1885" s="15">
        <v>45505</v>
      </c>
      <c r="B1885" t="s">
        <v>281</v>
      </c>
      <c r="C1885" t="s">
        <v>110</v>
      </c>
      <c r="D1885" t="s">
        <v>86</v>
      </c>
      <c r="E1885" t="s">
        <v>92</v>
      </c>
      <c r="F1885">
        <v>46800</v>
      </c>
      <c r="G1885" t="s">
        <v>331</v>
      </c>
      <c r="H1885" s="15">
        <v>45292</v>
      </c>
      <c r="I1885">
        <v>46800</v>
      </c>
      <c r="J1885">
        <v>0</v>
      </c>
    </row>
    <row r="1886" spans="1:10" x14ac:dyDescent="0.3">
      <c r="A1886" s="15">
        <v>45505</v>
      </c>
      <c r="B1886" t="s">
        <v>282</v>
      </c>
      <c r="C1886" t="s">
        <v>91</v>
      </c>
      <c r="D1886" t="s">
        <v>86</v>
      </c>
      <c r="E1886" t="s">
        <v>92</v>
      </c>
      <c r="F1886">
        <v>7000</v>
      </c>
      <c r="G1886" t="s">
        <v>331</v>
      </c>
      <c r="H1886" s="15">
        <v>45292</v>
      </c>
      <c r="I1886">
        <v>7000</v>
      </c>
      <c r="J1886">
        <v>0</v>
      </c>
    </row>
    <row r="1887" spans="1:10" x14ac:dyDescent="0.3">
      <c r="A1887" s="15">
        <v>45505</v>
      </c>
      <c r="B1887" t="s">
        <v>283</v>
      </c>
      <c r="C1887" t="s">
        <v>110</v>
      </c>
      <c r="D1887" t="s">
        <v>82</v>
      </c>
      <c r="E1887" t="s">
        <v>87</v>
      </c>
      <c r="F1887">
        <v>34200</v>
      </c>
      <c r="G1887" t="s">
        <v>331</v>
      </c>
      <c r="H1887" s="15">
        <v>45292</v>
      </c>
      <c r="I1887">
        <v>34200</v>
      </c>
      <c r="J1887">
        <v>0</v>
      </c>
    </row>
    <row r="1888" spans="1:10" x14ac:dyDescent="0.3">
      <c r="A1888" s="15">
        <v>45505</v>
      </c>
      <c r="B1888" t="s">
        <v>284</v>
      </c>
      <c r="C1888" t="s">
        <v>81</v>
      </c>
      <c r="D1888" t="s">
        <v>82</v>
      </c>
      <c r="E1888" t="s">
        <v>101</v>
      </c>
      <c r="F1888">
        <v>2400</v>
      </c>
      <c r="G1888" t="s">
        <v>331</v>
      </c>
      <c r="H1888" s="15">
        <v>45292</v>
      </c>
      <c r="I1888">
        <v>2400</v>
      </c>
      <c r="J1888">
        <v>0</v>
      </c>
    </row>
    <row r="1889" spans="1:10" x14ac:dyDescent="0.3">
      <c r="A1889" s="15">
        <v>45505</v>
      </c>
      <c r="B1889" t="s">
        <v>285</v>
      </c>
      <c r="C1889" t="s">
        <v>91</v>
      </c>
      <c r="D1889" t="s">
        <v>82</v>
      </c>
      <c r="E1889" t="s">
        <v>83</v>
      </c>
      <c r="F1889">
        <v>10900</v>
      </c>
      <c r="G1889" t="s">
        <v>331</v>
      </c>
      <c r="H1889" s="15">
        <v>45292</v>
      </c>
      <c r="I1889">
        <v>10900</v>
      </c>
      <c r="J1889">
        <v>0</v>
      </c>
    </row>
    <row r="1890" spans="1:10" x14ac:dyDescent="0.3">
      <c r="A1890" s="15">
        <v>45505</v>
      </c>
      <c r="B1890" t="s">
        <v>286</v>
      </c>
      <c r="C1890" t="s">
        <v>125</v>
      </c>
      <c r="D1890" t="s">
        <v>86</v>
      </c>
      <c r="E1890" t="s">
        <v>92</v>
      </c>
      <c r="F1890">
        <v>92400</v>
      </c>
      <c r="G1890" t="s">
        <v>331</v>
      </c>
      <c r="H1890" s="15">
        <v>45292</v>
      </c>
      <c r="I1890">
        <v>92400</v>
      </c>
      <c r="J1890">
        <v>0</v>
      </c>
    </row>
    <row r="1891" spans="1:10" x14ac:dyDescent="0.3">
      <c r="A1891" s="15">
        <v>45505</v>
      </c>
      <c r="B1891" t="s">
        <v>287</v>
      </c>
      <c r="C1891" t="s">
        <v>81</v>
      </c>
      <c r="D1891" t="s">
        <v>99</v>
      </c>
      <c r="E1891" t="s">
        <v>87</v>
      </c>
      <c r="F1891">
        <v>2300</v>
      </c>
      <c r="G1891" t="s">
        <v>331</v>
      </c>
      <c r="H1891" s="15">
        <v>45292</v>
      </c>
      <c r="I1891">
        <v>2300</v>
      </c>
      <c r="J1891">
        <v>0</v>
      </c>
    </row>
    <row r="1892" spans="1:10" x14ac:dyDescent="0.3">
      <c r="A1892" s="15">
        <v>45505</v>
      </c>
      <c r="B1892" t="s">
        <v>288</v>
      </c>
      <c r="C1892" t="s">
        <v>81</v>
      </c>
      <c r="D1892" t="s">
        <v>99</v>
      </c>
      <c r="E1892" t="s">
        <v>97</v>
      </c>
      <c r="F1892">
        <v>2600</v>
      </c>
      <c r="G1892" t="s">
        <v>331</v>
      </c>
      <c r="H1892" s="15">
        <v>45292</v>
      </c>
      <c r="I1892">
        <v>2600</v>
      </c>
      <c r="J1892">
        <v>0</v>
      </c>
    </row>
    <row r="1893" spans="1:10" x14ac:dyDescent="0.3">
      <c r="A1893" s="15">
        <v>45505</v>
      </c>
      <c r="B1893" t="s">
        <v>289</v>
      </c>
      <c r="C1893" t="s">
        <v>91</v>
      </c>
      <c r="D1893" t="s">
        <v>86</v>
      </c>
      <c r="E1893" t="s">
        <v>101</v>
      </c>
      <c r="F1893">
        <v>9400</v>
      </c>
      <c r="G1893" t="s">
        <v>331</v>
      </c>
      <c r="H1893" s="15">
        <v>45292</v>
      </c>
      <c r="I1893">
        <v>9400</v>
      </c>
      <c r="J1893">
        <v>0</v>
      </c>
    </row>
    <row r="1894" spans="1:10" x14ac:dyDescent="0.3">
      <c r="A1894" s="15">
        <v>45505</v>
      </c>
      <c r="B1894" t="s">
        <v>290</v>
      </c>
      <c r="C1894" t="s">
        <v>81</v>
      </c>
      <c r="D1894" t="s">
        <v>82</v>
      </c>
      <c r="E1894" t="s">
        <v>103</v>
      </c>
      <c r="F1894">
        <v>2800</v>
      </c>
      <c r="G1894" t="s">
        <v>331</v>
      </c>
      <c r="H1894" s="15">
        <v>45292</v>
      </c>
      <c r="I1894">
        <v>2800</v>
      </c>
      <c r="J1894">
        <v>0</v>
      </c>
    </row>
    <row r="1895" spans="1:10" x14ac:dyDescent="0.3">
      <c r="A1895" s="15">
        <v>45505</v>
      </c>
      <c r="B1895" t="s">
        <v>291</v>
      </c>
      <c r="C1895" t="s">
        <v>81</v>
      </c>
      <c r="D1895" t="s">
        <v>82</v>
      </c>
      <c r="E1895" t="s">
        <v>83</v>
      </c>
      <c r="F1895">
        <v>3100</v>
      </c>
      <c r="G1895" t="s">
        <v>331</v>
      </c>
      <c r="H1895" s="15">
        <v>45292</v>
      </c>
      <c r="I1895">
        <v>3100</v>
      </c>
      <c r="J1895">
        <v>0</v>
      </c>
    </row>
    <row r="1896" spans="1:10" x14ac:dyDescent="0.3">
      <c r="A1896" s="15">
        <v>45505</v>
      </c>
      <c r="B1896" t="s">
        <v>292</v>
      </c>
      <c r="C1896" t="s">
        <v>91</v>
      </c>
      <c r="D1896" t="s">
        <v>86</v>
      </c>
      <c r="E1896" t="s">
        <v>89</v>
      </c>
      <c r="F1896">
        <v>8600</v>
      </c>
      <c r="G1896" t="s">
        <v>331</v>
      </c>
      <c r="H1896" s="15">
        <v>45292</v>
      </c>
      <c r="I1896">
        <v>8600</v>
      </c>
      <c r="J1896">
        <v>0</v>
      </c>
    </row>
    <row r="1897" spans="1:10" x14ac:dyDescent="0.3">
      <c r="A1897" s="15">
        <v>45505</v>
      </c>
      <c r="B1897" t="s">
        <v>293</v>
      </c>
      <c r="C1897" t="s">
        <v>81</v>
      </c>
      <c r="D1897" t="s">
        <v>86</v>
      </c>
      <c r="E1897" t="s">
        <v>103</v>
      </c>
      <c r="F1897">
        <v>2200</v>
      </c>
      <c r="G1897" t="s">
        <v>331</v>
      </c>
      <c r="H1897" s="15">
        <v>45292</v>
      </c>
      <c r="I1897">
        <v>2200</v>
      </c>
      <c r="J1897">
        <v>0</v>
      </c>
    </row>
    <row r="1898" spans="1:10" x14ac:dyDescent="0.3">
      <c r="A1898" s="15">
        <v>45505</v>
      </c>
      <c r="B1898" t="s">
        <v>294</v>
      </c>
      <c r="C1898" t="s">
        <v>91</v>
      </c>
      <c r="D1898" t="s">
        <v>82</v>
      </c>
      <c r="E1898" t="s">
        <v>97</v>
      </c>
      <c r="F1898">
        <v>10400</v>
      </c>
      <c r="G1898" t="s">
        <v>331</v>
      </c>
      <c r="H1898" s="15">
        <v>45292</v>
      </c>
      <c r="I1898">
        <v>10400</v>
      </c>
      <c r="J1898">
        <v>0</v>
      </c>
    </row>
    <row r="1899" spans="1:10" x14ac:dyDescent="0.3">
      <c r="A1899" s="15">
        <v>45505</v>
      </c>
      <c r="B1899" t="s">
        <v>295</v>
      </c>
      <c r="C1899" t="s">
        <v>81</v>
      </c>
      <c r="D1899" t="s">
        <v>82</v>
      </c>
      <c r="E1899" t="s">
        <v>103</v>
      </c>
      <c r="F1899">
        <v>2300</v>
      </c>
      <c r="G1899" t="s">
        <v>331</v>
      </c>
      <c r="H1899" s="15">
        <v>45292</v>
      </c>
      <c r="I1899">
        <v>2300</v>
      </c>
      <c r="J1899">
        <v>0</v>
      </c>
    </row>
    <row r="1900" spans="1:10" x14ac:dyDescent="0.3">
      <c r="A1900" s="15">
        <v>45505</v>
      </c>
      <c r="B1900" t="s">
        <v>297</v>
      </c>
      <c r="C1900" t="s">
        <v>91</v>
      </c>
      <c r="D1900" t="s">
        <v>86</v>
      </c>
      <c r="E1900" t="s">
        <v>103</v>
      </c>
      <c r="F1900">
        <v>9100</v>
      </c>
      <c r="G1900" t="s">
        <v>331</v>
      </c>
      <c r="H1900" s="15">
        <v>45292</v>
      </c>
      <c r="I1900">
        <v>9100</v>
      </c>
      <c r="J1900">
        <v>0</v>
      </c>
    </row>
    <row r="1901" spans="1:10" x14ac:dyDescent="0.3">
      <c r="A1901" s="15">
        <v>45505</v>
      </c>
      <c r="B1901" t="s">
        <v>298</v>
      </c>
      <c r="C1901" t="s">
        <v>81</v>
      </c>
      <c r="D1901" t="s">
        <v>86</v>
      </c>
      <c r="E1901" t="s">
        <v>89</v>
      </c>
      <c r="F1901">
        <v>2700</v>
      </c>
      <c r="G1901" t="s">
        <v>331</v>
      </c>
      <c r="H1901" s="15">
        <v>45292</v>
      </c>
      <c r="I1901">
        <v>2700</v>
      </c>
      <c r="J1901">
        <v>0</v>
      </c>
    </row>
    <row r="1902" spans="1:10" x14ac:dyDescent="0.3">
      <c r="A1902" s="15">
        <v>45505</v>
      </c>
      <c r="B1902" t="s">
        <v>299</v>
      </c>
      <c r="C1902" t="s">
        <v>81</v>
      </c>
      <c r="D1902" t="s">
        <v>99</v>
      </c>
      <c r="E1902" t="s">
        <v>103</v>
      </c>
      <c r="F1902">
        <v>2900</v>
      </c>
      <c r="G1902" t="s">
        <v>331</v>
      </c>
      <c r="H1902" s="15">
        <v>45292</v>
      </c>
      <c r="I1902">
        <v>2900</v>
      </c>
      <c r="J1902">
        <v>0</v>
      </c>
    </row>
    <row r="1903" spans="1:10" x14ac:dyDescent="0.3">
      <c r="A1903" s="15">
        <v>45505</v>
      </c>
      <c r="B1903" t="s">
        <v>300</v>
      </c>
      <c r="C1903" t="s">
        <v>91</v>
      </c>
      <c r="D1903" t="s">
        <v>82</v>
      </c>
      <c r="E1903" t="s">
        <v>89</v>
      </c>
      <c r="F1903">
        <v>10900</v>
      </c>
      <c r="G1903" t="s">
        <v>331</v>
      </c>
      <c r="H1903" s="15">
        <v>45292</v>
      </c>
      <c r="I1903">
        <v>10900</v>
      </c>
      <c r="J1903">
        <v>0</v>
      </c>
    </row>
    <row r="1904" spans="1:10" x14ac:dyDescent="0.3">
      <c r="A1904" s="15">
        <v>45505</v>
      </c>
      <c r="B1904" t="s">
        <v>303</v>
      </c>
      <c r="C1904" t="s">
        <v>81</v>
      </c>
      <c r="D1904" t="s">
        <v>82</v>
      </c>
      <c r="E1904" t="s">
        <v>83</v>
      </c>
      <c r="F1904">
        <v>1500</v>
      </c>
      <c r="G1904" t="s">
        <v>334</v>
      </c>
      <c r="H1904" s="15">
        <v>45292</v>
      </c>
      <c r="I1904">
        <v>1700</v>
      </c>
      <c r="J1904">
        <v>-200</v>
      </c>
    </row>
    <row r="1905" spans="1:10" x14ac:dyDescent="0.3">
      <c r="A1905" s="15">
        <v>45505</v>
      </c>
      <c r="B1905" t="s">
        <v>304</v>
      </c>
      <c r="C1905" t="s">
        <v>81</v>
      </c>
      <c r="D1905" t="s">
        <v>86</v>
      </c>
      <c r="E1905" t="s">
        <v>92</v>
      </c>
      <c r="F1905">
        <v>2100</v>
      </c>
      <c r="G1905" t="s">
        <v>331</v>
      </c>
      <c r="H1905" s="15">
        <v>45292</v>
      </c>
      <c r="I1905">
        <v>2100</v>
      </c>
      <c r="J1905">
        <v>0</v>
      </c>
    </row>
    <row r="1906" spans="1:10" x14ac:dyDescent="0.3">
      <c r="A1906" s="15">
        <v>45505</v>
      </c>
      <c r="B1906" t="s">
        <v>305</v>
      </c>
      <c r="C1906" t="s">
        <v>91</v>
      </c>
      <c r="D1906" t="s">
        <v>82</v>
      </c>
      <c r="E1906" t="s">
        <v>103</v>
      </c>
      <c r="F1906">
        <v>0</v>
      </c>
      <c r="G1906" t="s">
        <v>333</v>
      </c>
      <c r="H1906" s="15">
        <v>45292</v>
      </c>
      <c r="I1906">
        <v>7700</v>
      </c>
      <c r="J1906">
        <v>-7700</v>
      </c>
    </row>
    <row r="1907" spans="1:10" x14ac:dyDescent="0.3">
      <c r="A1907" s="15">
        <v>45505</v>
      </c>
      <c r="B1907" t="s">
        <v>306</v>
      </c>
      <c r="C1907" t="s">
        <v>91</v>
      </c>
      <c r="D1907" t="s">
        <v>82</v>
      </c>
      <c r="E1907" t="s">
        <v>87</v>
      </c>
      <c r="F1907">
        <v>11700</v>
      </c>
      <c r="G1907" t="s">
        <v>331</v>
      </c>
      <c r="H1907" s="15">
        <v>45292</v>
      </c>
      <c r="I1907">
        <v>11700</v>
      </c>
      <c r="J1907">
        <v>0</v>
      </c>
    </row>
    <row r="1908" spans="1:10" x14ac:dyDescent="0.3">
      <c r="A1908" s="15">
        <v>45505</v>
      </c>
      <c r="B1908" t="s">
        <v>307</v>
      </c>
      <c r="C1908" t="s">
        <v>81</v>
      </c>
      <c r="D1908" t="s">
        <v>86</v>
      </c>
      <c r="E1908" t="s">
        <v>97</v>
      </c>
      <c r="F1908">
        <v>2300</v>
      </c>
      <c r="G1908" t="s">
        <v>331</v>
      </c>
      <c r="H1908" s="15">
        <v>45292</v>
      </c>
      <c r="I1908">
        <v>2300</v>
      </c>
      <c r="J1908">
        <v>0</v>
      </c>
    </row>
    <row r="1909" spans="1:10" x14ac:dyDescent="0.3">
      <c r="A1909" s="15">
        <v>45505</v>
      </c>
      <c r="B1909" t="s">
        <v>308</v>
      </c>
      <c r="C1909" t="s">
        <v>91</v>
      </c>
      <c r="D1909" t="s">
        <v>86</v>
      </c>
      <c r="E1909" t="s">
        <v>92</v>
      </c>
      <c r="F1909">
        <v>8000</v>
      </c>
      <c r="G1909" t="s">
        <v>331</v>
      </c>
      <c r="H1909" s="15">
        <v>45292</v>
      </c>
      <c r="I1909">
        <v>8000</v>
      </c>
      <c r="J1909">
        <v>0</v>
      </c>
    </row>
    <row r="1910" spans="1:10" x14ac:dyDescent="0.3">
      <c r="A1910" s="15">
        <v>45505</v>
      </c>
      <c r="B1910" t="s">
        <v>309</v>
      </c>
      <c r="C1910" t="s">
        <v>91</v>
      </c>
      <c r="D1910" t="s">
        <v>82</v>
      </c>
      <c r="E1910" t="s">
        <v>87</v>
      </c>
      <c r="F1910">
        <v>9700</v>
      </c>
      <c r="G1910" t="s">
        <v>331</v>
      </c>
      <c r="H1910" s="15">
        <v>45292</v>
      </c>
      <c r="I1910">
        <v>9700</v>
      </c>
      <c r="J1910">
        <v>0</v>
      </c>
    </row>
    <row r="1911" spans="1:10" x14ac:dyDescent="0.3">
      <c r="A1911" s="15">
        <v>45505</v>
      </c>
      <c r="B1911" t="s">
        <v>310</v>
      </c>
      <c r="C1911" t="s">
        <v>91</v>
      </c>
      <c r="D1911" t="s">
        <v>99</v>
      </c>
      <c r="E1911" t="s">
        <v>87</v>
      </c>
      <c r="F1911">
        <v>10000</v>
      </c>
      <c r="G1911" t="s">
        <v>331</v>
      </c>
      <c r="H1911" s="15">
        <v>45292</v>
      </c>
      <c r="I1911">
        <v>10000</v>
      </c>
      <c r="J1911">
        <v>0</v>
      </c>
    </row>
    <row r="1912" spans="1:10" x14ac:dyDescent="0.3">
      <c r="A1912" s="15">
        <v>45505</v>
      </c>
      <c r="B1912" t="s">
        <v>313</v>
      </c>
      <c r="C1912" t="s">
        <v>91</v>
      </c>
      <c r="D1912" t="s">
        <v>82</v>
      </c>
      <c r="E1912" t="s">
        <v>101</v>
      </c>
      <c r="F1912">
        <v>12700</v>
      </c>
      <c r="G1912" t="s">
        <v>331</v>
      </c>
      <c r="H1912" s="15">
        <v>45292</v>
      </c>
      <c r="I1912">
        <v>12700</v>
      </c>
      <c r="J1912">
        <v>0</v>
      </c>
    </row>
    <row r="1913" spans="1:10" x14ac:dyDescent="0.3">
      <c r="A1913" s="15">
        <v>45505</v>
      </c>
      <c r="B1913" t="s">
        <v>314</v>
      </c>
      <c r="C1913" t="s">
        <v>91</v>
      </c>
      <c r="D1913" t="s">
        <v>82</v>
      </c>
      <c r="E1913" t="s">
        <v>103</v>
      </c>
      <c r="F1913">
        <v>10100</v>
      </c>
      <c r="G1913" t="s">
        <v>331</v>
      </c>
      <c r="H1913" s="15">
        <v>45292</v>
      </c>
      <c r="I1913">
        <v>10100</v>
      </c>
      <c r="J1913">
        <v>0</v>
      </c>
    </row>
    <row r="1914" spans="1:10" x14ac:dyDescent="0.3">
      <c r="A1914" s="15">
        <v>45505</v>
      </c>
      <c r="B1914" t="s">
        <v>315</v>
      </c>
      <c r="C1914" t="s">
        <v>125</v>
      </c>
      <c r="D1914" t="s">
        <v>86</v>
      </c>
      <c r="E1914" t="s">
        <v>92</v>
      </c>
      <c r="F1914">
        <v>76200</v>
      </c>
      <c r="G1914" t="s">
        <v>331</v>
      </c>
      <c r="H1914" s="15">
        <v>45292</v>
      </c>
      <c r="I1914">
        <v>76200</v>
      </c>
      <c r="J1914">
        <v>0</v>
      </c>
    </row>
    <row r="1915" spans="1:10" x14ac:dyDescent="0.3">
      <c r="A1915" s="15">
        <v>45505</v>
      </c>
      <c r="B1915" t="s">
        <v>316</v>
      </c>
      <c r="C1915" t="s">
        <v>81</v>
      </c>
      <c r="D1915" t="s">
        <v>96</v>
      </c>
      <c r="E1915" t="s">
        <v>92</v>
      </c>
      <c r="F1915">
        <v>1800</v>
      </c>
      <c r="G1915" t="s">
        <v>331</v>
      </c>
      <c r="H1915" s="15">
        <v>45292</v>
      </c>
      <c r="I1915">
        <v>1800</v>
      </c>
      <c r="J1915">
        <v>0</v>
      </c>
    </row>
    <row r="1916" spans="1:10" x14ac:dyDescent="0.3">
      <c r="A1916" s="15">
        <v>45505</v>
      </c>
      <c r="B1916" t="s">
        <v>317</v>
      </c>
      <c r="C1916" t="s">
        <v>125</v>
      </c>
      <c r="D1916" t="s">
        <v>82</v>
      </c>
      <c r="E1916" t="s">
        <v>92</v>
      </c>
      <c r="F1916">
        <v>73500</v>
      </c>
      <c r="G1916" t="s">
        <v>331</v>
      </c>
      <c r="H1916" s="15">
        <v>45292</v>
      </c>
      <c r="I1916">
        <v>73500</v>
      </c>
      <c r="J1916">
        <v>0</v>
      </c>
    </row>
    <row r="1917" spans="1:10" x14ac:dyDescent="0.3">
      <c r="A1917" s="15">
        <v>45505</v>
      </c>
      <c r="B1917" t="s">
        <v>318</v>
      </c>
      <c r="C1917" t="s">
        <v>110</v>
      </c>
      <c r="D1917" t="s">
        <v>82</v>
      </c>
      <c r="E1917" t="s">
        <v>97</v>
      </c>
      <c r="F1917">
        <v>29600</v>
      </c>
      <c r="G1917" t="s">
        <v>331</v>
      </c>
      <c r="H1917" s="15">
        <v>45292</v>
      </c>
      <c r="I1917">
        <v>29600</v>
      </c>
      <c r="J1917">
        <v>0</v>
      </c>
    </row>
    <row r="1918" spans="1:10" x14ac:dyDescent="0.3">
      <c r="A1918" s="15">
        <v>45505</v>
      </c>
      <c r="B1918" t="s">
        <v>320</v>
      </c>
      <c r="C1918" t="s">
        <v>91</v>
      </c>
      <c r="D1918" t="s">
        <v>86</v>
      </c>
      <c r="E1918" t="s">
        <v>97</v>
      </c>
      <c r="F1918">
        <v>7700</v>
      </c>
      <c r="G1918" t="s">
        <v>331</v>
      </c>
      <c r="H1918" s="15">
        <v>45292</v>
      </c>
      <c r="I1918">
        <v>7700</v>
      </c>
      <c r="J1918">
        <v>0</v>
      </c>
    </row>
    <row r="1919" spans="1:10" x14ac:dyDescent="0.3">
      <c r="A1919" s="15">
        <v>45505</v>
      </c>
      <c r="B1919" t="s">
        <v>321</v>
      </c>
      <c r="C1919" t="s">
        <v>81</v>
      </c>
      <c r="D1919" t="s">
        <v>99</v>
      </c>
      <c r="E1919" t="s">
        <v>101</v>
      </c>
      <c r="F1919">
        <v>3300</v>
      </c>
      <c r="G1919" t="s">
        <v>331</v>
      </c>
      <c r="H1919" s="15">
        <v>45292</v>
      </c>
      <c r="I1919">
        <v>3300</v>
      </c>
      <c r="J1919">
        <v>0</v>
      </c>
    </row>
    <row r="1920" spans="1:10" x14ac:dyDescent="0.3">
      <c r="A1920" s="15">
        <v>45505</v>
      </c>
      <c r="B1920" t="s">
        <v>322</v>
      </c>
      <c r="C1920" t="s">
        <v>81</v>
      </c>
      <c r="D1920" t="s">
        <v>82</v>
      </c>
      <c r="E1920" t="s">
        <v>103</v>
      </c>
      <c r="F1920">
        <v>2000</v>
      </c>
      <c r="G1920" t="s">
        <v>331</v>
      </c>
      <c r="H1920" s="15">
        <v>45292</v>
      </c>
      <c r="I1920">
        <v>2000</v>
      </c>
      <c r="J1920">
        <v>0</v>
      </c>
    </row>
    <row r="1921" spans="1:10" x14ac:dyDescent="0.3">
      <c r="A1921" s="15">
        <v>45505</v>
      </c>
      <c r="B1921" t="s">
        <v>323</v>
      </c>
      <c r="C1921" t="s">
        <v>110</v>
      </c>
      <c r="D1921" t="s">
        <v>82</v>
      </c>
      <c r="E1921" t="s">
        <v>89</v>
      </c>
      <c r="F1921">
        <v>23400</v>
      </c>
      <c r="G1921" t="s">
        <v>331</v>
      </c>
      <c r="H1921" s="15">
        <v>45292</v>
      </c>
      <c r="I1921">
        <v>23400</v>
      </c>
      <c r="J1921">
        <v>0</v>
      </c>
    </row>
    <row r="1922" spans="1:10" x14ac:dyDescent="0.3">
      <c r="A1922" s="15">
        <v>45505</v>
      </c>
      <c r="B1922" t="s">
        <v>324</v>
      </c>
      <c r="C1922" t="s">
        <v>81</v>
      </c>
      <c r="D1922" t="s">
        <v>86</v>
      </c>
      <c r="E1922" t="s">
        <v>87</v>
      </c>
      <c r="F1922">
        <v>2700</v>
      </c>
      <c r="G1922" t="s">
        <v>331</v>
      </c>
      <c r="H1922" s="15">
        <v>45292</v>
      </c>
      <c r="I1922">
        <v>2700</v>
      </c>
      <c r="J1922">
        <v>0</v>
      </c>
    </row>
    <row r="1923" spans="1:10" x14ac:dyDescent="0.3">
      <c r="A1923" s="15">
        <v>45505</v>
      </c>
      <c r="B1923" t="s">
        <v>325</v>
      </c>
      <c r="C1923" t="s">
        <v>91</v>
      </c>
      <c r="D1923" t="s">
        <v>86</v>
      </c>
      <c r="E1923" t="s">
        <v>87</v>
      </c>
      <c r="F1923">
        <v>8800</v>
      </c>
      <c r="G1923" t="s">
        <v>331</v>
      </c>
      <c r="H1923" s="15">
        <v>45292</v>
      </c>
      <c r="I1923">
        <v>8800</v>
      </c>
      <c r="J1923">
        <v>0</v>
      </c>
    </row>
    <row r="1924" spans="1:10" x14ac:dyDescent="0.3">
      <c r="A1924" s="15">
        <v>45505</v>
      </c>
      <c r="B1924" t="s">
        <v>326</v>
      </c>
      <c r="C1924" t="s">
        <v>91</v>
      </c>
      <c r="D1924" t="s">
        <v>86</v>
      </c>
      <c r="E1924" t="s">
        <v>92</v>
      </c>
      <c r="F1924">
        <v>7900</v>
      </c>
      <c r="G1924" t="s">
        <v>331</v>
      </c>
      <c r="H1924" s="15">
        <v>45292</v>
      </c>
      <c r="I1924">
        <v>7900</v>
      </c>
      <c r="J1924">
        <v>0</v>
      </c>
    </row>
    <row r="1925" spans="1:10" x14ac:dyDescent="0.3">
      <c r="A1925" s="15">
        <v>45505</v>
      </c>
      <c r="B1925" t="s">
        <v>327</v>
      </c>
      <c r="C1925" t="s">
        <v>125</v>
      </c>
      <c r="D1925" t="s">
        <v>99</v>
      </c>
      <c r="E1925" t="s">
        <v>97</v>
      </c>
      <c r="F1925">
        <v>77500</v>
      </c>
      <c r="G1925" t="s">
        <v>331</v>
      </c>
      <c r="H1925" s="15">
        <v>45292</v>
      </c>
      <c r="I1925">
        <v>77500</v>
      </c>
      <c r="J1925">
        <v>0</v>
      </c>
    </row>
    <row r="1926" spans="1:10" x14ac:dyDescent="0.3">
      <c r="A1926" s="15">
        <v>45505</v>
      </c>
      <c r="B1926" t="s">
        <v>329</v>
      </c>
      <c r="C1926" t="s">
        <v>81</v>
      </c>
      <c r="D1926" t="s">
        <v>86</v>
      </c>
      <c r="E1926" t="s">
        <v>101</v>
      </c>
      <c r="F1926">
        <v>2200</v>
      </c>
      <c r="G1926" t="s">
        <v>331</v>
      </c>
      <c r="H1926" s="15">
        <v>45292</v>
      </c>
      <c r="I1926">
        <v>2200</v>
      </c>
      <c r="J1926">
        <v>0</v>
      </c>
    </row>
    <row r="1927" spans="1:10" x14ac:dyDescent="0.3">
      <c r="A1927" s="15">
        <v>45505</v>
      </c>
      <c r="B1927" t="s">
        <v>330</v>
      </c>
      <c r="C1927" t="s">
        <v>125</v>
      </c>
      <c r="D1927" t="s">
        <v>86</v>
      </c>
      <c r="E1927" t="s">
        <v>87</v>
      </c>
      <c r="F1927">
        <v>105400</v>
      </c>
      <c r="G1927" t="s">
        <v>331</v>
      </c>
      <c r="H1927" s="15">
        <v>45292</v>
      </c>
      <c r="I1927">
        <v>105400</v>
      </c>
      <c r="J1927">
        <v>0</v>
      </c>
    </row>
    <row r="1928" spans="1:10" x14ac:dyDescent="0.3">
      <c r="A1928" s="15">
        <v>45505</v>
      </c>
      <c r="B1928" t="s">
        <v>335</v>
      </c>
      <c r="C1928" t="s">
        <v>91</v>
      </c>
      <c r="D1928" t="s">
        <v>86</v>
      </c>
      <c r="E1928" t="s">
        <v>89</v>
      </c>
      <c r="F1928">
        <v>7300</v>
      </c>
      <c r="G1928" t="s">
        <v>331</v>
      </c>
      <c r="H1928" s="15">
        <v>45323</v>
      </c>
      <c r="I1928">
        <v>7300</v>
      </c>
      <c r="J1928">
        <v>0</v>
      </c>
    </row>
    <row r="1929" spans="1:10" x14ac:dyDescent="0.3">
      <c r="A1929" s="15">
        <v>45505</v>
      </c>
      <c r="B1929" t="s">
        <v>336</v>
      </c>
      <c r="C1929" t="s">
        <v>81</v>
      </c>
      <c r="D1929" t="s">
        <v>82</v>
      </c>
      <c r="E1929" t="s">
        <v>103</v>
      </c>
      <c r="F1929">
        <v>1500</v>
      </c>
      <c r="G1929" t="s">
        <v>331</v>
      </c>
      <c r="H1929" s="15">
        <v>45323</v>
      </c>
      <c r="I1929">
        <v>1500</v>
      </c>
      <c r="J1929">
        <v>0</v>
      </c>
    </row>
    <row r="1930" spans="1:10" x14ac:dyDescent="0.3">
      <c r="A1930" s="15">
        <v>45505</v>
      </c>
      <c r="B1930" t="s">
        <v>337</v>
      </c>
      <c r="C1930" t="s">
        <v>91</v>
      </c>
      <c r="D1930" t="s">
        <v>82</v>
      </c>
      <c r="E1930" t="s">
        <v>92</v>
      </c>
      <c r="F1930">
        <v>6200</v>
      </c>
      <c r="G1930" t="s">
        <v>331</v>
      </c>
      <c r="H1930" s="15">
        <v>45323</v>
      </c>
      <c r="I1930">
        <v>6200</v>
      </c>
      <c r="J1930">
        <v>0</v>
      </c>
    </row>
    <row r="1931" spans="1:10" x14ac:dyDescent="0.3">
      <c r="A1931" s="15">
        <v>45505</v>
      </c>
      <c r="B1931" t="s">
        <v>338</v>
      </c>
      <c r="C1931" t="s">
        <v>91</v>
      </c>
      <c r="D1931" t="s">
        <v>82</v>
      </c>
      <c r="E1931" t="s">
        <v>103</v>
      </c>
      <c r="F1931">
        <v>5700</v>
      </c>
      <c r="G1931" t="s">
        <v>331</v>
      </c>
      <c r="H1931" s="15">
        <v>45323</v>
      </c>
      <c r="I1931">
        <v>5700</v>
      </c>
      <c r="J1931">
        <v>0</v>
      </c>
    </row>
    <row r="1932" spans="1:10" x14ac:dyDescent="0.3">
      <c r="A1932" s="15">
        <v>45505</v>
      </c>
      <c r="B1932" t="s">
        <v>339</v>
      </c>
      <c r="C1932" t="s">
        <v>81</v>
      </c>
      <c r="D1932" t="s">
        <v>82</v>
      </c>
      <c r="E1932" t="s">
        <v>103</v>
      </c>
      <c r="F1932">
        <v>1800</v>
      </c>
      <c r="G1932" t="s">
        <v>331</v>
      </c>
      <c r="H1932" s="15">
        <v>45323</v>
      </c>
      <c r="I1932">
        <v>1800</v>
      </c>
      <c r="J1932">
        <v>0</v>
      </c>
    </row>
    <row r="1933" spans="1:10" x14ac:dyDescent="0.3">
      <c r="A1933" s="15">
        <v>45505</v>
      </c>
      <c r="B1933" t="s">
        <v>340</v>
      </c>
      <c r="C1933" t="s">
        <v>81</v>
      </c>
      <c r="D1933" t="s">
        <v>82</v>
      </c>
      <c r="E1933" t="s">
        <v>87</v>
      </c>
      <c r="F1933">
        <v>1800</v>
      </c>
      <c r="G1933" t="s">
        <v>331</v>
      </c>
      <c r="H1933" s="15">
        <v>45323</v>
      </c>
      <c r="I1933">
        <v>1800</v>
      </c>
      <c r="J1933">
        <v>0</v>
      </c>
    </row>
    <row r="1934" spans="1:10" x14ac:dyDescent="0.3">
      <c r="A1934" s="15">
        <v>45505</v>
      </c>
      <c r="B1934" t="s">
        <v>341</v>
      </c>
      <c r="C1934" t="s">
        <v>110</v>
      </c>
      <c r="D1934" t="s">
        <v>82</v>
      </c>
      <c r="E1934" t="s">
        <v>92</v>
      </c>
      <c r="F1934">
        <v>18800</v>
      </c>
      <c r="G1934" t="s">
        <v>331</v>
      </c>
      <c r="H1934" s="15">
        <v>45323</v>
      </c>
      <c r="I1934">
        <v>18800</v>
      </c>
      <c r="J1934">
        <v>0</v>
      </c>
    </row>
    <row r="1935" spans="1:10" x14ac:dyDescent="0.3">
      <c r="A1935" s="15">
        <v>45505</v>
      </c>
      <c r="B1935" t="s">
        <v>342</v>
      </c>
      <c r="C1935" t="s">
        <v>91</v>
      </c>
      <c r="D1935" t="s">
        <v>82</v>
      </c>
      <c r="E1935" t="s">
        <v>83</v>
      </c>
      <c r="F1935">
        <v>7100</v>
      </c>
      <c r="G1935" t="s">
        <v>331</v>
      </c>
      <c r="H1935" s="15">
        <v>45352</v>
      </c>
      <c r="I1935">
        <v>7100</v>
      </c>
      <c r="J1935">
        <v>0</v>
      </c>
    </row>
    <row r="1936" spans="1:10" x14ac:dyDescent="0.3">
      <c r="A1936" s="15">
        <v>45505</v>
      </c>
      <c r="B1936" t="s">
        <v>343</v>
      </c>
      <c r="C1936" t="s">
        <v>81</v>
      </c>
      <c r="D1936" t="s">
        <v>82</v>
      </c>
      <c r="E1936" t="s">
        <v>89</v>
      </c>
      <c r="F1936">
        <v>2500</v>
      </c>
      <c r="G1936" t="s">
        <v>331</v>
      </c>
      <c r="H1936" s="15">
        <v>45352</v>
      </c>
      <c r="I1936">
        <v>2500</v>
      </c>
      <c r="J1936">
        <v>0</v>
      </c>
    </row>
    <row r="1937" spans="1:10" x14ac:dyDescent="0.3">
      <c r="A1937" s="15">
        <v>45505</v>
      </c>
      <c r="B1937" t="s">
        <v>344</v>
      </c>
      <c r="C1937" t="s">
        <v>110</v>
      </c>
      <c r="D1937" t="s">
        <v>86</v>
      </c>
      <c r="E1937" t="s">
        <v>89</v>
      </c>
      <c r="F1937">
        <v>21100</v>
      </c>
      <c r="G1937" t="s">
        <v>331</v>
      </c>
      <c r="H1937" s="15">
        <v>45352</v>
      </c>
      <c r="I1937">
        <v>21100</v>
      </c>
      <c r="J1937">
        <v>0</v>
      </c>
    </row>
    <row r="1938" spans="1:10" x14ac:dyDescent="0.3">
      <c r="A1938" s="15">
        <v>45505</v>
      </c>
      <c r="B1938" t="s">
        <v>345</v>
      </c>
      <c r="C1938" t="s">
        <v>91</v>
      </c>
      <c r="D1938" t="s">
        <v>86</v>
      </c>
      <c r="E1938" t="s">
        <v>83</v>
      </c>
      <c r="F1938">
        <v>6900</v>
      </c>
      <c r="G1938" t="s">
        <v>331</v>
      </c>
      <c r="H1938" s="15">
        <v>45352</v>
      </c>
      <c r="I1938">
        <v>6900</v>
      </c>
      <c r="J1938">
        <v>0</v>
      </c>
    </row>
    <row r="1939" spans="1:10" x14ac:dyDescent="0.3">
      <c r="A1939" s="15">
        <v>45505</v>
      </c>
      <c r="B1939" t="s">
        <v>346</v>
      </c>
      <c r="C1939" t="s">
        <v>81</v>
      </c>
      <c r="D1939" t="s">
        <v>86</v>
      </c>
      <c r="E1939" t="s">
        <v>97</v>
      </c>
      <c r="F1939">
        <v>1700</v>
      </c>
      <c r="G1939" t="s">
        <v>331</v>
      </c>
      <c r="H1939" s="15">
        <v>45352</v>
      </c>
      <c r="I1939">
        <v>1700</v>
      </c>
      <c r="J1939">
        <v>0</v>
      </c>
    </row>
    <row r="1940" spans="1:10" x14ac:dyDescent="0.3">
      <c r="A1940" s="15">
        <v>45505</v>
      </c>
      <c r="B1940" t="s">
        <v>347</v>
      </c>
      <c r="C1940" t="s">
        <v>91</v>
      </c>
      <c r="D1940" t="s">
        <v>82</v>
      </c>
      <c r="E1940" t="s">
        <v>83</v>
      </c>
      <c r="F1940">
        <v>5700</v>
      </c>
      <c r="G1940" t="s">
        <v>331</v>
      </c>
      <c r="H1940" s="15">
        <v>45383</v>
      </c>
      <c r="I1940">
        <v>5700</v>
      </c>
      <c r="J1940">
        <v>0</v>
      </c>
    </row>
    <row r="1941" spans="1:10" x14ac:dyDescent="0.3">
      <c r="A1941" s="15">
        <v>45505</v>
      </c>
      <c r="B1941" t="s">
        <v>348</v>
      </c>
      <c r="C1941" t="s">
        <v>125</v>
      </c>
      <c r="D1941" t="s">
        <v>86</v>
      </c>
      <c r="E1941" t="s">
        <v>92</v>
      </c>
      <c r="F1941">
        <v>59200</v>
      </c>
      <c r="G1941" t="s">
        <v>331</v>
      </c>
      <c r="H1941" s="15">
        <v>45383</v>
      </c>
      <c r="I1941">
        <v>59200</v>
      </c>
      <c r="J1941">
        <v>0</v>
      </c>
    </row>
    <row r="1942" spans="1:10" x14ac:dyDescent="0.3">
      <c r="A1942" s="15">
        <v>45505</v>
      </c>
      <c r="B1942" t="s">
        <v>350</v>
      </c>
      <c r="C1942" t="s">
        <v>91</v>
      </c>
      <c r="D1942" t="s">
        <v>82</v>
      </c>
      <c r="E1942" t="s">
        <v>83</v>
      </c>
      <c r="F1942">
        <v>4800</v>
      </c>
      <c r="G1942" t="s">
        <v>331</v>
      </c>
      <c r="H1942" s="15">
        <v>45383</v>
      </c>
      <c r="I1942">
        <v>4800</v>
      </c>
      <c r="J1942">
        <v>0</v>
      </c>
    </row>
    <row r="1943" spans="1:10" x14ac:dyDescent="0.3">
      <c r="A1943" s="15">
        <v>45505</v>
      </c>
      <c r="B1943" t="s">
        <v>351</v>
      </c>
      <c r="C1943" t="s">
        <v>81</v>
      </c>
      <c r="D1943" t="s">
        <v>86</v>
      </c>
      <c r="E1943" t="s">
        <v>83</v>
      </c>
      <c r="F1943">
        <v>2300</v>
      </c>
      <c r="G1943" t="s">
        <v>331</v>
      </c>
      <c r="H1943" s="15">
        <v>45383</v>
      </c>
      <c r="I1943">
        <v>2300</v>
      </c>
      <c r="J1943">
        <v>0</v>
      </c>
    </row>
    <row r="1944" spans="1:10" x14ac:dyDescent="0.3">
      <c r="A1944" s="15">
        <v>45505</v>
      </c>
      <c r="B1944" t="s">
        <v>352</v>
      </c>
      <c r="C1944" t="s">
        <v>91</v>
      </c>
      <c r="D1944" t="s">
        <v>82</v>
      </c>
      <c r="E1944" t="s">
        <v>89</v>
      </c>
      <c r="F1944">
        <v>6100</v>
      </c>
      <c r="G1944" t="s">
        <v>331</v>
      </c>
      <c r="H1944" s="15">
        <v>45383</v>
      </c>
      <c r="I1944">
        <v>6100</v>
      </c>
      <c r="J1944">
        <v>0</v>
      </c>
    </row>
    <row r="1945" spans="1:10" x14ac:dyDescent="0.3">
      <c r="A1945" s="15">
        <v>45505</v>
      </c>
      <c r="B1945" t="s">
        <v>353</v>
      </c>
      <c r="C1945" t="s">
        <v>81</v>
      </c>
      <c r="D1945" t="s">
        <v>99</v>
      </c>
      <c r="E1945" t="s">
        <v>103</v>
      </c>
      <c r="F1945">
        <v>1200</v>
      </c>
      <c r="G1945" t="s">
        <v>331</v>
      </c>
      <c r="H1945" s="15">
        <v>45383</v>
      </c>
      <c r="I1945">
        <v>1200</v>
      </c>
      <c r="J1945">
        <v>0</v>
      </c>
    </row>
    <row r="1946" spans="1:10" x14ac:dyDescent="0.3">
      <c r="A1946" s="15">
        <v>45505</v>
      </c>
      <c r="B1946" t="s">
        <v>354</v>
      </c>
      <c r="C1946" t="s">
        <v>81</v>
      </c>
      <c r="D1946" t="s">
        <v>82</v>
      </c>
      <c r="E1946" t="s">
        <v>92</v>
      </c>
      <c r="F1946">
        <v>1800</v>
      </c>
      <c r="G1946" t="s">
        <v>331</v>
      </c>
      <c r="H1946" s="15">
        <v>45413</v>
      </c>
      <c r="I1946">
        <v>1800</v>
      </c>
      <c r="J1946">
        <v>0</v>
      </c>
    </row>
    <row r="1947" spans="1:10" x14ac:dyDescent="0.3">
      <c r="A1947" s="15">
        <v>45505</v>
      </c>
      <c r="B1947" t="s">
        <v>355</v>
      </c>
      <c r="C1947" t="s">
        <v>81</v>
      </c>
      <c r="D1947" t="s">
        <v>86</v>
      </c>
      <c r="E1947" t="s">
        <v>97</v>
      </c>
      <c r="F1947">
        <v>2200</v>
      </c>
      <c r="G1947" t="s">
        <v>331</v>
      </c>
      <c r="H1947" s="15">
        <v>45413</v>
      </c>
      <c r="I1947">
        <v>2200</v>
      </c>
      <c r="J1947">
        <v>0</v>
      </c>
    </row>
    <row r="1948" spans="1:10" x14ac:dyDescent="0.3">
      <c r="A1948" s="15">
        <v>45505</v>
      </c>
      <c r="B1948" t="s">
        <v>356</v>
      </c>
      <c r="C1948" t="s">
        <v>110</v>
      </c>
      <c r="D1948" t="s">
        <v>82</v>
      </c>
      <c r="E1948" t="s">
        <v>97</v>
      </c>
      <c r="F1948">
        <v>33000</v>
      </c>
      <c r="G1948" t="s">
        <v>331</v>
      </c>
      <c r="H1948" s="15">
        <v>45413</v>
      </c>
      <c r="I1948">
        <v>33000</v>
      </c>
      <c r="J1948">
        <v>0</v>
      </c>
    </row>
    <row r="1949" spans="1:10" x14ac:dyDescent="0.3">
      <c r="A1949" s="15">
        <v>45505</v>
      </c>
      <c r="B1949" t="s">
        <v>357</v>
      </c>
      <c r="C1949" t="s">
        <v>125</v>
      </c>
      <c r="D1949" t="s">
        <v>86</v>
      </c>
      <c r="E1949" t="s">
        <v>97</v>
      </c>
      <c r="F1949">
        <v>79900</v>
      </c>
      <c r="G1949" t="s">
        <v>331</v>
      </c>
      <c r="H1949" s="15">
        <v>45413</v>
      </c>
      <c r="I1949">
        <v>79900</v>
      </c>
      <c r="J1949">
        <v>0</v>
      </c>
    </row>
    <row r="1950" spans="1:10" x14ac:dyDescent="0.3">
      <c r="A1950" s="15">
        <v>45505</v>
      </c>
      <c r="B1950" t="s">
        <v>358</v>
      </c>
      <c r="C1950" t="s">
        <v>110</v>
      </c>
      <c r="D1950" t="s">
        <v>86</v>
      </c>
      <c r="E1950" t="s">
        <v>83</v>
      </c>
      <c r="F1950">
        <v>25500</v>
      </c>
      <c r="G1950" t="s">
        <v>331</v>
      </c>
      <c r="H1950" s="15">
        <v>45413</v>
      </c>
      <c r="I1950">
        <v>25500</v>
      </c>
      <c r="J1950">
        <v>0</v>
      </c>
    </row>
    <row r="1951" spans="1:10" x14ac:dyDescent="0.3">
      <c r="A1951" s="15">
        <v>45505</v>
      </c>
      <c r="B1951" t="s">
        <v>359</v>
      </c>
      <c r="C1951" t="s">
        <v>110</v>
      </c>
      <c r="D1951" t="s">
        <v>86</v>
      </c>
      <c r="E1951" t="s">
        <v>101</v>
      </c>
      <c r="F1951">
        <v>31400</v>
      </c>
      <c r="G1951" t="s">
        <v>331</v>
      </c>
      <c r="H1951" s="15">
        <v>45413</v>
      </c>
      <c r="I1951">
        <v>31400</v>
      </c>
      <c r="J1951">
        <v>0</v>
      </c>
    </row>
    <row r="1952" spans="1:10" x14ac:dyDescent="0.3">
      <c r="A1952" s="15">
        <v>45505</v>
      </c>
      <c r="B1952" t="s">
        <v>360</v>
      </c>
      <c r="C1952" t="s">
        <v>91</v>
      </c>
      <c r="D1952" t="s">
        <v>86</v>
      </c>
      <c r="E1952" t="s">
        <v>103</v>
      </c>
      <c r="F1952">
        <v>5700</v>
      </c>
      <c r="G1952" t="s">
        <v>331</v>
      </c>
      <c r="H1952" s="15">
        <v>45444</v>
      </c>
      <c r="I1952">
        <v>5700</v>
      </c>
      <c r="J1952">
        <v>0</v>
      </c>
    </row>
    <row r="1953" spans="1:10" x14ac:dyDescent="0.3">
      <c r="A1953" s="15">
        <v>45505</v>
      </c>
      <c r="B1953" t="s">
        <v>361</v>
      </c>
      <c r="C1953" t="s">
        <v>91</v>
      </c>
      <c r="D1953" t="s">
        <v>86</v>
      </c>
      <c r="E1953" t="s">
        <v>83</v>
      </c>
      <c r="F1953">
        <v>5700</v>
      </c>
      <c r="G1953" t="s">
        <v>331</v>
      </c>
      <c r="H1953" s="15">
        <v>45444</v>
      </c>
      <c r="I1953">
        <v>5700</v>
      </c>
      <c r="J1953">
        <v>0</v>
      </c>
    </row>
    <row r="1954" spans="1:10" x14ac:dyDescent="0.3">
      <c r="A1954" s="15">
        <v>45505</v>
      </c>
      <c r="B1954" t="s">
        <v>362</v>
      </c>
      <c r="C1954" t="s">
        <v>91</v>
      </c>
      <c r="D1954" t="s">
        <v>82</v>
      </c>
      <c r="E1954" t="s">
        <v>101</v>
      </c>
      <c r="F1954">
        <v>5400</v>
      </c>
      <c r="G1954" t="s">
        <v>331</v>
      </c>
      <c r="H1954" s="15">
        <v>45444</v>
      </c>
      <c r="I1954">
        <v>5400</v>
      </c>
      <c r="J1954">
        <v>0</v>
      </c>
    </row>
    <row r="1955" spans="1:10" x14ac:dyDescent="0.3">
      <c r="A1955" s="15">
        <v>45505</v>
      </c>
      <c r="B1955" t="s">
        <v>363</v>
      </c>
      <c r="C1955" t="s">
        <v>91</v>
      </c>
      <c r="D1955" t="s">
        <v>86</v>
      </c>
      <c r="E1955" t="s">
        <v>83</v>
      </c>
      <c r="F1955">
        <v>5100</v>
      </c>
      <c r="G1955" t="s">
        <v>331</v>
      </c>
      <c r="H1955" s="15">
        <v>45444</v>
      </c>
      <c r="I1955">
        <v>5100</v>
      </c>
      <c r="J1955">
        <v>0</v>
      </c>
    </row>
    <row r="1956" spans="1:10" x14ac:dyDescent="0.3">
      <c r="A1956" s="15">
        <v>45505</v>
      </c>
      <c r="B1956" t="s">
        <v>364</v>
      </c>
      <c r="C1956" t="s">
        <v>91</v>
      </c>
      <c r="D1956" t="s">
        <v>82</v>
      </c>
      <c r="E1956" t="s">
        <v>101</v>
      </c>
      <c r="F1956">
        <v>6700</v>
      </c>
      <c r="G1956" t="s">
        <v>331</v>
      </c>
      <c r="H1956" s="15">
        <v>45444</v>
      </c>
      <c r="I1956">
        <v>6700</v>
      </c>
      <c r="J1956">
        <v>0</v>
      </c>
    </row>
    <row r="1957" spans="1:10" x14ac:dyDescent="0.3">
      <c r="A1957" s="15">
        <v>45505</v>
      </c>
      <c r="B1957" t="s">
        <v>365</v>
      </c>
      <c r="C1957" t="s">
        <v>91</v>
      </c>
      <c r="D1957" t="s">
        <v>82</v>
      </c>
      <c r="E1957" t="s">
        <v>92</v>
      </c>
      <c r="F1957">
        <v>8400</v>
      </c>
      <c r="G1957" t="s">
        <v>332</v>
      </c>
      <c r="H1957" s="15">
        <v>45444</v>
      </c>
      <c r="I1957">
        <v>7300</v>
      </c>
      <c r="J1957">
        <v>1100</v>
      </c>
    </row>
    <row r="1958" spans="1:10" x14ac:dyDescent="0.3">
      <c r="A1958" s="15">
        <v>45505</v>
      </c>
      <c r="B1958" t="s">
        <v>366</v>
      </c>
      <c r="C1958" t="s">
        <v>81</v>
      </c>
      <c r="D1958" t="s">
        <v>99</v>
      </c>
      <c r="E1958" t="s">
        <v>92</v>
      </c>
      <c r="F1958">
        <v>1600</v>
      </c>
      <c r="G1958" t="s">
        <v>331</v>
      </c>
      <c r="H1958" s="15">
        <v>45474</v>
      </c>
      <c r="I1958">
        <v>1600</v>
      </c>
      <c r="J1958">
        <v>0</v>
      </c>
    </row>
    <row r="1959" spans="1:10" x14ac:dyDescent="0.3">
      <c r="A1959" s="15">
        <v>45505</v>
      </c>
      <c r="B1959" t="s">
        <v>367</v>
      </c>
      <c r="C1959" t="s">
        <v>91</v>
      </c>
      <c r="D1959" t="s">
        <v>82</v>
      </c>
      <c r="E1959" t="s">
        <v>92</v>
      </c>
      <c r="F1959">
        <v>5800</v>
      </c>
      <c r="G1959" t="s">
        <v>331</v>
      </c>
      <c r="H1959" s="15">
        <v>45474</v>
      </c>
      <c r="I1959">
        <v>5800</v>
      </c>
      <c r="J1959">
        <v>0</v>
      </c>
    </row>
    <row r="1960" spans="1:10" x14ac:dyDescent="0.3">
      <c r="A1960" s="15">
        <v>45505</v>
      </c>
      <c r="B1960" t="s">
        <v>368</v>
      </c>
      <c r="C1960" t="s">
        <v>81</v>
      </c>
      <c r="D1960" t="s">
        <v>86</v>
      </c>
      <c r="E1960" t="s">
        <v>89</v>
      </c>
      <c r="F1960">
        <v>1400</v>
      </c>
      <c r="G1960" t="s">
        <v>331</v>
      </c>
      <c r="H1960" s="15">
        <v>45474</v>
      </c>
      <c r="I1960">
        <v>1400</v>
      </c>
      <c r="J1960">
        <v>0</v>
      </c>
    </row>
    <row r="1961" spans="1:10" x14ac:dyDescent="0.3">
      <c r="A1961" s="15">
        <v>45505</v>
      </c>
      <c r="B1961" t="s">
        <v>369</v>
      </c>
      <c r="C1961" t="s">
        <v>81</v>
      </c>
      <c r="D1961" t="s">
        <v>86</v>
      </c>
      <c r="E1961" t="s">
        <v>83</v>
      </c>
      <c r="F1961">
        <v>2200</v>
      </c>
      <c r="G1961" t="s">
        <v>331</v>
      </c>
      <c r="H1961" s="15">
        <v>45474</v>
      </c>
      <c r="I1961">
        <v>2200</v>
      </c>
      <c r="J1961">
        <v>0</v>
      </c>
    </row>
    <row r="1962" spans="1:10" x14ac:dyDescent="0.3">
      <c r="A1962" s="15">
        <v>45505</v>
      </c>
      <c r="B1962" t="s">
        <v>370</v>
      </c>
      <c r="C1962" t="s">
        <v>81</v>
      </c>
      <c r="D1962" t="s">
        <v>99</v>
      </c>
      <c r="E1962" t="s">
        <v>87</v>
      </c>
      <c r="F1962">
        <v>2100</v>
      </c>
      <c r="G1962" t="s">
        <v>331</v>
      </c>
      <c r="H1962" s="15">
        <v>45474</v>
      </c>
      <c r="I1962">
        <v>2100</v>
      </c>
      <c r="J1962">
        <v>0</v>
      </c>
    </row>
    <row r="1963" spans="1:10" x14ac:dyDescent="0.3">
      <c r="A1963" s="15">
        <v>45505</v>
      </c>
      <c r="B1963" t="s">
        <v>371</v>
      </c>
      <c r="C1963" t="s">
        <v>81</v>
      </c>
      <c r="D1963" t="s">
        <v>82</v>
      </c>
      <c r="E1963" t="s">
        <v>89</v>
      </c>
      <c r="F1963">
        <v>2100</v>
      </c>
      <c r="G1963" t="s">
        <v>331</v>
      </c>
      <c r="H1963" s="15">
        <v>45474</v>
      </c>
      <c r="I1963">
        <v>2100</v>
      </c>
      <c r="J1963">
        <v>0</v>
      </c>
    </row>
    <row r="1964" spans="1:10" x14ac:dyDescent="0.3">
      <c r="A1964" s="15">
        <v>45505</v>
      </c>
      <c r="B1964" t="s">
        <v>372</v>
      </c>
      <c r="C1964" t="s">
        <v>81</v>
      </c>
      <c r="D1964" t="s">
        <v>86</v>
      </c>
      <c r="E1964" t="s">
        <v>83</v>
      </c>
      <c r="F1964">
        <v>1800</v>
      </c>
      <c r="G1964" t="s">
        <v>84</v>
      </c>
      <c r="H1964" s="15">
        <v>45505</v>
      </c>
      <c r="I1964">
        <v>0</v>
      </c>
      <c r="J1964">
        <v>1800</v>
      </c>
    </row>
    <row r="1965" spans="1:10" x14ac:dyDescent="0.3">
      <c r="A1965" s="15">
        <v>45505</v>
      </c>
      <c r="B1965" t="s">
        <v>373</v>
      </c>
      <c r="C1965" t="s">
        <v>91</v>
      </c>
      <c r="D1965" t="s">
        <v>99</v>
      </c>
      <c r="E1965" t="s">
        <v>101</v>
      </c>
      <c r="F1965">
        <v>5200</v>
      </c>
      <c r="G1965" t="s">
        <v>84</v>
      </c>
      <c r="H1965" s="15">
        <v>45505</v>
      </c>
      <c r="I1965">
        <v>0</v>
      </c>
      <c r="J1965">
        <v>5200</v>
      </c>
    </row>
    <row r="1966" spans="1:10" x14ac:dyDescent="0.3">
      <c r="A1966" s="15">
        <v>45505</v>
      </c>
      <c r="B1966" t="s">
        <v>374</v>
      </c>
      <c r="C1966" t="s">
        <v>91</v>
      </c>
      <c r="D1966" t="s">
        <v>99</v>
      </c>
      <c r="E1966" t="s">
        <v>87</v>
      </c>
      <c r="F1966">
        <v>5000</v>
      </c>
      <c r="G1966" t="s">
        <v>84</v>
      </c>
      <c r="H1966" s="15">
        <v>45505</v>
      </c>
      <c r="I1966">
        <v>0</v>
      </c>
      <c r="J1966">
        <v>5000</v>
      </c>
    </row>
    <row r="1967" spans="1:10" x14ac:dyDescent="0.3">
      <c r="A1967" s="15">
        <v>45505</v>
      </c>
      <c r="B1967" t="s">
        <v>375</v>
      </c>
      <c r="C1967" t="s">
        <v>81</v>
      </c>
      <c r="D1967" t="s">
        <v>82</v>
      </c>
      <c r="E1967" t="s">
        <v>87</v>
      </c>
      <c r="F1967">
        <v>1600</v>
      </c>
      <c r="G1967" t="s">
        <v>84</v>
      </c>
      <c r="H1967" s="15">
        <v>45505</v>
      </c>
      <c r="I1967">
        <v>0</v>
      </c>
      <c r="J1967">
        <v>1600</v>
      </c>
    </row>
    <row r="1968" spans="1:10" x14ac:dyDescent="0.3">
      <c r="A1968" s="15">
        <v>45505</v>
      </c>
      <c r="B1968" t="s">
        <v>376</v>
      </c>
      <c r="C1968" t="s">
        <v>110</v>
      </c>
      <c r="D1968" t="s">
        <v>86</v>
      </c>
      <c r="E1968" t="s">
        <v>103</v>
      </c>
      <c r="F1968">
        <v>22900</v>
      </c>
      <c r="G1968" t="s">
        <v>84</v>
      </c>
      <c r="H1968" s="15">
        <v>45505</v>
      </c>
      <c r="I1968">
        <v>0</v>
      </c>
      <c r="J1968">
        <v>22900</v>
      </c>
    </row>
    <row r="1969" spans="1:10" x14ac:dyDescent="0.3">
      <c r="A1969" s="15">
        <v>45536</v>
      </c>
      <c r="B1969" t="s">
        <v>80</v>
      </c>
      <c r="C1969" t="s">
        <v>81</v>
      </c>
      <c r="D1969" t="s">
        <v>82</v>
      </c>
      <c r="E1969" t="s">
        <v>83</v>
      </c>
      <c r="F1969">
        <v>1900</v>
      </c>
      <c r="G1969" t="s">
        <v>331</v>
      </c>
      <c r="H1969" s="15">
        <v>45292</v>
      </c>
      <c r="I1969">
        <v>1900</v>
      </c>
      <c r="J1969">
        <v>0</v>
      </c>
    </row>
    <row r="1970" spans="1:10" x14ac:dyDescent="0.3">
      <c r="A1970" s="15">
        <v>45536</v>
      </c>
      <c r="B1970" t="s">
        <v>85</v>
      </c>
      <c r="C1970" t="s">
        <v>81</v>
      </c>
      <c r="D1970" t="s">
        <v>86</v>
      </c>
      <c r="E1970" t="s">
        <v>87</v>
      </c>
      <c r="F1970">
        <v>3200</v>
      </c>
      <c r="G1970" t="s">
        <v>331</v>
      </c>
      <c r="H1970" s="15">
        <v>45292</v>
      </c>
      <c r="I1970">
        <v>3200</v>
      </c>
      <c r="J1970">
        <v>0</v>
      </c>
    </row>
    <row r="1971" spans="1:10" x14ac:dyDescent="0.3">
      <c r="A1971" s="15">
        <v>45536</v>
      </c>
      <c r="B1971" t="s">
        <v>88</v>
      </c>
      <c r="C1971" t="s">
        <v>81</v>
      </c>
      <c r="D1971" t="s">
        <v>86</v>
      </c>
      <c r="E1971" t="s">
        <v>89</v>
      </c>
      <c r="F1971">
        <v>2400</v>
      </c>
      <c r="G1971" t="s">
        <v>331</v>
      </c>
      <c r="H1971" s="15">
        <v>45292</v>
      </c>
      <c r="I1971">
        <v>2400</v>
      </c>
      <c r="J1971">
        <v>0</v>
      </c>
    </row>
    <row r="1972" spans="1:10" x14ac:dyDescent="0.3">
      <c r="A1972" s="15">
        <v>45536</v>
      </c>
      <c r="B1972" t="s">
        <v>90</v>
      </c>
      <c r="C1972" t="s">
        <v>91</v>
      </c>
      <c r="D1972" t="s">
        <v>82</v>
      </c>
      <c r="E1972" t="s">
        <v>92</v>
      </c>
      <c r="F1972">
        <v>8300</v>
      </c>
      <c r="G1972" t="s">
        <v>331</v>
      </c>
      <c r="H1972" s="15">
        <v>45292</v>
      </c>
      <c r="I1972">
        <v>8300</v>
      </c>
      <c r="J1972">
        <v>0</v>
      </c>
    </row>
    <row r="1973" spans="1:10" x14ac:dyDescent="0.3">
      <c r="A1973" s="15">
        <v>45536</v>
      </c>
      <c r="B1973" t="s">
        <v>93</v>
      </c>
      <c r="C1973" t="s">
        <v>81</v>
      </c>
      <c r="D1973" t="s">
        <v>86</v>
      </c>
      <c r="E1973" t="s">
        <v>83</v>
      </c>
      <c r="F1973">
        <v>2200</v>
      </c>
      <c r="G1973" t="s">
        <v>331</v>
      </c>
      <c r="H1973" s="15">
        <v>45292</v>
      </c>
      <c r="I1973">
        <v>2200</v>
      </c>
      <c r="J1973">
        <v>0</v>
      </c>
    </row>
    <row r="1974" spans="1:10" x14ac:dyDescent="0.3">
      <c r="A1974" s="15">
        <v>45536</v>
      </c>
      <c r="B1974" t="s">
        <v>94</v>
      </c>
      <c r="C1974" t="s">
        <v>91</v>
      </c>
      <c r="D1974" t="s">
        <v>86</v>
      </c>
      <c r="E1974" t="s">
        <v>83</v>
      </c>
      <c r="F1974">
        <v>6900</v>
      </c>
      <c r="G1974" t="s">
        <v>331</v>
      </c>
      <c r="H1974" s="15">
        <v>45292</v>
      </c>
      <c r="I1974">
        <v>6900</v>
      </c>
      <c r="J1974">
        <v>0</v>
      </c>
    </row>
    <row r="1975" spans="1:10" x14ac:dyDescent="0.3">
      <c r="A1975" s="15">
        <v>45536</v>
      </c>
      <c r="B1975" t="s">
        <v>95</v>
      </c>
      <c r="C1975" t="s">
        <v>81</v>
      </c>
      <c r="D1975" t="s">
        <v>96</v>
      </c>
      <c r="E1975" t="s">
        <v>97</v>
      </c>
      <c r="F1975">
        <v>3100</v>
      </c>
      <c r="G1975" t="s">
        <v>331</v>
      </c>
      <c r="H1975" s="15">
        <v>45292</v>
      </c>
      <c r="I1975">
        <v>3100</v>
      </c>
      <c r="J1975">
        <v>0</v>
      </c>
    </row>
    <row r="1976" spans="1:10" x14ac:dyDescent="0.3">
      <c r="A1976" s="15">
        <v>45536</v>
      </c>
      <c r="B1976" t="s">
        <v>98</v>
      </c>
      <c r="C1976" t="s">
        <v>81</v>
      </c>
      <c r="D1976" t="s">
        <v>99</v>
      </c>
      <c r="E1976" t="s">
        <v>92</v>
      </c>
      <c r="F1976">
        <v>2300</v>
      </c>
      <c r="G1976" t="s">
        <v>331</v>
      </c>
      <c r="H1976" s="15">
        <v>45292</v>
      </c>
      <c r="I1976">
        <v>2300</v>
      </c>
      <c r="J1976">
        <v>0</v>
      </c>
    </row>
    <row r="1977" spans="1:10" x14ac:dyDescent="0.3">
      <c r="A1977" s="15">
        <v>45536</v>
      </c>
      <c r="B1977" t="s">
        <v>100</v>
      </c>
      <c r="C1977" t="s">
        <v>81</v>
      </c>
      <c r="D1977" t="s">
        <v>86</v>
      </c>
      <c r="E1977" t="s">
        <v>101</v>
      </c>
      <c r="F1977">
        <v>1800</v>
      </c>
      <c r="G1977" t="s">
        <v>331</v>
      </c>
      <c r="H1977" s="15">
        <v>45292</v>
      </c>
      <c r="I1977">
        <v>1800</v>
      </c>
      <c r="J1977">
        <v>0</v>
      </c>
    </row>
    <row r="1978" spans="1:10" x14ac:dyDescent="0.3">
      <c r="A1978" s="15">
        <v>45536</v>
      </c>
      <c r="B1978" t="s">
        <v>102</v>
      </c>
      <c r="C1978" t="s">
        <v>81</v>
      </c>
      <c r="D1978" t="s">
        <v>99</v>
      </c>
      <c r="E1978" t="s">
        <v>103</v>
      </c>
      <c r="F1978">
        <v>3300</v>
      </c>
      <c r="G1978" t="s">
        <v>331</v>
      </c>
      <c r="H1978" s="15">
        <v>45292</v>
      </c>
      <c r="I1978">
        <v>3300</v>
      </c>
      <c r="J1978">
        <v>0</v>
      </c>
    </row>
    <row r="1979" spans="1:10" x14ac:dyDescent="0.3">
      <c r="A1979" s="15">
        <v>45536</v>
      </c>
      <c r="B1979" t="s">
        <v>104</v>
      </c>
      <c r="C1979" t="s">
        <v>91</v>
      </c>
      <c r="D1979" t="s">
        <v>99</v>
      </c>
      <c r="E1979" t="s">
        <v>87</v>
      </c>
      <c r="F1979">
        <v>7000</v>
      </c>
      <c r="G1979" t="s">
        <v>331</v>
      </c>
      <c r="H1979" s="15">
        <v>45292</v>
      </c>
      <c r="I1979">
        <v>7000</v>
      </c>
      <c r="J1979">
        <v>0</v>
      </c>
    </row>
    <row r="1980" spans="1:10" x14ac:dyDescent="0.3">
      <c r="A1980" s="15">
        <v>45536</v>
      </c>
      <c r="B1980" t="s">
        <v>105</v>
      </c>
      <c r="C1980" t="s">
        <v>91</v>
      </c>
      <c r="D1980" t="s">
        <v>86</v>
      </c>
      <c r="E1980" t="s">
        <v>89</v>
      </c>
      <c r="F1980">
        <v>11400</v>
      </c>
      <c r="G1980" t="s">
        <v>331</v>
      </c>
      <c r="H1980" s="15">
        <v>45292</v>
      </c>
      <c r="I1980">
        <v>11400</v>
      </c>
      <c r="J1980">
        <v>0</v>
      </c>
    </row>
    <row r="1981" spans="1:10" x14ac:dyDescent="0.3">
      <c r="A1981" s="15">
        <v>45536</v>
      </c>
      <c r="B1981" t="s">
        <v>106</v>
      </c>
      <c r="C1981" t="s">
        <v>81</v>
      </c>
      <c r="D1981" t="s">
        <v>99</v>
      </c>
      <c r="E1981" t="s">
        <v>92</v>
      </c>
      <c r="F1981">
        <v>2700</v>
      </c>
      <c r="G1981" t="s">
        <v>331</v>
      </c>
      <c r="H1981" s="15">
        <v>45292</v>
      </c>
      <c r="I1981">
        <v>2700</v>
      </c>
      <c r="J1981">
        <v>0</v>
      </c>
    </row>
    <row r="1982" spans="1:10" x14ac:dyDescent="0.3">
      <c r="A1982" s="15">
        <v>45536</v>
      </c>
      <c r="B1982" t="s">
        <v>108</v>
      </c>
      <c r="C1982" t="s">
        <v>91</v>
      </c>
      <c r="D1982" t="s">
        <v>86</v>
      </c>
      <c r="E1982" t="s">
        <v>87</v>
      </c>
      <c r="F1982">
        <v>8500</v>
      </c>
      <c r="G1982" t="s">
        <v>331</v>
      </c>
      <c r="H1982" s="15">
        <v>45292</v>
      </c>
      <c r="I1982">
        <v>8500</v>
      </c>
      <c r="J1982">
        <v>0</v>
      </c>
    </row>
    <row r="1983" spans="1:10" x14ac:dyDescent="0.3">
      <c r="A1983" s="15">
        <v>45536</v>
      </c>
      <c r="B1983" t="s">
        <v>109</v>
      </c>
      <c r="C1983" t="s">
        <v>110</v>
      </c>
      <c r="D1983" t="s">
        <v>82</v>
      </c>
      <c r="E1983" t="s">
        <v>103</v>
      </c>
      <c r="F1983">
        <v>32700</v>
      </c>
      <c r="G1983" t="s">
        <v>331</v>
      </c>
      <c r="H1983" s="15">
        <v>45292</v>
      </c>
      <c r="I1983">
        <v>32700</v>
      </c>
      <c r="J1983">
        <v>0</v>
      </c>
    </row>
    <row r="1984" spans="1:10" x14ac:dyDescent="0.3">
      <c r="A1984" s="15">
        <v>45536</v>
      </c>
      <c r="B1984" t="s">
        <v>111</v>
      </c>
      <c r="C1984" t="s">
        <v>91</v>
      </c>
      <c r="D1984" t="s">
        <v>82</v>
      </c>
      <c r="E1984" t="s">
        <v>83</v>
      </c>
      <c r="F1984">
        <v>8800</v>
      </c>
      <c r="G1984" t="s">
        <v>331</v>
      </c>
      <c r="H1984" s="15">
        <v>45292</v>
      </c>
      <c r="I1984">
        <v>8800</v>
      </c>
      <c r="J1984">
        <v>0</v>
      </c>
    </row>
    <row r="1985" spans="1:10" x14ac:dyDescent="0.3">
      <c r="A1985" s="15">
        <v>45536</v>
      </c>
      <c r="B1985" t="s">
        <v>112</v>
      </c>
      <c r="C1985" t="s">
        <v>91</v>
      </c>
      <c r="D1985" t="s">
        <v>82</v>
      </c>
      <c r="E1985" t="s">
        <v>92</v>
      </c>
      <c r="F1985">
        <v>8600</v>
      </c>
      <c r="G1985" t="s">
        <v>331</v>
      </c>
      <c r="H1985" s="15">
        <v>45292</v>
      </c>
      <c r="I1985">
        <v>8600</v>
      </c>
      <c r="J1985">
        <v>0</v>
      </c>
    </row>
    <row r="1986" spans="1:10" x14ac:dyDescent="0.3">
      <c r="A1986" s="15">
        <v>45536</v>
      </c>
      <c r="B1986" t="s">
        <v>113</v>
      </c>
      <c r="C1986" t="s">
        <v>81</v>
      </c>
      <c r="D1986" t="s">
        <v>96</v>
      </c>
      <c r="E1986" t="s">
        <v>89</v>
      </c>
      <c r="F1986">
        <v>2500</v>
      </c>
      <c r="G1986" t="s">
        <v>331</v>
      </c>
      <c r="H1986" s="15">
        <v>45292</v>
      </c>
      <c r="I1986">
        <v>2500</v>
      </c>
      <c r="J1986">
        <v>0</v>
      </c>
    </row>
    <row r="1987" spans="1:10" x14ac:dyDescent="0.3">
      <c r="A1987" s="15">
        <v>45536</v>
      </c>
      <c r="B1987" t="s">
        <v>114</v>
      </c>
      <c r="C1987" t="s">
        <v>110</v>
      </c>
      <c r="D1987" t="s">
        <v>99</v>
      </c>
      <c r="E1987" t="s">
        <v>97</v>
      </c>
      <c r="F1987">
        <v>41600</v>
      </c>
      <c r="G1987" t="s">
        <v>331</v>
      </c>
      <c r="H1987" s="15">
        <v>45292</v>
      </c>
      <c r="I1987">
        <v>41600</v>
      </c>
      <c r="J1987">
        <v>0</v>
      </c>
    </row>
    <row r="1988" spans="1:10" x14ac:dyDescent="0.3">
      <c r="A1988" s="15">
        <v>45536</v>
      </c>
      <c r="B1988" t="s">
        <v>115</v>
      </c>
      <c r="C1988" t="s">
        <v>81</v>
      </c>
      <c r="D1988" t="s">
        <v>82</v>
      </c>
      <c r="E1988" t="s">
        <v>101</v>
      </c>
      <c r="F1988">
        <v>2600</v>
      </c>
      <c r="G1988" t="s">
        <v>331</v>
      </c>
      <c r="H1988" s="15">
        <v>45292</v>
      </c>
      <c r="I1988">
        <v>2600</v>
      </c>
      <c r="J1988">
        <v>0</v>
      </c>
    </row>
    <row r="1989" spans="1:10" x14ac:dyDescent="0.3">
      <c r="A1989" s="15">
        <v>45536</v>
      </c>
      <c r="B1989" t="s">
        <v>116</v>
      </c>
      <c r="C1989" t="s">
        <v>81</v>
      </c>
      <c r="D1989" t="s">
        <v>86</v>
      </c>
      <c r="E1989" t="s">
        <v>87</v>
      </c>
      <c r="F1989">
        <v>2900</v>
      </c>
      <c r="G1989" t="s">
        <v>331</v>
      </c>
      <c r="H1989" s="15">
        <v>45292</v>
      </c>
      <c r="I1989">
        <v>2900</v>
      </c>
      <c r="J1989">
        <v>0</v>
      </c>
    </row>
    <row r="1990" spans="1:10" x14ac:dyDescent="0.3">
      <c r="A1990" s="15">
        <v>45536</v>
      </c>
      <c r="B1990" t="s">
        <v>117</v>
      </c>
      <c r="C1990" t="s">
        <v>81</v>
      </c>
      <c r="D1990" t="s">
        <v>86</v>
      </c>
      <c r="E1990" t="s">
        <v>103</v>
      </c>
      <c r="F1990">
        <v>2500</v>
      </c>
      <c r="G1990" t="s">
        <v>331</v>
      </c>
      <c r="H1990" s="15">
        <v>45292</v>
      </c>
      <c r="I1990">
        <v>2500</v>
      </c>
      <c r="J1990">
        <v>0</v>
      </c>
    </row>
    <row r="1991" spans="1:10" x14ac:dyDescent="0.3">
      <c r="A1991" s="15">
        <v>45536</v>
      </c>
      <c r="B1991" t="s">
        <v>118</v>
      </c>
      <c r="C1991" t="s">
        <v>81</v>
      </c>
      <c r="D1991" t="s">
        <v>82</v>
      </c>
      <c r="E1991" t="s">
        <v>103</v>
      </c>
      <c r="F1991">
        <v>2900</v>
      </c>
      <c r="G1991" t="s">
        <v>331</v>
      </c>
      <c r="H1991" s="15">
        <v>45292</v>
      </c>
      <c r="I1991">
        <v>2900</v>
      </c>
      <c r="J1991">
        <v>0</v>
      </c>
    </row>
    <row r="1992" spans="1:10" x14ac:dyDescent="0.3">
      <c r="A1992" s="15">
        <v>45536</v>
      </c>
      <c r="B1992" t="s">
        <v>119</v>
      </c>
      <c r="C1992" t="s">
        <v>91</v>
      </c>
      <c r="D1992" t="s">
        <v>96</v>
      </c>
      <c r="E1992" t="s">
        <v>89</v>
      </c>
      <c r="F1992">
        <v>12800</v>
      </c>
      <c r="G1992" t="s">
        <v>331</v>
      </c>
      <c r="H1992" s="15">
        <v>45292</v>
      </c>
      <c r="I1992">
        <v>12800</v>
      </c>
      <c r="J1992">
        <v>0</v>
      </c>
    </row>
    <row r="1993" spans="1:10" x14ac:dyDescent="0.3">
      <c r="A1993" s="15">
        <v>45536</v>
      </c>
      <c r="B1993" t="s">
        <v>120</v>
      </c>
      <c r="C1993" t="s">
        <v>81</v>
      </c>
      <c r="D1993" t="s">
        <v>86</v>
      </c>
      <c r="E1993" t="s">
        <v>101</v>
      </c>
      <c r="F1993">
        <v>2200</v>
      </c>
      <c r="G1993" t="s">
        <v>331</v>
      </c>
      <c r="H1993" s="15">
        <v>45292</v>
      </c>
      <c r="I1993">
        <v>2200</v>
      </c>
      <c r="J1993">
        <v>0</v>
      </c>
    </row>
    <row r="1994" spans="1:10" x14ac:dyDescent="0.3">
      <c r="A1994" s="15">
        <v>45536</v>
      </c>
      <c r="B1994" t="s">
        <v>123</v>
      </c>
      <c r="C1994" t="s">
        <v>81</v>
      </c>
      <c r="D1994" t="s">
        <v>82</v>
      </c>
      <c r="E1994" t="s">
        <v>92</v>
      </c>
      <c r="F1994">
        <v>2200</v>
      </c>
      <c r="G1994" t="s">
        <v>331</v>
      </c>
      <c r="H1994" s="15">
        <v>45292</v>
      </c>
      <c r="I1994">
        <v>2200</v>
      </c>
      <c r="J1994">
        <v>0</v>
      </c>
    </row>
    <row r="1995" spans="1:10" x14ac:dyDescent="0.3">
      <c r="A1995" s="15">
        <v>45536</v>
      </c>
      <c r="B1995" t="s">
        <v>124</v>
      </c>
      <c r="C1995" t="s">
        <v>125</v>
      </c>
      <c r="D1995" t="s">
        <v>82</v>
      </c>
      <c r="E1995" t="s">
        <v>97</v>
      </c>
      <c r="F1995">
        <v>67900</v>
      </c>
      <c r="G1995" t="s">
        <v>331</v>
      </c>
      <c r="H1995" s="15">
        <v>45292</v>
      </c>
      <c r="I1995">
        <v>67900</v>
      </c>
      <c r="J1995">
        <v>0</v>
      </c>
    </row>
    <row r="1996" spans="1:10" x14ac:dyDescent="0.3">
      <c r="A1996" s="15">
        <v>45536</v>
      </c>
      <c r="B1996" t="s">
        <v>126</v>
      </c>
      <c r="C1996" t="s">
        <v>91</v>
      </c>
      <c r="D1996" t="s">
        <v>82</v>
      </c>
      <c r="E1996" t="s">
        <v>83</v>
      </c>
      <c r="F1996">
        <v>8800</v>
      </c>
      <c r="G1996" t="s">
        <v>331</v>
      </c>
      <c r="H1996" s="15">
        <v>45292</v>
      </c>
      <c r="I1996">
        <v>8800</v>
      </c>
      <c r="J1996">
        <v>0</v>
      </c>
    </row>
    <row r="1997" spans="1:10" x14ac:dyDescent="0.3">
      <c r="A1997" s="15">
        <v>45536</v>
      </c>
      <c r="B1997" t="s">
        <v>127</v>
      </c>
      <c r="C1997" t="s">
        <v>81</v>
      </c>
      <c r="D1997" t="s">
        <v>82</v>
      </c>
      <c r="E1997" t="s">
        <v>101</v>
      </c>
      <c r="F1997">
        <v>2100</v>
      </c>
      <c r="G1997" t="s">
        <v>331</v>
      </c>
      <c r="H1997" s="15">
        <v>45292</v>
      </c>
      <c r="I1997">
        <v>2100</v>
      </c>
      <c r="J1997">
        <v>0</v>
      </c>
    </row>
    <row r="1998" spans="1:10" x14ac:dyDescent="0.3">
      <c r="A1998" s="15">
        <v>45536</v>
      </c>
      <c r="B1998" t="s">
        <v>128</v>
      </c>
      <c r="C1998" t="s">
        <v>81</v>
      </c>
      <c r="D1998" t="s">
        <v>82</v>
      </c>
      <c r="E1998" t="s">
        <v>92</v>
      </c>
      <c r="F1998">
        <v>1700</v>
      </c>
      <c r="G1998" t="s">
        <v>331</v>
      </c>
      <c r="H1998" s="15">
        <v>45292</v>
      </c>
      <c r="I1998">
        <v>1700</v>
      </c>
      <c r="J1998">
        <v>0</v>
      </c>
    </row>
    <row r="1999" spans="1:10" x14ac:dyDescent="0.3">
      <c r="A1999" s="15">
        <v>45536</v>
      </c>
      <c r="B1999" t="s">
        <v>129</v>
      </c>
      <c r="C1999" t="s">
        <v>110</v>
      </c>
      <c r="D1999" t="s">
        <v>86</v>
      </c>
      <c r="E1999" t="s">
        <v>92</v>
      </c>
      <c r="F1999">
        <v>36700</v>
      </c>
      <c r="G1999" t="s">
        <v>331</v>
      </c>
      <c r="H1999" s="15">
        <v>45292</v>
      </c>
      <c r="I1999">
        <v>36700</v>
      </c>
      <c r="J1999">
        <v>0</v>
      </c>
    </row>
    <row r="2000" spans="1:10" x14ac:dyDescent="0.3">
      <c r="A2000" s="15">
        <v>45536</v>
      </c>
      <c r="B2000" t="s">
        <v>131</v>
      </c>
      <c r="C2000" t="s">
        <v>81</v>
      </c>
      <c r="D2000" t="s">
        <v>86</v>
      </c>
      <c r="E2000" t="s">
        <v>101</v>
      </c>
      <c r="F2000">
        <v>1900</v>
      </c>
      <c r="G2000" t="s">
        <v>331</v>
      </c>
      <c r="H2000" s="15">
        <v>45292</v>
      </c>
      <c r="I2000">
        <v>1900</v>
      </c>
      <c r="J2000">
        <v>0</v>
      </c>
    </row>
    <row r="2001" spans="1:10" x14ac:dyDescent="0.3">
      <c r="A2001" s="15">
        <v>45536</v>
      </c>
      <c r="B2001" t="s">
        <v>133</v>
      </c>
      <c r="C2001" t="s">
        <v>81</v>
      </c>
      <c r="D2001" t="s">
        <v>96</v>
      </c>
      <c r="E2001" t="s">
        <v>87</v>
      </c>
      <c r="F2001">
        <v>2700</v>
      </c>
      <c r="G2001" t="s">
        <v>331</v>
      </c>
      <c r="H2001" s="15">
        <v>45292</v>
      </c>
      <c r="I2001">
        <v>2700</v>
      </c>
      <c r="J2001">
        <v>0</v>
      </c>
    </row>
    <row r="2002" spans="1:10" x14ac:dyDescent="0.3">
      <c r="A2002" s="15">
        <v>45536</v>
      </c>
      <c r="B2002" t="s">
        <v>134</v>
      </c>
      <c r="C2002" t="s">
        <v>81</v>
      </c>
      <c r="D2002" t="s">
        <v>82</v>
      </c>
      <c r="E2002" t="s">
        <v>92</v>
      </c>
      <c r="F2002">
        <v>2900</v>
      </c>
      <c r="G2002" t="s">
        <v>331</v>
      </c>
      <c r="H2002" s="15">
        <v>45292</v>
      </c>
      <c r="I2002">
        <v>2900</v>
      </c>
      <c r="J2002">
        <v>0</v>
      </c>
    </row>
    <row r="2003" spans="1:10" x14ac:dyDescent="0.3">
      <c r="A2003" s="15">
        <v>45536</v>
      </c>
      <c r="B2003" t="s">
        <v>135</v>
      </c>
      <c r="C2003" t="s">
        <v>81</v>
      </c>
      <c r="D2003" t="s">
        <v>82</v>
      </c>
      <c r="E2003" t="s">
        <v>103</v>
      </c>
      <c r="F2003">
        <v>2800</v>
      </c>
      <c r="G2003" t="s">
        <v>331</v>
      </c>
      <c r="H2003" s="15">
        <v>45292</v>
      </c>
      <c r="I2003">
        <v>2800</v>
      </c>
      <c r="J2003">
        <v>0</v>
      </c>
    </row>
    <row r="2004" spans="1:10" x14ac:dyDescent="0.3">
      <c r="A2004" s="15">
        <v>45536</v>
      </c>
      <c r="B2004" t="s">
        <v>136</v>
      </c>
      <c r="C2004" t="s">
        <v>81</v>
      </c>
      <c r="D2004" t="s">
        <v>82</v>
      </c>
      <c r="E2004" t="s">
        <v>101</v>
      </c>
      <c r="F2004">
        <v>2900</v>
      </c>
      <c r="G2004" t="s">
        <v>331</v>
      </c>
      <c r="H2004" s="15">
        <v>45292</v>
      </c>
      <c r="I2004">
        <v>2900</v>
      </c>
      <c r="J2004">
        <v>0</v>
      </c>
    </row>
    <row r="2005" spans="1:10" x14ac:dyDescent="0.3">
      <c r="A2005" s="15">
        <v>45536</v>
      </c>
      <c r="B2005" t="s">
        <v>137</v>
      </c>
      <c r="C2005" t="s">
        <v>81</v>
      </c>
      <c r="D2005" t="s">
        <v>82</v>
      </c>
      <c r="E2005" t="s">
        <v>89</v>
      </c>
      <c r="F2005">
        <v>1700</v>
      </c>
      <c r="G2005" t="s">
        <v>331</v>
      </c>
      <c r="H2005" s="15">
        <v>45292</v>
      </c>
      <c r="I2005">
        <v>1700</v>
      </c>
      <c r="J2005">
        <v>0</v>
      </c>
    </row>
    <row r="2006" spans="1:10" x14ac:dyDescent="0.3">
      <c r="A2006" s="15">
        <v>45536</v>
      </c>
      <c r="B2006" t="s">
        <v>138</v>
      </c>
      <c r="C2006" t="s">
        <v>81</v>
      </c>
      <c r="D2006" t="s">
        <v>86</v>
      </c>
      <c r="E2006" t="s">
        <v>97</v>
      </c>
      <c r="F2006">
        <v>3300</v>
      </c>
      <c r="G2006" t="s">
        <v>331</v>
      </c>
      <c r="H2006" s="15">
        <v>45292</v>
      </c>
      <c r="I2006">
        <v>3300</v>
      </c>
      <c r="J2006">
        <v>0</v>
      </c>
    </row>
    <row r="2007" spans="1:10" x14ac:dyDescent="0.3">
      <c r="A2007" s="15">
        <v>45536</v>
      </c>
      <c r="B2007" t="s">
        <v>139</v>
      </c>
      <c r="C2007" t="s">
        <v>91</v>
      </c>
      <c r="D2007" t="s">
        <v>82</v>
      </c>
      <c r="E2007" t="s">
        <v>103</v>
      </c>
      <c r="F2007">
        <v>6800</v>
      </c>
      <c r="G2007" t="s">
        <v>331</v>
      </c>
      <c r="H2007" s="15">
        <v>45292</v>
      </c>
      <c r="I2007">
        <v>6800</v>
      </c>
      <c r="J2007">
        <v>0</v>
      </c>
    </row>
    <row r="2008" spans="1:10" x14ac:dyDescent="0.3">
      <c r="A2008" s="15">
        <v>45536</v>
      </c>
      <c r="B2008" t="s">
        <v>140</v>
      </c>
      <c r="C2008" t="s">
        <v>81</v>
      </c>
      <c r="D2008" t="s">
        <v>99</v>
      </c>
      <c r="E2008" t="s">
        <v>97</v>
      </c>
      <c r="F2008">
        <v>1800</v>
      </c>
      <c r="G2008" t="s">
        <v>331</v>
      </c>
      <c r="H2008" s="15">
        <v>45292</v>
      </c>
      <c r="I2008">
        <v>1800</v>
      </c>
      <c r="J2008">
        <v>0</v>
      </c>
    </row>
    <row r="2009" spans="1:10" x14ac:dyDescent="0.3">
      <c r="A2009" s="15">
        <v>45536</v>
      </c>
      <c r="B2009" t="s">
        <v>141</v>
      </c>
      <c r="C2009" t="s">
        <v>125</v>
      </c>
      <c r="D2009" t="s">
        <v>99</v>
      </c>
      <c r="E2009" t="s">
        <v>103</v>
      </c>
      <c r="F2009">
        <v>106100</v>
      </c>
      <c r="G2009" t="s">
        <v>331</v>
      </c>
      <c r="H2009" s="15">
        <v>45292</v>
      </c>
      <c r="I2009">
        <v>106100</v>
      </c>
      <c r="J2009">
        <v>0</v>
      </c>
    </row>
    <row r="2010" spans="1:10" x14ac:dyDescent="0.3">
      <c r="A2010" s="15">
        <v>45536</v>
      </c>
      <c r="B2010" t="s">
        <v>142</v>
      </c>
      <c r="C2010" t="s">
        <v>125</v>
      </c>
      <c r="D2010" t="s">
        <v>82</v>
      </c>
      <c r="E2010" t="s">
        <v>92</v>
      </c>
      <c r="F2010">
        <v>93300</v>
      </c>
      <c r="G2010" t="s">
        <v>331</v>
      </c>
      <c r="H2010" s="15">
        <v>45292</v>
      </c>
      <c r="I2010">
        <v>93300</v>
      </c>
      <c r="J2010">
        <v>0</v>
      </c>
    </row>
    <row r="2011" spans="1:10" x14ac:dyDescent="0.3">
      <c r="A2011" s="15">
        <v>45536</v>
      </c>
      <c r="B2011" t="s">
        <v>143</v>
      </c>
      <c r="C2011" t="s">
        <v>91</v>
      </c>
      <c r="D2011" t="s">
        <v>99</v>
      </c>
      <c r="E2011" t="s">
        <v>103</v>
      </c>
      <c r="F2011">
        <v>8000</v>
      </c>
      <c r="G2011" t="s">
        <v>331</v>
      </c>
      <c r="H2011" s="15">
        <v>45292</v>
      </c>
      <c r="I2011">
        <v>8000</v>
      </c>
      <c r="J2011">
        <v>0</v>
      </c>
    </row>
    <row r="2012" spans="1:10" x14ac:dyDescent="0.3">
      <c r="A2012" s="15">
        <v>45536</v>
      </c>
      <c r="B2012" t="s">
        <v>144</v>
      </c>
      <c r="C2012" t="s">
        <v>81</v>
      </c>
      <c r="D2012" t="s">
        <v>82</v>
      </c>
      <c r="E2012" t="s">
        <v>92</v>
      </c>
      <c r="F2012">
        <v>2600</v>
      </c>
      <c r="G2012" t="s">
        <v>331</v>
      </c>
      <c r="H2012" s="15">
        <v>45292</v>
      </c>
      <c r="I2012">
        <v>2600</v>
      </c>
      <c r="J2012">
        <v>0</v>
      </c>
    </row>
    <row r="2013" spans="1:10" x14ac:dyDescent="0.3">
      <c r="A2013" s="15">
        <v>45536</v>
      </c>
      <c r="B2013" t="s">
        <v>145</v>
      </c>
      <c r="C2013" t="s">
        <v>91</v>
      </c>
      <c r="D2013" t="s">
        <v>82</v>
      </c>
      <c r="E2013" t="s">
        <v>87</v>
      </c>
      <c r="F2013">
        <v>8200</v>
      </c>
      <c r="G2013" t="s">
        <v>331</v>
      </c>
      <c r="H2013" s="15">
        <v>45292</v>
      </c>
      <c r="I2013">
        <v>8200</v>
      </c>
      <c r="J2013">
        <v>0</v>
      </c>
    </row>
    <row r="2014" spans="1:10" x14ac:dyDescent="0.3">
      <c r="A2014" s="15">
        <v>45536</v>
      </c>
      <c r="B2014" t="s">
        <v>146</v>
      </c>
      <c r="C2014" t="s">
        <v>91</v>
      </c>
      <c r="D2014" t="s">
        <v>86</v>
      </c>
      <c r="E2014" t="s">
        <v>87</v>
      </c>
      <c r="F2014">
        <v>9200</v>
      </c>
      <c r="G2014" t="s">
        <v>331</v>
      </c>
      <c r="H2014" s="15">
        <v>45292</v>
      </c>
      <c r="I2014">
        <v>9200</v>
      </c>
      <c r="J2014">
        <v>0</v>
      </c>
    </row>
    <row r="2015" spans="1:10" x14ac:dyDescent="0.3">
      <c r="A2015" s="15">
        <v>45536</v>
      </c>
      <c r="B2015" t="s">
        <v>147</v>
      </c>
      <c r="C2015" t="s">
        <v>81</v>
      </c>
      <c r="D2015" t="s">
        <v>82</v>
      </c>
      <c r="E2015" t="s">
        <v>92</v>
      </c>
      <c r="F2015">
        <v>0</v>
      </c>
      <c r="G2015" t="s">
        <v>333</v>
      </c>
      <c r="H2015" s="15">
        <v>45292</v>
      </c>
      <c r="I2015">
        <v>2600</v>
      </c>
      <c r="J2015">
        <v>-2600</v>
      </c>
    </row>
    <row r="2016" spans="1:10" x14ac:dyDescent="0.3">
      <c r="A2016" s="15">
        <v>45536</v>
      </c>
      <c r="B2016" t="s">
        <v>148</v>
      </c>
      <c r="C2016" t="s">
        <v>110</v>
      </c>
      <c r="D2016" t="s">
        <v>86</v>
      </c>
      <c r="E2016" t="s">
        <v>89</v>
      </c>
      <c r="F2016">
        <v>23500</v>
      </c>
      <c r="G2016" t="s">
        <v>331</v>
      </c>
      <c r="H2016" s="15">
        <v>45292</v>
      </c>
      <c r="I2016">
        <v>23500</v>
      </c>
      <c r="J2016">
        <v>0</v>
      </c>
    </row>
    <row r="2017" spans="1:10" x14ac:dyDescent="0.3">
      <c r="A2017" s="15">
        <v>45536</v>
      </c>
      <c r="B2017" t="s">
        <v>149</v>
      </c>
      <c r="C2017" t="s">
        <v>110</v>
      </c>
      <c r="D2017" t="s">
        <v>82</v>
      </c>
      <c r="E2017" t="s">
        <v>103</v>
      </c>
      <c r="F2017">
        <v>31000</v>
      </c>
      <c r="G2017" t="s">
        <v>331</v>
      </c>
      <c r="H2017" s="15">
        <v>45292</v>
      </c>
      <c r="I2017">
        <v>31000</v>
      </c>
      <c r="J2017">
        <v>0</v>
      </c>
    </row>
    <row r="2018" spans="1:10" x14ac:dyDescent="0.3">
      <c r="A2018" s="15">
        <v>45536</v>
      </c>
      <c r="B2018" t="s">
        <v>150</v>
      </c>
      <c r="C2018" t="s">
        <v>91</v>
      </c>
      <c r="D2018" t="s">
        <v>99</v>
      </c>
      <c r="E2018" t="s">
        <v>101</v>
      </c>
      <c r="F2018">
        <v>8700</v>
      </c>
      <c r="G2018" t="s">
        <v>331</v>
      </c>
      <c r="H2018" s="15">
        <v>45292</v>
      </c>
      <c r="I2018">
        <v>8700</v>
      </c>
      <c r="J2018">
        <v>0</v>
      </c>
    </row>
    <row r="2019" spans="1:10" x14ac:dyDescent="0.3">
      <c r="A2019" s="15">
        <v>45536</v>
      </c>
      <c r="B2019" t="s">
        <v>151</v>
      </c>
      <c r="C2019" t="s">
        <v>91</v>
      </c>
      <c r="D2019" t="s">
        <v>82</v>
      </c>
      <c r="E2019" t="s">
        <v>97</v>
      </c>
      <c r="F2019">
        <v>6800</v>
      </c>
      <c r="G2019" t="s">
        <v>334</v>
      </c>
      <c r="H2019" s="15">
        <v>45292</v>
      </c>
      <c r="I2019">
        <v>8200</v>
      </c>
      <c r="J2019">
        <v>-1400</v>
      </c>
    </row>
    <row r="2020" spans="1:10" x14ac:dyDescent="0.3">
      <c r="A2020" s="15">
        <v>45536</v>
      </c>
      <c r="B2020" t="s">
        <v>152</v>
      </c>
      <c r="C2020" t="s">
        <v>81</v>
      </c>
      <c r="D2020" t="s">
        <v>99</v>
      </c>
      <c r="E2020" t="s">
        <v>87</v>
      </c>
      <c r="F2020">
        <v>3100</v>
      </c>
      <c r="G2020" t="s">
        <v>331</v>
      </c>
      <c r="H2020" s="15">
        <v>45292</v>
      </c>
      <c r="I2020">
        <v>3100</v>
      </c>
      <c r="J2020">
        <v>0</v>
      </c>
    </row>
    <row r="2021" spans="1:10" x14ac:dyDescent="0.3">
      <c r="A2021" s="15">
        <v>45536</v>
      </c>
      <c r="B2021" t="s">
        <v>153</v>
      </c>
      <c r="C2021" t="s">
        <v>110</v>
      </c>
      <c r="D2021" t="s">
        <v>99</v>
      </c>
      <c r="E2021" t="s">
        <v>87</v>
      </c>
      <c r="F2021">
        <v>31500</v>
      </c>
      <c r="G2021" t="s">
        <v>331</v>
      </c>
      <c r="H2021" s="15">
        <v>45292</v>
      </c>
      <c r="I2021">
        <v>31500</v>
      </c>
      <c r="J2021">
        <v>0</v>
      </c>
    </row>
    <row r="2022" spans="1:10" x14ac:dyDescent="0.3">
      <c r="A2022" s="15">
        <v>45536</v>
      </c>
      <c r="B2022" t="s">
        <v>154</v>
      </c>
      <c r="C2022" t="s">
        <v>91</v>
      </c>
      <c r="D2022" t="s">
        <v>86</v>
      </c>
      <c r="E2022" t="s">
        <v>103</v>
      </c>
      <c r="F2022">
        <v>8800</v>
      </c>
      <c r="G2022" t="s">
        <v>331</v>
      </c>
      <c r="H2022" s="15">
        <v>45292</v>
      </c>
      <c r="I2022">
        <v>8800</v>
      </c>
      <c r="J2022">
        <v>0</v>
      </c>
    </row>
    <row r="2023" spans="1:10" x14ac:dyDescent="0.3">
      <c r="A2023" s="15">
        <v>45536</v>
      </c>
      <c r="B2023" t="s">
        <v>155</v>
      </c>
      <c r="C2023" t="s">
        <v>91</v>
      </c>
      <c r="D2023" t="s">
        <v>82</v>
      </c>
      <c r="E2023" t="s">
        <v>92</v>
      </c>
      <c r="F2023">
        <v>7100</v>
      </c>
      <c r="G2023" t="s">
        <v>331</v>
      </c>
      <c r="H2023" s="15">
        <v>45292</v>
      </c>
      <c r="I2023">
        <v>7100</v>
      </c>
      <c r="J2023">
        <v>0</v>
      </c>
    </row>
    <row r="2024" spans="1:10" x14ac:dyDescent="0.3">
      <c r="A2024" s="15">
        <v>45536</v>
      </c>
      <c r="B2024" t="s">
        <v>156</v>
      </c>
      <c r="C2024" t="s">
        <v>81</v>
      </c>
      <c r="D2024" t="s">
        <v>86</v>
      </c>
      <c r="E2024" t="s">
        <v>101</v>
      </c>
      <c r="F2024">
        <v>2300</v>
      </c>
      <c r="G2024" t="s">
        <v>331</v>
      </c>
      <c r="H2024" s="15">
        <v>45292</v>
      </c>
      <c r="I2024">
        <v>2300</v>
      </c>
      <c r="J2024">
        <v>0</v>
      </c>
    </row>
    <row r="2025" spans="1:10" x14ac:dyDescent="0.3">
      <c r="A2025" s="15">
        <v>45536</v>
      </c>
      <c r="B2025" t="s">
        <v>157</v>
      </c>
      <c r="C2025" t="s">
        <v>81</v>
      </c>
      <c r="D2025" t="s">
        <v>82</v>
      </c>
      <c r="E2025" t="s">
        <v>92</v>
      </c>
      <c r="F2025">
        <v>1800</v>
      </c>
      <c r="G2025" t="s">
        <v>331</v>
      </c>
      <c r="H2025" s="15">
        <v>45292</v>
      </c>
      <c r="I2025">
        <v>1800</v>
      </c>
      <c r="J2025">
        <v>0</v>
      </c>
    </row>
    <row r="2026" spans="1:10" x14ac:dyDescent="0.3">
      <c r="A2026" s="15">
        <v>45536</v>
      </c>
      <c r="B2026" t="s">
        <v>158</v>
      </c>
      <c r="C2026" t="s">
        <v>91</v>
      </c>
      <c r="D2026" t="s">
        <v>96</v>
      </c>
      <c r="E2026" t="s">
        <v>83</v>
      </c>
      <c r="F2026">
        <v>11400</v>
      </c>
      <c r="G2026" t="s">
        <v>331</v>
      </c>
      <c r="H2026" s="15">
        <v>45292</v>
      </c>
      <c r="I2026">
        <v>11400</v>
      </c>
      <c r="J2026">
        <v>0</v>
      </c>
    </row>
    <row r="2027" spans="1:10" x14ac:dyDescent="0.3">
      <c r="A2027" s="15">
        <v>45536</v>
      </c>
      <c r="B2027" t="s">
        <v>159</v>
      </c>
      <c r="C2027" t="s">
        <v>81</v>
      </c>
      <c r="D2027" t="s">
        <v>86</v>
      </c>
      <c r="E2027" t="s">
        <v>87</v>
      </c>
      <c r="F2027">
        <v>2400</v>
      </c>
      <c r="G2027" t="s">
        <v>331</v>
      </c>
      <c r="H2027" s="15">
        <v>45292</v>
      </c>
      <c r="I2027">
        <v>2400</v>
      </c>
      <c r="J2027">
        <v>0</v>
      </c>
    </row>
    <row r="2028" spans="1:10" x14ac:dyDescent="0.3">
      <c r="A2028" s="15">
        <v>45536</v>
      </c>
      <c r="B2028" t="s">
        <v>161</v>
      </c>
      <c r="C2028" t="s">
        <v>91</v>
      </c>
      <c r="D2028" t="s">
        <v>99</v>
      </c>
      <c r="E2028" t="s">
        <v>83</v>
      </c>
      <c r="F2028">
        <v>10700</v>
      </c>
      <c r="G2028" t="s">
        <v>332</v>
      </c>
      <c r="H2028" s="15">
        <v>45292</v>
      </c>
      <c r="I2028">
        <v>10100</v>
      </c>
      <c r="J2028">
        <v>600</v>
      </c>
    </row>
    <row r="2029" spans="1:10" x14ac:dyDescent="0.3">
      <c r="A2029" s="15">
        <v>45536</v>
      </c>
      <c r="B2029" t="s">
        <v>162</v>
      </c>
      <c r="C2029" t="s">
        <v>91</v>
      </c>
      <c r="D2029" t="s">
        <v>82</v>
      </c>
      <c r="E2029" t="s">
        <v>103</v>
      </c>
      <c r="F2029">
        <v>12700</v>
      </c>
      <c r="G2029" t="s">
        <v>331</v>
      </c>
      <c r="H2029" s="15">
        <v>45292</v>
      </c>
      <c r="I2029">
        <v>12700</v>
      </c>
      <c r="J2029">
        <v>0</v>
      </c>
    </row>
    <row r="2030" spans="1:10" x14ac:dyDescent="0.3">
      <c r="A2030" s="15">
        <v>45536</v>
      </c>
      <c r="B2030" t="s">
        <v>164</v>
      </c>
      <c r="C2030" t="s">
        <v>81</v>
      </c>
      <c r="D2030" t="s">
        <v>99</v>
      </c>
      <c r="E2030" t="s">
        <v>89</v>
      </c>
      <c r="F2030">
        <v>2500</v>
      </c>
      <c r="G2030" t="s">
        <v>331</v>
      </c>
      <c r="H2030" s="15">
        <v>45292</v>
      </c>
      <c r="I2030">
        <v>2500</v>
      </c>
      <c r="J2030">
        <v>0</v>
      </c>
    </row>
    <row r="2031" spans="1:10" x14ac:dyDescent="0.3">
      <c r="A2031" s="15">
        <v>45536</v>
      </c>
      <c r="B2031" t="s">
        <v>165</v>
      </c>
      <c r="C2031" t="s">
        <v>81</v>
      </c>
      <c r="D2031" t="s">
        <v>82</v>
      </c>
      <c r="E2031" t="s">
        <v>97</v>
      </c>
      <c r="F2031">
        <v>2700</v>
      </c>
      <c r="G2031" t="s">
        <v>331</v>
      </c>
      <c r="H2031" s="15">
        <v>45292</v>
      </c>
      <c r="I2031">
        <v>2700</v>
      </c>
      <c r="J2031">
        <v>0</v>
      </c>
    </row>
    <row r="2032" spans="1:10" x14ac:dyDescent="0.3">
      <c r="A2032" s="15">
        <v>45536</v>
      </c>
      <c r="B2032" t="s">
        <v>166</v>
      </c>
      <c r="C2032" t="s">
        <v>81</v>
      </c>
      <c r="D2032" t="s">
        <v>99</v>
      </c>
      <c r="E2032" t="s">
        <v>103</v>
      </c>
      <c r="F2032">
        <v>2600</v>
      </c>
      <c r="G2032" t="s">
        <v>331</v>
      </c>
      <c r="H2032" s="15">
        <v>45292</v>
      </c>
      <c r="I2032">
        <v>2600</v>
      </c>
      <c r="J2032">
        <v>0</v>
      </c>
    </row>
    <row r="2033" spans="1:10" x14ac:dyDescent="0.3">
      <c r="A2033" s="15">
        <v>45536</v>
      </c>
      <c r="B2033" t="s">
        <v>167</v>
      </c>
      <c r="C2033" t="s">
        <v>81</v>
      </c>
      <c r="D2033" t="s">
        <v>82</v>
      </c>
      <c r="E2033" t="s">
        <v>97</v>
      </c>
      <c r="F2033">
        <v>2100</v>
      </c>
      <c r="G2033" t="s">
        <v>331</v>
      </c>
      <c r="H2033" s="15">
        <v>45292</v>
      </c>
      <c r="I2033">
        <v>2100</v>
      </c>
      <c r="J2033">
        <v>0</v>
      </c>
    </row>
    <row r="2034" spans="1:10" x14ac:dyDescent="0.3">
      <c r="A2034" s="15">
        <v>45536</v>
      </c>
      <c r="B2034" t="s">
        <v>168</v>
      </c>
      <c r="C2034" t="s">
        <v>91</v>
      </c>
      <c r="D2034" t="s">
        <v>86</v>
      </c>
      <c r="E2034" t="s">
        <v>103</v>
      </c>
      <c r="F2034">
        <v>12300</v>
      </c>
      <c r="G2034" t="s">
        <v>331</v>
      </c>
      <c r="H2034" s="15">
        <v>45292</v>
      </c>
      <c r="I2034">
        <v>12300</v>
      </c>
      <c r="J2034">
        <v>0</v>
      </c>
    </row>
    <row r="2035" spans="1:10" x14ac:dyDescent="0.3">
      <c r="A2035" s="15">
        <v>45536</v>
      </c>
      <c r="B2035" t="s">
        <v>169</v>
      </c>
      <c r="C2035" t="s">
        <v>81</v>
      </c>
      <c r="D2035" t="s">
        <v>86</v>
      </c>
      <c r="E2035" t="s">
        <v>103</v>
      </c>
      <c r="F2035">
        <v>2000</v>
      </c>
      <c r="G2035" t="s">
        <v>331</v>
      </c>
      <c r="H2035" s="15">
        <v>45292</v>
      </c>
      <c r="I2035">
        <v>2000</v>
      </c>
      <c r="J2035">
        <v>0</v>
      </c>
    </row>
    <row r="2036" spans="1:10" x14ac:dyDescent="0.3">
      <c r="A2036" s="15">
        <v>45536</v>
      </c>
      <c r="B2036" t="s">
        <v>170</v>
      </c>
      <c r="C2036" t="s">
        <v>91</v>
      </c>
      <c r="D2036" t="s">
        <v>99</v>
      </c>
      <c r="E2036" t="s">
        <v>83</v>
      </c>
      <c r="F2036">
        <v>6500</v>
      </c>
      <c r="G2036" t="s">
        <v>331</v>
      </c>
      <c r="H2036" s="15">
        <v>45292</v>
      </c>
      <c r="I2036">
        <v>6500</v>
      </c>
      <c r="J2036">
        <v>0</v>
      </c>
    </row>
    <row r="2037" spans="1:10" x14ac:dyDescent="0.3">
      <c r="A2037" s="15">
        <v>45536</v>
      </c>
      <c r="B2037" t="s">
        <v>171</v>
      </c>
      <c r="C2037" t="s">
        <v>81</v>
      </c>
      <c r="D2037" t="s">
        <v>99</v>
      </c>
      <c r="E2037" t="s">
        <v>97</v>
      </c>
      <c r="F2037">
        <v>1800</v>
      </c>
      <c r="G2037" t="s">
        <v>331</v>
      </c>
      <c r="H2037" s="15">
        <v>45292</v>
      </c>
      <c r="I2037">
        <v>1800</v>
      </c>
      <c r="J2037">
        <v>0</v>
      </c>
    </row>
    <row r="2038" spans="1:10" x14ac:dyDescent="0.3">
      <c r="A2038" s="15">
        <v>45536</v>
      </c>
      <c r="B2038" t="s">
        <v>172</v>
      </c>
      <c r="C2038" t="s">
        <v>91</v>
      </c>
      <c r="D2038" t="s">
        <v>96</v>
      </c>
      <c r="E2038" t="s">
        <v>101</v>
      </c>
      <c r="F2038">
        <v>7700</v>
      </c>
      <c r="G2038" t="s">
        <v>331</v>
      </c>
      <c r="H2038" s="15">
        <v>45292</v>
      </c>
      <c r="I2038">
        <v>7700</v>
      </c>
      <c r="J2038">
        <v>0</v>
      </c>
    </row>
    <row r="2039" spans="1:10" x14ac:dyDescent="0.3">
      <c r="A2039" s="15">
        <v>45536</v>
      </c>
      <c r="B2039" t="s">
        <v>173</v>
      </c>
      <c r="C2039" t="s">
        <v>81</v>
      </c>
      <c r="D2039" t="s">
        <v>86</v>
      </c>
      <c r="E2039" t="s">
        <v>103</v>
      </c>
      <c r="F2039">
        <v>3700</v>
      </c>
      <c r="G2039" t="s">
        <v>331</v>
      </c>
      <c r="H2039" s="15">
        <v>45292</v>
      </c>
      <c r="I2039">
        <v>3700</v>
      </c>
      <c r="J2039">
        <v>0</v>
      </c>
    </row>
    <row r="2040" spans="1:10" x14ac:dyDescent="0.3">
      <c r="A2040" s="15">
        <v>45536</v>
      </c>
      <c r="B2040" t="s">
        <v>174</v>
      </c>
      <c r="C2040" t="s">
        <v>81</v>
      </c>
      <c r="D2040" t="s">
        <v>82</v>
      </c>
      <c r="E2040" t="s">
        <v>92</v>
      </c>
      <c r="F2040">
        <v>2400</v>
      </c>
      <c r="G2040" t="s">
        <v>331</v>
      </c>
      <c r="H2040" s="15">
        <v>45292</v>
      </c>
      <c r="I2040">
        <v>2400</v>
      </c>
      <c r="J2040">
        <v>0</v>
      </c>
    </row>
    <row r="2041" spans="1:10" x14ac:dyDescent="0.3">
      <c r="A2041" s="15">
        <v>45536</v>
      </c>
      <c r="B2041" t="s">
        <v>175</v>
      </c>
      <c r="C2041" t="s">
        <v>91</v>
      </c>
      <c r="D2041" t="s">
        <v>96</v>
      </c>
      <c r="E2041" t="s">
        <v>83</v>
      </c>
      <c r="F2041">
        <v>8800</v>
      </c>
      <c r="G2041" t="s">
        <v>331</v>
      </c>
      <c r="H2041" s="15">
        <v>45292</v>
      </c>
      <c r="I2041">
        <v>8800</v>
      </c>
      <c r="J2041">
        <v>0</v>
      </c>
    </row>
    <row r="2042" spans="1:10" x14ac:dyDescent="0.3">
      <c r="A2042" s="15">
        <v>45536</v>
      </c>
      <c r="B2042" t="s">
        <v>176</v>
      </c>
      <c r="C2042" t="s">
        <v>81</v>
      </c>
      <c r="D2042" t="s">
        <v>99</v>
      </c>
      <c r="E2042" t="s">
        <v>92</v>
      </c>
      <c r="F2042">
        <v>2900</v>
      </c>
      <c r="G2042" t="s">
        <v>331</v>
      </c>
      <c r="H2042" s="15">
        <v>45292</v>
      </c>
      <c r="I2042">
        <v>2900</v>
      </c>
      <c r="J2042">
        <v>0</v>
      </c>
    </row>
    <row r="2043" spans="1:10" x14ac:dyDescent="0.3">
      <c r="A2043" s="15">
        <v>45536</v>
      </c>
      <c r="B2043" t="s">
        <v>177</v>
      </c>
      <c r="C2043" t="s">
        <v>81</v>
      </c>
      <c r="D2043" t="s">
        <v>96</v>
      </c>
      <c r="E2043" t="s">
        <v>83</v>
      </c>
      <c r="F2043">
        <v>2900</v>
      </c>
      <c r="G2043" t="s">
        <v>331</v>
      </c>
      <c r="H2043" s="15">
        <v>45292</v>
      </c>
      <c r="I2043">
        <v>2900</v>
      </c>
      <c r="J2043">
        <v>0</v>
      </c>
    </row>
    <row r="2044" spans="1:10" x14ac:dyDescent="0.3">
      <c r="A2044" s="15">
        <v>45536</v>
      </c>
      <c r="B2044" t="s">
        <v>178</v>
      </c>
      <c r="C2044" t="s">
        <v>91</v>
      </c>
      <c r="D2044" t="s">
        <v>82</v>
      </c>
      <c r="E2044" t="s">
        <v>89</v>
      </c>
      <c r="F2044">
        <v>8400</v>
      </c>
      <c r="G2044" t="s">
        <v>331</v>
      </c>
      <c r="H2044" s="15">
        <v>45292</v>
      </c>
      <c r="I2044">
        <v>8400</v>
      </c>
      <c r="J2044">
        <v>0</v>
      </c>
    </row>
    <row r="2045" spans="1:10" x14ac:dyDescent="0.3">
      <c r="A2045" s="15">
        <v>45536</v>
      </c>
      <c r="B2045" t="s">
        <v>179</v>
      </c>
      <c r="C2045" t="s">
        <v>110</v>
      </c>
      <c r="D2045" t="s">
        <v>86</v>
      </c>
      <c r="E2045" t="s">
        <v>87</v>
      </c>
      <c r="F2045">
        <v>30000</v>
      </c>
      <c r="G2045" t="s">
        <v>331</v>
      </c>
      <c r="H2045" s="15">
        <v>45292</v>
      </c>
      <c r="I2045">
        <v>30000</v>
      </c>
      <c r="J2045">
        <v>0</v>
      </c>
    </row>
    <row r="2046" spans="1:10" x14ac:dyDescent="0.3">
      <c r="A2046" s="15">
        <v>45536</v>
      </c>
      <c r="B2046" t="s">
        <v>180</v>
      </c>
      <c r="C2046" t="s">
        <v>91</v>
      </c>
      <c r="D2046" t="s">
        <v>86</v>
      </c>
      <c r="E2046" t="s">
        <v>83</v>
      </c>
      <c r="F2046">
        <v>8500</v>
      </c>
      <c r="G2046" t="s">
        <v>331</v>
      </c>
      <c r="H2046" s="15">
        <v>45292</v>
      </c>
      <c r="I2046">
        <v>8500</v>
      </c>
      <c r="J2046">
        <v>0</v>
      </c>
    </row>
    <row r="2047" spans="1:10" x14ac:dyDescent="0.3">
      <c r="A2047" s="15">
        <v>45536</v>
      </c>
      <c r="B2047" t="s">
        <v>181</v>
      </c>
      <c r="C2047" t="s">
        <v>91</v>
      </c>
      <c r="D2047" t="s">
        <v>82</v>
      </c>
      <c r="E2047" t="s">
        <v>97</v>
      </c>
      <c r="F2047">
        <v>10100</v>
      </c>
      <c r="G2047" t="s">
        <v>331</v>
      </c>
      <c r="H2047" s="15">
        <v>45292</v>
      </c>
      <c r="I2047">
        <v>10100</v>
      </c>
      <c r="J2047">
        <v>0</v>
      </c>
    </row>
    <row r="2048" spans="1:10" x14ac:dyDescent="0.3">
      <c r="A2048" s="15">
        <v>45536</v>
      </c>
      <c r="B2048" t="s">
        <v>182</v>
      </c>
      <c r="C2048" t="s">
        <v>125</v>
      </c>
      <c r="D2048" t="s">
        <v>82</v>
      </c>
      <c r="E2048" t="s">
        <v>92</v>
      </c>
      <c r="F2048">
        <v>80700</v>
      </c>
      <c r="G2048" t="s">
        <v>331</v>
      </c>
      <c r="H2048" s="15">
        <v>45292</v>
      </c>
      <c r="I2048">
        <v>80700</v>
      </c>
      <c r="J2048">
        <v>0</v>
      </c>
    </row>
    <row r="2049" spans="1:10" x14ac:dyDescent="0.3">
      <c r="A2049" s="15">
        <v>45536</v>
      </c>
      <c r="B2049" t="s">
        <v>183</v>
      </c>
      <c r="C2049" t="s">
        <v>91</v>
      </c>
      <c r="D2049" t="s">
        <v>96</v>
      </c>
      <c r="E2049" t="s">
        <v>92</v>
      </c>
      <c r="F2049">
        <v>9500</v>
      </c>
      <c r="G2049" t="s">
        <v>331</v>
      </c>
      <c r="H2049" s="15">
        <v>45292</v>
      </c>
      <c r="I2049">
        <v>9500</v>
      </c>
      <c r="J2049">
        <v>0</v>
      </c>
    </row>
    <row r="2050" spans="1:10" x14ac:dyDescent="0.3">
      <c r="A2050" s="15">
        <v>45536</v>
      </c>
      <c r="B2050" t="s">
        <v>184</v>
      </c>
      <c r="C2050" t="s">
        <v>81</v>
      </c>
      <c r="D2050" t="s">
        <v>82</v>
      </c>
      <c r="E2050" t="s">
        <v>83</v>
      </c>
      <c r="F2050">
        <v>2600</v>
      </c>
      <c r="G2050" t="s">
        <v>331</v>
      </c>
      <c r="H2050" s="15">
        <v>45292</v>
      </c>
      <c r="I2050">
        <v>2600</v>
      </c>
      <c r="J2050">
        <v>0</v>
      </c>
    </row>
    <row r="2051" spans="1:10" x14ac:dyDescent="0.3">
      <c r="A2051" s="15">
        <v>45536</v>
      </c>
      <c r="B2051" t="s">
        <v>185</v>
      </c>
      <c r="C2051" t="s">
        <v>81</v>
      </c>
      <c r="D2051" t="s">
        <v>96</v>
      </c>
      <c r="E2051" t="s">
        <v>97</v>
      </c>
      <c r="F2051">
        <v>2000</v>
      </c>
      <c r="G2051" t="s">
        <v>331</v>
      </c>
      <c r="H2051" s="15">
        <v>45292</v>
      </c>
      <c r="I2051">
        <v>2000</v>
      </c>
      <c r="J2051">
        <v>0</v>
      </c>
    </row>
    <row r="2052" spans="1:10" x14ac:dyDescent="0.3">
      <c r="A2052" s="15">
        <v>45536</v>
      </c>
      <c r="B2052" t="s">
        <v>186</v>
      </c>
      <c r="C2052" t="s">
        <v>91</v>
      </c>
      <c r="D2052" t="s">
        <v>82</v>
      </c>
      <c r="E2052" t="s">
        <v>103</v>
      </c>
      <c r="F2052">
        <v>12100</v>
      </c>
      <c r="G2052" t="s">
        <v>331</v>
      </c>
      <c r="H2052" s="15">
        <v>45292</v>
      </c>
      <c r="I2052">
        <v>12100</v>
      </c>
      <c r="J2052">
        <v>0</v>
      </c>
    </row>
    <row r="2053" spans="1:10" x14ac:dyDescent="0.3">
      <c r="A2053" s="15">
        <v>45536</v>
      </c>
      <c r="B2053" t="s">
        <v>187</v>
      </c>
      <c r="C2053" t="s">
        <v>110</v>
      </c>
      <c r="D2053" t="s">
        <v>86</v>
      </c>
      <c r="E2053" t="s">
        <v>97</v>
      </c>
      <c r="F2053">
        <v>32300</v>
      </c>
      <c r="G2053" t="s">
        <v>331</v>
      </c>
      <c r="H2053" s="15">
        <v>45292</v>
      </c>
      <c r="I2053">
        <v>32300</v>
      </c>
      <c r="J2053">
        <v>0</v>
      </c>
    </row>
    <row r="2054" spans="1:10" x14ac:dyDescent="0.3">
      <c r="A2054" s="15">
        <v>45536</v>
      </c>
      <c r="B2054" t="s">
        <v>188</v>
      </c>
      <c r="C2054" t="s">
        <v>91</v>
      </c>
      <c r="D2054" t="s">
        <v>82</v>
      </c>
      <c r="E2054" t="s">
        <v>92</v>
      </c>
      <c r="F2054">
        <v>12000</v>
      </c>
      <c r="G2054" t="s">
        <v>331</v>
      </c>
      <c r="H2054" s="15">
        <v>45292</v>
      </c>
      <c r="I2054">
        <v>12000</v>
      </c>
      <c r="J2054">
        <v>0</v>
      </c>
    </row>
    <row r="2055" spans="1:10" x14ac:dyDescent="0.3">
      <c r="A2055" s="15">
        <v>45536</v>
      </c>
      <c r="B2055" t="s">
        <v>189</v>
      </c>
      <c r="C2055" t="s">
        <v>81</v>
      </c>
      <c r="D2055" t="s">
        <v>86</v>
      </c>
      <c r="E2055" t="s">
        <v>103</v>
      </c>
      <c r="F2055">
        <v>2000</v>
      </c>
      <c r="G2055" t="s">
        <v>331</v>
      </c>
      <c r="H2055" s="15">
        <v>45292</v>
      </c>
      <c r="I2055">
        <v>2000</v>
      </c>
      <c r="J2055">
        <v>0</v>
      </c>
    </row>
    <row r="2056" spans="1:10" x14ac:dyDescent="0.3">
      <c r="A2056" s="15">
        <v>45536</v>
      </c>
      <c r="B2056" t="s">
        <v>190</v>
      </c>
      <c r="C2056" t="s">
        <v>81</v>
      </c>
      <c r="D2056" t="s">
        <v>99</v>
      </c>
      <c r="E2056" t="s">
        <v>89</v>
      </c>
      <c r="F2056">
        <v>2000</v>
      </c>
      <c r="G2056" t="s">
        <v>331</v>
      </c>
      <c r="H2056" s="15">
        <v>45292</v>
      </c>
      <c r="I2056">
        <v>2000</v>
      </c>
      <c r="J2056">
        <v>0</v>
      </c>
    </row>
    <row r="2057" spans="1:10" x14ac:dyDescent="0.3">
      <c r="A2057" s="15">
        <v>45536</v>
      </c>
      <c r="B2057" t="s">
        <v>191</v>
      </c>
      <c r="C2057" t="s">
        <v>91</v>
      </c>
      <c r="D2057" t="s">
        <v>86</v>
      </c>
      <c r="E2057" t="s">
        <v>87</v>
      </c>
      <c r="F2057">
        <v>6900</v>
      </c>
      <c r="G2057" t="s">
        <v>331</v>
      </c>
      <c r="H2057" s="15">
        <v>45292</v>
      </c>
      <c r="I2057">
        <v>6900</v>
      </c>
      <c r="J2057">
        <v>0</v>
      </c>
    </row>
    <row r="2058" spans="1:10" x14ac:dyDescent="0.3">
      <c r="A2058" s="15">
        <v>45536</v>
      </c>
      <c r="B2058" t="s">
        <v>192</v>
      </c>
      <c r="C2058" t="s">
        <v>81</v>
      </c>
      <c r="D2058" t="s">
        <v>82</v>
      </c>
      <c r="E2058" t="s">
        <v>97</v>
      </c>
      <c r="F2058">
        <v>2700</v>
      </c>
      <c r="G2058" t="s">
        <v>331</v>
      </c>
      <c r="H2058" s="15">
        <v>45292</v>
      </c>
      <c r="I2058">
        <v>2700</v>
      </c>
      <c r="J2058">
        <v>0</v>
      </c>
    </row>
    <row r="2059" spans="1:10" x14ac:dyDescent="0.3">
      <c r="A2059" s="15">
        <v>45536</v>
      </c>
      <c r="B2059" t="s">
        <v>193</v>
      </c>
      <c r="C2059" t="s">
        <v>81</v>
      </c>
      <c r="D2059" t="s">
        <v>82</v>
      </c>
      <c r="E2059" t="s">
        <v>87</v>
      </c>
      <c r="F2059">
        <v>3200</v>
      </c>
      <c r="G2059" t="s">
        <v>331</v>
      </c>
      <c r="H2059" s="15">
        <v>45292</v>
      </c>
      <c r="I2059">
        <v>3200</v>
      </c>
      <c r="J2059">
        <v>0</v>
      </c>
    </row>
    <row r="2060" spans="1:10" x14ac:dyDescent="0.3">
      <c r="A2060" s="15">
        <v>45536</v>
      </c>
      <c r="B2060" t="s">
        <v>194</v>
      </c>
      <c r="C2060" t="s">
        <v>91</v>
      </c>
      <c r="D2060" t="s">
        <v>82</v>
      </c>
      <c r="E2060" t="s">
        <v>101</v>
      </c>
      <c r="F2060">
        <v>10400</v>
      </c>
      <c r="G2060" t="s">
        <v>331</v>
      </c>
      <c r="H2060" s="15">
        <v>45292</v>
      </c>
      <c r="I2060">
        <v>10400</v>
      </c>
      <c r="J2060">
        <v>0</v>
      </c>
    </row>
    <row r="2061" spans="1:10" x14ac:dyDescent="0.3">
      <c r="A2061" s="15">
        <v>45536</v>
      </c>
      <c r="B2061" t="s">
        <v>195</v>
      </c>
      <c r="C2061" t="s">
        <v>91</v>
      </c>
      <c r="D2061" t="s">
        <v>86</v>
      </c>
      <c r="E2061" t="s">
        <v>97</v>
      </c>
      <c r="F2061">
        <v>6800</v>
      </c>
      <c r="G2061" t="s">
        <v>331</v>
      </c>
      <c r="H2061" s="15">
        <v>45292</v>
      </c>
      <c r="I2061">
        <v>6800</v>
      </c>
      <c r="J2061">
        <v>0</v>
      </c>
    </row>
    <row r="2062" spans="1:10" x14ac:dyDescent="0.3">
      <c r="A2062" s="15">
        <v>45536</v>
      </c>
      <c r="B2062" t="s">
        <v>196</v>
      </c>
      <c r="C2062" t="s">
        <v>81</v>
      </c>
      <c r="D2062" t="s">
        <v>86</v>
      </c>
      <c r="E2062" t="s">
        <v>87</v>
      </c>
      <c r="F2062">
        <v>2600</v>
      </c>
      <c r="G2062" t="s">
        <v>331</v>
      </c>
      <c r="H2062" s="15">
        <v>45292</v>
      </c>
      <c r="I2062">
        <v>2600</v>
      </c>
      <c r="J2062">
        <v>0</v>
      </c>
    </row>
    <row r="2063" spans="1:10" x14ac:dyDescent="0.3">
      <c r="A2063" s="15">
        <v>45536</v>
      </c>
      <c r="B2063" t="s">
        <v>197</v>
      </c>
      <c r="C2063" t="s">
        <v>91</v>
      </c>
      <c r="D2063" t="s">
        <v>82</v>
      </c>
      <c r="E2063" t="s">
        <v>89</v>
      </c>
      <c r="F2063">
        <v>10400</v>
      </c>
      <c r="G2063" t="s">
        <v>331</v>
      </c>
      <c r="H2063" s="15">
        <v>45292</v>
      </c>
      <c r="I2063">
        <v>10400</v>
      </c>
      <c r="J2063">
        <v>0</v>
      </c>
    </row>
    <row r="2064" spans="1:10" x14ac:dyDescent="0.3">
      <c r="A2064" s="15">
        <v>45536</v>
      </c>
      <c r="B2064" t="s">
        <v>198</v>
      </c>
      <c r="C2064" t="s">
        <v>81</v>
      </c>
      <c r="D2064" t="s">
        <v>82</v>
      </c>
      <c r="E2064" t="s">
        <v>89</v>
      </c>
      <c r="F2064">
        <v>2900</v>
      </c>
      <c r="G2064" t="s">
        <v>331</v>
      </c>
      <c r="H2064" s="15">
        <v>45292</v>
      </c>
      <c r="I2064">
        <v>2900</v>
      </c>
      <c r="J2064">
        <v>0</v>
      </c>
    </row>
    <row r="2065" spans="1:10" x14ac:dyDescent="0.3">
      <c r="A2065" s="15">
        <v>45536</v>
      </c>
      <c r="B2065" t="s">
        <v>199</v>
      </c>
      <c r="C2065" t="s">
        <v>81</v>
      </c>
      <c r="D2065" t="s">
        <v>86</v>
      </c>
      <c r="E2065" t="s">
        <v>89</v>
      </c>
      <c r="F2065">
        <v>2200</v>
      </c>
      <c r="G2065" t="s">
        <v>331</v>
      </c>
      <c r="H2065" s="15">
        <v>45292</v>
      </c>
      <c r="I2065">
        <v>2200</v>
      </c>
      <c r="J2065">
        <v>0</v>
      </c>
    </row>
    <row r="2066" spans="1:10" x14ac:dyDescent="0.3">
      <c r="A2066" s="15">
        <v>45536</v>
      </c>
      <c r="B2066" t="s">
        <v>200</v>
      </c>
      <c r="C2066" t="s">
        <v>91</v>
      </c>
      <c r="D2066" t="s">
        <v>86</v>
      </c>
      <c r="E2066" t="s">
        <v>92</v>
      </c>
      <c r="F2066">
        <v>8800</v>
      </c>
      <c r="G2066" t="s">
        <v>332</v>
      </c>
      <c r="H2066" s="15">
        <v>45292</v>
      </c>
      <c r="I2066">
        <v>8400</v>
      </c>
      <c r="J2066">
        <v>400</v>
      </c>
    </row>
    <row r="2067" spans="1:10" x14ac:dyDescent="0.3">
      <c r="A2067" s="15">
        <v>45536</v>
      </c>
      <c r="B2067" t="s">
        <v>201</v>
      </c>
      <c r="C2067" t="s">
        <v>81</v>
      </c>
      <c r="D2067" t="s">
        <v>86</v>
      </c>
      <c r="E2067" t="s">
        <v>83</v>
      </c>
      <c r="F2067">
        <v>1800</v>
      </c>
      <c r="G2067" t="s">
        <v>331</v>
      </c>
      <c r="H2067" s="15">
        <v>45292</v>
      </c>
      <c r="I2067">
        <v>1800</v>
      </c>
      <c r="J2067">
        <v>0</v>
      </c>
    </row>
    <row r="2068" spans="1:10" x14ac:dyDescent="0.3">
      <c r="A2068" s="15">
        <v>45536</v>
      </c>
      <c r="B2068" t="s">
        <v>202</v>
      </c>
      <c r="C2068" t="s">
        <v>91</v>
      </c>
      <c r="D2068" t="s">
        <v>82</v>
      </c>
      <c r="E2068" t="s">
        <v>92</v>
      </c>
      <c r="F2068">
        <v>11000</v>
      </c>
      <c r="G2068" t="s">
        <v>331</v>
      </c>
      <c r="H2068" s="15">
        <v>45292</v>
      </c>
      <c r="I2068">
        <v>11000</v>
      </c>
      <c r="J2068">
        <v>0</v>
      </c>
    </row>
    <row r="2069" spans="1:10" x14ac:dyDescent="0.3">
      <c r="A2069" s="15">
        <v>45536</v>
      </c>
      <c r="B2069" t="s">
        <v>203</v>
      </c>
      <c r="C2069" t="s">
        <v>110</v>
      </c>
      <c r="D2069" t="s">
        <v>86</v>
      </c>
      <c r="E2069" t="s">
        <v>92</v>
      </c>
      <c r="F2069">
        <v>32000</v>
      </c>
      <c r="G2069" t="s">
        <v>331</v>
      </c>
      <c r="H2069" s="15">
        <v>45292</v>
      </c>
      <c r="I2069">
        <v>32000</v>
      </c>
      <c r="J2069">
        <v>0</v>
      </c>
    </row>
    <row r="2070" spans="1:10" x14ac:dyDescent="0.3">
      <c r="A2070" s="15">
        <v>45536</v>
      </c>
      <c r="B2070" t="s">
        <v>204</v>
      </c>
      <c r="C2070" t="s">
        <v>81</v>
      </c>
      <c r="D2070" t="s">
        <v>82</v>
      </c>
      <c r="E2070" t="s">
        <v>87</v>
      </c>
      <c r="F2070">
        <v>2200</v>
      </c>
      <c r="G2070" t="s">
        <v>331</v>
      </c>
      <c r="H2070" s="15">
        <v>45292</v>
      </c>
      <c r="I2070">
        <v>2200</v>
      </c>
      <c r="J2070">
        <v>0</v>
      </c>
    </row>
    <row r="2071" spans="1:10" x14ac:dyDescent="0.3">
      <c r="A2071" s="15">
        <v>45536</v>
      </c>
      <c r="B2071" t="s">
        <v>205</v>
      </c>
      <c r="C2071" t="s">
        <v>91</v>
      </c>
      <c r="D2071" t="s">
        <v>86</v>
      </c>
      <c r="E2071" t="s">
        <v>103</v>
      </c>
      <c r="F2071">
        <v>10600</v>
      </c>
      <c r="G2071" t="s">
        <v>331</v>
      </c>
      <c r="H2071" s="15">
        <v>45292</v>
      </c>
      <c r="I2071">
        <v>10600</v>
      </c>
      <c r="J2071">
        <v>0</v>
      </c>
    </row>
    <row r="2072" spans="1:10" x14ac:dyDescent="0.3">
      <c r="A2072" s="15">
        <v>45536</v>
      </c>
      <c r="B2072" t="s">
        <v>206</v>
      </c>
      <c r="C2072" t="s">
        <v>81</v>
      </c>
      <c r="D2072" t="s">
        <v>86</v>
      </c>
      <c r="E2072" t="s">
        <v>89</v>
      </c>
      <c r="F2072">
        <v>3000</v>
      </c>
      <c r="G2072" t="s">
        <v>331</v>
      </c>
      <c r="H2072" s="15">
        <v>45292</v>
      </c>
      <c r="I2072">
        <v>3000</v>
      </c>
      <c r="J2072">
        <v>0</v>
      </c>
    </row>
    <row r="2073" spans="1:10" x14ac:dyDescent="0.3">
      <c r="A2073" s="15">
        <v>45536</v>
      </c>
      <c r="B2073" t="s">
        <v>207</v>
      </c>
      <c r="C2073" t="s">
        <v>81</v>
      </c>
      <c r="D2073" t="s">
        <v>82</v>
      </c>
      <c r="E2073" t="s">
        <v>89</v>
      </c>
      <c r="F2073">
        <v>4700</v>
      </c>
      <c r="G2073" t="s">
        <v>332</v>
      </c>
      <c r="H2073" s="15">
        <v>45292</v>
      </c>
      <c r="I2073">
        <v>4100</v>
      </c>
      <c r="J2073">
        <v>600</v>
      </c>
    </row>
    <row r="2074" spans="1:10" x14ac:dyDescent="0.3">
      <c r="A2074" s="15">
        <v>45536</v>
      </c>
      <c r="B2074" t="s">
        <v>208</v>
      </c>
      <c r="C2074" t="s">
        <v>91</v>
      </c>
      <c r="D2074" t="s">
        <v>99</v>
      </c>
      <c r="E2074" t="s">
        <v>89</v>
      </c>
      <c r="F2074">
        <v>7300</v>
      </c>
      <c r="G2074" t="s">
        <v>331</v>
      </c>
      <c r="H2074" s="15">
        <v>45292</v>
      </c>
      <c r="I2074">
        <v>7300</v>
      </c>
      <c r="J2074">
        <v>0</v>
      </c>
    </row>
    <row r="2075" spans="1:10" x14ac:dyDescent="0.3">
      <c r="A2075" s="15">
        <v>45536</v>
      </c>
      <c r="B2075" t="s">
        <v>209</v>
      </c>
      <c r="C2075" t="s">
        <v>81</v>
      </c>
      <c r="D2075" t="s">
        <v>86</v>
      </c>
      <c r="E2075" t="s">
        <v>83</v>
      </c>
      <c r="F2075">
        <v>2700</v>
      </c>
      <c r="G2075" t="s">
        <v>331</v>
      </c>
      <c r="H2075" s="15">
        <v>45292</v>
      </c>
      <c r="I2075">
        <v>2700</v>
      </c>
      <c r="J2075">
        <v>0</v>
      </c>
    </row>
    <row r="2076" spans="1:10" x14ac:dyDescent="0.3">
      <c r="A2076" s="15">
        <v>45536</v>
      </c>
      <c r="B2076" t="s">
        <v>210</v>
      </c>
      <c r="C2076" t="s">
        <v>125</v>
      </c>
      <c r="D2076" t="s">
        <v>96</v>
      </c>
      <c r="E2076" t="s">
        <v>89</v>
      </c>
      <c r="F2076">
        <v>90300</v>
      </c>
      <c r="G2076" t="s">
        <v>331</v>
      </c>
      <c r="H2076" s="15">
        <v>45292</v>
      </c>
      <c r="I2076">
        <v>90300</v>
      </c>
      <c r="J2076">
        <v>0</v>
      </c>
    </row>
    <row r="2077" spans="1:10" x14ac:dyDescent="0.3">
      <c r="A2077" s="15">
        <v>45536</v>
      </c>
      <c r="B2077" t="s">
        <v>211</v>
      </c>
      <c r="C2077" t="s">
        <v>110</v>
      </c>
      <c r="D2077" t="s">
        <v>82</v>
      </c>
      <c r="E2077" t="s">
        <v>92</v>
      </c>
      <c r="F2077">
        <v>28900</v>
      </c>
      <c r="G2077" t="s">
        <v>331</v>
      </c>
      <c r="H2077" s="15">
        <v>45292</v>
      </c>
      <c r="I2077">
        <v>28900</v>
      </c>
      <c r="J2077">
        <v>0</v>
      </c>
    </row>
    <row r="2078" spans="1:10" x14ac:dyDescent="0.3">
      <c r="A2078" s="15">
        <v>45536</v>
      </c>
      <c r="B2078" t="s">
        <v>212</v>
      </c>
      <c r="C2078" t="s">
        <v>81</v>
      </c>
      <c r="D2078" t="s">
        <v>96</v>
      </c>
      <c r="E2078" t="s">
        <v>101</v>
      </c>
      <c r="F2078">
        <v>2700</v>
      </c>
      <c r="G2078" t="s">
        <v>331</v>
      </c>
      <c r="H2078" s="15">
        <v>45292</v>
      </c>
      <c r="I2078">
        <v>2700</v>
      </c>
      <c r="J2078">
        <v>0</v>
      </c>
    </row>
    <row r="2079" spans="1:10" x14ac:dyDescent="0.3">
      <c r="A2079" s="15">
        <v>45536</v>
      </c>
      <c r="B2079" t="s">
        <v>213</v>
      </c>
      <c r="C2079" t="s">
        <v>81</v>
      </c>
      <c r="D2079" t="s">
        <v>82</v>
      </c>
      <c r="E2079" t="s">
        <v>97</v>
      </c>
      <c r="F2079">
        <v>3300</v>
      </c>
      <c r="G2079" t="s">
        <v>331</v>
      </c>
      <c r="H2079" s="15">
        <v>45292</v>
      </c>
      <c r="I2079">
        <v>3300</v>
      </c>
      <c r="J2079">
        <v>0</v>
      </c>
    </row>
    <row r="2080" spans="1:10" x14ac:dyDescent="0.3">
      <c r="A2080" s="15">
        <v>45536</v>
      </c>
      <c r="B2080" t="s">
        <v>214</v>
      </c>
      <c r="C2080" t="s">
        <v>91</v>
      </c>
      <c r="D2080" t="s">
        <v>82</v>
      </c>
      <c r="E2080" t="s">
        <v>89</v>
      </c>
      <c r="F2080">
        <v>8700</v>
      </c>
      <c r="G2080" t="s">
        <v>331</v>
      </c>
      <c r="H2080" s="15">
        <v>45292</v>
      </c>
      <c r="I2080">
        <v>8700</v>
      </c>
      <c r="J2080">
        <v>0</v>
      </c>
    </row>
    <row r="2081" spans="1:10" x14ac:dyDescent="0.3">
      <c r="A2081" s="15">
        <v>45536</v>
      </c>
      <c r="B2081" t="s">
        <v>215</v>
      </c>
      <c r="C2081" t="s">
        <v>110</v>
      </c>
      <c r="D2081" t="s">
        <v>99</v>
      </c>
      <c r="E2081" t="s">
        <v>89</v>
      </c>
      <c r="F2081">
        <v>42900</v>
      </c>
      <c r="G2081" t="s">
        <v>331</v>
      </c>
      <c r="H2081" s="15">
        <v>45292</v>
      </c>
      <c r="I2081">
        <v>42900</v>
      </c>
      <c r="J2081">
        <v>0</v>
      </c>
    </row>
    <row r="2082" spans="1:10" x14ac:dyDescent="0.3">
      <c r="A2082" s="15">
        <v>45536</v>
      </c>
      <c r="B2082" t="s">
        <v>216</v>
      </c>
      <c r="C2082" t="s">
        <v>81</v>
      </c>
      <c r="D2082" t="s">
        <v>82</v>
      </c>
      <c r="E2082" t="s">
        <v>97</v>
      </c>
      <c r="F2082">
        <v>3500</v>
      </c>
      <c r="G2082" t="s">
        <v>331</v>
      </c>
      <c r="H2082" s="15">
        <v>45292</v>
      </c>
      <c r="I2082">
        <v>3500</v>
      </c>
      <c r="J2082">
        <v>0</v>
      </c>
    </row>
    <row r="2083" spans="1:10" x14ac:dyDescent="0.3">
      <c r="A2083" s="15">
        <v>45536</v>
      </c>
      <c r="B2083" t="s">
        <v>217</v>
      </c>
      <c r="C2083" t="s">
        <v>91</v>
      </c>
      <c r="D2083" t="s">
        <v>82</v>
      </c>
      <c r="E2083" t="s">
        <v>97</v>
      </c>
      <c r="F2083">
        <v>9000</v>
      </c>
      <c r="G2083" t="s">
        <v>331</v>
      </c>
      <c r="H2083" s="15">
        <v>45292</v>
      </c>
      <c r="I2083">
        <v>9000</v>
      </c>
      <c r="J2083">
        <v>0</v>
      </c>
    </row>
    <row r="2084" spans="1:10" x14ac:dyDescent="0.3">
      <c r="A2084" s="15">
        <v>45536</v>
      </c>
      <c r="B2084" t="s">
        <v>218</v>
      </c>
      <c r="C2084" t="s">
        <v>110</v>
      </c>
      <c r="D2084" t="s">
        <v>99</v>
      </c>
      <c r="E2084" t="s">
        <v>92</v>
      </c>
      <c r="F2084">
        <v>29900</v>
      </c>
      <c r="G2084" t="s">
        <v>331</v>
      </c>
      <c r="H2084" s="15">
        <v>45292</v>
      </c>
      <c r="I2084">
        <v>29900</v>
      </c>
      <c r="J2084">
        <v>0</v>
      </c>
    </row>
    <row r="2085" spans="1:10" x14ac:dyDescent="0.3">
      <c r="A2085" s="15">
        <v>45536</v>
      </c>
      <c r="B2085" t="s">
        <v>219</v>
      </c>
      <c r="C2085" t="s">
        <v>81</v>
      </c>
      <c r="D2085" t="s">
        <v>99</v>
      </c>
      <c r="E2085" t="s">
        <v>89</v>
      </c>
      <c r="F2085">
        <v>2500</v>
      </c>
      <c r="G2085" t="s">
        <v>331</v>
      </c>
      <c r="H2085" s="15">
        <v>45292</v>
      </c>
      <c r="I2085">
        <v>2500</v>
      </c>
      <c r="J2085">
        <v>0</v>
      </c>
    </row>
    <row r="2086" spans="1:10" x14ac:dyDescent="0.3">
      <c r="A2086" s="15">
        <v>45536</v>
      </c>
      <c r="B2086" t="s">
        <v>220</v>
      </c>
      <c r="C2086" t="s">
        <v>110</v>
      </c>
      <c r="D2086" t="s">
        <v>82</v>
      </c>
      <c r="E2086" t="s">
        <v>89</v>
      </c>
      <c r="F2086">
        <v>30800</v>
      </c>
      <c r="G2086" t="s">
        <v>331</v>
      </c>
      <c r="H2086" s="15">
        <v>45292</v>
      </c>
      <c r="I2086">
        <v>30800</v>
      </c>
      <c r="J2086">
        <v>0</v>
      </c>
    </row>
    <row r="2087" spans="1:10" x14ac:dyDescent="0.3">
      <c r="A2087" s="15">
        <v>45536</v>
      </c>
      <c r="B2087" t="s">
        <v>221</v>
      </c>
      <c r="C2087" t="s">
        <v>91</v>
      </c>
      <c r="D2087" t="s">
        <v>96</v>
      </c>
      <c r="E2087" t="s">
        <v>83</v>
      </c>
      <c r="F2087">
        <v>8200</v>
      </c>
      <c r="G2087" t="s">
        <v>331</v>
      </c>
      <c r="H2087" s="15">
        <v>45292</v>
      </c>
      <c r="I2087">
        <v>8200</v>
      </c>
      <c r="J2087">
        <v>0</v>
      </c>
    </row>
    <row r="2088" spans="1:10" x14ac:dyDescent="0.3">
      <c r="A2088" s="15">
        <v>45536</v>
      </c>
      <c r="B2088" t="s">
        <v>222</v>
      </c>
      <c r="C2088" t="s">
        <v>110</v>
      </c>
      <c r="D2088" t="s">
        <v>96</v>
      </c>
      <c r="E2088" t="s">
        <v>97</v>
      </c>
      <c r="F2088">
        <v>26100</v>
      </c>
      <c r="G2088" t="s">
        <v>331</v>
      </c>
      <c r="H2088" s="15">
        <v>45292</v>
      </c>
      <c r="I2088">
        <v>26100</v>
      </c>
      <c r="J2088">
        <v>0</v>
      </c>
    </row>
    <row r="2089" spans="1:10" x14ac:dyDescent="0.3">
      <c r="A2089" s="15">
        <v>45536</v>
      </c>
      <c r="B2089" t="s">
        <v>223</v>
      </c>
      <c r="C2089" t="s">
        <v>81</v>
      </c>
      <c r="D2089" t="s">
        <v>99</v>
      </c>
      <c r="E2089" t="s">
        <v>87</v>
      </c>
      <c r="F2089">
        <v>2100</v>
      </c>
      <c r="G2089" t="s">
        <v>331</v>
      </c>
      <c r="H2089" s="15">
        <v>45292</v>
      </c>
      <c r="I2089">
        <v>2100</v>
      </c>
      <c r="J2089">
        <v>0</v>
      </c>
    </row>
    <row r="2090" spans="1:10" x14ac:dyDescent="0.3">
      <c r="A2090" s="15">
        <v>45536</v>
      </c>
      <c r="B2090" t="s">
        <v>224</v>
      </c>
      <c r="C2090" t="s">
        <v>91</v>
      </c>
      <c r="D2090" t="s">
        <v>82</v>
      </c>
      <c r="E2090" t="s">
        <v>101</v>
      </c>
      <c r="F2090">
        <v>10300</v>
      </c>
      <c r="G2090" t="s">
        <v>331</v>
      </c>
      <c r="H2090" s="15">
        <v>45292</v>
      </c>
      <c r="I2090">
        <v>10300</v>
      </c>
      <c r="J2090">
        <v>0</v>
      </c>
    </row>
    <row r="2091" spans="1:10" x14ac:dyDescent="0.3">
      <c r="A2091" s="15">
        <v>45536</v>
      </c>
      <c r="B2091" t="s">
        <v>225</v>
      </c>
      <c r="C2091" t="s">
        <v>110</v>
      </c>
      <c r="D2091" t="s">
        <v>99</v>
      </c>
      <c r="E2091" t="s">
        <v>103</v>
      </c>
      <c r="F2091">
        <v>42200</v>
      </c>
      <c r="G2091" t="s">
        <v>331</v>
      </c>
      <c r="H2091" s="15">
        <v>45292</v>
      </c>
      <c r="I2091">
        <v>42200</v>
      </c>
      <c r="J2091">
        <v>0</v>
      </c>
    </row>
    <row r="2092" spans="1:10" x14ac:dyDescent="0.3">
      <c r="A2092" s="15">
        <v>45536</v>
      </c>
      <c r="B2092" t="s">
        <v>226</v>
      </c>
      <c r="C2092" t="s">
        <v>91</v>
      </c>
      <c r="D2092" t="s">
        <v>82</v>
      </c>
      <c r="E2092" t="s">
        <v>103</v>
      </c>
      <c r="F2092">
        <v>6300</v>
      </c>
      <c r="G2092" t="s">
        <v>331</v>
      </c>
      <c r="H2092" s="15">
        <v>45292</v>
      </c>
      <c r="I2092">
        <v>6300</v>
      </c>
      <c r="J2092">
        <v>0</v>
      </c>
    </row>
    <row r="2093" spans="1:10" x14ac:dyDescent="0.3">
      <c r="A2093" s="15">
        <v>45536</v>
      </c>
      <c r="B2093" t="s">
        <v>227</v>
      </c>
      <c r="C2093" t="s">
        <v>110</v>
      </c>
      <c r="D2093" t="s">
        <v>86</v>
      </c>
      <c r="E2093" t="s">
        <v>87</v>
      </c>
      <c r="F2093">
        <v>25900</v>
      </c>
      <c r="G2093" t="s">
        <v>331</v>
      </c>
      <c r="H2093" s="15">
        <v>45292</v>
      </c>
      <c r="I2093">
        <v>25900</v>
      </c>
      <c r="J2093">
        <v>0</v>
      </c>
    </row>
    <row r="2094" spans="1:10" x14ac:dyDescent="0.3">
      <c r="A2094" s="15">
        <v>45536</v>
      </c>
      <c r="B2094" t="s">
        <v>228</v>
      </c>
      <c r="C2094" t="s">
        <v>91</v>
      </c>
      <c r="D2094" t="s">
        <v>96</v>
      </c>
      <c r="E2094" t="s">
        <v>89</v>
      </c>
      <c r="F2094">
        <v>12000</v>
      </c>
      <c r="G2094" t="s">
        <v>331</v>
      </c>
      <c r="H2094" s="15">
        <v>45292</v>
      </c>
      <c r="I2094">
        <v>12000</v>
      </c>
      <c r="J2094">
        <v>0</v>
      </c>
    </row>
    <row r="2095" spans="1:10" x14ac:dyDescent="0.3">
      <c r="A2095" s="15">
        <v>45536</v>
      </c>
      <c r="B2095" t="s">
        <v>229</v>
      </c>
      <c r="C2095" t="s">
        <v>81</v>
      </c>
      <c r="D2095" t="s">
        <v>82</v>
      </c>
      <c r="E2095" t="s">
        <v>83</v>
      </c>
      <c r="F2095">
        <v>3000</v>
      </c>
      <c r="G2095" t="s">
        <v>331</v>
      </c>
      <c r="H2095" s="15">
        <v>45292</v>
      </c>
      <c r="I2095">
        <v>3000</v>
      </c>
      <c r="J2095">
        <v>0</v>
      </c>
    </row>
    <row r="2096" spans="1:10" x14ac:dyDescent="0.3">
      <c r="A2096" s="15">
        <v>45536</v>
      </c>
      <c r="B2096" t="s">
        <v>230</v>
      </c>
      <c r="C2096" t="s">
        <v>81</v>
      </c>
      <c r="D2096" t="s">
        <v>86</v>
      </c>
      <c r="E2096" t="s">
        <v>101</v>
      </c>
      <c r="F2096">
        <v>3400</v>
      </c>
      <c r="G2096" t="s">
        <v>331</v>
      </c>
      <c r="H2096" s="15">
        <v>45292</v>
      </c>
      <c r="I2096">
        <v>3400</v>
      </c>
      <c r="J2096">
        <v>0</v>
      </c>
    </row>
    <row r="2097" spans="1:10" x14ac:dyDescent="0.3">
      <c r="A2097" s="15">
        <v>45536</v>
      </c>
      <c r="B2097" t="s">
        <v>231</v>
      </c>
      <c r="C2097" t="s">
        <v>91</v>
      </c>
      <c r="D2097" t="s">
        <v>82</v>
      </c>
      <c r="E2097" t="s">
        <v>92</v>
      </c>
      <c r="F2097">
        <v>6900</v>
      </c>
      <c r="G2097" t="s">
        <v>331</v>
      </c>
      <c r="H2097" s="15">
        <v>45292</v>
      </c>
      <c r="I2097">
        <v>6900</v>
      </c>
      <c r="J2097">
        <v>0</v>
      </c>
    </row>
    <row r="2098" spans="1:10" x14ac:dyDescent="0.3">
      <c r="A2098" s="15">
        <v>45536</v>
      </c>
      <c r="B2098" t="s">
        <v>232</v>
      </c>
      <c r="C2098" t="s">
        <v>125</v>
      </c>
      <c r="D2098" t="s">
        <v>86</v>
      </c>
      <c r="E2098" t="s">
        <v>83</v>
      </c>
      <c r="F2098">
        <v>121100</v>
      </c>
      <c r="G2098" t="s">
        <v>331</v>
      </c>
      <c r="H2098" s="15">
        <v>45292</v>
      </c>
      <c r="I2098">
        <v>121100</v>
      </c>
      <c r="J2098">
        <v>0</v>
      </c>
    </row>
    <row r="2099" spans="1:10" x14ac:dyDescent="0.3">
      <c r="A2099" s="15">
        <v>45536</v>
      </c>
      <c r="B2099" t="s">
        <v>233</v>
      </c>
      <c r="C2099" t="s">
        <v>81</v>
      </c>
      <c r="D2099" t="s">
        <v>82</v>
      </c>
      <c r="E2099" t="s">
        <v>87</v>
      </c>
      <c r="F2099">
        <v>3300</v>
      </c>
      <c r="G2099" t="s">
        <v>331</v>
      </c>
      <c r="H2099" s="15">
        <v>45292</v>
      </c>
      <c r="I2099">
        <v>3300</v>
      </c>
      <c r="J2099">
        <v>0</v>
      </c>
    </row>
    <row r="2100" spans="1:10" x14ac:dyDescent="0.3">
      <c r="A2100" s="15">
        <v>45536</v>
      </c>
      <c r="B2100" t="s">
        <v>234</v>
      </c>
      <c r="C2100" t="s">
        <v>110</v>
      </c>
      <c r="D2100" t="s">
        <v>82</v>
      </c>
      <c r="E2100" t="s">
        <v>103</v>
      </c>
      <c r="F2100">
        <v>41200</v>
      </c>
      <c r="G2100" t="s">
        <v>331</v>
      </c>
      <c r="H2100" s="15">
        <v>45292</v>
      </c>
      <c r="I2100">
        <v>41200</v>
      </c>
      <c r="J2100">
        <v>0</v>
      </c>
    </row>
    <row r="2101" spans="1:10" x14ac:dyDescent="0.3">
      <c r="A2101" s="15">
        <v>45536</v>
      </c>
      <c r="B2101" t="s">
        <v>235</v>
      </c>
      <c r="C2101" t="s">
        <v>91</v>
      </c>
      <c r="D2101" t="s">
        <v>96</v>
      </c>
      <c r="E2101" t="s">
        <v>103</v>
      </c>
      <c r="F2101">
        <v>10500</v>
      </c>
      <c r="G2101" t="s">
        <v>331</v>
      </c>
      <c r="H2101" s="15">
        <v>45292</v>
      </c>
      <c r="I2101">
        <v>10500</v>
      </c>
      <c r="J2101">
        <v>0</v>
      </c>
    </row>
    <row r="2102" spans="1:10" x14ac:dyDescent="0.3">
      <c r="A2102" s="15">
        <v>45536</v>
      </c>
      <c r="B2102" t="s">
        <v>236</v>
      </c>
      <c r="C2102" t="s">
        <v>110</v>
      </c>
      <c r="D2102" t="s">
        <v>82</v>
      </c>
      <c r="E2102" t="s">
        <v>97</v>
      </c>
      <c r="F2102">
        <v>27200</v>
      </c>
      <c r="G2102" t="s">
        <v>331</v>
      </c>
      <c r="H2102" s="15">
        <v>45292</v>
      </c>
      <c r="I2102">
        <v>27200</v>
      </c>
      <c r="J2102">
        <v>0</v>
      </c>
    </row>
    <row r="2103" spans="1:10" x14ac:dyDescent="0.3">
      <c r="A2103" s="15">
        <v>45536</v>
      </c>
      <c r="B2103" t="s">
        <v>237</v>
      </c>
      <c r="C2103" t="s">
        <v>91</v>
      </c>
      <c r="D2103" t="s">
        <v>82</v>
      </c>
      <c r="E2103" t="s">
        <v>83</v>
      </c>
      <c r="F2103">
        <v>8100</v>
      </c>
      <c r="G2103" t="s">
        <v>331</v>
      </c>
      <c r="H2103" s="15">
        <v>45292</v>
      </c>
      <c r="I2103">
        <v>8100</v>
      </c>
      <c r="J2103">
        <v>0</v>
      </c>
    </row>
    <row r="2104" spans="1:10" x14ac:dyDescent="0.3">
      <c r="A2104" s="15">
        <v>45536</v>
      </c>
      <c r="B2104" t="s">
        <v>238</v>
      </c>
      <c r="C2104" t="s">
        <v>81</v>
      </c>
      <c r="D2104" t="s">
        <v>99</v>
      </c>
      <c r="E2104" t="s">
        <v>97</v>
      </c>
      <c r="F2104">
        <v>2600</v>
      </c>
      <c r="G2104" t="s">
        <v>331</v>
      </c>
      <c r="H2104" s="15">
        <v>45292</v>
      </c>
      <c r="I2104">
        <v>2600</v>
      </c>
      <c r="J2104">
        <v>0</v>
      </c>
    </row>
    <row r="2105" spans="1:10" x14ac:dyDescent="0.3">
      <c r="A2105" s="15">
        <v>45536</v>
      </c>
      <c r="B2105" t="s">
        <v>239</v>
      </c>
      <c r="C2105" t="s">
        <v>81</v>
      </c>
      <c r="D2105" t="s">
        <v>82</v>
      </c>
      <c r="E2105" t="s">
        <v>103</v>
      </c>
      <c r="F2105">
        <v>2500</v>
      </c>
      <c r="G2105" t="s">
        <v>331</v>
      </c>
      <c r="H2105" s="15">
        <v>45292</v>
      </c>
      <c r="I2105">
        <v>2500</v>
      </c>
      <c r="J2105">
        <v>0</v>
      </c>
    </row>
    <row r="2106" spans="1:10" x14ac:dyDescent="0.3">
      <c r="A2106" s="15">
        <v>45536</v>
      </c>
      <c r="B2106" t="s">
        <v>240</v>
      </c>
      <c r="C2106" t="s">
        <v>81</v>
      </c>
      <c r="D2106" t="s">
        <v>99</v>
      </c>
      <c r="E2106" t="s">
        <v>103</v>
      </c>
      <c r="F2106">
        <v>3000</v>
      </c>
      <c r="G2106" t="s">
        <v>331</v>
      </c>
      <c r="H2106" s="15">
        <v>45292</v>
      </c>
      <c r="I2106">
        <v>3000</v>
      </c>
      <c r="J2106">
        <v>0</v>
      </c>
    </row>
    <row r="2107" spans="1:10" x14ac:dyDescent="0.3">
      <c r="A2107" s="15">
        <v>45536</v>
      </c>
      <c r="B2107" t="s">
        <v>241</v>
      </c>
      <c r="C2107" t="s">
        <v>91</v>
      </c>
      <c r="D2107" t="s">
        <v>96</v>
      </c>
      <c r="E2107" t="s">
        <v>87</v>
      </c>
      <c r="F2107">
        <v>12100</v>
      </c>
      <c r="G2107" t="s">
        <v>331</v>
      </c>
      <c r="H2107" s="15">
        <v>45292</v>
      </c>
      <c r="I2107">
        <v>12100</v>
      </c>
      <c r="J2107">
        <v>0</v>
      </c>
    </row>
    <row r="2108" spans="1:10" x14ac:dyDescent="0.3">
      <c r="A2108" s="15">
        <v>45536</v>
      </c>
      <c r="B2108" t="s">
        <v>242</v>
      </c>
      <c r="C2108" t="s">
        <v>110</v>
      </c>
      <c r="D2108" t="s">
        <v>99</v>
      </c>
      <c r="E2108" t="s">
        <v>101</v>
      </c>
      <c r="F2108">
        <v>34800</v>
      </c>
      <c r="G2108" t="s">
        <v>331</v>
      </c>
      <c r="H2108" s="15">
        <v>45292</v>
      </c>
      <c r="I2108">
        <v>34800</v>
      </c>
      <c r="J2108">
        <v>0</v>
      </c>
    </row>
    <row r="2109" spans="1:10" x14ac:dyDescent="0.3">
      <c r="A2109" s="15">
        <v>45536</v>
      </c>
      <c r="B2109" t="s">
        <v>244</v>
      </c>
      <c r="C2109" t="s">
        <v>91</v>
      </c>
      <c r="D2109" t="s">
        <v>82</v>
      </c>
      <c r="E2109" t="s">
        <v>92</v>
      </c>
      <c r="F2109">
        <v>7800</v>
      </c>
      <c r="G2109" t="s">
        <v>331</v>
      </c>
      <c r="H2109" s="15">
        <v>45292</v>
      </c>
      <c r="I2109">
        <v>7800</v>
      </c>
      <c r="J2109">
        <v>0</v>
      </c>
    </row>
    <row r="2110" spans="1:10" x14ac:dyDescent="0.3">
      <c r="A2110" s="15">
        <v>45536</v>
      </c>
      <c r="B2110" t="s">
        <v>245</v>
      </c>
      <c r="C2110" t="s">
        <v>81</v>
      </c>
      <c r="D2110" t="s">
        <v>99</v>
      </c>
      <c r="E2110" t="s">
        <v>97</v>
      </c>
      <c r="F2110">
        <v>2600</v>
      </c>
      <c r="G2110" t="s">
        <v>331</v>
      </c>
      <c r="H2110" s="15">
        <v>45292</v>
      </c>
      <c r="I2110">
        <v>2600</v>
      </c>
      <c r="J2110">
        <v>0</v>
      </c>
    </row>
    <row r="2111" spans="1:10" x14ac:dyDescent="0.3">
      <c r="A2111" s="15">
        <v>45536</v>
      </c>
      <c r="B2111" t="s">
        <v>246</v>
      </c>
      <c r="C2111" t="s">
        <v>91</v>
      </c>
      <c r="D2111" t="s">
        <v>86</v>
      </c>
      <c r="E2111" t="s">
        <v>103</v>
      </c>
      <c r="F2111">
        <v>10100</v>
      </c>
      <c r="G2111" t="s">
        <v>331</v>
      </c>
      <c r="H2111" s="15">
        <v>45292</v>
      </c>
      <c r="I2111">
        <v>10100</v>
      </c>
      <c r="J2111">
        <v>0</v>
      </c>
    </row>
    <row r="2112" spans="1:10" x14ac:dyDescent="0.3">
      <c r="A2112" s="15">
        <v>45536</v>
      </c>
      <c r="B2112" t="s">
        <v>247</v>
      </c>
      <c r="C2112" t="s">
        <v>91</v>
      </c>
      <c r="D2112" t="s">
        <v>86</v>
      </c>
      <c r="E2112" t="s">
        <v>89</v>
      </c>
      <c r="F2112">
        <v>9100</v>
      </c>
      <c r="G2112" t="s">
        <v>331</v>
      </c>
      <c r="H2112" s="15">
        <v>45292</v>
      </c>
      <c r="I2112">
        <v>9100</v>
      </c>
      <c r="J2112">
        <v>0</v>
      </c>
    </row>
    <row r="2113" spans="1:10" x14ac:dyDescent="0.3">
      <c r="A2113" s="15">
        <v>45536</v>
      </c>
      <c r="B2113" t="s">
        <v>248</v>
      </c>
      <c r="C2113" t="s">
        <v>81</v>
      </c>
      <c r="D2113" t="s">
        <v>82</v>
      </c>
      <c r="E2113" t="s">
        <v>103</v>
      </c>
      <c r="F2113">
        <v>2100</v>
      </c>
      <c r="G2113" t="s">
        <v>331</v>
      </c>
      <c r="H2113" s="15">
        <v>45292</v>
      </c>
      <c r="I2113">
        <v>2100</v>
      </c>
      <c r="J2113">
        <v>0</v>
      </c>
    </row>
    <row r="2114" spans="1:10" x14ac:dyDescent="0.3">
      <c r="A2114" s="15">
        <v>45536</v>
      </c>
      <c r="B2114" t="s">
        <v>250</v>
      </c>
      <c r="C2114" t="s">
        <v>81</v>
      </c>
      <c r="D2114" t="s">
        <v>86</v>
      </c>
      <c r="E2114" t="s">
        <v>87</v>
      </c>
      <c r="F2114">
        <v>3300</v>
      </c>
      <c r="G2114" t="s">
        <v>331</v>
      </c>
      <c r="H2114" s="15">
        <v>45292</v>
      </c>
      <c r="I2114">
        <v>3300</v>
      </c>
      <c r="J2114">
        <v>0</v>
      </c>
    </row>
    <row r="2115" spans="1:10" x14ac:dyDescent="0.3">
      <c r="A2115" s="15">
        <v>45536</v>
      </c>
      <c r="B2115" t="s">
        <v>251</v>
      </c>
      <c r="C2115" t="s">
        <v>91</v>
      </c>
      <c r="D2115" t="s">
        <v>99</v>
      </c>
      <c r="E2115" t="s">
        <v>103</v>
      </c>
      <c r="F2115">
        <v>7700</v>
      </c>
      <c r="G2115" t="s">
        <v>331</v>
      </c>
      <c r="H2115" s="15">
        <v>45292</v>
      </c>
      <c r="I2115">
        <v>7700</v>
      </c>
      <c r="J2115">
        <v>0</v>
      </c>
    </row>
    <row r="2116" spans="1:10" x14ac:dyDescent="0.3">
      <c r="A2116" s="15">
        <v>45536</v>
      </c>
      <c r="B2116" t="s">
        <v>252</v>
      </c>
      <c r="C2116" t="s">
        <v>81</v>
      </c>
      <c r="D2116" t="s">
        <v>99</v>
      </c>
      <c r="E2116" t="s">
        <v>92</v>
      </c>
      <c r="F2116">
        <v>3400</v>
      </c>
      <c r="G2116" t="s">
        <v>331</v>
      </c>
      <c r="H2116" s="15">
        <v>45292</v>
      </c>
      <c r="I2116">
        <v>3400</v>
      </c>
      <c r="J2116">
        <v>0</v>
      </c>
    </row>
    <row r="2117" spans="1:10" x14ac:dyDescent="0.3">
      <c r="A2117" s="15">
        <v>45536</v>
      </c>
      <c r="B2117" t="s">
        <v>253</v>
      </c>
      <c r="C2117" t="s">
        <v>81</v>
      </c>
      <c r="D2117" t="s">
        <v>96</v>
      </c>
      <c r="E2117" t="s">
        <v>89</v>
      </c>
      <c r="F2117">
        <v>2400</v>
      </c>
      <c r="G2117" t="s">
        <v>331</v>
      </c>
      <c r="H2117" s="15">
        <v>45292</v>
      </c>
      <c r="I2117">
        <v>2400</v>
      </c>
      <c r="J2117">
        <v>0</v>
      </c>
    </row>
    <row r="2118" spans="1:10" x14ac:dyDescent="0.3">
      <c r="A2118" s="15">
        <v>45536</v>
      </c>
      <c r="B2118" t="s">
        <v>254</v>
      </c>
      <c r="C2118" t="s">
        <v>110</v>
      </c>
      <c r="D2118" t="s">
        <v>86</v>
      </c>
      <c r="E2118" t="s">
        <v>103</v>
      </c>
      <c r="F2118">
        <v>56100</v>
      </c>
      <c r="G2118" t="s">
        <v>331</v>
      </c>
      <c r="H2118" s="15">
        <v>45292</v>
      </c>
      <c r="I2118">
        <v>56100</v>
      </c>
      <c r="J2118">
        <v>0</v>
      </c>
    </row>
    <row r="2119" spans="1:10" x14ac:dyDescent="0.3">
      <c r="A2119" s="15">
        <v>45536</v>
      </c>
      <c r="B2119" t="s">
        <v>255</v>
      </c>
      <c r="C2119" t="s">
        <v>91</v>
      </c>
      <c r="D2119" t="s">
        <v>86</v>
      </c>
      <c r="E2119" t="s">
        <v>89</v>
      </c>
      <c r="F2119">
        <v>9900</v>
      </c>
      <c r="G2119" t="s">
        <v>331</v>
      </c>
      <c r="H2119" s="15">
        <v>45292</v>
      </c>
      <c r="I2119">
        <v>9900</v>
      </c>
      <c r="J2119">
        <v>0</v>
      </c>
    </row>
    <row r="2120" spans="1:10" x14ac:dyDescent="0.3">
      <c r="A2120" s="15">
        <v>45536</v>
      </c>
      <c r="B2120" t="s">
        <v>256</v>
      </c>
      <c r="C2120" t="s">
        <v>81</v>
      </c>
      <c r="D2120" t="s">
        <v>82</v>
      </c>
      <c r="E2120" t="s">
        <v>103</v>
      </c>
      <c r="F2120">
        <v>2600</v>
      </c>
      <c r="G2120" t="s">
        <v>331</v>
      </c>
      <c r="H2120" s="15">
        <v>45292</v>
      </c>
      <c r="I2120">
        <v>2600</v>
      </c>
      <c r="J2120">
        <v>0</v>
      </c>
    </row>
    <row r="2121" spans="1:10" x14ac:dyDescent="0.3">
      <c r="A2121" s="15">
        <v>45536</v>
      </c>
      <c r="B2121" t="s">
        <v>257</v>
      </c>
      <c r="C2121" t="s">
        <v>91</v>
      </c>
      <c r="D2121" t="s">
        <v>96</v>
      </c>
      <c r="E2121" t="s">
        <v>87</v>
      </c>
      <c r="F2121">
        <v>8400</v>
      </c>
      <c r="G2121" t="s">
        <v>331</v>
      </c>
      <c r="H2121" s="15">
        <v>45292</v>
      </c>
      <c r="I2121">
        <v>8400</v>
      </c>
      <c r="J2121">
        <v>0</v>
      </c>
    </row>
    <row r="2122" spans="1:10" x14ac:dyDescent="0.3">
      <c r="A2122" s="15">
        <v>45536</v>
      </c>
      <c r="B2122" t="s">
        <v>258</v>
      </c>
      <c r="C2122" t="s">
        <v>125</v>
      </c>
      <c r="D2122" t="s">
        <v>86</v>
      </c>
      <c r="E2122" t="s">
        <v>83</v>
      </c>
      <c r="F2122">
        <v>96300</v>
      </c>
      <c r="G2122" t="s">
        <v>331</v>
      </c>
      <c r="H2122" s="15">
        <v>45292</v>
      </c>
      <c r="I2122">
        <v>96300</v>
      </c>
      <c r="J2122">
        <v>0</v>
      </c>
    </row>
    <row r="2123" spans="1:10" x14ac:dyDescent="0.3">
      <c r="A2123" s="15">
        <v>45536</v>
      </c>
      <c r="B2123" t="s">
        <v>259</v>
      </c>
      <c r="C2123" t="s">
        <v>81</v>
      </c>
      <c r="D2123" t="s">
        <v>86</v>
      </c>
      <c r="E2123" t="s">
        <v>89</v>
      </c>
      <c r="F2123">
        <v>1900</v>
      </c>
      <c r="G2123" t="s">
        <v>331</v>
      </c>
      <c r="H2123" s="15">
        <v>45292</v>
      </c>
      <c r="I2123">
        <v>1900</v>
      </c>
      <c r="J2123">
        <v>0</v>
      </c>
    </row>
    <row r="2124" spans="1:10" x14ac:dyDescent="0.3">
      <c r="A2124" s="15">
        <v>45536</v>
      </c>
      <c r="B2124" t="s">
        <v>260</v>
      </c>
      <c r="C2124" t="s">
        <v>81</v>
      </c>
      <c r="D2124" t="s">
        <v>86</v>
      </c>
      <c r="E2124" t="s">
        <v>97</v>
      </c>
      <c r="F2124">
        <v>2300</v>
      </c>
      <c r="G2124" t="s">
        <v>331</v>
      </c>
      <c r="H2124" s="15">
        <v>45292</v>
      </c>
      <c r="I2124">
        <v>2300</v>
      </c>
      <c r="J2124">
        <v>0</v>
      </c>
    </row>
    <row r="2125" spans="1:10" x14ac:dyDescent="0.3">
      <c r="A2125" s="15">
        <v>45536</v>
      </c>
      <c r="B2125" t="s">
        <v>262</v>
      </c>
      <c r="C2125" t="s">
        <v>91</v>
      </c>
      <c r="D2125" t="s">
        <v>82</v>
      </c>
      <c r="E2125" t="s">
        <v>92</v>
      </c>
      <c r="F2125">
        <v>9400</v>
      </c>
      <c r="G2125" t="s">
        <v>331</v>
      </c>
      <c r="H2125" s="15">
        <v>45292</v>
      </c>
      <c r="I2125">
        <v>9400</v>
      </c>
      <c r="J2125">
        <v>0</v>
      </c>
    </row>
    <row r="2126" spans="1:10" x14ac:dyDescent="0.3">
      <c r="A2126" s="15">
        <v>45536</v>
      </c>
      <c r="B2126" t="s">
        <v>263</v>
      </c>
      <c r="C2126" t="s">
        <v>81</v>
      </c>
      <c r="D2126" t="s">
        <v>99</v>
      </c>
      <c r="E2126" t="s">
        <v>89</v>
      </c>
      <c r="F2126">
        <v>3200</v>
      </c>
      <c r="G2126" t="s">
        <v>331</v>
      </c>
      <c r="H2126" s="15">
        <v>45292</v>
      </c>
      <c r="I2126">
        <v>3200</v>
      </c>
      <c r="J2126">
        <v>0</v>
      </c>
    </row>
    <row r="2127" spans="1:10" x14ac:dyDescent="0.3">
      <c r="A2127" s="15">
        <v>45536</v>
      </c>
      <c r="B2127" t="s">
        <v>264</v>
      </c>
      <c r="C2127" t="s">
        <v>110</v>
      </c>
      <c r="D2127" t="s">
        <v>86</v>
      </c>
      <c r="E2127" t="s">
        <v>97</v>
      </c>
      <c r="F2127">
        <v>31500</v>
      </c>
      <c r="G2127" t="s">
        <v>331</v>
      </c>
      <c r="H2127" s="15">
        <v>45292</v>
      </c>
      <c r="I2127">
        <v>31500</v>
      </c>
      <c r="J2127">
        <v>0</v>
      </c>
    </row>
    <row r="2128" spans="1:10" x14ac:dyDescent="0.3">
      <c r="A2128" s="15">
        <v>45536</v>
      </c>
      <c r="B2128" t="s">
        <v>265</v>
      </c>
      <c r="C2128" t="s">
        <v>125</v>
      </c>
      <c r="D2128" t="s">
        <v>86</v>
      </c>
      <c r="E2128" t="s">
        <v>101</v>
      </c>
      <c r="F2128">
        <v>92200</v>
      </c>
      <c r="G2128" t="s">
        <v>331</v>
      </c>
      <c r="H2128" s="15">
        <v>45292</v>
      </c>
      <c r="I2128">
        <v>92200</v>
      </c>
      <c r="J2128">
        <v>0</v>
      </c>
    </row>
    <row r="2129" spans="1:10" x14ac:dyDescent="0.3">
      <c r="A2129" s="15">
        <v>45536</v>
      </c>
      <c r="B2129" t="s">
        <v>266</v>
      </c>
      <c r="C2129" t="s">
        <v>81</v>
      </c>
      <c r="D2129" t="s">
        <v>82</v>
      </c>
      <c r="E2129" t="s">
        <v>83</v>
      </c>
      <c r="F2129">
        <v>2200</v>
      </c>
      <c r="G2129" t="s">
        <v>331</v>
      </c>
      <c r="H2129" s="15">
        <v>45292</v>
      </c>
      <c r="I2129">
        <v>2200</v>
      </c>
      <c r="J2129">
        <v>0</v>
      </c>
    </row>
    <row r="2130" spans="1:10" x14ac:dyDescent="0.3">
      <c r="A2130" s="15">
        <v>45536</v>
      </c>
      <c r="B2130" t="s">
        <v>267</v>
      </c>
      <c r="C2130" t="s">
        <v>91</v>
      </c>
      <c r="D2130" t="s">
        <v>82</v>
      </c>
      <c r="E2130" t="s">
        <v>97</v>
      </c>
      <c r="F2130">
        <v>6900</v>
      </c>
      <c r="G2130" t="s">
        <v>331</v>
      </c>
      <c r="H2130" s="15">
        <v>45292</v>
      </c>
      <c r="I2130">
        <v>6900</v>
      </c>
      <c r="J2130">
        <v>0</v>
      </c>
    </row>
    <row r="2131" spans="1:10" x14ac:dyDescent="0.3">
      <c r="A2131" s="15">
        <v>45536</v>
      </c>
      <c r="B2131" t="s">
        <v>271</v>
      </c>
      <c r="C2131" t="s">
        <v>81</v>
      </c>
      <c r="D2131" t="s">
        <v>82</v>
      </c>
      <c r="E2131" t="s">
        <v>97</v>
      </c>
      <c r="F2131">
        <v>2900</v>
      </c>
      <c r="G2131" t="s">
        <v>331</v>
      </c>
      <c r="H2131" s="15">
        <v>45292</v>
      </c>
      <c r="I2131">
        <v>2900</v>
      </c>
      <c r="J2131">
        <v>0</v>
      </c>
    </row>
    <row r="2132" spans="1:10" x14ac:dyDescent="0.3">
      <c r="A2132" s="15">
        <v>45536</v>
      </c>
      <c r="B2132" t="s">
        <v>272</v>
      </c>
      <c r="C2132" t="s">
        <v>125</v>
      </c>
      <c r="D2132" t="s">
        <v>96</v>
      </c>
      <c r="E2132" t="s">
        <v>103</v>
      </c>
      <c r="F2132">
        <v>101100</v>
      </c>
      <c r="G2132" t="s">
        <v>331</v>
      </c>
      <c r="H2132" s="15">
        <v>45292</v>
      </c>
      <c r="I2132">
        <v>101100</v>
      </c>
      <c r="J2132">
        <v>0</v>
      </c>
    </row>
    <row r="2133" spans="1:10" x14ac:dyDescent="0.3">
      <c r="A2133" s="15">
        <v>45536</v>
      </c>
      <c r="B2133" t="s">
        <v>273</v>
      </c>
      <c r="C2133" t="s">
        <v>81</v>
      </c>
      <c r="D2133" t="s">
        <v>82</v>
      </c>
      <c r="E2133" t="s">
        <v>101</v>
      </c>
      <c r="F2133">
        <v>3300</v>
      </c>
      <c r="G2133" t="s">
        <v>331</v>
      </c>
      <c r="H2133" s="15">
        <v>45292</v>
      </c>
      <c r="I2133">
        <v>3300</v>
      </c>
      <c r="J2133">
        <v>0</v>
      </c>
    </row>
    <row r="2134" spans="1:10" x14ac:dyDescent="0.3">
      <c r="A2134" s="15">
        <v>45536</v>
      </c>
      <c r="B2134" t="s">
        <v>274</v>
      </c>
      <c r="C2134" t="s">
        <v>91</v>
      </c>
      <c r="D2134" t="s">
        <v>99</v>
      </c>
      <c r="E2134" t="s">
        <v>87</v>
      </c>
      <c r="F2134">
        <v>11400</v>
      </c>
      <c r="G2134" t="s">
        <v>331</v>
      </c>
      <c r="H2134" s="15">
        <v>45292</v>
      </c>
      <c r="I2134">
        <v>11400</v>
      </c>
      <c r="J2134">
        <v>0</v>
      </c>
    </row>
    <row r="2135" spans="1:10" x14ac:dyDescent="0.3">
      <c r="A2135" s="15">
        <v>45536</v>
      </c>
      <c r="B2135" t="s">
        <v>276</v>
      </c>
      <c r="C2135" t="s">
        <v>81</v>
      </c>
      <c r="D2135" t="s">
        <v>82</v>
      </c>
      <c r="E2135" t="s">
        <v>103</v>
      </c>
      <c r="F2135">
        <v>3300</v>
      </c>
      <c r="G2135" t="s">
        <v>331</v>
      </c>
      <c r="H2135" s="15">
        <v>45292</v>
      </c>
      <c r="I2135">
        <v>3300</v>
      </c>
      <c r="J2135">
        <v>0</v>
      </c>
    </row>
    <row r="2136" spans="1:10" x14ac:dyDescent="0.3">
      <c r="A2136" s="15">
        <v>45536</v>
      </c>
      <c r="B2136" t="s">
        <v>277</v>
      </c>
      <c r="C2136" t="s">
        <v>91</v>
      </c>
      <c r="D2136" t="s">
        <v>86</v>
      </c>
      <c r="E2136" t="s">
        <v>97</v>
      </c>
      <c r="F2136">
        <v>8000</v>
      </c>
      <c r="G2136" t="s">
        <v>331</v>
      </c>
      <c r="H2136" s="15">
        <v>45292</v>
      </c>
      <c r="I2136">
        <v>8000</v>
      </c>
      <c r="J2136">
        <v>0</v>
      </c>
    </row>
    <row r="2137" spans="1:10" x14ac:dyDescent="0.3">
      <c r="A2137" s="15">
        <v>45536</v>
      </c>
      <c r="B2137" t="s">
        <v>278</v>
      </c>
      <c r="C2137" t="s">
        <v>81</v>
      </c>
      <c r="D2137" t="s">
        <v>82</v>
      </c>
      <c r="E2137" t="s">
        <v>92</v>
      </c>
      <c r="F2137">
        <v>1900</v>
      </c>
      <c r="G2137" t="s">
        <v>331</v>
      </c>
      <c r="H2137" s="15">
        <v>45292</v>
      </c>
      <c r="I2137">
        <v>1900</v>
      </c>
      <c r="J2137">
        <v>0</v>
      </c>
    </row>
    <row r="2138" spans="1:10" x14ac:dyDescent="0.3">
      <c r="A2138" s="15">
        <v>45536</v>
      </c>
      <c r="B2138" t="s">
        <v>279</v>
      </c>
      <c r="C2138" t="s">
        <v>91</v>
      </c>
      <c r="D2138" t="s">
        <v>99</v>
      </c>
      <c r="E2138" t="s">
        <v>89</v>
      </c>
      <c r="F2138">
        <v>9800</v>
      </c>
      <c r="G2138" t="s">
        <v>331</v>
      </c>
      <c r="H2138" s="15">
        <v>45292</v>
      </c>
      <c r="I2138">
        <v>9800</v>
      </c>
      <c r="J2138">
        <v>0</v>
      </c>
    </row>
    <row r="2139" spans="1:10" x14ac:dyDescent="0.3">
      <c r="A2139" s="15">
        <v>45536</v>
      </c>
      <c r="B2139" t="s">
        <v>280</v>
      </c>
      <c r="C2139" t="s">
        <v>91</v>
      </c>
      <c r="D2139" t="s">
        <v>96</v>
      </c>
      <c r="E2139" t="s">
        <v>83</v>
      </c>
      <c r="F2139">
        <v>6300</v>
      </c>
      <c r="G2139" t="s">
        <v>331</v>
      </c>
      <c r="H2139" s="15">
        <v>45292</v>
      </c>
      <c r="I2139">
        <v>6300</v>
      </c>
      <c r="J2139">
        <v>0</v>
      </c>
    </row>
    <row r="2140" spans="1:10" x14ac:dyDescent="0.3">
      <c r="A2140" s="15">
        <v>45536</v>
      </c>
      <c r="B2140" t="s">
        <v>281</v>
      </c>
      <c r="C2140" t="s">
        <v>110</v>
      </c>
      <c r="D2140" t="s">
        <v>86</v>
      </c>
      <c r="E2140" t="s">
        <v>92</v>
      </c>
      <c r="F2140">
        <v>46800</v>
      </c>
      <c r="G2140" t="s">
        <v>331</v>
      </c>
      <c r="H2140" s="15">
        <v>45292</v>
      </c>
      <c r="I2140">
        <v>46800</v>
      </c>
      <c r="J2140">
        <v>0</v>
      </c>
    </row>
    <row r="2141" spans="1:10" x14ac:dyDescent="0.3">
      <c r="A2141" s="15">
        <v>45536</v>
      </c>
      <c r="B2141" t="s">
        <v>282</v>
      </c>
      <c r="C2141" t="s">
        <v>91</v>
      </c>
      <c r="D2141" t="s">
        <v>86</v>
      </c>
      <c r="E2141" t="s">
        <v>92</v>
      </c>
      <c r="F2141">
        <v>7000</v>
      </c>
      <c r="G2141" t="s">
        <v>331</v>
      </c>
      <c r="H2141" s="15">
        <v>45292</v>
      </c>
      <c r="I2141">
        <v>7000</v>
      </c>
      <c r="J2141">
        <v>0</v>
      </c>
    </row>
    <row r="2142" spans="1:10" x14ac:dyDescent="0.3">
      <c r="A2142" s="15">
        <v>45536</v>
      </c>
      <c r="B2142" t="s">
        <v>283</v>
      </c>
      <c r="C2142" t="s">
        <v>110</v>
      </c>
      <c r="D2142" t="s">
        <v>82</v>
      </c>
      <c r="E2142" t="s">
        <v>87</v>
      </c>
      <c r="F2142">
        <v>34200</v>
      </c>
      <c r="G2142" t="s">
        <v>331</v>
      </c>
      <c r="H2142" s="15">
        <v>45292</v>
      </c>
      <c r="I2142">
        <v>34200</v>
      </c>
      <c r="J2142">
        <v>0</v>
      </c>
    </row>
    <row r="2143" spans="1:10" x14ac:dyDescent="0.3">
      <c r="A2143" s="15">
        <v>45536</v>
      </c>
      <c r="B2143" t="s">
        <v>284</v>
      </c>
      <c r="C2143" t="s">
        <v>81</v>
      </c>
      <c r="D2143" t="s">
        <v>82</v>
      </c>
      <c r="E2143" t="s">
        <v>101</v>
      </c>
      <c r="F2143">
        <v>2400</v>
      </c>
      <c r="G2143" t="s">
        <v>331</v>
      </c>
      <c r="H2143" s="15">
        <v>45292</v>
      </c>
      <c r="I2143">
        <v>2400</v>
      </c>
      <c r="J2143">
        <v>0</v>
      </c>
    </row>
    <row r="2144" spans="1:10" x14ac:dyDescent="0.3">
      <c r="A2144" s="15">
        <v>45536</v>
      </c>
      <c r="B2144" t="s">
        <v>285</v>
      </c>
      <c r="C2144" t="s">
        <v>91</v>
      </c>
      <c r="D2144" t="s">
        <v>82</v>
      </c>
      <c r="E2144" t="s">
        <v>83</v>
      </c>
      <c r="F2144">
        <v>10900</v>
      </c>
      <c r="G2144" t="s">
        <v>331</v>
      </c>
      <c r="H2144" s="15">
        <v>45292</v>
      </c>
      <c r="I2144">
        <v>10900</v>
      </c>
      <c r="J2144">
        <v>0</v>
      </c>
    </row>
    <row r="2145" spans="1:10" x14ac:dyDescent="0.3">
      <c r="A2145" s="15">
        <v>45536</v>
      </c>
      <c r="B2145" t="s">
        <v>286</v>
      </c>
      <c r="C2145" t="s">
        <v>125</v>
      </c>
      <c r="D2145" t="s">
        <v>86</v>
      </c>
      <c r="E2145" t="s">
        <v>92</v>
      </c>
      <c r="F2145">
        <v>92400</v>
      </c>
      <c r="G2145" t="s">
        <v>331</v>
      </c>
      <c r="H2145" s="15">
        <v>45292</v>
      </c>
      <c r="I2145">
        <v>92400</v>
      </c>
      <c r="J2145">
        <v>0</v>
      </c>
    </row>
    <row r="2146" spans="1:10" x14ac:dyDescent="0.3">
      <c r="A2146" s="15">
        <v>45536</v>
      </c>
      <c r="B2146" t="s">
        <v>287</v>
      </c>
      <c r="C2146" t="s">
        <v>81</v>
      </c>
      <c r="D2146" t="s">
        <v>99</v>
      </c>
      <c r="E2146" t="s">
        <v>87</v>
      </c>
      <c r="F2146">
        <v>2300</v>
      </c>
      <c r="G2146" t="s">
        <v>331</v>
      </c>
      <c r="H2146" s="15">
        <v>45292</v>
      </c>
      <c r="I2146">
        <v>2300</v>
      </c>
      <c r="J2146">
        <v>0</v>
      </c>
    </row>
    <row r="2147" spans="1:10" x14ac:dyDescent="0.3">
      <c r="A2147" s="15">
        <v>45536</v>
      </c>
      <c r="B2147" t="s">
        <v>288</v>
      </c>
      <c r="C2147" t="s">
        <v>81</v>
      </c>
      <c r="D2147" t="s">
        <v>99</v>
      </c>
      <c r="E2147" t="s">
        <v>97</v>
      </c>
      <c r="F2147">
        <v>2600</v>
      </c>
      <c r="G2147" t="s">
        <v>331</v>
      </c>
      <c r="H2147" s="15">
        <v>45292</v>
      </c>
      <c r="I2147">
        <v>2600</v>
      </c>
      <c r="J2147">
        <v>0</v>
      </c>
    </row>
    <row r="2148" spans="1:10" x14ac:dyDescent="0.3">
      <c r="A2148" s="15">
        <v>45536</v>
      </c>
      <c r="B2148" t="s">
        <v>289</v>
      </c>
      <c r="C2148" t="s">
        <v>91</v>
      </c>
      <c r="D2148" t="s">
        <v>86</v>
      </c>
      <c r="E2148" t="s">
        <v>101</v>
      </c>
      <c r="F2148">
        <v>9400</v>
      </c>
      <c r="G2148" t="s">
        <v>331</v>
      </c>
      <c r="H2148" s="15">
        <v>45292</v>
      </c>
      <c r="I2148">
        <v>9400</v>
      </c>
      <c r="J2148">
        <v>0</v>
      </c>
    </row>
    <row r="2149" spans="1:10" x14ac:dyDescent="0.3">
      <c r="A2149" s="15">
        <v>45536</v>
      </c>
      <c r="B2149" t="s">
        <v>290</v>
      </c>
      <c r="C2149" t="s">
        <v>81</v>
      </c>
      <c r="D2149" t="s">
        <v>82</v>
      </c>
      <c r="E2149" t="s">
        <v>103</v>
      </c>
      <c r="F2149">
        <v>2500</v>
      </c>
      <c r="G2149" t="s">
        <v>334</v>
      </c>
      <c r="H2149" s="15">
        <v>45292</v>
      </c>
      <c r="I2149">
        <v>2800</v>
      </c>
      <c r="J2149">
        <v>-300</v>
      </c>
    </row>
    <row r="2150" spans="1:10" x14ac:dyDescent="0.3">
      <c r="A2150" s="15">
        <v>45536</v>
      </c>
      <c r="B2150" t="s">
        <v>291</v>
      </c>
      <c r="C2150" t="s">
        <v>81</v>
      </c>
      <c r="D2150" t="s">
        <v>82</v>
      </c>
      <c r="E2150" t="s">
        <v>83</v>
      </c>
      <c r="F2150">
        <v>3100</v>
      </c>
      <c r="G2150" t="s">
        <v>331</v>
      </c>
      <c r="H2150" s="15">
        <v>45292</v>
      </c>
      <c r="I2150">
        <v>3100</v>
      </c>
      <c r="J2150">
        <v>0</v>
      </c>
    </row>
    <row r="2151" spans="1:10" x14ac:dyDescent="0.3">
      <c r="A2151" s="15">
        <v>45536</v>
      </c>
      <c r="B2151" t="s">
        <v>292</v>
      </c>
      <c r="C2151" t="s">
        <v>91</v>
      </c>
      <c r="D2151" t="s">
        <v>86</v>
      </c>
      <c r="E2151" t="s">
        <v>89</v>
      </c>
      <c r="F2151">
        <v>8600</v>
      </c>
      <c r="G2151" t="s">
        <v>331</v>
      </c>
      <c r="H2151" s="15">
        <v>45292</v>
      </c>
      <c r="I2151">
        <v>8600</v>
      </c>
      <c r="J2151">
        <v>0</v>
      </c>
    </row>
    <row r="2152" spans="1:10" x14ac:dyDescent="0.3">
      <c r="A2152" s="15">
        <v>45536</v>
      </c>
      <c r="B2152" t="s">
        <v>293</v>
      </c>
      <c r="C2152" t="s">
        <v>81</v>
      </c>
      <c r="D2152" t="s">
        <v>86</v>
      </c>
      <c r="E2152" t="s">
        <v>103</v>
      </c>
      <c r="F2152">
        <v>2200</v>
      </c>
      <c r="G2152" t="s">
        <v>331</v>
      </c>
      <c r="H2152" s="15">
        <v>45292</v>
      </c>
      <c r="I2152">
        <v>2200</v>
      </c>
      <c r="J2152">
        <v>0</v>
      </c>
    </row>
    <row r="2153" spans="1:10" x14ac:dyDescent="0.3">
      <c r="A2153" s="15">
        <v>45536</v>
      </c>
      <c r="B2153" t="s">
        <v>294</v>
      </c>
      <c r="C2153" t="s">
        <v>91</v>
      </c>
      <c r="D2153" t="s">
        <v>82</v>
      </c>
      <c r="E2153" t="s">
        <v>97</v>
      </c>
      <c r="F2153">
        <v>10400</v>
      </c>
      <c r="G2153" t="s">
        <v>331</v>
      </c>
      <c r="H2153" s="15">
        <v>45292</v>
      </c>
      <c r="I2153">
        <v>10400</v>
      </c>
      <c r="J2153">
        <v>0</v>
      </c>
    </row>
    <row r="2154" spans="1:10" x14ac:dyDescent="0.3">
      <c r="A2154" s="15">
        <v>45536</v>
      </c>
      <c r="B2154" t="s">
        <v>295</v>
      </c>
      <c r="C2154" t="s">
        <v>81</v>
      </c>
      <c r="D2154" t="s">
        <v>82</v>
      </c>
      <c r="E2154" t="s">
        <v>103</v>
      </c>
      <c r="F2154">
        <v>2300</v>
      </c>
      <c r="G2154" t="s">
        <v>331</v>
      </c>
      <c r="H2154" s="15">
        <v>45292</v>
      </c>
      <c r="I2154">
        <v>2300</v>
      </c>
      <c r="J2154">
        <v>0</v>
      </c>
    </row>
    <row r="2155" spans="1:10" x14ac:dyDescent="0.3">
      <c r="A2155" s="15">
        <v>45536</v>
      </c>
      <c r="B2155" t="s">
        <v>297</v>
      </c>
      <c r="C2155" t="s">
        <v>91</v>
      </c>
      <c r="D2155" t="s">
        <v>86</v>
      </c>
      <c r="E2155" t="s">
        <v>103</v>
      </c>
      <c r="F2155">
        <v>9100</v>
      </c>
      <c r="G2155" t="s">
        <v>331</v>
      </c>
      <c r="H2155" s="15">
        <v>45292</v>
      </c>
      <c r="I2155">
        <v>9100</v>
      </c>
      <c r="J2155">
        <v>0</v>
      </c>
    </row>
    <row r="2156" spans="1:10" x14ac:dyDescent="0.3">
      <c r="A2156" s="15">
        <v>45536</v>
      </c>
      <c r="B2156" t="s">
        <v>298</v>
      </c>
      <c r="C2156" t="s">
        <v>81</v>
      </c>
      <c r="D2156" t="s">
        <v>86</v>
      </c>
      <c r="E2156" t="s">
        <v>89</v>
      </c>
      <c r="F2156">
        <v>2700</v>
      </c>
      <c r="G2156" t="s">
        <v>331</v>
      </c>
      <c r="H2156" s="15">
        <v>45292</v>
      </c>
      <c r="I2156">
        <v>2700</v>
      </c>
      <c r="J2156">
        <v>0</v>
      </c>
    </row>
    <row r="2157" spans="1:10" x14ac:dyDescent="0.3">
      <c r="A2157" s="15">
        <v>45536</v>
      </c>
      <c r="B2157" t="s">
        <v>299</v>
      </c>
      <c r="C2157" t="s">
        <v>81</v>
      </c>
      <c r="D2157" t="s">
        <v>99</v>
      </c>
      <c r="E2157" t="s">
        <v>103</v>
      </c>
      <c r="F2157">
        <v>2900</v>
      </c>
      <c r="G2157" t="s">
        <v>331</v>
      </c>
      <c r="H2157" s="15">
        <v>45292</v>
      </c>
      <c r="I2157">
        <v>2900</v>
      </c>
      <c r="J2157">
        <v>0</v>
      </c>
    </row>
    <row r="2158" spans="1:10" x14ac:dyDescent="0.3">
      <c r="A2158" s="15">
        <v>45536</v>
      </c>
      <c r="B2158" t="s">
        <v>300</v>
      </c>
      <c r="C2158" t="s">
        <v>91</v>
      </c>
      <c r="D2158" t="s">
        <v>82</v>
      </c>
      <c r="E2158" t="s">
        <v>89</v>
      </c>
      <c r="F2158">
        <v>10900</v>
      </c>
      <c r="G2158" t="s">
        <v>331</v>
      </c>
      <c r="H2158" s="15">
        <v>45292</v>
      </c>
      <c r="I2158">
        <v>10900</v>
      </c>
      <c r="J2158">
        <v>0</v>
      </c>
    </row>
    <row r="2159" spans="1:10" x14ac:dyDescent="0.3">
      <c r="A2159" s="15">
        <v>45536</v>
      </c>
      <c r="B2159" t="s">
        <v>303</v>
      </c>
      <c r="C2159" t="s">
        <v>81</v>
      </c>
      <c r="D2159" t="s">
        <v>82</v>
      </c>
      <c r="E2159" t="s">
        <v>83</v>
      </c>
      <c r="F2159">
        <v>1500</v>
      </c>
      <c r="G2159" t="s">
        <v>331</v>
      </c>
      <c r="H2159" s="15">
        <v>45292</v>
      </c>
      <c r="I2159">
        <v>1500</v>
      </c>
      <c r="J2159">
        <v>0</v>
      </c>
    </row>
    <row r="2160" spans="1:10" x14ac:dyDescent="0.3">
      <c r="A2160" s="15">
        <v>45536</v>
      </c>
      <c r="B2160" t="s">
        <v>304</v>
      </c>
      <c r="C2160" t="s">
        <v>81</v>
      </c>
      <c r="D2160" t="s">
        <v>86</v>
      </c>
      <c r="E2160" t="s">
        <v>92</v>
      </c>
      <c r="F2160">
        <v>2100</v>
      </c>
      <c r="G2160" t="s">
        <v>331</v>
      </c>
      <c r="H2160" s="15">
        <v>45292</v>
      </c>
      <c r="I2160">
        <v>2100</v>
      </c>
      <c r="J2160">
        <v>0</v>
      </c>
    </row>
    <row r="2161" spans="1:10" x14ac:dyDescent="0.3">
      <c r="A2161" s="15">
        <v>45536</v>
      </c>
      <c r="B2161" t="s">
        <v>306</v>
      </c>
      <c r="C2161" t="s">
        <v>91</v>
      </c>
      <c r="D2161" t="s">
        <v>82</v>
      </c>
      <c r="E2161" t="s">
        <v>87</v>
      </c>
      <c r="F2161">
        <v>11700</v>
      </c>
      <c r="G2161" t="s">
        <v>331</v>
      </c>
      <c r="H2161" s="15">
        <v>45292</v>
      </c>
      <c r="I2161">
        <v>11700</v>
      </c>
      <c r="J2161">
        <v>0</v>
      </c>
    </row>
    <row r="2162" spans="1:10" x14ac:dyDescent="0.3">
      <c r="A2162" s="15">
        <v>45536</v>
      </c>
      <c r="B2162" t="s">
        <v>307</v>
      </c>
      <c r="C2162" t="s">
        <v>81</v>
      </c>
      <c r="D2162" t="s">
        <v>86</v>
      </c>
      <c r="E2162" t="s">
        <v>97</v>
      </c>
      <c r="F2162">
        <v>2600</v>
      </c>
      <c r="G2162" t="s">
        <v>332</v>
      </c>
      <c r="H2162" s="15">
        <v>45292</v>
      </c>
      <c r="I2162">
        <v>2300</v>
      </c>
      <c r="J2162">
        <v>300</v>
      </c>
    </row>
    <row r="2163" spans="1:10" x14ac:dyDescent="0.3">
      <c r="A2163" s="15">
        <v>45536</v>
      </c>
      <c r="B2163" t="s">
        <v>308</v>
      </c>
      <c r="C2163" t="s">
        <v>91</v>
      </c>
      <c r="D2163" t="s">
        <v>86</v>
      </c>
      <c r="E2163" t="s">
        <v>92</v>
      </c>
      <c r="F2163">
        <v>8000</v>
      </c>
      <c r="G2163" t="s">
        <v>331</v>
      </c>
      <c r="H2163" s="15">
        <v>45292</v>
      </c>
      <c r="I2163">
        <v>8000</v>
      </c>
      <c r="J2163">
        <v>0</v>
      </c>
    </row>
    <row r="2164" spans="1:10" x14ac:dyDescent="0.3">
      <c r="A2164" s="15">
        <v>45536</v>
      </c>
      <c r="B2164" t="s">
        <v>309</v>
      </c>
      <c r="C2164" t="s">
        <v>91</v>
      </c>
      <c r="D2164" t="s">
        <v>82</v>
      </c>
      <c r="E2164" t="s">
        <v>87</v>
      </c>
      <c r="F2164">
        <v>9700</v>
      </c>
      <c r="G2164" t="s">
        <v>331</v>
      </c>
      <c r="H2164" s="15">
        <v>45292</v>
      </c>
      <c r="I2164">
        <v>9700</v>
      </c>
      <c r="J2164">
        <v>0</v>
      </c>
    </row>
    <row r="2165" spans="1:10" x14ac:dyDescent="0.3">
      <c r="A2165" s="15">
        <v>45536</v>
      </c>
      <c r="B2165" t="s">
        <v>310</v>
      </c>
      <c r="C2165" t="s">
        <v>91</v>
      </c>
      <c r="D2165" t="s">
        <v>99</v>
      </c>
      <c r="E2165" t="s">
        <v>87</v>
      </c>
      <c r="F2165">
        <v>10000</v>
      </c>
      <c r="G2165" t="s">
        <v>331</v>
      </c>
      <c r="H2165" s="15">
        <v>45292</v>
      </c>
      <c r="I2165">
        <v>10000</v>
      </c>
      <c r="J2165">
        <v>0</v>
      </c>
    </row>
    <row r="2166" spans="1:10" x14ac:dyDescent="0.3">
      <c r="A2166" s="15">
        <v>45536</v>
      </c>
      <c r="B2166" t="s">
        <v>313</v>
      </c>
      <c r="C2166" t="s">
        <v>91</v>
      </c>
      <c r="D2166" t="s">
        <v>82</v>
      </c>
      <c r="E2166" t="s">
        <v>101</v>
      </c>
      <c r="F2166">
        <v>12700</v>
      </c>
      <c r="G2166" t="s">
        <v>331</v>
      </c>
      <c r="H2166" s="15">
        <v>45292</v>
      </c>
      <c r="I2166">
        <v>12700</v>
      </c>
      <c r="J2166">
        <v>0</v>
      </c>
    </row>
    <row r="2167" spans="1:10" x14ac:dyDescent="0.3">
      <c r="A2167" s="15">
        <v>45536</v>
      </c>
      <c r="B2167" t="s">
        <v>314</v>
      </c>
      <c r="C2167" t="s">
        <v>91</v>
      </c>
      <c r="D2167" t="s">
        <v>82</v>
      </c>
      <c r="E2167" t="s">
        <v>103</v>
      </c>
      <c r="F2167">
        <v>10100</v>
      </c>
      <c r="G2167" t="s">
        <v>331</v>
      </c>
      <c r="H2167" s="15">
        <v>45292</v>
      </c>
      <c r="I2167">
        <v>10100</v>
      </c>
      <c r="J2167">
        <v>0</v>
      </c>
    </row>
    <row r="2168" spans="1:10" x14ac:dyDescent="0.3">
      <c r="A2168" s="15">
        <v>45536</v>
      </c>
      <c r="B2168" t="s">
        <v>315</v>
      </c>
      <c r="C2168" t="s">
        <v>125</v>
      </c>
      <c r="D2168" t="s">
        <v>86</v>
      </c>
      <c r="E2168" t="s">
        <v>92</v>
      </c>
      <c r="F2168">
        <v>76200</v>
      </c>
      <c r="G2168" t="s">
        <v>331</v>
      </c>
      <c r="H2168" s="15">
        <v>45292</v>
      </c>
      <c r="I2168">
        <v>76200</v>
      </c>
      <c r="J2168">
        <v>0</v>
      </c>
    </row>
    <row r="2169" spans="1:10" x14ac:dyDescent="0.3">
      <c r="A2169" s="15">
        <v>45536</v>
      </c>
      <c r="B2169" t="s">
        <v>316</v>
      </c>
      <c r="C2169" t="s">
        <v>81</v>
      </c>
      <c r="D2169" t="s">
        <v>96</v>
      </c>
      <c r="E2169" t="s">
        <v>92</v>
      </c>
      <c r="F2169">
        <v>1800</v>
      </c>
      <c r="G2169" t="s">
        <v>331</v>
      </c>
      <c r="H2169" s="15">
        <v>45292</v>
      </c>
      <c r="I2169">
        <v>1800</v>
      </c>
      <c r="J2169">
        <v>0</v>
      </c>
    </row>
    <row r="2170" spans="1:10" x14ac:dyDescent="0.3">
      <c r="A2170" s="15">
        <v>45536</v>
      </c>
      <c r="B2170" t="s">
        <v>317</v>
      </c>
      <c r="C2170" t="s">
        <v>125</v>
      </c>
      <c r="D2170" t="s">
        <v>82</v>
      </c>
      <c r="E2170" t="s">
        <v>92</v>
      </c>
      <c r="F2170">
        <v>73500</v>
      </c>
      <c r="G2170" t="s">
        <v>331</v>
      </c>
      <c r="H2170" s="15">
        <v>45292</v>
      </c>
      <c r="I2170">
        <v>73500</v>
      </c>
      <c r="J2170">
        <v>0</v>
      </c>
    </row>
    <row r="2171" spans="1:10" x14ac:dyDescent="0.3">
      <c r="A2171" s="15">
        <v>45536</v>
      </c>
      <c r="B2171" t="s">
        <v>318</v>
      </c>
      <c r="C2171" t="s">
        <v>110</v>
      </c>
      <c r="D2171" t="s">
        <v>82</v>
      </c>
      <c r="E2171" t="s">
        <v>97</v>
      </c>
      <c r="F2171">
        <v>29600</v>
      </c>
      <c r="G2171" t="s">
        <v>331</v>
      </c>
      <c r="H2171" s="15">
        <v>45292</v>
      </c>
      <c r="I2171">
        <v>29600</v>
      </c>
      <c r="J2171">
        <v>0</v>
      </c>
    </row>
    <row r="2172" spans="1:10" x14ac:dyDescent="0.3">
      <c r="A2172" s="15">
        <v>45536</v>
      </c>
      <c r="B2172" t="s">
        <v>320</v>
      </c>
      <c r="C2172" t="s">
        <v>91</v>
      </c>
      <c r="D2172" t="s">
        <v>86</v>
      </c>
      <c r="E2172" t="s">
        <v>97</v>
      </c>
      <c r="F2172">
        <v>7700</v>
      </c>
      <c r="G2172" t="s">
        <v>331</v>
      </c>
      <c r="H2172" s="15">
        <v>45292</v>
      </c>
      <c r="I2172">
        <v>7700</v>
      </c>
      <c r="J2172">
        <v>0</v>
      </c>
    </row>
    <row r="2173" spans="1:10" x14ac:dyDescent="0.3">
      <c r="A2173" s="15">
        <v>45536</v>
      </c>
      <c r="B2173" t="s">
        <v>321</v>
      </c>
      <c r="C2173" t="s">
        <v>81</v>
      </c>
      <c r="D2173" t="s">
        <v>99</v>
      </c>
      <c r="E2173" t="s">
        <v>101</v>
      </c>
      <c r="F2173">
        <v>3300</v>
      </c>
      <c r="G2173" t="s">
        <v>331</v>
      </c>
      <c r="H2173" s="15">
        <v>45292</v>
      </c>
      <c r="I2173">
        <v>3300</v>
      </c>
      <c r="J2173">
        <v>0</v>
      </c>
    </row>
    <row r="2174" spans="1:10" x14ac:dyDescent="0.3">
      <c r="A2174" s="15">
        <v>45536</v>
      </c>
      <c r="B2174" t="s">
        <v>322</v>
      </c>
      <c r="C2174" t="s">
        <v>81</v>
      </c>
      <c r="D2174" t="s">
        <v>82</v>
      </c>
      <c r="E2174" t="s">
        <v>103</v>
      </c>
      <c r="F2174">
        <v>2000</v>
      </c>
      <c r="G2174" t="s">
        <v>331</v>
      </c>
      <c r="H2174" s="15">
        <v>45292</v>
      </c>
      <c r="I2174">
        <v>2000</v>
      </c>
      <c r="J2174">
        <v>0</v>
      </c>
    </row>
    <row r="2175" spans="1:10" x14ac:dyDescent="0.3">
      <c r="A2175" s="15">
        <v>45536</v>
      </c>
      <c r="B2175" t="s">
        <v>323</v>
      </c>
      <c r="C2175" t="s">
        <v>110</v>
      </c>
      <c r="D2175" t="s">
        <v>82</v>
      </c>
      <c r="E2175" t="s">
        <v>89</v>
      </c>
      <c r="F2175">
        <v>23400</v>
      </c>
      <c r="G2175" t="s">
        <v>331</v>
      </c>
      <c r="H2175" s="15">
        <v>45292</v>
      </c>
      <c r="I2175">
        <v>23400</v>
      </c>
      <c r="J2175">
        <v>0</v>
      </c>
    </row>
    <row r="2176" spans="1:10" x14ac:dyDescent="0.3">
      <c r="A2176" s="15">
        <v>45536</v>
      </c>
      <c r="B2176" t="s">
        <v>324</v>
      </c>
      <c r="C2176" t="s">
        <v>81</v>
      </c>
      <c r="D2176" t="s">
        <v>86</v>
      </c>
      <c r="E2176" t="s">
        <v>87</v>
      </c>
      <c r="F2176">
        <v>2700</v>
      </c>
      <c r="G2176" t="s">
        <v>331</v>
      </c>
      <c r="H2176" s="15">
        <v>45292</v>
      </c>
      <c r="I2176">
        <v>2700</v>
      </c>
      <c r="J2176">
        <v>0</v>
      </c>
    </row>
    <row r="2177" spans="1:10" x14ac:dyDescent="0.3">
      <c r="A2177" s="15">
        <v>45536</v>
      </c>
      <c r="B2177" t="s">
        <v>325</v>
      </c>
      <c r="C2177" t="s">
        <v>91</v>
      </c>
      <c r="D2177" t="s">
        <v>86</v>
      </c>
      <c r="E2177" t="s">
        <v>87</v>
      </c>
      <c r="F2177">
        <v>8800</v>
      </c>
      <c r="G2177" t="s">
        <v>331</v>
      </c>
      <c r="H2177" s="15">
        <v>45292</v>
      </c>
      <c r="I2177">
        <v>8800</v>
      </c>
      <c r="J2177">
        <v>0</v>
      </c>
    </row>
    <row r="2178" spans="1:10" x14ac:dyDescent="0.3">
      <c r="A2178" s="15">
        <v>45536</v>
      </c>
      <c r="B2178" t="s">
        <v>326</v>
      </c>
      <c r="C2178" t="s">
        <v>91</v>
      </c>
      <c r="D2178" t="s">
        <v>86</v>
      </c>
      <c r="E2178" t="s">
        <v>92</v>
      </c>
      <c r="F2178">
        <v>7900</v>
      </c>
      <c r="G2178" t="s">
        <v>331</v>
      </c>
      <c r="H2178" s="15">
        <v>45292</v>
      </c>
      <c r="I2178">
        <v>7900</v>
      </c>
      <c r="J2178">
        <v>0</v>
      </c>
    </row>
    <row r="2179" spans="1:10" x14ac:dyDescent="0.3">
      <c r="A2179" s="15">
        <v>45536</v>
      </c>
      <c r="B2179" t="s">
        <v>327</v>
      </c>
      <c r="C2179" t="s">
        <v>125</v>
      </c>
      <c r="D2179" t="s">
        <v>99</v>
      </c>
      <c r="E2179" t="s">
        <v>97</v>
      </c>
      <c r="F2179">
        <v>77500</v>
      </c>
      <c r="G2179" t="s">
        <v>331</v>
      </c>
      <c r="H2179" s="15">
        <v>45292</v>
      </c>
      <c r="I2179">
        <v>77500</v>
      </c>
      <c r="J2179">
        <v>0</v>
      </c>
    </row>
    <row r="2180" spans="1:10" x14ac:dyDescent="0.3">
      <c r="A2180" s="15">
        <v>45536</v>
      </c>
      <c r="B2180" t="s">
        <v>329</v>
      </c>
      <c r="C2180" t="s">
        <v>81</v>
      </c>
      <c r="D2180" t="s">
        <v>86</v>
      </c>
      <c r="E2180" t="s">
        <v>101</v>
      </c>
      <c r="F2180">
        <v>2200</v>
      </c>
      <c r="G2180" t="s">
        <v>331</v>
      </c>
      <c r="H2180" s="15">
        <v>45292</v>
      </c>
      <c r="I2180">
        <v>2200</v>
      </c>
      <c r="J2180">
        <v>0</v>
      </c>
    </row>
    <row r="2181" spans="1:10" x14ac:dyDescent="0.3">
      <c r="A2181" s="15">
        <v>45536</v>
      </c>
      <c r="B2181" t="s">
        <v>330</v>
      </c>
      <c r="C2181" t="s">
        <v>125</v>
      </c>
      <c r="D2181" t="s">
        <v>86</v>
      </c>
      <c r="E2181" t="s">
        <v>87</v>
      </c>
      <c r="F2181">
        <v>105400</v>
      </c>
      <c r="G2181" t="s">
        <v>331</v>
      </c>
      <c r="H2181" s="15">
        <v>45292</v>
      </c>
      <c r="I2181">
        <v>105400</v>
      </c>
      <c r="J2181">
        <v>0</v>
      </c>
    </row>
    <row r="2182" spans="1:10" x14ac:dyDescent="0.3">
      <c r="A2182" s="15">
        <v>45536</v>
      </c>
      <c r="B2182" t="s">
        <v>335</v>
      </c>
      <c r="C2182" t="s">
        <v>91</v>
      </c>
      <c r="D2182" t="s">
        <v>86</v>
      </c>
      <c r="E2182" t="s">
        <v>89</v>
      </c>
      <c r="F2182">
        <v>7300</v>
      </c>
      <c r="G2182" t="s">
        <v>331</v>
      </c>
      <c r="H2182" s="15">
        <v>45323</v>
      </c>
      <c r="I2182">
        <v>7300</v>
      </c>
      <c r="J2182">
        <v>0</v>
      </c>
    </row>
    <row r="2183" spans="1:10" x14ac:dyDescent="0.3">
      <c r="A2183" s="15">
        <v>45536</v>
      </c>
      <c r="B2183" t="s">
        <v>336</v>
      </c>
      <c r="C2183" t="s">
        <v>81</v>
      </c>
      <c r="D2183" t="s">
        <v>82</v>
      </c>
      <c r="E2183" t="s">
        <v>103</v>
      </c>
      <c r="F2183">
        <v>1500</v>
      </c>
      <c r="G2183" t="s">
        <v>331</v>
      </c>
      <c r="H2183" s="15">
        <v>45323</v>
      </c>
      <c r="I2183">
        <v>1500</v>
      </c>
      <c r="J2183">
        <v>0</v>
      </c>
    </row>
    <row r="2184" spans="1:10" x14ac:dyDescent="0.3">
      <c r="A2184" s="15">
        <v>45536</v>
      </c>
      <c r="B2184" t="s">
        <v>337</v>
      </c>
      <c r="C2184" t="s">
        <v>91</v>
      </c>
      <c r="D2184" t="s">
        <v>82</v>
      </c>
      <c r="E2184" t="s">
        <v>92</v>
      </c>
      <c r="F2184">
        <v>6200</v>
      </c>
      <c r="G2184" t="s">
        <v>331</v>
      </c>
      <c r="H2184" s="15">
        <v>45323</v>
      </c>
      <c r="I2184">
        <v>6200</v>
      </c>
      <c r="J2184">
        <v>0</v>
      </c>
    </row>
    <row r="2185" spans="1:10" x14ac:dyDescent="0.3">
      <c r="A2185" s="15">
        <v>45536</v>
      </c>
      <c r="B2185" t="s">
        <v>338</v>
      </c>
      <c r="C2185" t="s">
        <v>91</v>
      </c>
      <c r="D2185" t="s">
        <v>82</v>
      </c>
      <c r="E2185" t="s">
        <v>103</v>
      </c>
      <c r="F2185">
        <v>5700</v>
      </c>
      <c r="G2185" t="s">
        <v>331</v>
      </c>
      <c r="H2185" s="15">
        <v>45323</v>
      </c>
      <c r="I2185">
        <v>5700</v>
      </c>
      <c r="J2185">
        <v>0</v>
      </c>
    </row>
    <row r="2186" spans="1:10" x14ac:dyDescent="0.3">
      <c r="A2186" s="15">
        <v>45536</v>
      </c>
      <c r="B2186" t="s">
        <v>339</v>
      </c>
      <c r="C2186" t="s">
        <v>81</v>
      </c>
      <c r="D2186" t="s">
        <v>82</v>
      </c>
      <c r="E2186" t="s">
        <v>103</v>
      </c>
      <c r="F2186">
        <v>1800</v>
      </c>
      <c r="G2186" t="s">
        <v>331</v>
      </c>
      <c r="H2186" s="15">
        <v>45323</v>
      </c>
      <c r="I2186">
        <v>1800</v>
      </c>
      <c r="J2186">
        <v>0</v>
      </c>
    </row>
    <row r="2187" spans="1:10" x14ac:dyDescent="0.3">
      <c r="A2187" s="15">
        <v>45536</v>
      </c>
      <c r="B2187" t="s">
        <v>340</v>
      </c>
      <c r="C2187" t="s">
        <v>81</v>
      </c>
      <c r="D2187" t="s">
        <v>82</v>
      </c>
      <c r="E2187" t="s">
        <v>87</v>
      </c>
      <c r="F2187">
        <v>1800</v>
      </c>
      <c r="G2187" t="s">
        <v>331</v>
      </c>
      <c r="H2187" s="15">
        <v>45323</v>
      </c>
      <c r="I2187">
        <v>1800</v>
      </c>
      <c r="J2187">
        <v>0</v>
      </c>
    </row>
    <row r="2188" spans="1:10" x14ac:dyDescent="0.3">
      <c r="A2188" s="15">
        <v>45536</v>
      </c>
      <c r="B2188" t="s">
        <v>341</v>
      </c>
      <c r="C2188" t="s">
        <v>110</v>
      </c>
      <c r="D2188" t="s">
        <v>82</v>
      </c>
      <c r="E2188" t="s">
        <v>92</v>
      </c>
      <c r="F2188">
        <v>18800</v>
      </c>
      <c r="G2188" t="s">
        <v>331</v>
      </c>
      <c r="H2188" s="15">
        <v>45323</v>
      </c>
      <c r="I2188">
        <v>18800</v>
      </c>
      <c r="J2188">
        <v>0</v>
      </c>
    </row>
    <row r="2189" spans="1:10" x14ac:dyDescent="0.3">
      <c r="A2189" s="15">
        <v>45536</v>
      </c>
      <c r="B2189" t="s">
        <v>342</v>
      </c>
      <c r="C2189" t="s">
        <v>91</v>
      </c>
      <c r="D2189" t="s">
        <v>82</v>
      </c>
      <c r="E2189" t="s">
        <v>83</v>
      </c>
      <c r="F2189">
        <v>7100</v>
      </c>
      <c r="G2189" t="s">
        <v>331</v>
      </c>
      <c r="H2189" s="15">
        <v>45352</v>
      </c>
      <c r="I2189">
        <v>7100</v>
      </c>
      <c r="J2189">
        <v>0</v>
      </c>
    </row>
    <row r="2190" spans="1:10" x14ac:dyDescent="0.3">
      <c r="A2190" s="15">
        <v>45536</v>
      </c>
      <c r="B2190" t="s">
        <v>343</v>
      </c>
      <c r="C2190" t="s">
        <v>81</v>
      </c>
      <c r="D2190" t="s">
        <v>82</v>
      </c>
      <c r="E2190" t="s">
        <v>89</v>
      </c>
      <c r="F2190">
        <v>2500</v>
      </c>
      <c r="G2190" t="s">
        <v>331</v>
      </c>
      <c r="H2190" s="15">
        <v>45352</v>
      </c>
      <c r="I2190">
        <v>2500</v>
      </c>
      <c r="J2190">
        <v>0</v>
      </c>
    </row>
    <row r="2191" spans="1:10" x14ac:dyDescent="0.3">
      <c r="A2191" s="15">
        <v>45536</v>
      </c>
      <c r="B2191" t="s">
        <v>344</v>
      </c>
      <c r="C2191" t="s">
        <v>110</v>
      </c>
      <c r="D2191" t="s">
        <v>86</v>
      </c>
      <c r="E2191" t="s">
        <v>89</v>
      </c>
      <c r="F2191">
        <v>21100</v>
      </c>
      <c r="G2191" t="s">
        <v>331</v>
      </c>
      <c r="H2191" s="15">
        <v>45352</v>
      </c>
      <c r="I2191">
        <v>21100</v>
      </c>
      <c r="J2191">
        <v>0</v>
      </c>
    </row>
    <row r="2192" spans="1:10" x14ac:dyDescent="0.3">
      <c r="A2192" s="15">
        <v>45536</v>
      </c>
      <c r="B2192" t="s">
        <v>345</v>
      </c>
      <c r="C2192" t="s">
        <v>91</v>
      </c>
      <c r="D2192" t="s">
        <v>86</v>
      </c>
      <c r="E2192" t="s">
        <v>83</v>
      </c>
      <c r="F2192">
        <v>6900</v>
      </c>
      <c r="G2192" t="s">
        <v>331</v>
      </c>
      <c r="H2192" s="15">
        <v>45352</v>
      </c>
      <c r="I2192">
        <v>6900</v>
      </c>
      <c r="J2192">
        <v>0</v>
      </c>
    </row>
    <row r="2193" spans="1:10" x14ac:dyDescent="0.3">
      <c r="A2193" s="15">
        <v>45536</v>
      </c>
      <c r="B2193" t="s">
        <v>346</v>
      </c>
      <c r="C2193" t="s">
        <v>81</v>
      </c>
      <c r="D2193" t="s">
        <v>86</v>
      </c>
      <c r="E2193" t="s">
        <v>97</v>
      </c>
      <c r="F2193">
        <v>1700</v>
      </c>
      <c r="G2193" t="s">
        <v>331</v>
      </c>
      <c r="H2193" s="15">
        <v>45352</v>
      </c>
      <c r="I2193">
        <v>1700</v>
      </c>
      <c r="J2193">
        <v>0</v>
      </c>
    </row>
    <row r="2194" spans="1:10" x14ac:dyDescent="0.3">
      <c r="A2194" s="15">
        <v>45536</v>
      </c>
      <c r="B2194" t="s">
        <v>347</v>
      </c>
      <c r="C2194" t="s">
        <v>91</v>
      </c>
      <c r="D2194" t="s">
        <v>82</v>
      </c>
      <c r="E2194" t="s">
        <v>83</v>
      </c>
      <c r="F2194">
        <v>5700</v>
      </c>
      <c r="G2194" t="s">
        <v>331</v>
      </c>
      <c r="H2194" s="15">
        <v>45383</v>
      </c>
      <c r="I2194">
        <v>5700</v>
      </c>
      <c r="J2194">
        <v>0</v>
      </c>
    </row>
    <row r="2195" spans="1:10" x14ac:dyDescent="0.3">
      <c r="A2195" s="15">
        <v>45536</v>
      </c>
      <c r="B2195" t="s">
        <v>348</v>
      </c>
      <c r="C2195" t="s">
        <v>125</v>
      </c>
      <c r="D2195" t="s">
        <v>86</v>
      </c>
      <c r="E2195" t="s">
        <v>92</v>
      </c>
      <c r="F2195">
        <v>59200</v>
      </c>
      <c r="G2195" t="s">
        <v>331</v>
      </c>
      <c r="H2195" s="15">
        <v>45383</v>
      </c>
      <c r="I2195">
        <v>59200</v>
      </c>
      <c r="J2195">
        <v>0</v>
      </c>
    </row>
    <row r="2196" spans="1:10" x14ac:dyDescent="0.3">
      <c r="A2196" s="15">
        <v>45536</v>
      </c>
      <c r="B2196" t="s">
        <v>350</v>
      </c>
      <c r="C2196" t="s">
        <v>91</v>
      </c>
      <c r="D2196" t="s">
        <v>82</v>
      </c>
      <c r="E2196" t="s">
        <v>83</v>
      </c>
      <c r="F2196">
        <v>4800</v>
      </c>
      <c r="G2196" t="s">
        <v>331</v>
      </c>
      <c r="H2196" s="15">
        <v>45383</v>
      </c>
      <c r="I2196">
        <v>4800</v>
      </c>
      <c r="J2196">
        <v>0</v>
      </c>
    </row>
    <row r="2197" spans="1:10" x14ac:dyDescent="0.3">
      <c r="A2197" s="15">
        <v>45536</v>
      </c>
      <c r="B2197" t="s">
        <v>351</v>
      </c>
      <c r="C2197" t="s">
        <v>81</v>
      </c>
      <c r="D2197" t="s">
        <v>86</v>
      </c>
      <c r="E2197" t="s">
        <v>83</v>
      </c>
      <c r="F2197">
        <v>2300</v>
      </c>
      <c r="G2197" t="s">
        <v>331</v>
      </c>
      <c r="H2197" s="15">
        <v>45383</v>
      </c>
      <c r="I2197">
        <v>2300</v>
      </c>
      <c r="J2197">
        <v>0</v>
      </c>
    </row>
    <row r="2198" spans="1:10" x14ac:dyDescent="0.3">
      <c r="A2198" s="15">
        <v>45536</v>
      </c>
      <c r="B2198" t="s">
        <v>352</v>
      </c>
      <c r="C2198" t="s">
        <v>91</v>
      </c>
      <c r="D2198" t="s">
        <v>82</v>
      </c>
      <c r="E2198" t="s">
        <v>89</v>
      </c>
      <c r="F2198">
        <v>6600</v>
      </c>
      <c r="G2198" t="s">
        <v>332</v>
      </c>
      <c r="H2198" s="15">
        <v>45383</v>
      </c>
      <c r="I2198">
        <v>6100</v>
      </c>
      <c r="J2198">
        <v>500</v>
      </c>
    </row>
    <row r="2199" spans="1:10" x14ac:dyDescent="0.3">
      <c r="A2199" s="15">
        <v>45536</v>
      </c>
      <c r="B2199" t="s">
        <v>353</v>
      </c>
      <c r="C2199" t="s">
        <v>81</v>
      </c>
      <c r="D2199" t="s">
        <v>99</v>
      </c>
      <c r="E2199" t="s">
        <v>103</v>
      </c>
      <c r="F2199">
        <v>1200</v>
      </c>
      <c r="G2199" t="s">
        <v>331</v>
      </c>
      <c r="H2199" s="15">
        <v>45383</v>
      </c>
      <c r="I2199">
        <v>1200</v>
      </c>
      <c r="J2199">
        <v>0</v>
      </c>
    </row>
    <row r="2200" spans="1:10" x14ac:dyDescent="0.3">
      <c r="A2200" s="15">
        <v>45536</v>
      </c>
      <c r="B2200" t="s">
        <v>354</v>
      </c>
      <c r="C2200" t="s">
        <v>81</v>
      </c>
      <c r="D2200" t="s">
        <v>82</v>
      </c>
      <c r="E2200" t="s">
        <v>92</v>
      </c>
      <c r="F2200">
        <v>1800</v>
      </c>
      <c r="G2200" t="s">
        <v>331</v>
      </c>
      <c r="H2200" s="15">
        <v>45413</v>
      </c>
      <c r="I2200">
        <v>1800</v>
      </c>
      <c r="J2200">
        <v>0</v>
      </c>
    </row>
    <row r="2201" spans="1:10" x14ac:dyDescent="0.3">
      <c r="A2201" s="15">
        <v>45536</v>
      </c>
      <c r="B2201" t="s">
        <v>355</v>
      </c>
      <c r="C2201" t="s">
        <v>81</v>
      </c>
      <c r="D2201" t="s">
        <v>86</v>
      </c>
      <c r="E2201" t="s">
        <v>97</v>
      </c>
      <c r="F2201">
        <v>2200</v>
      </c>
      <c r="G2201" t="s">
        <v>331</v>
      </c>
      <c r="H2201" s="15">
        <v>45413</v>
      </c>
      <c r="I2201">
        <v>2200</v>
      </c>
      <c r="J2201">
        <v>0</v>
      </c>
    </row>
    <row r="2202" spans="1:10" x14ac:dyDescent="0.3">
      <c r="A2202" s="15">
        <v>45536</v>
      </c>
      <c r="B2202" t="s">
        <v>356</v>
      </c>
      <c r="C2202" t="s">
        <v>110</v>
      </c>
      <c r="D2202" t="s">
        <v>82</v>
      </c>
      <c r="E2202" t="s">
        <v>97</v>
      </c>
      <c r="F2202">
        <v>33000</v>
      </c>
      <c r="G2202" t="s">
        <v>331</v>
      </c>
      <c r="H2202" s="15">
        <v>45413</v>
      </c>
      <c r="I2202">
        <v>33000</v>
      </c>
      <c r="J2202">
        <v>0</v>
      </c>
    </row>
    <row r="2203" spans="1:10" x14ac:dyDescent="0.3">
      <c r="A2203" s="15">
        <v>45536</v>
      </c>
      <c r="B2203" t="s">
        <v>357</v>
      </c>
      <c r="C2203" t="s">
        <v>125</v>
      </c>
      <c r="D2203" t="s">
        <v>86</v>
      </c>
      <c r="E2203" t="s">
        <v>97</v>
      </c>
      <c r="F2203">
        <v>79900</v>
      </c>
      <c r="G2203" t="s">
        <v>331</v>
      </c>
      <c r="H2203" s="15">
        <v>45413</v>
      </c>
      <c r="I2203">
        <v>79900</v>
      </c>
      <c r="J2203">
        <v>0</v>
      </c>
    </row>
    <row r="2204" spans="1:10" x14ac:dyDescent="0.3">
      <c r="A2204" s="15">
        <v>45536</v>
      </c>
      <c r="B2204" t="s">
        <v>358</v>
      </c>
      <c r="C2204" t="s">
        <v>110</v>
      </c>
      <c r="D2204" t="s">
        <v>86</v>
      </c>
      <c r="E2204" t="s">
        <v>83</v>
      </c>
      <c r="F2204">
        <v>21800</v>
      </c>
      <c r="G2204" t="s">
        <v>334</v>
      </c>
      <c r="H2204" s="15">
        <v>45413</v>
      </c>
      <c r="I2204">
        <v>25500</v>
      </c>
      <c r="J2204">
        <v>-3700</v>
      </c>
    </row>
    <row r="2205" spans="1:10" x14ac:dyDescent="0.3">
      <c r="A2205" s="15">
        <v>45536</v>
      </c>
      <c r="B2205" t="s">
        <v>359</v>
      </c>
      <c r="C2205" t="s">
        <v>110</v>
      </c>
      <c r="D2205" t="s">
        <v>86</v>
      </c>
      <c r="E2205" t="s">
        <v>101</v>
      </c>
      <c r="F2205">
        <v>31400</v>
      </c>
      <c r="G2205" t="s">
        <v>331</v>
      </c>
      <c r="H2205" s="15">
        <v>45413</v>
      </c>
      <c r="I2205">
        <v>31400</v>
      </c>
      <c r="J2205">
        <v>0</v>
      </c>
    </row>
    <row r="2206" spans="1:10" x14ac:dyDescent="0.3">
      <c r="A2206" s="15">
        <v>45536</v>
      </c>
      <c r="B2206" t="s">
        <v>360</v>
      </c>
      <c r="C2206" t="s">
        <v>91</v>
      </c>
      <c r="D2206" t="s">
        <v>86</v>
      </c>
      <c r="E2206" t="s">
        <v>103</v>
      </c>
      <c r="F2206">
        <v>5700</v>
      </c>
      <c r="G2206" t="s">
        <v>331</v>
      </c>
      <c r="H2206" s="15">
        <v>45444</v>
      </c>
      <c r="I2206">
        <v>5700</v>
      </c>
      <c r="J2206">
        <v>0</v>
      </c>
    </row>
    <row r="2207" spans="1:10" x14ac:dyDescent="0.3">
      <c r="A2207" s="15">
        <v>45536</v>
      </c>
      <c r="B2207" t="s">
        <v>361</v>
      </c>
      <c r="C2207" t="s">
        <v>91</v>
      </c>
      <c r="D2207" t="s">
        <v>86</v>
      </c>
      <c r="E2207" t="s">
        <v>83</v>
      </c>
      <c r="F2207">
        <v>5700</v>
      </c>
      <c r="G2207" t="s">
        <v>331</v>
      </c>
      <c r="H2207" s="15">
        <v>45444</v>
      </c>
      <c r="I2207">
        <v>5700</v>
      </c>
      <c r="J2207">
        <v>0</v>
      </c>
    </row>
    <row r="2208" spans="1:10" x14ac:dyDescent="0.3">
      <c r="A2208" s="15">
        <v>45536</v>
      </c>
      <c r="B2208" t="s">
        <v>362</v>
      </c>
      <c r="C2208" t="s">
        <v>91</v>
      </c>
      <c r="D2208" t="s">
        <v>82</v>
      </c>
      <c r="E2208" t="s">
        <v>101</v>
      </c>
      <c r="F2208">
        <v>5400</v>
      </c>
      <c r="G2208" t="s">
        <v>331</v>
      </c>
      <c r="H2208" s="15">
        <v>45444</v>
      </c>
      <c r="I2208">
        <v>5400</v>
      </c>
      <c r="J2208">
        <v>0</v>
      </c>
    </row>
    <row r="2209" spans="1:10" x14ac:dyDescent="0.3">
      <c r="A2209" s="15">
        <v>45536</v>
      </c>
      <c r="B2209" t="s">
        <v>363</v>
      </c>
      <c r="C2209" t="s">
        <v>91</v>
      </c>
      <c r="D2209" t="s">
        <v>86</v>
      </c>
      <c r="E2209" t="s">
        <v>83</v>
      </c>
      <c r="F2209">
        <v>5100</v>
      </c>
      <c r="G2209" t="s">
        <v>331</v>
      </c>
      <c r="H2209" s="15">
        <v>45444</v>
      </c>
      <c r="I2209">
        <v>5100</v>
      </c>
      <c r="J2209">
        <v>0</v>
      </c>
    </row>
    <row r="2210" spans="1:10" x14ac:dyDescent="0.3">
      <c r="A2210" s="15">
        <v>45536</v>
      </c>
      <c r="B2210" t="s">
        <v>364</v>
      </c>
      <c r="C2210" t="s">
        <v>91</v>
      </c>
      <c r="D2210" t="s">
        <v>82</v>
      </c>
      <c r="E2210" t="s">
        <v>101</v>
      </c>
      <c r="F2210">
        <v>6700</v>
      </c>
      <c r="G2210" t="s">
        <v>331</v>
      </c>
      <c r="H2210" s="15">
        <v>45444</v>
      </c>
      <c r="I2210">
        <v>6700</v>
      </c>
      <c r="J2210">
        <v>0</v>
      </c>
    </row>
    <row r="2211" spans="1:10" x14ac:dyDescent="0.3">
      <c r="A2211" s="15">
        <v>45536</v>
      </c>
      <c r="B2211" t="s">
        <v>365</v>
      </c>
      <c r="C2211" t="s">
        <v>91</v>
      </c>
      <c r="D2211" t="s">
        <v>82</v>
      </c>
      <c r="E2211" t="s">
        <v>92</v>
      </c>
      <c r="F2211">
        <v>8400</v>
      </c>
      <c r="G2211" t="s">
        <v>331</v>
      </c>
      <c r="H2211" s="15">
        <v>45444</v>
      </c>
      <c r="I2211">
        <v>8400</v>
      </c>
      <c r="J2211">
        <v>0</v>
      </c>
    </row>
    <row r="2212" spans="1:10" x14ac:dyDescent="0.3">
      <c r="A2212" s="15">
        <v>45536</v>
      </c>
      <c r="B2212" t="s">
        <v>366</v>
      </c>
      <c r="C2212" t="s">
        <v>81</v>
      </c>
      <c r="D2212" t="s">
        <v>99</v>
      </c>
      <c r="E2212" t="s">
        <v>92</v>
      </c>
      <c r="F2212">
        <v>1600</v>
      </c>
      <c r="G2212" t="s">
        <v>331</v>
      </c>
      <c r="H2212" s="15">
        <v>45474</v>
      </c>
      <c r="I2212">
        <v>1600</v>
      </c>
      <c r="J2212">
        <v>0</v>
      </c>
    </row>
    <row r="2213" spans="1:10" x14ac:dyDescent="0.3">
      <c r="A2213" s="15">
        <v>45536</v>
      </c>
      <c r="B2213" t="s">
        <v>367</v>
      </c>
      <c r="C2213" t="s">
        <v>91</v>
      </c>
      <c r="D2213" t="s">
        <v>82</v>
      </c>
      <c r="E2213" t="s">
        <v>92</v>
      </c>
      <c r="F2213">
        <v>5800</v>
      </c>
      <c r="G2213" t="s">
        <v>331</v>
      </c>
      <c r="H2213" s="15">
        <v>45474</v>
      </c>
      <c r="I2213">
        <v>5800</v>
      </c>
      <c r="J2213">
        <v>0</v>
      </c>
    </row>
    <row r="2214" spans="1:10" x14ac:dyDescent="0.3">
      <c r="A2214" s="15">
        <v>45536</v>
      </c>
      <c r="B2214" t="s">
        <v>368</v>
      </c>
      <c r="C2214" t="s">
        <v>81</v>
      </c>
      <c r="D2214" t="s">
        <v>86</v>
      </c>
      <c r="E2214" t="s">
        <v>89</v>
      </c>
      <c r="F2214">
        <v>1400</v>
      </c>
      <c r="G2214" t="s">
        <v>331</v>
      </c>
      <c r="H2214" s="15">
        <v>45474</v>
      </c>
      <c r="I2214">
        <v>1400</v>
      </c>
      <c r="J2214">
        <v>0</v>
      </c>
    </row>
    <row r="2215" spans="1:10" x14ac:dyDescent="0.3">
      <c r="A2215" s="15">
        <v>45536</v>
      </c>
      <c r="B2215" t="s">
        <v>369</v>
      </c>
      <c r="C2215" t="s">
        <v>81</v>
      </c>
      <c r="D2215" t="s">
        <v>86</v>
      </c>
      <c r="E2215" t="s">
        <v>83</v>
      </c>
      <c r="F2215">
        <v>2200</v>
      </c>
      <c r="G2215" t="s">
        <v>331</v>
      </c>
      <c r="H2215" s="15">
        <v>45474</v>
      </c>
      <c r="I2215">
        <v>2200</v>
      </c>
      <c r="J2215">
        <v>0</v>
      </c>
    </row>
    <row r="2216" spans="1:10" x14ac:dyDescent="0.3">
      <c r="A2216" s="15">
        <v>45536</v>
      </c>
      <c r="B2216" t="s">
        <v>370</v>
      </c>
      <c r="C2216" t="s">
        <v>81</v>
      </c>
      <c r="D2216" t="s">
        <v>99</v>
      </c>
      <c r="E2216" t="s">
        <v>87</v>
      </c>
      <c r="F2216">
        <v>2100</v>
      </c>
      <c r="G2216" t="s">
        <v>331</v>
      </c>
      <c r="H2216" s="15">
        <v>45474</v>
      </c>
      <c r="I2216">
        <v>2100</v>
      </c>
      <c r="J2216">
        <v>0</v>
      </c>
    </row>
    <row r="2217" spans="1:10" x14ac:dyDescent="0.3">
      <c r="A2217" s="15">
        <v>45536</v>
      </c>
      <c r="B2217" t="s">
        <v>371</v>
      </c>
      <c r="C2217" t="s">
        <v>81</v>
      </c>
      <c r="D2217" t="s">
        <v>82</v>
      </c>
      <c r="E2217" t="s">
        <v>89</v>
      </c>
      <c r="F2217">
        <v>2100</v>
      </c>
      <c r="G2217" t="s">
        <v>331</v>
      </c>
      <c r="H2217" s="15">
        <v>45474</v>
      </c>
      <c r="I2217">
        <v>2100</v>
      </c>
      <c r="J2217">
        <v>0</v>
      </c>
    </row>
    <row r="2218" spans="1:10" x14ac:dyDescent="0.3">
      <c r="A2218" s="15">
        <v>45536</v>
      </c>
      <c r="B2218" t="s">
        <v>372</v>
      </c>
      <c r="C2218" t="s">
        <v>81</v>
      </c>
      <c r="D2218" t="s">
        <v>86</v>
      </c>
      <c r="E2218" t="s">
        <v>83</v>
      </c>
      <c r="F2218">
        <v>1800</v>
      </c>
      <c r="G2218" t="s">
        <v>331</v>
      </c>
      <c r="H2218" s="15">
        <v>45505</v>
      </c>
      <c r="I2218">
        <v>1800</v>
      </c>
      <c r="J2218">
        <v>0</v>
      </c>
    </row>
    <row r="2219" spans="1:10" x14ac:dyDescent="0.3">
      <c r="A2219" s="15">
        <v>45536</v>
      </c>
      <c r="B2219" t="s">
        <v>373</v>
      </c>
      <c r="C2219" t="s">
        <v>91</v>
      </c>
      <c r="D2219" t="s">
        <v>99</v>
      </c>
      <c r="E2219" t="s">
        <v>101</v>
      </c>
      <c r="F2219">
        <v>5200</v>
      </c>
      <c r="G2219" t="s">
        <v>331</v>
      </c>
      <c r="H2219" s="15">
        <v>45505</v>
      </c>
      <c r="I2219">
        <v>5200</v>
      </c>
      <c r="J2219">
        <v>0</v>
      </c>
    </row>
    <row r="2220" spans="1:10" x14ac:dyDescent="0.3">
      <c r="A2220" s="15">
        <v>45536</v>
      </c>
      <c r="B2220" t="s">
        <v>374</v>
      </c>
      <c r="C2220" t="s">
        <v>91</v>
      </c>
      <c r="D2220" t="s">
        <v>99</v>
      </c>
      <c r="E2220" t="s">
        <v>87</v>
      </c>
      <c r="F2220">
        <v>5000</v>
      </c>
      <c r="G2220" t="s">
        <v>331</v>
      </c>
      <c r="H2220" s="15">
        <v>45505</v>
      </c>
      <c r="I2220">
        <v>5000</v>
      </c>
      <c r="J2220">
        <v>0</v>
      </c>
    </row>
    <row r="2221" spans="1:10" x14ac:dyDescent="0.3">
      <c r="A2221" s="15">
        <v>45536</v>
      </c>
      <c r="B2221" t="s">
        <v>375</v>
      </c>
      <c r="C2221" t="s">
        <v>81</v>
      </c>
      <c r="D2221" t="s">
        <v>82</v>
      </c>
      <c r="E2221" t="s">
        <v>87</v>
      </c>
      <c r="F2221">
        <v>1800</v>
      </c>
      <c r="G2221" t="s">
        <v>332</v>
      </c>
      <c r="H2221" s="15">
        <v>45505</v>
      </c>
      <c r="I2221">
        <v>1600</v>
      </c>
      <c r="J2221">
        <v>200</v>
      </c>
    </row>
    <row r="2222" spans="1:10" x14ac:dyDescent="0.3">
      <c r="A2222" s="15">
        <v>45536</v>
      </c>
      <c r="B2222" t="s">
        <v>376</v>
      </c>
      <c r="C2222" t="s">
        <v>110</v>
      </c>
      <c r="D2222" t="s">
        <v>86</v>
      </c>
      <c r="E2222" t="s">
        <v>103</v>
      </c>
      <c r="F2222">
        <v>22900</v>
      </c>
      <c r="G2222" t="s">
        <v>331</v>
      </c>
      <c r="H2222" s="15">
        <v>45505</v>
      </c>
      <c r="I2222">
        <v>22900</v>
      </c>
      <c r="J2222">
        <v>0</v>
      </c>
    </row>
    <row r="2223" spans="1:10" x14ac:dyDescent="0.3">
      <c r="A2223" s="15">
        <v>45536</v>
      </c>
      <c r="B2223" t="s">
        <v>377</v>
      </c>
      <c r="C2223" t="s">
        <v>81</v>
      </c>
      <c r="D2223" t="s">
        <v>99</v>
      </c>
      <c r="E2223" t="s">
        <v>92</v>
      </c>
      <c r="F2223">
        <v>2300</v>
      </c>
      <c r="G2223" t="s">
        <v>84</v>
      </c>
      <c r="H2223" s="15">
        <v>45536</v>
      </c>
      <c r="I2223">
        <v>0</v>
      </c>
      <c r="J2223">
        <v>2300</v>
      </c>
    </row>
    <row r="2224" spans="1:10" x14ac:dyDescent="0.3">
      <c r="A2224" s="15">
        <v>45536</v>
      </c>
      <c r="B2224" t="s">
        <v>378</v>
      </c>
      <c r="C2224" t="s">
        <v>81</v>
      </c>
      <c r="D2224" t="s">
        <v>82</v>
      </c>
      <c r="E2224" t="s">
        <v>92</v>
      </c>
      <c r="F2224">
        <v>2300</v>
      </c>
      <c r="G2224" t="s">
        <v>84</v>
      </c>
      <c r="H2224" s="15">
        <v>45536</v>
      </c>
      <c r="I2224">
        <v>0</v>
      </c>
      <c r="J2224">
        <v>2300</v>
      </c>
    </row>
    <row r="2225" spans="1:10" x14ac:dyDescent="0.3">
      <c r="A2225" s="15">
        <v>45536</v>
      </c>
      <c r="B2225" t="s">
        <v>379</v>
      </c>
      <c r="C2225" t="s">
        <v>81</v>
      </c>
      <c r="D2225" t="s">
        <v>99</v>
      </c>
      <c r="E2225" t="s">
        <v>101</v>
      </c>
      <c r="F2225">
        <v>2600</v>
      </c>
      <c r="G2225" t="s">
        <v>84</v>
      </c>
      <c r="H2225" s="15">
        <v>45536</v>
      </c>
      <c r="I2225">
        <v>0</v>
      </c>
      <c r="J2225">
        <v>2600</v>
      </c>
    </row>
    <row r="2226" spans="1:10" x14ac:dyDescent="0.3">
      <c r="A2226" s="15">
        <v>45536</v>
      </c>
      <c r="B2226" t="s">
        <v>380</v>
      </c>
      <c r="C2226" t="s">
        <v>81</v>
      </c>
      <c r="D2226" t="s">
        <v>82</v>
      </c>
      <c r="E2226" t="s">
        <v>101</v>
      </c>
      <c r="F2226">
        <v>2100</v>
      </c>
      <c r="G2226" t="s">
        <v>84</v>
      </c>
      <c r="H2226" s="15">
        <v>45536</v>
      </c>
      <c r="I2226">
        <v>0</v>
      </c>
      <c r="J2226">
        <v>2100</v>
      </c>
    </row>
    <row r="2227" spans="1:10" x14ac:dyDescent="0.3">
      <c r="A2227" s="15">
        <v>45536</v>
      </c>
      <c r="B2227" t="s">
        <v>381</v>
      </c>
      <c r="C2227" t="s">
        <v>91</v>
      </c>
      <c r="D2227" t="s">
        <v>86</v>
      </c>
      <c r="E2227" t="s">
        <v>92</v>
      </c>
      <c r="F2227">
        <v>4600</v>
      </c>
      <c r="G2227" t="s">
        <v>84</v>
      </c>
      <c r="H2227" s="15">
        <v>45536</v>
      </c>
      <c r="I2227">
        <v>0</v>
      </c>
      <c r="J2227">
        <v>4600</v>
      </c>
    </row>
    <row r="2228" spans="1:10" x14ac:dyDescent="0.3">
      <c r="A2228" s="15">
        <v>45536</v>
      </c>
      <c r="B2228" t="s">
        <v>382</v>
      </c>
      <c r="C2228" t="s">
        <v>81</v>
      </c>
      <c r="D2228" t="s">
        <v>96</v>
      </c>
      <c r="E2228" t="s">
        <v>101</v>
      </c>
      <c r="F2228">
        <v>2100</v>
      </c>
      <c r="G2228" t="s">
        <v>84</v>
      </c>
      <c r="H2228" s="15">
        <v>45536</v>
      </c>
      <c r="I2228">
        <v>0</v>
      </c>
      <c r="J2228">
        <v>2100</v>
      </c>
    </row>
    <row r="2229" spans="1:10" x14ac:dyDescent="0.3">
      <c r="A2229" s="15">
        <v>45536</v>
      </c>
      <c r="B2229" t="s">
        <v>383</v>
      </c>
      <c r="C2229" t="s">
        <v>81</v>
      </c>
      <c r="D2229" t="s">
        <v>82</v>
      </c>
      <c r="E2229" t="s">
        <v>87</v>
      </c>
      <c r="F2229">
        <v>1800</v>
      </c>
      <c r="G2229" t="s">
        <v>84</v>
      </c>
      <c r="H2229" s="15">
        <v>45536</v>
      </c>
      <c r="I2229">
        <v>0</v>
      </c>
      <c r="J2229">
        <v>1800</v>
      </c>
    </row>
    <row r="2230" spans="1:10" x14ac:dyDescent="0.3">
      <c r="A2230" s="15">
        <v>45566</v>
      </c>
      <c r="B2230" t="s">
        <v>80</v>
      </c>
      <c r="C2230" t="s">
        <v>81</v>
      </c>
      <c r="D2230" t="s">
        <v>82</v>
      </c>
      <c r="E2230" t="s">
        <v>83</v>
      </c>
      <c r="F2230">
        <v>1900</v>
      </c>
      <c r="G2230" t="s">
        <v>331</v>
      </c>
      <c r="H2230" s="15">
        <v>45292</v>
      </c>
      <c r="I2230">
        <v>1900</v>
      </c>
      <c r="J2230">
        <v>0</v>
      </c>
    </row>
    <row r="2231" spans="1:10" x14ac:dyDescent="0.3">
      <c r="A2231" s="15">
        <v>45566</v>
      </c>
      <c r="B2231" t="s">
        <v>85</v>
      </c>
      <c r="C2231" t="s">
        <v>81</v>
      </c>
      <c r="D2231" t="s">
        <v>86</v>
      </c>
      <c r="E2231" t="s">
        <v>87</v>
      </c>
      <c r="F2231">
        <v>3200</v>
      </c>
      <c r="G2231" t="s">
        <v>331</v>
      </c>
      <c r="H2231" s="15">
        <v>45292</v>
      </c>
      <c r="I2231">
        <v>3200</v>
      </c>
      <c r="J2231">
        <v>0</v>
      </c>
    </row>
    <row r="2232" spans="1:10" x14ac:dyDescent="0.3">
      <c r="A2232" s="15">
        <v>45566</v>
      </c>
      <c r="B2232" t="s">
        <v>88</v>
      </c>
      <c r="C2232" t="s">
        <v>81</v>
      </c>
      <c r="D2232" t="s">
        <v>86</v>
      </c>
      <c r="E2232" t="s">
        <v>89</v>
      </c>
      <c r="F2232">
        <v>2400</v>
      </c>
      <c r="G2232" t="s">
        <v>331</v>
      </c>
      <c r="H2232" s="15">
        <v>45292</v>
      </c>
      <c r="I2232">
        <v>2400</v>
      </c>
      <c r="J2232">
        <v>0</v>
      </c>
    </row>
    <row r="2233" spans="1:10" x14ac:dyDescent="0.3">
      <c r="A2233" s="15">
        <v>45566</v>
      </c>
      <c r="B2233" t="s">
        <v>90</v>
      </c>
      <c r="C2233" t="s">
        <v>91</v>
      </c>
      <c r="D2233" t="s">
        <v>82</v>
      </c>
      <c r="E2233" t="s">
        <v>92</v>
      </c>
      <c r="F2233">
        <v>8300</v>
      </c>
      <c r="G2233" t="s">
        <v>331</v>
      </c>
      <c r="H2233" s="15">
        <v>45292</v>
      </c>
      <c r="I2233">
        <v>8300</v>
      </c>
      <c r="J2233">
        <v>0</v>
      </c>
    </row>
    <row r="2234" spans="1:10" x14ac:dyDescent="0.3">
      <c r="A2234" s="15">
        <v>45566</v>
      </c>
      <c r="B2234" t="s">
        <v>93</v>
      </c>
      <c r="C2234" t="s">
        <v>81</v>
      </c>
      <c r="D2234" t="s">
        <v>86</v>
      </c>
      <c r="E2234" t="s">
        <v>83</v>
      </c>
      <c r="F2234">
        <v>2200</v>
      </c>
      <c r="G2234" t="s">
        <v>331</v>
      </c>
      <c r="H2234" s="15">
        <v>45292</v>
      </c>
      <c r="I2234">
        <v>2200</v>
      </c>
      <c r="J2234">
        <v>0</v>
      </c>
    </row>
    <row r="2235" spans="1:10" x14ac:dyDescent="0.3">
      <c r="A2235" s="15">
        <v>45566</v>
      </c>
      <c r="B2235" t="s">
        <v>94</v>
      </c>
      <c r="C2235" t="s">
        <v>91</v>
      </c>
      <c r="D2235" t="s">
        <v>86</v>
      </c>
      <c r="E2235" t="s">
        <v>83</v>
      </c>
      <c r="F2235">
        <v>7900</v>
      </c>
      <c r="G2235" t="s">
        <v>332</v>
      </c>
      <c r="H2235" s="15">
        <v>45292</v>
      </c>
      <c r="I2235">
        <v>6900</v>
      </c>
      <c r="J2235">
        <v>1000</v>
      </c>
    </row>
    <row r="2236" spans="1:10" x14ac:dyDescent="0.3">
      <c r="A2236" s="15">
        <v>45566</v>
      </c>
      <c r="B2236" t="s">
        <v>95</v>
      </c>
      <c r="C2236" t="s">
        <v>81</v>
      </c>
      <c r="D2236" t="s">
        <v>96</v>
      </c>
      <c r="E2236" t="s">
        <v>97</v>
      </c>
      <c r="F2236">
        <v>3100</v>
      </c>
      <c r="G2236" t="s">
        <v>331</v>
      </c>
      <c r="H2236" s="15">
        <v>45292</v>
      </c>
      <c r="I2236">
        <v>3100</v>
      </c>
      <c r="J2236">
        <v>0</v>
      </c>
    </row>
    <row r="2237" spans="1:10" x14ac:dyDescent="0.3">
      <c r="A2237" s="15">
        <v>45566</v>
      </c>
      <c r="B2237" t="s">
        <v>98</v>
      </c>
      <c r="C2237" t="s">
        <v>81</v>
      </c>
      <c r="D2237" t="s">
        <v>99</v>
      </c>
      <c r="E2237" t="s">
        <v>92</v>
      </c>
      <c r="F2237">
        <v>2300</v>
      </c>
      <c r="G2237" t="s">
        <v>331</v>
      </c>
      <c r="H2237" s="15">
        <v>45292</v>
      </c>
      <c r="I2237">
        <v>2300</v>
      </c>
      <c r="J2237">
        <v>0</v>
      </c>
    </row>
    <row r="2238" spans="1:10" x14ac:dyDescent="0.3">
      <c r="A2238" s="15">
        <v>45566</v>
      </c>
      <c r="B2238" t="s">
        <v>100</v>
      </c>
      <c r="C2238" t="s">
        <v>81</v>
      </c>
      <c r="D2238" t="s">
        <v>86</v>
      </c>
      <c r="E2238" t="s">
        <v>101</v>
      </c>
      <c r="F2238">
        <v>1800</v>
      </c>
      <c r="G2238" t="s">
        <v>331</v>
      </c>
      <c r="H2238" s="15">
        <v>45292</v>
      </c>
      <c r="I2238">
        <v>1800</v>
      </c>
      <c r="J2238">
        <v>0</v>
      </c>
    </row>
    <row r="2239" spans="1:10" x14ac:dyDescent="0.3">
      <c r="A2239" s="15">
        <v>45566</v>
      </c>
      <c r="B2239" t="s">
        <v>102</v>
      </c>
      <c r="C2239" t="s">
        <v>81</v>
      </c>
      <c r="D2239" t="s">
        <v>99</v>
      </c>
      <c r="E2239" t="s">
        <v>103</v>
      </c>
      <c r="F2239">
        <v>3300</v>
      </c>
      <c r="G2239" t="s">
        <v>331</v>
      </c>
      <c r="H2239" s="15">
        <v>45292</v>
      </c>
      <c r="I2239">
        <v>3300</v>
      </c>
      <c r="J2239">
        <v>0</v>
      </c>
    </row>
    <row r="2240" spans="1:10" x14ac:dyDescent="0.3">
      <c r="A2240" s="15">
        <v>45566</v>
      </c>
      <c r="B2240" t="s">
        <v>104</v>
      </c>
      <c r="C2240" t="s">
        <v>91</v>
      </c>
      <c r="D2240" t="s">
        <v>99</v>
      </c>
      <c r="E2240" t="s">
        <v>87</v>
      </c>
      <c r="F2240">
        <v>7000</v>
      </c>
      <c r="G2240" t="s">
        <v>331</v>
      </c>
      <c r="H2240" s="15">
        <v>45292</v>
      </c>
      <c r="I2240">
        <v>7000</v>
      </c>
      <c r="J2240">
        <v>0</v>
      </c>
    </row>
    <row r="2241" spans="1:10" x14ac:dyDescent="0.3">
      <c r="A2241" s="15">
        <v>45566</v>
      </c>
      <c r="B2241" t="s">
        <v>105</v>
      </c>
      <c r="C2241" t="s">
        <v>91</v>
      </c>
      <c r="D2241" t="s">
        <v>86</v>
      </c>
      <c r="E2241" t="s">
        <v>89</v>
      </c>
      <c r="F2241">
        <v>11400</v>
      </c>
      <c r="G2241" t="s">
        <v>331</v>
      </c>
      <c r="H2241" s="15">
        <v>45292</v>
      </c>
      <c r="I2241">
        <v>11400</v>
      </c>
      <c r="J2241">
        <v>0</v>
      </c>
    </row>
    <row r="2242" spans="1:10" x14ac:dyDescent="0.3">
      <c r="A2242" s="15">
        <v>45566</v>
      </c>
      <c r="B2242" t="s">
        <v>106</v>
      </c>
      <c r="C2242" t="s">
        <v>81</v>
      </c>
      <c r="D2242" t="s">
        <v>99</v>
      </c>
      <c r="E2242" t="s">
        <v>92</v>
      </c>
      <c r="F2242">
        <v>2700</v>
      </c>
      <c r="G2242" t="s">
        <v>331</v>
      </c>
      <c r="H2242" s="15">
        <v>45292</v>
      </c>
      <c r="I2242">
        <v>2700</v>
      </c>
      <c r="J2242">
        <v>0</v>
      </c>
    </row>
    <row r="2243" spans="1:10" x14ac:dyDescent="0.3">
      <c r="A2243" s="15">
        <v>45566</v>
      </c>
      <c r="B2243" t="s">
        <v>108</v>
      </c>
      <c r="C2243" t="s">
        <v>91</v>
      </c>
      <c r="D2243" t="s">
        <v>86</v>
      </c>
      <c r="E2243" t="s">
        <v>87</v>
      </c>
      <c r="F2243">
        <v>0</v>
      </c>
      <c r="G2243" t="s">
        <v>333</v>
      </c>
      <c r="H2243" s="15">
        <v>45292</v>
      </c>
      <c r="I2243">
        <v>8500</v>
      </c>
      <c r="J2243">
        <v>-8500</v>
      </c>
    </row>
    <row r="2244" spans="1:10" x14ac:dyDescent="0.3">
      <c r="A2244" s="15">
        <v>45566</v>
      </c>
      <c r="B2244" t="s">
        <v>109</v>
      </c>
      <c r="C2244" t="s">
        <v>110</v>
      </c>
      <c r="D2244" t="s">
        <v>82</v>
      </c>
      <c r="E2244" t="s">
        <v>103</v>
      </c>
      <c r="F2244">
        <v>32700</v>
      </c>
      <c r="G2244" t="s">
        <v>331</v>
      </c>
      <c r="H2244" s="15">
        <v>45292</v>
      </c>
      <c r="I2244">
        <v>32700</v>
      </c>
      <c r="J2244">
        <v>0</v>
      </c>
    </row>
    <row r="2245" spans="1:10" x14ac:dyDescent="0.3">
      <c r="A2245" s="15">
        <v>45566</v>
      </c>
      <c r="B2245" t="s">
        <v>111</v>
      </c>
      <c r="C2245" t="s">
        <v>91</v>
      </c>
      <c r="D2245" t="s">
        <v>82</v>
      </c>
      <c r="E2245" t="s">
        <v>83</v>
      </c>
      <c r="F2245">
        <v>8800</v>
      </c>
      <c r="G2245" t="s">
        <v>331</v>
      </c>
      <c r="H2245" s="15">
        <v>45292</v>
      </c>
      <c r="I2245">
        <v>8800</v>
      </c>
      <c r="J2245">
        <v>0</v>
      </c>
    </row>
    <row r="2246" spans="1:10" x14ac:dyDescent="0.3">
      <c r="A2246" s="15">
        <v>45566</v>
      </c>
      <c r="B2246" t="s">
        <v>112</v>
      </c>
      <c r="C2246" t="s">
        <v>91</v>
      </c>
      <c r="D2246" t="s">
        <v>82</v>
      </c>
      <c r="E2246" t="s">
        <v>92</v>
      </c>
      <c r="F2246">
        <v>8600</v>
      </c>
      <c r="G2246" t="s">
        <v>331</v>
      </c>
      <c r="H2246" s="15">
        <v>45292</v>
      </c>
      <c r="I2246">
        <v>8600</v>
      </c>
      <c r="J2246">
        <v>0</v>
      </c>
    </row>
    <row r="2247" spans="1:10" x14ac:dyDescent="0.3">
      <c r="A2247" s="15">
        <v>45566</v>
      </c>
      <c r="B2247" t="s">
        <v>113</v>
      </c>
      <c r="C2247" t="s">
        <v>81</v>
      </c>
      <c r="D2247" t="s">
        <v>96</v>
      </c>
      <c r="E2247" t="s">
        <v>89</v>
      </c>
      <c r="F2247">
        <v>2500</v>
      </c>
      <c r="G2247" t="s">
        <v>331</v>
      </c>
      <c r="H2247" s="15">
        <v>45292</v>
      </c>
      <c r="I2247">
        <v>2500</v>
      </c>
      <c r="J2247">
        <v>0</v>
      </c>
    </row>
    <row r="2248" spans="1:10" x14ac:dyDescent="0.3">
      <c r="A2248" s="15">
        <v>45566</v>
      </c>
      <c r="B2248" t="s">
        <v>114</v>
      </c>
      <c r="C2248" t="s">
        <v>110</v>
      </c>
      <c r="D2248" t="s">
        <v>99</v>
      </c>
      <c r="E2248" t="s">
        <v>97</v>
      </c>
      <c r="F2248">
        <v>41600</v>
      </c>
      <c r="G2248" t="s">
        <v>331</v>
      </c>
      <c r="H2248" s="15">
        <v>45292</v>
      </c>
      <c r="I2248">
        <v>41600</v>
      </c>
      <c r="J2248">
        <v>0</v>
      </c>
    </row>
    <row r="2249" spans="1:10" x14ac:dyDescent="0.3">
      <c r="A2249" s="15">
        <v>45566</v>
      </c>
      <c r="B2249" t="s">
        <v>115</v>
      </c>
      <c r="C2249" t="s">
        <v>81</v>
      </c>
      <c r="D2249" t="s">
        <v>82</v>
      </c>
      <c r="E2249" t="s">
        <v>101</v>
      </c>
      <c r="F2249">
        <v>2600</v>
      </c>
      <c r="G2249" t="s">
        <v>331</v>
      </c>
      <c r="H2249" s="15">
        <v>45292</v>
      </c>
      <c r="I2249">
        <v>2600</v>
      </c>
      <c r="J2249">
        <v>0</v>
      </c>
    </row>
    <row r="2250" spans="1:10" x14ac:dyDescent="0.3">
      <c r="A2250" s="15">
        <v>45566</v>
      </c>
      <c r="B2250" t="s">
        <v>116</v>
      </c>
      <c r="C2250" t="s">
        <v>81</v>
      </c>
      <c r="D2250" t="s">
        <v>86</v>
      </c>
      <c r="E2250" t="s">
        <v>87</v>
      </c>
      <c r="F2250">
        <v>2900</v>
      </c>
      <c r="G2250" t="s">
        <v>331</v>
      </c>
      <c r="H2250" s="15">
        <v>45292</v>
      </c>
      <c r="I2250">
        <v>2900</v>
      </c>
      <c r="J2250">
        <v>0</v>
      </c>
    </row>
    <row r="2251" spans="1:10" x14ac:dyDescent="0.3">
      <c r="A2251" s="15">
        <v>45566</v>
      </c>
      <c r="B2251" t="s">
        <v>117</v>
      </c>
      <c r="C2251" t="s">
        <v>81</v>
      </c>
      <c r="D2251" t="s">
        <v>86</v>
      </c>
      <c r="E2251" t="s">
        <v>103</v>
      </c>
      <c r="F2251">
        <v>2500</v>
      </c>
      <c r="G2251" t="s">
        <v>331</v>
      </c>
      <c r="H2251" s="15">
        <v>45292</v>
      </c>
      <c r="I2251">
        <v>2500</v>
      </c>
      <c r="J2251">
        <v>0</v>
      </c>
    </row>
    <row r="2252" spans="1:10" x14ac:dyDescent="0.3">
      <c r="A2252" s="15">
        <v>45566</v>
      </c>
      <c r="B2252" t="s">
        <v>118</v>
      </c>
      <c r="C2252" t="s">
        <v>81</v>
      </c>
      <c r="D2252" t="s">
        <v>82</v>
      </c>
      <c r="E2252" t="s">
        <v>103</v>
      </c>
      <c r="F2252">
        <v>2900</v>
      </c>
      <c r="G2252" t="s">
        <v>331</v>
      </c>
      <c r="H2252" s="15">
        <v>45292</v>
      </c>
      <c r="I2252">
        <v>2900</v>
      </c>
      <c r="J2252">
        <v>0</v>
      </c>
    </row>
    <row r="2253" spans="1:10" x14ac:dyDescent="0.3">
      <c r="A2253" s="15">
        <v>45566</v>
      </c>
      <c r="B2253" t="s">
        <v>119</v>
      </c>
      <c r="C2253" t="s">
        <v>91</v>
      </c>
      <c r="D2253" t="s">
        <v>96</v>
      </c>
      <c r="E2253" t="s">
        <v>89</v>
      </c>
      <c r="F2253">
        <v>12800</v>
      </c>
      <c r="G2253" t="s">
        <v>331</v>
      </c>
      <c r="H2253" s="15">
        <v>45292</v>
      </c>
      <c r="I2253">
        <v>12800</v>
      </c>
      <c r="J2253">
        <v>0</v>
      </c>
    </row>
    <row r="2254" spans="1:10" x14ac:dyDescent="0.3">
      <c r="A2254" s="15">
        <v>45566</v>
      </c>
      <c r="B2254" t="s">
        <v>120</v>
      </c>
      <c r="C2254" t="s">
        <v>81</v>
      </c>
      <c r="D2254" t="s">
        <v>86</v>
      </c>
      <c r="E2254" t="s">
        <v>101</v>
      </c>
      <c r="F2254">
        <v>2200</v>
      </c>
      <c r="G2254" t="s">
        <v>331</v>
      </c>
      <c r="H2254" s="15">
        <v>45292</v>
      </c>
      <c r="I2254">
        <v>2200</v>
      </c>
      <c r="J2254">
        <v>0</v>
      </c>
    </row>
    <row r="2255" spans="1:10" x14ac:dyDescent="0.3">
      <c r="A2255" s="15">
        <v>45566</v>
      </c>
      <c r="B2255" t="s">
        <v>123</v>
      </c>
      <c r="C2255" t="s">
        <v>81</v>
      </c>
      <c r="D2255" t="s">
        <v>82</v>
      </c>
      <c r="E2255" t="s">
        <v>92</v>
      </c>
      <c r="F2255">
        <v>2200</v>
      </c>
      <c r="G2255" t="s">
        <v>331</v>
      </c>
      <c r="H2255" s="15">
        <v>45292</v>
      </c>
      <c r="I2255">
        <v>2200</v>
      </c>
      <c r="J2255">
        <v>0</v>
      </c>
    </row>
    <row r="2256" spans="1:10" x14ac:dyDescent="0.3">
      <c r="A2256" s="15">
        <v>45566</v>
      </c>
      <c r="B2256" t="s">
        <v>124</v>
      </c>
      <c r="C2256" t="s">
        <v>125</v>
      </c>
      <c r="D2256" t="s">
        <v>82</v>
      </c>
      <c r="E2256" t="s">
        <v>97</v>
      </c>
      <c r="F2256">
        <v>67900</v>
      </c>
      <c r="G2256" t="s">
        <v>331</v>
      </c>
      <c r="H2256" s="15">
        <v>45292</v>
      </c>
      <c r="I2256">
        <v>67900</v>
      </c>
      <c r="J2256">
        <v>0</v>
      </c>
    </row>
    <row r="2257" spans="1:10" x14ac:dyDescent="0.3">
      <c r="A2257" s="15">
        <v>45566</v>
      </c>
      <c r="B2257" t="s">
        <v>126</v>
      </c>
      <c r="C2257" t="s">
        <v>91</v>
      </c>
      <c r="D2257" t="s">
        <v>82</v>
      </c>
      <c r="E2257" t="s">
        <v>83</v>
      </c>
      <c r="F2257">
        <v>8800</v>
      </c>
      <c r="G2257" t="s">
        <v>331</v>
      </c>
      <c r="H2257" s="15">
        <v>45292</v>
      </c>
      <c r="I2257">
        <v>8800</v>
      </c>
      <c r="J2257">
        <v>0</v>
      </c>
    </row>
    <row r="2258" spans="1:10" x14ac:dyDescent="0.3">
      <c r="A2258" s="15">
        <v>45566</v>
      </c>
      <c r="B2258" t="s">
        <v>127</v>
      </c>
      <c r="C2258" t="s">
        <v>81</v>
      </c>
      <c r="D2258" t="s">
        <v>82</v>
      </c>
      <c r="E2258" t="s">
        <v>101</v>
      </c>
      <c r="F2258">
        <v>2100</v>
      </c>
      <c r="G2258" t="s">
        <v>331</v>
      </c>
      <c r="H2258" s="15">
        <v>45292</v>
      </c>
      <c r="I2258">
        <v>2100</v>
      </c>
      <c r="J2258">
        <v>0</v>
      </c>
    </row>
    <row r="2259" spans="1:10" x14ac:dyDescent="0.3">
      <c r="A2259" s="15">
        <v>45566</v>
      </c>
      <c r="B2259" t="s">
        <v>128</v>
      </c>
      <c r="C2259" t="s">
        <v>81</v>
      </c>
      <c r="D2259" t="s">
        <v>82</v>
      </c>
      <c r="E2259" t="s">
        <v>92</v>
      </c>
      <c r="F2259">
        <v>1700</v>
      </c>
      <c r="G2259" t="s">
        <v>331</v>
      </c>
      <c r="H2259" s="15">
        <v>45292</v>
      </c>
      <c r="I2259">
        <v>1700</v>
      </c>
      <c r="J2259">
        <v>0</v>
      </c>
    </row>
    <row r="2260" spans="1:10" x14ac:dyDescent="0.3">
      <c r="A2260" s="15">
        <v>45566</v>
      </c>
      <c r="B2260" t="s">
        <v>129</v>
      </c>
      <c r="C2260" t="s">
        <v>110</v>
      </c>
      <c r="D2260" t="s">
        <v>86</v>
      </c>
      <c r="E2260" t="s">
        <v>92</v>
      </c>
      <c r="F2260">
        <v>36700</v>
      </c>
      <c r="G2260" t="s">
        <v>331</v>
      </c>
      <c r="H2260" s="15">
        <v>45292</v>
      </c>
      <c r="I2260">
        <v>36700</v>
      </c>
      <c r="J2260">
        <v>0</v>
      </c>
    </row>
    <row r="2261" spans="1:10" x14ac:dyDescent="0.3">
      <c r="A2261" s="15">
        <v>45566</v>
      </c>
      <c r="B2261" t="s">
        <v>131</v>
      </c>
      <c r="C2261" t="s">
        <v>81</v>
      </c>
      <c r="D2261" t="s">
        <v>86</v>
      </c>
      <c r="E2261" t="s">
        <v>101</v>
      </c>
      <c r="F2261">
        <v>1900</v>
      </c>
      <c r="G2261" t="s">
        <v>331</v>
      </c>
      <c r="H2261" s="15">
        <v>45292</v>
      </c>
      <c r="I2261">
        <v>1900</v>
      </c>
      <c r="J2261">
        <v>0</v>
      </c>
    </row>
    <row r="2262" spans="1:10" x14ac:dyDescent="0.3">
      <c r="A2262" s="15">
        <v>45566</v>
      </c>
      <c r="B2262" t="s">
        <v>133</v>
      </c>
      <c r="C2262" t="s">
        <v>81</v>
      </c>
      <c r="D2262" t="s">
        <v>96</v>
      </c>
      <c r="E2262" t="s">
        <v>87</v>
      </c>
      <c r="F2262">
        <v>2700</v>
      </c>
      <c r="G2262" t="s">
        <v>331</v>
      </c>
      <c r="H2262" s="15">
        <v>45292</v>
      </c>
      <c r="I2262">
        <v>2700</v>
      </c>
      <c r="J2262">
        <v>0</v>
      </c>
    </row>
    <row r="2263" spans="1:10" x14ac:dyDescent="0.3">
      <c r="A2263" s="15">
        <v>45566</v>
      </c>
      <c r="B2263" t="s">
        <v>134</v>
      </c>
      <c r="C2263" t="s">
        <v>81</v>
      </c>
      <c r="D2263" t="s">
        <v>82</v>
      </c>
      <c r="E2263" t="s">
        <v>92</v>
      </c>
      <c r="F2263">
        <v>2900</v>
      </c>
      <c r="G2263" t="s">
        <v>331</v>
      </c>
      <c r="H2263" s="15">
        <v>45292</v>
      </c>
      <c r="I2263">
        <v>2900</v>
      </c>
      <c r="J2263">
        <v>0</v>
      </c>
    </row>
    <row r="2264" spans="1:10" x14ac:dyDescent="0.3">
      <c r="A2264" s="15">
        <v>45566</v>
      </c>
      <c r="B2264" t="s">
        <v>135</v>
      </c>
      <c r="C2264" t="s">
        <v>81</v>
      </c>
      <c r="D2264" t="s">
        <v>82</v>
      </c>
      <c r="E2264" t="s">
        <v>103</v>
      </c>
      <c r="F2264">
        <v>2800</v>
      </c>
      <c r="G2264" t="s">
        <v>331</v>
      </c>
      <c r="H2264" s="15">
        <v>45292</v>
      </c>
      <c r="I2264">
        <v>2800</v>
      </c>
      <c r="J2264">
        <v>0</v>
      </c>
    </row>
    <row r="2265" spans="1:10" x14ac:dyDescent="0.3">
      <c r="A2265" s="15">
        <v>45566</v>
      </c>
      <c r="B2265" t="s">
        <v>136</v>
      </c>
      <c r="C2265" t="s">
        <v>81</v>
      </c>
      <c r="D2265" t="s">
        <v>82</v>
      </c>
      <c r="E2265" t="s">
        <v>101</v>
      </c>
      <c r="F2265">
        <v>2900</v>
      </c>
      <c r="G2265" t="s">
        <v>331</v>
      </c>
      <c r="H2265" s="15">
        <v>45292</v>
      </c>
      <c r="I2265">
        <v>2900</v>
      </c>
      <c r="J2265">
        <v>0</v>
      </c>
    </row>
    <row r="2266" spans="1:10" x14ac:dyDescent="0.3">
      <c r="A2266" s="15">
        <v>45566</v>
      </c>
      <c r="B2266" t="s">
        <v>137</v>
      </c>
      <c r="C2266" t="s">
        <v>81</v>
      </c>
      <c r="D2266" t="s">
        <v>82</v>
      </c>
      <c r="E2266" t="s">
        <v>89</v>
      </c>
      <c r="F2266">
        <v>1700</v>
      </c>
      <c r="G2266" t="s">
        <v>331</v>
      </c>
      <c r="H2266" s="15">
        <v>45292</v>
      </c>
      <c r="I2266">
        <v>1700</v>
      </c>
      <c r="J2266">
        <v>0</v>
      </c>
    </row>
    <row r="2267" spans="1:10" x14ac:dyDescent="0.3">
      <c r="A2267" s="15">
        <v>45566</v>
      </c>
      <c r="B2267" t="s">
        <v>138</v>
      </c>
      <c r="C2267" t="s">
        <v>81</v>
      </c>
      <c r="D2267" t="s">
        <v>86</v>
      </c>
      <c r="E2267" t="s">
        <v>97</v>
      </c>
      <c r="F2267">
        <v>3300</v>
      </c>
      <c r="G2267" t="s">
        <v>331</v>
      </c>
      <c r="H2267" s="15">
        <v>45292</v>
      </c>
      <c r="I2267">
        <v>3300</v>
      </c>
      <c r="J2267">
        <v>0</v>
      </c>
    </row>
    <row r="2268" spans="1:10" x14ac:dyDescent="0.3">
      <c r="A2268" s="15">
        <v>45566</v>
      </c>
      <c r="B2268" t="s">
        <v>139</v>
      </c>
      <c r="C2268" t="s">
        <v>91</v>
      </c>
      <c r="D2268" t="s">
        <v>82</v>
      </c>
      <c r="E2268" t="s">
        <v>103</v>
      </c>
      <c r="F2268">
        <v>6800</v>
      </c>
      <c r="G2268" t="s">
        <v>331</v>
      </c>
      <c r="H2268" s="15">
        <v>45292</v>
      </c>
      <c r="I2268">
        <v>6800</v>
      </c>
      <c r="J2268">
        <v>0</v>
      </c>
    </row>
    <row r="2269" spans="1:10" x14ac:dyDescent="0.3">
      <c r="A2269" s="15">
        <v>45566</v>
      </c>
      <c r="B2269" t="s">
        <v>140</v>
      </c>
      <c r="C2269" t="s">
        <v>81</v>
      </c>
      <c r="D2269" t="s">
        <v>99</v>
      </c>
      <c r="E2269" t="s">
        <v>97</v>
      </c>
      <c r="F2269">
        <v>0</v>
      </c>
      <c r="G2269" t="s">
        <v>333</v>
      </c>
      <c r="H2269" s="15">
        <v>45292</v>
      </c>
      <c r="I2269">
        <v>1800</v>
      </c>
      <c r="J2269">
        <v>-1800</v>
      </c>
    </row>
    <row r="2270" spans="1:10" x14ac:dyDescent="0.3">
      <c r="A2270" s="15">
        <v>45566</v>
      </c>
      <c r="B2270" t="s">
        <v>141</v>
      </c>
      <c r="C2270" t="s">
        <v>125</v>
      </c>
      <c r="D2270" t="s">
        <v>99</v>
      </c>
      <c r="E2270" t="s">
        <v>103</v>
      </c>
      <c r="F2270">
        <v>106100</v>
      </c>
      <c r="G2270" t="s">
        <v>331</v>
      </c>
      <c r="H2270" s="15">
        <v>45292</v>
      </c>
      <c r="I2270">
        <v>106100</v>
      </c>
      <c r="J2270">
        <v>0</v>
      </c>
    </row>
    <row r="2271" spans="1:10" x14ac:dyDescent="0.3">
      <c r="A2271" s="15">
        <v>45566</v>
      </c>
      <c r="B2271" t="s">
        <v>142</v>
      </c>
      <c r="C2271" t="s">
        <v>125</v>
      </c>
      <c r="D2271" t="s">
        <v>82</v>
      </c>
      <c r="E2271" t="s">
        <v>92</v>
      </c>
      <c r="F2271">
        <v>93300</v>
      </c>
      <c r="G2271" t="s">
        <v>331</v>
      </c>
      <c r="H2271" s="15">
        <v>45292</v>
      </c>
      <c r="I2271">
        <v>93300</v>
      </c>
      <c r="J2271">
        <v>0</v>
      </c>
    </row>
    <row r="2272" spans="1:10" x14ac:dyDescent="0.3">
      <c r="A2272" s="15">
        <v>45566</v>
      </c>
      <c r="B2272" t="s">
        <v>143</v>
      </c>
      <c r="C2272" t="s">
        <v>91</v>
      </c>
      <c r="D2272" t="s">
        <v>99</v>
      </c>
      <c r="E2272" t="s">
        <v>103</v>
      </c>
      <c r="F2272">
        <v>8000</v>
      </c>
      <c r="G2272" t="s">
        <v>331</v>
      </c>
      <c r="H2272" s="15">
        <v>45292</v>
      </c>
      <c r="I2272">
        <v>8000</v>
      </c>
      <c r="J2272">
        <v>0</v>
      </c>
    </row>
    <row r="2273" spans="1:10" x14ac:dyDescent="0.3">
      <c r="A2273" s="15">
        <v>45566</v>
      </c>
      <c r="B2273" t="s">
        <v>144</v>
      </c>
      <c r="C2273" t="s">
        <v>81</v>
      </c>
      <c r="D2273" t="s">
        <v>82</v>
      </c>
      <c r="E2273" t="s">
        <v>92</v>
      </c>
      <c r="F2273">
        <v>2400</v>
      </c>
      <c r="G2273" t="s">
        <v>334</v>
      </c>
      <c r="H2273" s="15">
        <v>45292</v>
      </c>
      <c r="I2273">
        <v>2600</v>
      </c>
      <c r="J2273">
        <v>-200</v>
      </c>
    </row>
    <row r="2274" spans="1:10" x14ac:dyDescent="0.3">
      <c r="A2274" s="15">
        <v>45566</v>
      </c>
      <c r="B2274" t="s">
        <v>145</v>
      </c>
      <c r="C2274" t="s">
        <v>91</v>
      </c>
      <c r="D2274" t="s">
        <v>82</v>
      </c>
      <c r="E2274" t="s">
        <v>87</v>
      </c>
      <c r="F2274">
        <v>8200</v>
      </c>
      <c r="G2274" t="s">
        <v>331</v>
      </c>
      <c r="H2274" s="15">
        <v>45292</v>
      </c>
      <c r="I2274">
        <v>8200</v>
      </c>
      <c r="J2274">
        <v>0</v>
      </c>
    </row>
    <row r="2275" spans="1:10" x14ac:dyDescent="0.3">
      <c r="A2275" s="15">
        <v>45566</v>
      </c>
      <c r="B2275" t="s">
        <v>146</v>
      </c>
      <c r="C2275" t="s">
        <v>91</v>
      </c>
      <c r="D2275" t="s">
        <v>86</v>
      </c>
      <c r="E2275" t="s">
        <v>87</v>
      </c>
      <c r="F2275">
        <v>9200</v>
      </c>
      <c r="G2275" t="s">
        <v>331</v>
      </c>
      <c r="H2275" s="15">
        <v>45292</v>
      </c>
      <c r="I2275">
        <v>9200</v>
      </c>
      <c r="J2275">
        <v>0</v>
      </c>
    </row>
    <row r="2276" spans="1:10" x14ac:dyDescent="0.3">
      <c r="A2276" s="15">
        <v>45566</v>
      </c>
      <c r="B2276" t="s">
        <v>148</v>
      </c>
      <c r="C2276" t="s">
        <v>110</v>
      </c>
      <c r="D2276" t="s">
        <v>86</v>
      </c>
      <c r="E2276" t="s">
        <v>89</v>
      </c>
      <c r="F2276">
        <v>25100</v>
      </c>
      <c r="G2276" t="s">
        <v>332</v>
      </c>
      <c r="H2276" s="15">
        <v>45292</v>
      </c>
      <c r="I2276">
        <v>23500</v>
      </c>
      <c r="J2276">
        <v>1600</v>
      </c>
    </row>
    <row r="2277" spans="1:10" x14ac:dyDescent="0.3">
      <c r="A2277" s="15">
        <v>45566</v>
      </c>
      <c r="B2277" t="s">
        <v>149</v>
      </c>
      <c r="C2277" t="s">
        <v>110</v>
      </c>
      <c r="D2277" t="s">
        <v>82</v>
      </c>
      <c r="E2277" t="s">
        <v>103</v>
      </c>
      <c r="F2277">
        <v>31000</v>
      </c>
      <c r="G2277" t="s">
        <v>331</v>
      </c>
      <c r="H2277" s="15">
        <v>45292</v>
      </c>
      <c r="I2277">
        <v>31000</v>
      </c>
      <c r="J2277">
        <v>0</v>
      </c>
    </row>
    <row r="2278" spans="1:10" x14ac:dyDescent="0.3">
      <c r="A2278" s="15">
        <v>45566</v>
      </c>
      <c r="B2278" t="s">
        <v>150</v>
      </c>
      <c r="C2278" t="s">
        <v>91</v>
      </c>
      <c r="D2278" t="s">
        <v>99</v>
      </c>
      <c r="E2278" t="s">
        <v>101</v>
      </c>
      <c r="F2278">
        <v>8700</v>
      </c>
      <c r="G2278" t="s">
        <v>331</v>
      </c>
      <c r="H2278" s="15">
        <v>45292</v>
      </c>
      <c r="I2278">
        <v>8700</v>
      </c>
      <c r="J2278">
        <v>0</v>
      </c>
    </row>
    <row r="2279" spans="1:10" x14ac:dyDescent="0.3">
      <c r="A2279" s="15">
        <v>45566</v>
      </c>
      <c r="B2279" t="s">
        <v>151</v>
      </c>
      <c r="C2279" t="s">
        <v>91</v>
      </c>
      <c r="D2279" t="s">
        <v>82</v>
      </c>
      <c r="E2279" t="s">
        <v>97</v>
      </c>
      <c r="F2279">
        <v>6800</v>
      </c>
      <c r="G2279" t="s">
        <v>331</v>
      </c>
      <c r="H2279" s="15">
        <v>45292</v>
      </c>
      <c r="I2279">
        <v>6800</v>
      </c>
      <c r="J2279">
        <v>0</v>
      </c>
    </row>
    <row r="2280" spans="1:10" x14ac:dyDescent="0.3">
      <c r="A2280" s="15">
        <v>45566</v>
      </c>
      <c r="B2280" t="s">
        <v>152</v>
      </c>
      <c r="C2280" t="s">
        <v>81</v>
      </c>
      <c r="D2280" t="s">
        <v>99</v>
      </c>
      <c r="E2280" t="s">
        <v>87</v>
      </c>
      <c r="F2280">
        <v>3100</v>
      </c>
      <c r="G2280" t="s">
        <v>331</v>
      </c>
      <c r="H2280" s="15">
        <v>45292</v>
      </c>
      <c r="I2280">
        <v>3100</v>
      </c>
      <c r="J2280">
        <v>0</v>
      </c>
    </row>
    <row r="2281" spans="1:10" x14ac:dyDescent="0.3">
      <c r="A2281" s="15">
        <v>45566</v>
      </c>
      <c r="B2281" t="s">
        <v>153</v>
      </c>
      <c r="C2281" t="s">
        <v>110</v>
      </c>
      <c r="D2281" t="s">
        <v>99</v>
      </c>
      <c r="E2281" t="s">
        <v>87</v>
      </c>
      <c r="F2281">
        <v>31500</v>
      </c>
      <c r="G2281" t="s">
        <v>331</v>
      </c>
      <c r="H2281" s="15">
        <v>45292</v>
      </c>
      <c r="I2281">
        <v>31500</v>
      </c>
      <c r="J2281">
        <v>0</v>
      </c>
    </row>
    <row r="2282" spans="1:10" x14ac:dyDescent="0.3">
      <c r="A2282" s="15">
        <v>45566</v>
      </c>
      <c r="B2282" t="s">
        <v>154</v>
      </c>
      <c r="C2282" t="s">
        <v>91</v>
      </c>
      <c r="D2282" t="s">
        <v>86</v>
      </c>
      <c r="E2282" t="s">
        <v>103</v>
      </c>
      <c r="F2282">
        <v>8800</v>
      </c>
      <c r="G2282" t="s">
        <v>331</v>
      </c>
      <c r="H2282" s="15">
        <v>45292</v>
      </c>
      <c r="I2282">
        <v>8800</v>
      </c>
      <c r="J2282">
        <v>0</v>
      </c>
    </row>
    <row r="2283" spans="1:10" x14ac:dyDescent="0.3">
      <c r="A2283" s="15">
        <v>45566</v>
      </c>
      <c r="B2283" t="s">
        <v>155</v>
      </c>
      <c r="C2283" t="s">
        <v>91</v>
      </c>
      <c r="D2283" t="s">
        <v>82</v>
      </c>
      <c r="E2283" t="s">
        <v>92</v>
      </c>
      <c r="F2283">
        <v>7100</v>
      </c>
      <c r="G2283" t="s">
        <v>331</v>
      </c>
      <c r="H2283" s="15">
        <v>45292</v>
      </c>
      <c r="I2283">
        <v>7100</v>
      </c>
      <c r="J2283">
        <v>0</v>
      </c>
    </row>
    <row r="2284" spans="1:10" x14ac:dyDescent="0.3">
      <c r="A2284" s="15">
        <v>45566</v>
      </c>
      <c r="B2284" t="s">
        <v>156</v>
      </c>
      <c r="C2284" t="s">
        <v>81</v>
      </c>
      <c r="D2284" t="s">
        <v>86</v>
      </c>
      <c r="E2284" t="s">
        <v>101</v>
      </c>
      <c r="F2284">
        <v>2300</v>
      </c>
      <c r="G2284" t="s">
        <v>331</v>
      </c>
      <c r="H2284" s="15">
        <v>45292</v>
      </c>
      <c r="I2284">
        <v>2300</v>
      </c>
      <c r="J2284">
        <v>0</v>
      </c>
    </row>
    <row r="2285" spans="1:10" x14ac:dyDescent="0.3">
      <c r="A2285" s="15">
        <v>45566</v>
      </c>
      <c r="B2285" t="s">
        <v>157</v>
      </c>
      <c r="C2285" t="s">
        <v>81</v>
      </c>
      <c r="D2285" t="s">
        <v>82</v>
      </c>
      <c r="E2285" t="s">
        <v>92</v>
      </c>
      <c r="F2285">
        <v>1800</v>
      </c>
      <c r="G2285" t="s">
        <v>331</v>
      </c>
      <c r="H2285" s="15">
        <v>45292</v>
      </c>
      <c r="I2285">
        <v>1800</v>
      </c>
      <c r="J2285">
        <v>0</v>
      </c>
    </row>
    <row r="2286" spans="1:10" x14ac:dyDescent="0.3">
      <c r="A2286" s="15">
        <v>45566</v>
      </c>
      <c r="B2286" t="s">
        <v>158</v>
      </c>
      <c r="C2286" t="s">
        <v>91</v>
      </c>
      <c r="D2286" t="s">
        <v>96</v>
      </c>
      <c r="E2286" t="s">
        <v>83</v>
      </c>
      <c r="F2286">
        <v>11400</v>
      </c>
      <c r="G2286" t="s">
        <v>331</v>
      </c>
      <c r="H2286" s="15">
        <v>45292</v>
      </c>
      <c r="I2286">
        <v>11400</v>
      </c>
      <c r="J2286">
        <v>0</v>
      </c>
    </row>
    <row r="2287" spans="1:10" x14ac:dyDescent="0.3">
      <c r="A2287" s="15">
        <v>45566</v>
      </c>
      <c r="B2287" t="s">
        <v>159</v>
      </c>
      <c r="C2287" t="s">
        <v>81</v>
      </c>
      <c r="D2287" t="s">
        <v>86</v>
      </c>
      <c r="E2287" t="s">
        <v>87</v>
      </c>
      <c r="F2287">
        <v>2400</v>
      </c>
      <c r="G2287" t="s">
        <v>331</v>
      </c>
      <c r="H2287" s="15">
        <v>45292</v>
      </c>
      <c r="I2287">
        <v>2400</v>
      </c>
      <c r="J2287">
        <v>0</v>
      </c>
    </row>
    <row r="2288" spans="1:10" x14ac:dyDescent="0.3">
      <c r="A2288" s="15">
        <v>45566</v>
      </c>
      <c r="B2288" t="s">
        <v>161</v>
      </c>
      <c r="C2288" t="s">
        <v>91</v>
      </c>
      <c r="D2288" t="s">
        <v>99</v>
      </c>
      <c r="E2288" t="s">
        <v>83</v>
      </c>
      <c r="F2288">
        <v>10700</v>
      </c>
      <c r="G2288" t="s">
        <v>331</v>
      </c>
      <c r="H2288" s="15">
        <v>45292</v>
      </c>
      <c r="I2288">
        <v>10700</v>
      </c>
      <c r="J2288">
        <v>0</v>
      </c>
    </row>
    <row r="2289" spans="1:10" x14ac:dyDescent="0.3">
      <c r="A2289" s="15">
        <v>45566</v>
      </c>
      <c r="B2289" t="s">
        <v>162</v>
      </c>
      <c r="C2289" t="s">
        <v>91</v>
      </c>
      <c r="D2289" t="s">
        <v>82</v>
      </c>
      <c r="E2289" t="s">
        <v>103</v>
      </c>
      <c r="F2289">
        <v>12700</v>
      </c>
      <c r="G2289" t="s">
        <v>331</v>
      </c>
      <c r="H2289" s="15">
        <v>45292</v>
      </c>
      <c r="I2289">
        <v>12700</v>
      </c>
      <c r="J2289">
        <v>0</v>
      </c>
    </row>
    <row r="2290" spans="1:10" x14ac:dyDescent="0.3">
      <c r="A2290" s="15">
        <v>45566</v>
      </c>
      <c r="B2290" t="s">
        <v>164</v>
      </c>
      <c r="C2290" t="s">
        <v>81</v>
      </c>
      <c r="D2290" t="s">
        <v>99</v>
      </c>
      <c r="E2290" t="s">
        <v>89</v>
      </c>
      <c r="F2290">
        <v>2500</v>
      </c>
      <c r="G2290" t="s">
        <v>331</v>
      </c>
      <c r="H2290" s="15">
        <v>45292</v>
      </c>
      <c r="I2290">
        <v>2500</v>
      </c>
      <c r="J2290">
        <v>0</v>
      </c>
    </row>
    <row r="2291" spans="1:10" x14ac:dyDescent="0.3">
      <c r="A2291" s="15">
        <v>45566</v>
      </c>
      <c r="B2291" t="s">
        <v>165</v>
      </c>
      <c r="C2291" t="s">
        <v>81</v>
      </c>
      <c r="D2291" t="s">
        <v>82</v>
      </c>
      <c r="E2291" t="s">
        <v>97</v>
      </c>
      <c r="F2291">
        <v>2700</v>
      </c>
      <c r="G2291" t="s">
        <v>331</v>
      </c>
      <c r="H2291" s="15">
        <v>45292</v>
      </c>
      <c r="I2291">
        <v>2700</v>
      </c>
      <c r="J2291">
        <v>0</v>
      </c>
    </row>
    <row r="2292" spans="1:10" x14ac:dyDescent="0.3">
      <c r="A2292" s="15">
        <v>45566</v>
      </c>
      <c r="B2292" t="s">
        <v>166</v>
      </c>
      <c r="C2292" t="s">
        <v>81</v>
      </c>
      <c r="D2292" t="s">
        <v>99</v>
      </c>
      <c r="E2292" t="s">
        <v>103</v>
      </c>
      <c r="F2292">
        <v>2600</v>
      </c>
      <c r="G2292" t="s">
        <v>331</v>
      </c>
      <c r="H2292" s="15">
        <v>45292</v>
      </c>
      <c r="I2292">
        <v>2600</v>
      </c>
      <c r="J2292">
        <v>0</v>
      </c>
    </row>
    <row r="2293" spans="1:10" x14ac:dyDescent="0.3">
      <c r="A2293" s="15">
        <v>45566</v>
      </c>
      <c r="B2293" t="s">
        <v>167</v>
      </c>
      <c r="C2293" t="s">
        <v>81</v>
      </c>
      <c r="D2293" t="s">
        <v>82</v>
      </c>
      <c r="E2293" t="s">
        <v>97</v>
      </c>
      <c r="F2293">
        <v>2100</v>
      </c>
      <c r="G2293" t="s">
        <v>331</v>
      </c>
      <c r="H2293" s="15">
        <v>45292</v>
      </c>
      <c r="I2293">
        <v>2100</v>
      </c>
      <c r="J2293">
        <v>0</v>
      </c>
    </row>
    <row r="2294" spans="1:10" x14ac:dyDescent="0.3">
      <c r="A2294" s="15">
        <v>45566</v>
      </c>
      <c r="B2294" t="s">
        <v>168</v>
      </c>
      <c r="C2294" t="s">
        <v>91</v>
      </c>
      <c r="D2294" t="s">
        <v>86</v>
      </c>
      <c r="E2294" t="s">
        <v>103</v>
      </c>
      <c r="F2294">
        <v>12300</v>
      </c>
      <c r="G2294" t="s">
        <v>331</v>
      </c>
      <c r="H2294" s="15">
        <v>45292</v>
      </c>
      <c r="I2294">
        <v>12300</v>
      </c>
      <c r="J2294">
        <v>0</v>
      </c>
    </row>
    <row r="2295" spans="1:10" x14ac:dyDescent="0.3">
      <c r="A2295" s="15">
        <v>45566</v>
      </c>
      <c r="B2295" t="s">
        <v>169</v>
      </c>
      <c r="C2295" t="s">
        <v>81</v>
      </c>
      <c r="D2295" t="s">
        <v>86</v>
      </c>
      <c r="E2295" t="s">
        <v>103</v>
      </c>
      <c r="F2295">
        <v>2000</v>
      </c>
      <c r="G2295" t="s">
        <v>331</v>
      </c>
      <c r="H2295" s="15">
        <v>45292</v>
      </c>
      <c r="I2295">
        <v>2000</v>
      </c>
      <c r="J2295">
        <v>0</v>
      </c>
    </row>
    <row r="2296" spans="1:10" x14ac:dyDescent="0.3">
      <c r="A2296" s="15">
        <v>45566</v>
      </c>
      <c r="B2296" t="s">
        <v>170</v>
      </c>
      <c r="C2296" t="s">
        <v>91</v>
      </c>
      <c r="D2296" t="s">
        <v>99</v>
      </c>
      <c r="E2296" t="s">
        <v>83</v>
      </c>
      <c r="F2296">
        <v>6500</v>
      </c>
      <c r="G2296" t="s">
        <v>331</v>
      </c>
      <c r="H2296" s="15">
        <v>45292</v>
      </c>
      <c r="I2296">
        <v>6500</v>
      </c>
      <c r="J2296">
        <v>0</v>
      </c>
    </row>
    <row r="2297" spans="1:10" x14ac:dyDescent="0.3">
      <c r="A2297" s="15">
        <v>45566</v>
      </c>
      <c r="B2297" t="s">
        <v>171</v>
      </c>
      <c r="C2297" t="s">
        <v>81</v>
      </c>
      <c r="D2297" t="s">
        <v>99</v>
      </c>
      <c r="E2297" t="s">
        <v>97</v>
      </c>
      <c r="F2297">
        <v>1800</v>
      </c>
      <c r="G2297" t="s">
        <v>331</v>
      </c>
      <c r="H2297" s="15">
        <v>45292</v>
      </c>
      <c r="I2297">
        <v>1800</v>
      </c>
      <c r="J2297">
        <v>0</v>
      </c>
    </row>
    <row r="2298" spans="1:10" x14ac:dyDescent="0.3">
      <c r="A2298" s="15">
        <v>45566</v>
      </c>
      <c r="B2298" t="s">
        <v>172</v>
      </c>
      <c r="C2298" t="s">
        <v>91</v>
      </c>
      <c r="D2298" t="s">
        <v>96</v>
      </c>
      <c r="E2298" t="s">
        <v>101</v>
      </c>
      <c r="F2298">
        <v>7700</v>
      </c>
      <c r="G2298" t="s">
        <v>331</v>
      </c>
      <c r="H2298" s="15">
        <v>45292</v>
      </c>
      <c r="I2298">
        <v>7700</v>
      </c>
      <c r="J2298">
        <v>0</v>
      </c>
    </row>
    <row r="2299" spans="1:10" x14ac:dyDescent="0.3">
      <c r="A2299" s="15">
        <v>45566</v>
      </c>
      <c r="B2299" t="s">
        <v>173</v>
      </c>
      <c r="C2299" t="s">
        <v>81</v>
      </c>
      <c r="D2299" t="s">
        <v>86</v>
      </c>
      <c r="E2299" t="s">
        <v>103</v>
      </c>
      <c r="F2299">
        <v>3700</v>
      </c>
      <c r="G2299" t="s">
        <v>331</v>
      </c>
      <c r="H2299" s="15">
        <v>45292</v>
      </c>
      <c r="I2299">
        <v>3700</v>
      </c>
      <c r="J2299">
        <v>0</v>
      </c>
    </row>
    <row r="2300" spans="1:10" x14ac:dyDescent="0.3">
      <c r="A2300" s="15">
        <v>45566</v>
      </c>
      <c r="B2300" t="s">
        <v>174</v>
      </c>
      <c r="C2300" t="s">
        <v>81</v>
      </c>
      <c r="D2300" t="s">
        <v>82</v>
      </c>
      <c r="E2300" t="s">
        <v>92</v>
      </c>
      <c r="F2300">
        <v>2400</v>
      </c>
      <c r="G2300" t="s">
        <v>331</v>
      </c>
      <c r="H2300" s="15">
        <v>45292</v>
      </c>
      <c r="I2300">
        <v>2400</v>
      </c>
      <c r="J2300">
        <v>0</v>
      </c>
    </row>
    <row r="2301" spans="1:10" x14ac:dyDescent="0.3">
      <c r="A2301" s="15">
        <v>45566</v>
      </c>
      <c r="B2301" t="s">
        <v>175</v>
      </c>
      <c r="C2301" t="s">
        <v>91</v>
      </c>
      <c r="D2301" t="s">
        <v>96</v>
      </c>
      <c r="E2301" t="s">
        <v>83</v>
      </c>
      <c r="F2301">
        <v>8800</v>
      </c>
      <c r="G2301" t="s">
        <v>331</v>
      </c>
      <c r="H2301" s="15">
        <v>45292</v>
      </c>
      <c r="I2301">
        <v>8800</v>
      </c>
      <c r="J2301">
        <v>0</v>
      </c>
    </row>
    <row r="2302" spans="1:10" x14ac:dyDescent="0.3">
      <c r="A2302" s="15">
        <v>45566</v>
      </c>
      <c r="B2302" t="s">
        <v>176</v>
      </c>
      <c r="C2302" t="s">
        <v>81</v>
      </c>
      <c r="D2302" t="s">
        <v>99</v>
      </c>
      <c r="E2302" t="s">
        <v>92</v>
      </c>
      <c r="F2302">
        <v>2900</v>
      </c>
      <c r="G2302" t="s">
        <v>331</v>
      </c>
      <c r="H2302" s="15">
        <v>45292</v>
      </c>
      <c r="I2302">
        <v>2900</v>
      </c>
      <c r="J2302">
        <v>0</v>
      </c>
    </row>
    <row r="2303" spans="1:10" x14ac:dyDescent="0.3">
      <c r="A2303" s="15">
        <v>45566</v>
      </c>
      <c r="B2303" t="s">
        <v>177</v>
      </c>
      <c r="C2303" t="s">
        <v>81</v>
      </c>
      <c r="D2303" t="s">
        <v>96</v>
      </c>
      <c r="E2303" t="s">
        <v>83</v>
      </c>
      <c r="F2303">
        <v>2900</v>
      </c>
      <c r="G2303" t="s">
        <v>331</v>
      </c>
      <c r="H2303" s="15">
        <v>45292</v>
      </c>
      <c r="I2303">
        <v>2900</v>
      </c>
      <c r="J2303">
        <v>0</v>
      </c>
    </row>
    <row r="2304" spans="1:10" x14ac:dyDescent="0.3">
      <c r="A2304" s="15">
        <v>45566</v>
      </c>
      <c r="B2304" t="s">
        <v>178</v>
      </c>
      <c r="C2304" t="s">
        <v>91</v>
      </c>
      <c r="D2304" t="s">
        <v>82</v>
      </c>
      <c r="E2304" t="s">
        <v>89</v>
      </c>
      <c r="F2304">
        <v>8400</v>
      </c>
      <c r="G2304" t="s">
        <v>331</v>
      </c>
      <c r="H2304" s="15">
        <v>45292</v>
      </c>
      <c r="I2304">
        <v>8400</v>
      </c>
      <c r="J2304">
        <v>0</v>
      </c>
    </row>
    <row r="2305" spans="1:10" x14ac:dyDescent="0.3">
      <c r="A2305" s="15">
        <v>45566</v>
      </c>
      <c r="B2305" t="s">
        <v>179</v>
      </c>
      <c r="C2305" t="s">
        <v>110</v>
      </c>
      <c r="D2305" t="s">
        <v>86</v>
      </c>
      <c r="E2305" t="s">
        <v>87</v>
      </c>
      <c r="F2305">
        <v>30000</v>
      </c>
      <c r="G2305" t="s">
        <v>331</v>
      </c>
      <c r="H2305" s="15">
        <v>45292</v>
      </c>
      <c r="I2305">
        <v>30000</v>
      </c>
      <c r="J2305">
        <v>0</v>
      </c>
    </row>
    <row r="2306" spans="1:10" x14ac:dyDescent="0.3">
      <c r="A2306" s="15">
        <v>45566</v>
      </c>
      <c r="B2306" t="s">
        <v>180</v>
      </c>
      <c r="C2306" t="s">
        <v>91</v>
      </c>
      <c r="D2306" t="s">
        <v>86</v>
      </c>
      <c r="E2306" t="s">
        <v>83</v>
      </c>
      <c r="F2306">
        <v>8500</v>
      </c>
      <c r="G2306" t="s">
        <v>331</v>
      </c>
      <c r="H2306" s="15">
        <v>45292</v>
      </c>
      <c r="I2306">
        <v>8500</v>
      </c>
      <c r="J2306">
        <v>0</v>
      </c>
    </row>
    <row r="2307" spans="1:10" x14ac:dyDescent="0.3">
      <c r="A2307" s="15">
        <v>45566</v>
      </c>
      <c r="B2307" t="s">
        <v>181</v>
      </c>
      <c r="C2307" t="s">
        <v>91</v>
      </c>
      <c r="D2307" t="s">
        <v>82</v>
      </c>
      <c r="E2307" t="s">
        <v>97</v>
      </c>
      <c r="F2307">
        <v>10100</v>
      </c>
      <c r="G2307" t="s">
        <v>331</v>
      </c>
      <c r="H2307" s="15">
        <v>45292</v>
      </c>
      <c r="I2307">
        <v>10100</v>
      </c>
      <c r="J2307">
        <v>0</v>
      </c>
    </row>
    <row r="2308" spans="1:10" x14ac:dyDescent="0.3">
      <c r="A2308" s="15">
        <v>45566</v>
      </c>
      <c r="B2308" t="s">
        <v>182</v>
      </c>
      <c r="C2308" t="s">
        <v>125</v>
      </c>
      <c r="D2308" t="s">
        <v>82</v>
      </c>
      <c r="E2308" t="s">
        <v>92</v>
      </c>
      <c r="F2308">
        <v>80700</v>
      </c>
      <c r="G2308" t="s">
        <v>331</v>
      </c>
      <c r="H2308" s="15">
        <v>45292</v>
      </c>
      <c r="I2308">
        <v>80700</v>
      </c>
      <c r="J2308">
        <v>0</v>
      </c>
    </row>
    <row r="2309" spans="1:10" x14ac:dyDescent="0.3">
      <c r="A2309" s="15">
        <v>45566</v>
      </c>
      <c r="B2309" t="s">
        <v>183</v>
      </c>
      <c r="C2309" t="s">
        <v>91</v>
      </c>
      <c r="D2309" t="s">
        <v>96</v>
      </c>
      <c r="E2309" t="s">
        <v>92</v>
      </c>
      <c r="F2309">
        <v>9500</v>
      </c>
      <c r="G2309" t="s">
        <v>331</v>
      </c>
      <c r="H2309" s="15">
        <v>45292</v>
      </c>
      <c r="I2309">
        <v>9500</v>
      </c>
      <c r="J2309">
        <v>0</v>
      </c>
    </row>
    <row r="2310" spans="1:10" x14ac:dyDescent="0.3">
      <c r="A2310" s="15">
        <v>45566</v>
      </c>
      <c r="B2310" t="s">
        <v>184</v>
      </c>
      <c r="C2310" t="s">
        <v>81</v>
      </c>
      <c r="D2310" t="s">
        <v>82</v>
      </c>
      <c r="E2310" t="s">
        <v>83</v>
      </c>
      <c r="F2310">
        <v>2600</v>
      </c>
      <c r="G2310" t="s">
        <v>331</v>
      </c>
      <c r="H2310" s="15">
        <v>45292</v>
      </c>
      <c r="I2310">
        <v>2600</v>
      </c>
      <c r="J2310">
        <v>0</v>
      </c>
    </row>
    <row r="2311" spans="1:10" x14ac:dyDescent="0.3">
      <c r="A2311" s="15">
        <v>45566</v>
      </c>
      <c r="B2311" t="s">
        <v>185</v>
      </c>
      <c r="C2311" t="s">
        <v>81</v>
      </c>
      <c r="D2311" t="s">
        <v>96</v>
      </c>
      <c r="E2311" t="s">
        <v>97</v>
      </c>
      <c r="F2311">
        <v>2000</v>
      </c>
      <c r="G2311" t="s">
        <v>331</v>
      </c>
      <c r="H2311" s="15">
        <v>45292</v>
      </c>
      <c r="I2311">
        <v>2000</v>
      </c>
      <c r="J2311">
        <v>0</v>
      </c>
    </row>
    <row r="2312" spans="1:10" x14ac:dyDescent="0.3">
      <c r="A2312" s="15">
        <v>45566</v>
      </c>
      <c r="B2312" t="s">
        <v>186</v>
      </c>
      <c r="C2312" t="s">
        <v>91</v>
      </c>
      <c r="D2312" t="s">
        <v>82</v>
      </c>
      <c r="E2312" t="s">
        <v>103</v>
      </c>
      <c r="F2312">
        <v>13900</v>
      </c>
      <c r="G2312" t="s">
        <v>332</v>
      </c>
      <c r="H2312" s="15">
        <v>45292</v>
      </c>
      <c r="I2312">
        <v>12100</v>
      </c>
      <c r="J2312">
        <v>1800</v>
      </c>
    </row>
    <row r="2313" spans="1:10" x14ac:dyDescent="0.3">
      <c r="A2313" s="15">
        <v>45566</v>
      </c>
      <c r="B2313" t="s">
        <v>187</v>
      </c>
      <c r="C2313" t="s">
        <v>110</v>
      </c>
      <c r="D2313" t="s">
        <v>86</v>
      </c>
      <c r="E2313" t="s">
        <v>97</v>
      </c>
      <c r="F2313">
        <v>32300</v>
      </c>
      <c r="G2313" t="s">
        <v>331</v>
      </c>
      <c r="H2313" s="15">
        <v>45292</v>
      </c>
      <c r="I2313">
        <v>32300</v>
      </c>
      <c r="J2313">
        <v>0</v>
      </c>
    </row>
    <row r="2314" spans="1:10" x14ac:dyDescent="0.3">
      <c r="A2314" s="15">
        <v>45566</v>
      </c>
      <c r="B2314" t="s">
        <v>188</v>
      </c>
      <c r="C2314" t="s">
        <v>91</v>
      </c>
      <c r="D2314" t="s">
        <v>82</v>
      </c>
      <c r="E2314" t="s">
        <v>92</v>
      </c>
      <c r="F2314">
        <v>12000</v>
      </c>
      <c r="G2314" t="s">
        <v>331</v>
      </c>
      <c r="H2314" s="15">
        <v>45292</v>
      </c>
      <c r="I2314">
        <v>12000</v>
      </c>
      <c r="J2314">
        <v>0</v>
      </c>
    </row>
    <row r="2315" spans="1:10" x14ac:dyDescent="0.3">
      <c r="A2315" s="15">
        <v>45566</v>
      </c>
      <c r="B2315" t="s">
        <v>189</v>
      </c>
      <c r="C2315" t="s">
        <v>81</v>
      </c>
      <c r="D2315" t="s">
        <v>86</v>
      </c>
      <c r="E2315" t="s">
        <v>103</v>
      </c>
      <c r="F2315">
        <v>2000</v>
      </c>
      <c r="G2315" t="s">
        <v>331</v>
      </c>
      <c r="H2315" s="15">
        <v>45292</v>
      </c>
      <c r="I2315">
        <v>2000</v>
      </c>
      <c r="J2315">
        <v>0</v>
      </c>
    </row>
    <row r="2316" spans="1:10" x14ac:dyDescent="0.3">
      <c r="A2316" s="15">
        <v>45566</v>
      </c>
      <c r="B2316" t="s">
        <v>190</v>
      </c>
      <c r="C2316" t="s">
        <v>81</v>
      </c>
      <c r="D2316" t="s">
        <v>99</v>
      </c>
      <c r="E2316" t="s">
        <v>89</v>
      </c>
      <c r="F2316">
        <v>2000</v>
      </c>
      <c r="G2316" t="s">
        <v>331</v>
      </c>
      <c r="H2316" s="15">
        <v>45292</v>
      </c>
      <c r="I2316">
        <v>2000</v>
      </c>
      <c r="J2316">
        <v>0</v>
      </c>
    </row>
    <row r="2317" spans="1:10" x14ac:dyDescent="0.3">
      <c r="A2317" s="15">
        <v>45566</v>
      </c>
      <c r="B2317" t="s">
        <v>191</v>
      </c>
      <c r="C2317" t="s">
        <v>91</v>
      </c>
      <c r="D2317" t="s">
        <v>86</v>
      </c>
      <c r="E2317" t="s">
        <v>87</v>
      </c>
      <c r="F2317">
        <v>6900</v>
      </c>
      <c r="G2317" t="s">
        <v>331</v>
      </c>
      <c r="H2317" s="15">
        <v>45292</v>
      </c>
      <c r="I2317">
        <v>6900</v>
      </c>
      <c r="J2317">
        <v>0</v>
      </c>
    </row>
    <row r="2318" spans="1:10" x14ac:dyDescent="0.3">
      <c r="A2318" s="15">
        <v>45566</v>
      </c>
      <c r="B2318" t="s">
        <v>192</v>
      </c>
      <c r="C2318" t="s">
        <v>81</v>
      </c>
      <c r="D2318" t="s">
        <v>82</v>
      </c>
      <c r="E2318" t="s">
        <v>97</v>
      </c>
      <c r="F2318">
        <v>2700</v>
      </c>
      <c r="G2318" t="s">
        <v>331</v>
      </c>
      <c r="H2318" s="15">
        <v>45292</v>
      </c>
      <c r="I2318">
        <v>2700</v>
      </c>
      <c r="J2318">
        <v>0</v>
      </c>
    </row>
    <row r="2319" spans="1:10" x14ac:dyDescent="0.3">
      <c r="A2319" s="15">
        <v>45566</v>
      </c>
      <c r="B2319" t="s">
        <v>193</v>
      </c>
      <c r="C2319" t="s">
        <v>81</v>
      </c>
      <c r="D2319" t="s">
        <v>82</v>
      </c>
      <c r="E2319" t="s">
        <v>87</v>
      </c>
      <c r="F2319">
        <v>3200</v>
      </c>
      <c r="G2319" t="s">
        <v>331</v>
      </c>
      <c r="H2319" s="15">
        <v>45292</v>
      </c>
      <c r="I2319">
        <v>3200</v>
      </c>
      <c r="J2319">
        <v>0</v>
      </c>
    </row>
    <row r="2320" spans="1:10" x14ac:dyDescent="0.3">
      <c r="A2320" s="15">
        <v>45566</v>
      </c>
      <c r="B2320" t="s">
        <v>194</v>
      </c>
      <c r="C2320" t="s">
        <v>91</v>
      </c>
      <c r="D2320" t="s">
        <v>82</v>
      </c>
      <c r="E2320" t="s">
        <v>101</v>
      </c>
      <c r="F2320">
        <v>10400</v>
      </c>
      <c r="G2320" t="s">
        <v>331</v>
      </c>
      <c r="H2320" s="15">
        <v>45292</v>
      </c>
      <c r="I2320">
        <v>10400</v>
      </c>
      <c r="J2320">
        <v>0</v>
      </c>
    </row>
    <row r="2321" spans="1:10" x14ac:dyDescent="0.3">
      <c r="A2321" s="15">
        <v>45566</v>
      </c>
      <c r="B2321" t="s">
        <v>195</v>
      </c>
      <c r="C2321" t="s">
        <v>91</v>
      </c>
      <c r="D2321" t="s">
        <v>86</v>
      </c>
      <c r="E2321" t="s">
        <v>97</v>
      </c>
      <c r="F2321">
        <v>6800</v>
      </c>
      <c r="G2321" t="s">
        <v>331</v>
      </c>
      <c r="H2321" s="15">
        <v>45292</v>
      </c>
      <c r="I2321">
        <v>6800</v>
      </c>
      <c r="J2321">
        <v>0</v>
      </c>
    </row>
    <row r="2322" spans="1:10" x14ac:dyDescent="0.3">
      <c r="A2322" s="15">
        <v>45566</v>
      </c>
      <c r="B2322" t="s">
        <v>196</v>
      </c>
      <c r="C2322" t="s">
        <v>81</v>
      </c>
      <c r="D2322" t="s">
        <v>86</v>
      </c>
      <c r="E2322" t="s">
        <v>87</v>
      </c>
      <c r="F2322">
        <v>2600</v>
      </c>
      <c r="G2322" t="s">
        <v>331</v>
      </c>
      <c r="H2322" s="15">
        <v>45292</v>
      </c>
      <c r="I2322">
        <v>2600</v>
      </c>
      <c r="J2322">
        <v>0</v>
      </c>
    </row>
    <row r="2323" spans="1:10" x14ac:dyDescent="0.3">
      <c r="A2323" s="15">
        <v>45566</v>
      </c>
      <c r="B2323" t="s">
        <v>197</v>
      </c>
      <c r="C2323" t="s">
        <v>91</v>
      </c>
      <c r="D2323" t="s">
        <v>82</v>
      </c>
      <c r="E2323" t="s">
        <v>89</v>
      </c>
      <c r="F2323">
        <v>10400</v>
      </c>
      <c r="G2323" t="s">
        <v>331</v>
      </c>
      <c r="H2323" s="15">
        <v>45292</v>
      </c>
      <c r="I2323">
        <v>10400</v>
      </c>
      <c r="J2323">
        <v>0</v>
      </c>
    </row>
    <row r="2324" spans="1:10" x14ac:dyDescent="0.3">
      <c r="A2324" s="15">
        <v>45566</v>
      </c>
      <c r="B2324" t="s">
        <v>198</v>
      </c>
      <c r="C2324" t="s">
        <v>81</v>
      </c>
      <c r="D2324" t="s">
        <v>82</v>
      </c>
      <c r="E2324" t="s">
        <v>89</v>
      </c>
      <c r="F2324">
        <v>2900</v>
      </c>
      <c r="G2324" t="s">
        <v>331</v>
      </c>
      <c r="H2324" s="15">
        <v>45292</v>
      </c>
      <c r="I2324">
        <v>2900</v>
      </c>
      <c r="J2324">
        <v>0</v>
      </c>
    </row>
    <row r="2325" spans="1:10" x14ac:dyDescent="0.3">
      <c r="A2325" s="15">
        <v>45566</v>
      </c>
      <c r="B2325" t="s">
        <v>199</v>
      </c>
      <c r="C2325" t="s">
        <v>81</v>
      </c>
      <c r="D2325" t="s">
        <v>86</v>
      </c>
      <c r="E2325" t="s">
        <v>89</v>
      </c>
      <c r="F2325">
        <v>2200</v>
      </c>
      <c r="G2325" t="s">
        <v>331</v>
      </c>
      <c r="H2325" s="15">
        <v>45292</v>
      </c>
      <c r="I2325">
        <v>2200</v>
      </c>
      <c r="J2325">
        <v>0</v>
      </c>
    </row>
    <row r="2326" spans="1:10" x14ac:dyDescent="0.3">
      <c r="A2326" s="15">
        <v>45566</v>
      </c>
      <c r="B2326" t="s">
        <v>200</v>
      </c>
      <c r="C2326" t="s">
        <v>91</v>
      </c>
      <c r="D2326" t="s">
        <v>86</v>
      </c>
      <c r="E2326" t="s">
        <v>92</v>
      </c>
      <c r="F2326">
        <v>8800</v>
      </c>
      <c r="G2326" t="s">
        <v>331</v>
      </c>
      <c r="H2326" s="15">
        <v>45292</v>
      </c>
      <c r="I2326">
        <v>8800</v>
      </c>
      <c r="J2326">
        <v>0</v>
      </c>
    </row>
    <row r="2327" spans="1:10" x14ac:dyDescent="0.3">
      <c r="A2327" s="15">
        <v>45566</v>
      </c>
      <c r="B2327" t="s">
        <v>201</v>
      </c>
      <c r="C2327" t="s">
        <v>81</v>
      </c>
      <c r="D2327" t="s">
        <v>86</v>
      </c>
      <c r="E2327" t="s">
        <v>83</v>
      </c>
      <c r="F2327">
        <v>1800</v>
      </c>
      <c r="G2327" t="s">
        <v>331</v>
      </c>
      <c r="H2327" s="15">
        <v>45292</v>
      </c>
      <c r="I2327">
        <v>1800</v>
      </c>
      <c r="J2327">
        <v>0</v>
      </c>
    </row>
    <row r="2328" spans="1:10" x14ac:dyDescent="0.3">
      <c r="A2328" s="15">
        <v>45566</v>
      </c>
      <c r="B2328" t="s">
        <v>202</v>
      </c>
      <c r="C2328" t="s">
        <v>91</v>
      </c>
      <c r="D2328" t="s">
        <v>82</v>
      </c>
      <c r="E2328" t="s">
        <v>92</v>
      </c>
      <c r="F2328">
        <v>11000</v>
      </c>
      <c r="G2328" t="s">
        <v>331</v>
      </c>
      <c r="H2328" s="15">
        <v>45292</v>
      </c>
      <c r="I2328">
        <v>11000</v>
      </c>
      <c r="J2328">
        <v>0</v>
      </c>
    </row>
    <row r="2329" spans="1:10" x14ac:dyDescent="0.3">
      <c r="A2329" s="15">
        <v>45566</v>
      </c>
      <c r="B2329" t="s">
        <v>203</v>
      </c>
      <c r="C2329" t="s">
        <v>110</v>
      </c>
      <c r="D2329" t="s">
        <v>86</v>
      </c>
      <c r="E2329" t="s">
        <v>92</v>
      </c>
      <c r="F2329">
        <v>32000</v>
      </c>
      <c r="G2329" t="s">
        <v>331</v>
      </c>
      <c r="H2329" s="15">
        <v>45292</v>
      </c>
      <c r="I2329">
        <v>32000</v>
      </c>
      <c r="J2329">
        <v>0</v>
      </c>
    </row>
    <row r="2330" spans="1:10" x14ac:dyDescent="0.3">
      <c r="A2330" s="15">
        <v>45566</v>
      </c>
      <c r="B2330" t="s">
        <v>204</v>
      </c>
      <c r="C2330" t="s">
        <v>81</v>
      </c>
      <c r="D2330" t="s">
        <v>82</v>
      </c>
      <c r="E2330" t="s">
        <v>87</v>
      </c>
      <c r="F2330">
        <v>2200</v>
      </c>
      <c r="G2330" t="s">
        <v>331</v>
      </c>
      <c r="H2330" s="15">
        <v>45292</v>
      </c>
      <c r="I2330">
        <v>2200</v>
      </c>
      <c r="J2330">
        <v>0</v>
      </c>
    </row>
    <row r="2331" spans="1:10" x14ac:dyDescent="0.3">
      <c r="A2331" s="15">
        <v>45566</v>
      </c>
      <c r="B2331" t="s">
        <v>205</v>
      </c>
      <c r="C2331" t="s">
        <v>91</v>
      </c>
      <c r="D2331" t="s">
        <v>86</v>
      </c>
      <c r="E2331" t="s">
        <v>103</v>
      </c>
      <c r="F2331">
        <v>10600</v>
      </c>
      <c r="G2331" t="s">
        <v>331</v>
      </c>
      <c r="H2331" s="15">
        <v>45292</v>
      </c>
      <c r="I2331">
        <v>10600</v>
      </c>
      <c r="J2331">
        <v>0</v>
      </c>
    </row>
    <row r="2332" spans="1:10" x14ac:dyDescent="0.3">
      <c r="A2332" s="15">
        <v>45566</v>
      </c>
      <c r="B2332" t="s">
        <v>206</v>
      </c>
      <c r="C2332" t="s">
        <v>81</v>
      </c>
      <c r="D2332" t="s">
        <v>86</v>
      </c>
      <c r="E2332" t="s">
        <v>89</v>
      </c>
      <c r="F2332">
        <v>3000</v>
      </c>
      <c r="G2332" t="s">
        <v>331</v>
      </c>
      <c r="H2332" s="15">
        <v>45292</v>
      </c>
      <c r="I2332">
        <v>3000</v>
      </c>
      <c r="J2332">
        <v>0</v>
      </c>
    </row>
    <row r="2333" spans="1:10" x14ac:dyDescent="0.3">
      <c r="A2333" s="15">
        <v>45566</v>
      </c>
      <c r="B2333" t="s">
        <v>207</v>
      </c>
      <c r="C2333" t="s">
        <v>81</v>
      </c>
      <c r="D2333" t="s">
        <v>82</v>
      </c>
      <c r="E2333" t="s">
        <v>89</v>
      </c>
      <c r="F2333">
        <v>4100</v>
      </c>
      <c r="G2333" t="s">
        <v>334</v>
      </c>
      <c r="H2333" s="15">
        <v>45292</v>
      </c>
      <c r="I2333">
        <v>4700</v>
      </c>
      <c r="J2333">
        <v>-600</v>
      </c>
    </row>
    <row r="2334" spans="1:10" x14ac:dyDescent="0.3">
      <c r="A2334" s="15">
        <v>45566</v>
      </c>
      <c r="B2334" t="s">
        <v>208</v>
      </c>
      <c r="C2334" t="s">
        <v>91</v>
      </c>
      <c r="D2334" t="s">
        <v>99</v>
      </c>
      <c r="E2334" t="s">
        <v>89</v>
      </c>
      <c r="F2334">
        <v>7300</v>
      </c>
      <c r="G2334" t="s">
        <v>331</v>
      </c>
      <c r="H2334" s="15">
        <v>45292</v>
      </c>
      <c r="I2334">
        <v>7300</v>
      </c>
      <c r="J2334">
        <v>0</v>
      </c>
    </row>
    <row r="2335" spans="1:10" x14ac:dyDescent="0.3">
      <c r="A2335" s="15">
        <v>45566</v>
      </c>
      <c r="B2335" t="s">
        <v>209</v>
      </c>
      <c r="C2335" t="s">
        <v>81</v>
      </c>
      <c r="D2335" t="s">
        <v>86</v>
      </c>
      <c r="E2335" t="s">
        <v>83</v>
      </c>
      <c r="F2335">
        <v>3100</v>
      </c>
      <c r="G2335" t="s">
        <v>332</v>
      </c>
      <c r="H2335" s="15">
        <v>45292</v>
      </c>
      <c r="I2335">
        <v>2700</v>
      </c>
      <c r="J2335">
        <v>400</v>
      </c>
    </row>
    <row r="2336" spans="1:10" x14ac:dyDescent="0.3">
      <c r="A2336" s="15">
        <v>45566</v>
      </c>
      <c r="B2336" t="s">
        <v>210</v>
      </c>
      <c r="C2336" t="s">
        <v>125</v>
      </c>
      <c r="D2336" t="s">
        <v>96</v>
      </c>
      <c r="E2336" t="s">
        <v>89</v>
      </c>
      <c r="F2336">
        <v>90300</v>
      </c>
      <c r="G2336" t="s">
        <v>331</v>
      </c>
      <c r="H2336" s="15">
        <v>45292</v>
      </c>
      <c r="I2336">
        <v>90300</v>
      </c>
      <c r="J2336">
        <v>0</v>
      </c>
    </row>
    <row r="2337" spans="1:10" x14ac:dyDescent="0.3">
      <c r="A2337" s="15">
        <v>45566</v>
      </c>
      <c r="B2337" t="s">
        <v>211</v>
      </c>
      <c r="C2337" t="s">
        <v>110</v>
      </c>
      <c r="D2337" t="s">
        <v>82</v>
      </c>
      <c r="E2337" t="s">
        <v>92</v>
      </c>
      <c r="F2337">
        <v>28900</v>
      </c>
      <c r="G2337" t="s">
        <v>331</v>
      </c>
      <c r="H2337" s="15">
        <v>45292</v>
      </c>
      <c r="I2337">
        <v>28900</v>
      </c>
      <c r="J2337">
        <v>0</v>
      </c>
    </row>
    <row r="2338" spans="1:10" x14ac:dyDescent="0.3">
      <c r="A2338" s="15">
        <v>45566</v>
      </c>
      <c r="B2338" t="s">
        <v>212</v>
      </c>
      <c r="C2338" t="s">
        <v>81</v>
      </c>
      <c r="D2338" t="s">
        <v>96</v>
      </c>
      <c r="E2338" t="s">
        <v>101</v>
      </c>
      <c r="F2338">
        <v>2700</v>
      </c>
      <c r="G2338" t="s">
        <v>331</v>
      </c>
      <c r="H2338" s="15">
        <v>45292</v>
      </c>
      <c r="I2338">
        <v>2700</v>
      </c>
      <c r="J2338">
        <v>0</v>
      </c>
    </row>
    <row r="2339" spans="1:10" x14ac:dyDescent="0.3">
      <c r="A2339" s="15">
        <v>45566</v>
      </c>
      <c r="B2339" t="s">
        <v>213</v>
      </c>
      <c r="C2339" t="s">
        <v>81</v>
      </c>
      <c r="D2339" t="s">
        <v>82</v>
      </c>
      <c r="E2339" t="s">
        <v>97</v>
      </c>
      <c r="F2339">
        <v>3300</v>
      </c>
      <c r="G2339" t="s">
        <v>331</v>
      </c>
      <c r="H2339" s="15">
        <v>45292</v>
      </c>
      <c r="I2339">
        <v>3300</v>
      </c>
      <c r="J2339">
        <v>0</v>
      </c>
    </row>
    <row r="2340" spans="1:10" x14ac:dyDescent="0.3">
      <c r="A2340" s="15">
        <v>45566</v>
      </c>
      <c r="B2340" t="s">
        <v>214</v>
      </c>
      <c r="C2340" t="s">
        <v>91</v>
      </c>
      <c r="D2340" t="s">
        <v>82</v>
      </c>
      <c r="E2340" t="s">
        <v>89</v>
      </c>
      <c r="F2340">
        <v>8700</v>
      </c>
      <c r="G2340" t="s">
        <v>331</v>
      </c>
      <c r="H2340" s="15">
        <v>45292</v>
      </c>
      <c r="I2340">
        <v>8700</v>
      </c>
      <c r="J2340">
        <v>0</v>
      </c>
    </row>
    <row r="2341" spans="1:10" x14ac:dyDescent="0.3">
      <c r="A2341" s="15">
        <v>45566</v>
      </c>
      <c r="B2341" t="s">
        <v>215</v>
      </c>
      <c r="C2341" t="s">
        <v>110</v>
      </c>
      <c r="D2341" t="s">
        <v>99</v>
      </c>
      <c r="E2341" t="s">
        <v>89</v>
      </c>
      <c r="F2341">
        <v>42900</v>
      </c>
      <c r="G2341" t="s">
        <v>331</v>
      </c>
      <c r="H2341" s="15">
        <v>45292</v>
      </c>
      <c r="I2341">
        <v>42900</v>
      </c>
      <c r="J2341">
        <v>0</v>
      </c>
    </row>
    <row r="2342" spans="1:10" x14ac:dyDescent="0.3">
      <c r="A2342" s="15">
        <v>45566</v>
      </c>
      <c r="B2342" t="s">
        <v>216</v>
      </c>
      <c r="C2342" t="s">
        <v>81</v>
      </c>
      <c r="D2342" t="s">
        <v>82</v>
      </c>
      <c r="E2342" t="s">
        <v>97</v>
      </c>
      <c r="F2342">
        <v>3500</v>
      </c>
      <c r="G2342" t="s">
        <v>331</v>
      </c>
      <c r="H2342" s="15">
        <v>45292</v>
      </c>
      <c r="I2342">
        <v>3500</v>
      </c>
      <c r="J2342">
        <v>0</v>
      </c>
    </row>
    <row r="2343" spans="1:10" x14ac:dyDescent="0.3">
      <c r="A2343" s="15">
        <v>45566</v>
      </c>
      <c r="B2343" t="s">
        <v>217</v>
      </c>
      <c r="C2343" t="s">
        <v>91</v>
      </c>
      <c r="D2343" t="s">
        <v>82</v>
      </c>
      <c r="E2343" t="s">
        <v>97</v>
      </c>
      <c r="F2343">
        <v>9000</v>
      </c>
      <c r="G2343" t="s">
        <v>331</v>
      </c>
      <c r="H2343" s="15">
        <v>45292</v>
      </c>
      <c r="I2343">
        <v>9000</v>
      </c>
      <c r="J2343">
        <v>0</v>
      </c>
    </row>
    <row r="2344" spans="1:10" x14ac:dyDescent="0.3">
      <c r="A2344" s="15">
        <v>45566</v>
      </c>
      <c r="B2344" t="s">
        <v>218</v>
      </c>
      <c r="C2344" t="s">
        <v>110</v>
      </c>
      <c r="D2344" t="s">
        <v>99</v>
      </c>
      <c r="E2344" t="s">
        <v>92</v>
      </c>
      <c r="F2344">
        <v>29900</v>
      </c>
      <c r="G2344" t="s">
        <v>331</v>
      </c>
      <c r="H2344" s="15">
        <v>45292</v>
      </c>
      <c r="I2344">
        <v>29900</v>
      </c>
      <c r="J2344">
        <v>0</v>
      </c>
    </row>
    <row r="2345" spans="1:10" x14ac:dyDescent="0.3">
      <c r="A2345" s="15">
        <v>45566</v>
      </c>
      <c r="B2345" t="s">
        <v>219</v>
      </c>
      <c r="C2345" t="s">
        <v>81</v>
      </c>
      <c r="D2345" t="s">
        <v>99</v>
      </c>
      <c r="E2345" t="s">
        <v>89</v>
      </c>
      <c r="F2345">
        <v>2500</v>
      </c>
      <c r="G2345" t="s">
        <v>331</v>
      </c>
      <c r="H2345" s="15">
        <v>45292</v>
      </c>
      <c r="I2345">
        <v>2500</v>
      </c>
      <c r="J2345">
        <v>0</v>
      </c>
    </row>
    <row r="2346" spans="1:10" x14ac:dyDescent="0.3">
      <c r="A2346" s="15">
        <v>45566</v>
      </c>
      <c r="B2346" t="s">
        <v>220</v>
      </c>
      <c r="C2346" t="s">
        <v>110</v>
      </c>
      <c r="D2346" t="s">
        <v>82</v>
      </c>
      <c r="E2346" t="s">
        <v>89</v>
      </c>
      <c r="F2346">
        <v>30800</v>
      </c>
      <c r="G2346" t="s">
        <v>331</v>
      </c>
      <c r="H2346" s="15">
        <v>45292</v>
      </c>
      <c r="I2346">
        <v>30800</v>
      </c>
      <c r="J2346">
        <v>0</v>
      </c>
    </row>
    <row r="2347" spans="1:10" x14ac:dyDescent="0.3">
      <c r="A2347" s="15">
        <v>45566</v>
      </c>
      <c r="B2347" t="s">
        <v>221</v>
      </c>
      <c r="C2347" t="s">
        <v>91</v>
      </c>
      <c r="D2347" t="s">
        <v>96</v>
      </c>
      <c r="E2347" t="s">
        <v>83</v>
      </c>
      <c r="F2347">
        <v>8200</v>
      </c>
      <c r="G2347" t="s">
        <v>331</v>
      </c>
      <c r="H2347" s="15">
        <v>45292</v>
      </c>
      <c r="I2347">
        <v>8200</v>
      </c>
      <c r="J2347">
        <v>0</v>
      </c>
    </row>
    <row r="2348" spans="1:10" x14ac:dyDescent="0.3">
      <c r="A2348" s="15">
        <v>45566</v>
      </c>
      <c r="B2348" t="s">
        <v>222</v>
      </c>
      <c r="C2348" t="s">
        <v>110</v>
      </c>
      <c r="D2348" t="s">
        <v>96</v>
      </c>
      <c r="E2348" t="s">
        <v>97</v>
      </c>
      <c r="F2348">
        <v>0</v>
      </c>
      <c r="G2348" t="s">
        <v>333</v>
      </c>
      <c r="H2348" s="15">
        <v>45292</v>
      </c>
      <c r="I2348">
        <v>26100</v>
      </c>
      <c r="J2348">
        <v>-26100</v>
      </c>
    </row>
    <row r="2349" spans="1:10" x14ac:dyDescent="0.3">
      <c r="A2349" s="15">
        <v>45566</v>
      </c>
      <c r="B2349" t="s">
        <v>223</v>
      </c>
      <c r="C2349" t="s">
        <v>81</v>
      </c>
      <c r="D2349" t="s">
        <v>99</v>
      </c>
      <c r="E2349" t="s">
        <v>87</v>
      </c>
      <c r="F2349">
        <v>2100</v>
      </c>
      <c r="G2349" t="s">
        <v>331</v>
      </c>
      <c r="H2349" s="15">
        <v>45292</v>
      </c>
      <c r="I2349">
        <v>2100</v>
      </c>
      <c r="J2349">
        <v>0</v>
      </c>
    </row>
    <row r="2350" spans="1:10" x14ac:dyDescent="0.3">
      <c r="A2350" s="15">
        <v>45566</v>
      </c>
      <c r="B2350" t="s">
        <v>224</v>
      </c>
      <c r="C2350" t="s">
        <v>91</v>
      </c>
      <c r="D2350" t="s">
        <v>82</v>
      </c>
      <c r="E2350" t="s">
        <v>101</v>
      </c>
      <c r="F2350">
        <v>10300</v>
      </c>
      <c r="G2350" t="s">
        <v>331</v>
      </c>
      <c r="H2350" s="15">
        <v>45292</v>
      </c>
      <c r="I2350">
        <v>10300</v>
      </c>
      <c r="J2350">
        <v>0</v>
      </c>
    </row>
    <row r="2351" spans="1:10" x14ac:dyDescent="0.3">
      <c r="A2351" s="15">
        <v>45566</v>
      </c>
      <c r="B2351" t="s">
        <v>225</v>
      </c>
      <c r="C2351" t="s">
        <v>110</v>
      </c>
      <c r="D2351" t="s">
        <v>99</v>
      </c>
      <c r="E2351" t="s">
        <v>103</v>
      </c>
      <c r="F2351">
        <v>42200</v>
      </c>
      <c r="G2351" t="s">
        <v>331</v>
      </c>
      <c r="H2351" s="15">
        <v>45292</v>
      </c>
      <c r="I2351">
        <v>42200</v>
      </c>
      <c r="J2351">
        <v>0</v>
      </c>
    </row>
    <row r="2352" spans="1:10" x14ac:dyDescent="0.3">
      <c r="A2352" s="15">
        <v>45566</v>
      </c>
      <c r="B2352" t="s">
        <v>226</v>
      </c>
      <c r="C2352" t="s">
        <v>91</v>
      </c>
      <c r="D2352" t="s">
        <v>82</v>
      </c>
      <c r="E2352" t="s">
        <v>103</v>
      </c>
      <c r="F2352">
        <v>6300</v>
      </c>
      <c r="G2352" t="s">
        <v>331</v>
      </c>
      <c r="H2352" s="15">
        <v>45292</v>
      </c>
      <c r="I2352">
        <v>6300</v>
      </c>
      <c r="J2352">
        <v>0</v>
      </c>
    </row>
    <row r="2353" spans="1:10" x14ac:dyDescent="0.3">
      <c r="A2353" s="15">
        <v>45566</v>
      </c>
      <c r="B2353" t="s">
        <v>227</v>
      </c>
      <c r="C2353" t="s">
        <v>110</v>
      </c>
      <c r="D2353" t="s">
        <v>86</v>
      </c>
      <c r="E2353" t="s">
        <v>87</v>
      </c>
      <c r="F2353">
        <v>25900</v>
      </c>
      <c r="G2353" t="s">
        <v>331</v>
      </c>
      <c r="H2353" s="15">
        <v>45292</v>
      </c>
      <c r="I2353">
        <v>25900</v>
      </c>
      <c r="J2353">
        <v>0</v>
      </c>
    </row>
    <row r="2354" spans="1:10" x14ac:dyDescent="0.3">
      <c r="A2354" s="15">
        <v>45566</v>
      </c>
      <c r="B2354" t="s">
        <v>228</v>
      </c>
      <c r="C2354" t="s">
        <v>91</v>
      </c>
      <c r="D2354" t="s">
        <v>96</v>
      </c>
      <c r="E2354" t="s">
        <v>89</v>
      </c>
      <c r="F2354">
        <v>12000</v>
      </c>
      <c r="G2354" t="s">
        <v>331</v>
      </c>
      <c r="H2354" s="15">
        <v>45292</v>
      </c>
      <c r="I2354">
        <v>12000</v>
      </c>
      <c r="J2354">
        <v>0</v>
      </c>
    </row>
    <row r="2355" spans="1:10" x14ac:dyDescent="0.3">
      <c r="A2355" s="15">
        <v>45566</v>
      </c>
      <c r="B2355" t="s">
        <v>229</v>
      </c>
      <c r="C2355" t="s">
        <v>81</v>
      </c>
      <c r="D2355" t="s">
        <v>82</v>
      </c>
      <c r="E2355" t="s">
        <v>83</v>
      </c>
      <c r="F2355">
        <v>3000</v>
      </c>
      <c r="G2355" t="s">
        <v>331</v>
      </c>
      <c r="H2355" s="15">
        <v>45292</v>
      </c>
      <c r="I2355">
        <v>3000</v>
      </c>
      <c r="J2355">
        <v>0</v>
      </c>
    </row>
    <row r="2356" spans="1:10" x14ac:dyDescent="0.3">
      <c r="A2356" s="15">
        <v>45566</v>
      </c>
      <c r="B2356" t="s">
        <v>230</v>
      </c>
      <c r="C2356" t="s">
        <v>81</v>
      </c>
      <c r="D2356" t="s">
        <v>86</v>
      </c>
      <c r="E2356" t="s">
        <v>101</v>
      </c>
      <c r="F2356">
        <v>3400</v>
      </c>
      <c r="G2356" t="s">
        <v>331</v>
      </c>
      <c r="H2356" s="15">
        <v>45292</v>
      </c>
      <c r="I2356">
        <v>3400</v>
      </c>
      <c r="J2356">
        <v>0</v>
      </c>
    </row>
    <row r="2357" spans="1:10" x14ac:dyDescent="0.3">
      <c r="A2357" s="15">
        <v>45566</v>
      </c>
      <c r="B2357" t="s">
        <v>231</v>
      </c>
      <c r="C2357" t="s">
        <v>91</v>
      </c>
      <c r="D2357" t="s">
        <v>82</v>
      </c>
      <c r="E2357" t="s">
        <v>92</v>
      </c>
      <c r="F2357">
        <v>6900</v>
      </c>
      <c r="G2357" t="s">
        <v>331</v>
      </c>
      <c r="H2357" s="15">
        <v>45292</v>
      </c>
      <c r="I2357">
        <v>6900</v>
      </c>
      <c r="J2357">
        <v>0</v>
      </c>
    </row>
    <row r="2358" spans="1:10" x14ac:dyDescent="0.3">
      <c r="A2358" s="15">
        <v>45566</v>
      </c>
      <c r="B2358" t="s">
        <v>232</v>
      </c>
      <c r="C2358" t="s">
        <v>125</v>
      </c>
      <c r="D2358" t="s">
        <v>86</v>
      </c>
      <c r="E2358" t="s">
        <v>83</v>
      </c>
      <c r="F2358">
        <v>121100</v>
      </c>
      <c r="G2358" t="s">
        <v>331</v>
      </c>
      <c r="H2358" s="15">
        <v>45292</v>
      </c>
      <c r="I2358">
        <v>121100</v>
      </c>
      <c r="J2358">
        <v>0</v>
      </c>
    </row>
    <row r="2359" spans="1:10" x14ac:dyDescent="0.3">
      <c r="A2359" s="15">
        <v>45566</v>
      </c>
      <c r="B2359" t="s">
        <v>233</v>
      </c>
      <c r="C2359" t="s">
        <v>81</v>
      </c>
      <c r="D2359" t="s">
        <v>82</v>
      </c>
      <c r="E2359" t="s">
        <v>87</v>
      </c>
      <c r="F2359">
        <v>3300</v>
      </c>
      <c r="G2359" t="s">
        <v>331</v>
      </c>
      <c r="H2359" s="15">
        <v>45292</v>
      </c>
      <c r="I2359">
        <v>3300</v>
      </c>
      <c r="J2359">
        <v>0</v>
      </c>
    </row>
    <row r="2360" spans="1:10" x14ac:dyDescent="0.3">
      <c r="A2360" s="15">
        <v>45566</v>
      </c>
      <c r="B2360" t="s">
        <v>234</v>
      </c>
      <c r="C2360" t="s">
        <v>110</v>
      </c>
      <c r="D2360" t="s">
        <v>82</v>
      </c>
      <c r="E2360" t="s">
        <v>103</v>
      </c>
      <c r="F2360">
        <v>41200</v>
      </c>
      <c r="G2360" t="s">
        <v>331</v>
      </c>
      <c r="H2360" s="15">
        <v>45292</v>
      </c>
      <c r="I2360">
        <v>41200</v>
      </c>
      <c r="J2360">
        <v>0</v>
      </c>
    </row>
    <row r="2361" spans="1:10" x14ac:dyDescent="0.3">
      <c r="A2361" s="15">
        <v>45566</v>
      </c>
      <c r="B2361" t="s">
        <v>235</v>
      </c>
      <c r="C2361" t="s">
        <v>91</v>
      </c>
      <c r="D2361" t="s">
        <v>96</v>
      </c>
      <c r="E2361" t="s">
        <v>103</v>
      </c>
      <c r="F2361">
        <v>10500</v>
      </c>
      <c r="G2361" t="s">
        <v>331</v>
      </c>
      <c r="H2361" s="15">
        <v>45292</v>
      </c>
      <c r="I2361">
        <v>10500</v>
      </c>
      <c r="J2361">
        <v>0</v>
      </c>
    </row>
    <row r="2362" spans="1:10" x14ac:dyDescent="0.3">
      <c r="A2362" s="15">
        <v>45566</v>
      </c>
      <c r="B2362" t="s">
        <v>236</v>
      </c>
      <c r="C2362" t="s">
        <v>110</v>
      </c>
      <c r="D2362" t="s">
        <v>82</v>
      </c>
      <c r="E2362" t="s">
        <v>97</v>
      </c>
      <c r="F2362">
        <v>27200</v>
      </c>
      <c r="G2362" t="s">
        <v>331</v>
      </c>
      <c r="H2362" s="15">
        <v>45292</v>
      </c>
      <c r="I2362">
        <v>27200</v>
      </c>
      <c r="J2362">
        <v>0</v>
      </c>
    </row>
    <row r="2363" spans="1:10" x14ac:dyDescent="0.3">
      <c r="A2363" s="15">
        <v>45566</v>
      </c>
      <c r="B2363" t="s">
        <v>237</v>
      </c>
      <c r="C2363" t="s">
        <v>91</v>
      </c>
      <c r="D2363" t="s">
        <v>82</v>
      </c>
      <c r="E2363" t="s">
        <v>83</v>
      </c>
      <c r="F2363">
        <v>8100</v>
      </c>
      <c r="G2363" t="s">
        <v>331</v>
      </c>
      <c r="H2363" s="15">
        <v>45292</v>
      </c>
      <c r="I2363">
        <v>8100</v>
      </c>
      <c r="J2363">
        <v>0</v>
      </c>
    </row>
    <row r="2364" spans="1:10" x14ac:dyDescent="0.3">
      <c r="A2364" s="15">
        <v>45566</v>
      </c>
      <c r="B2364" t="s">
        <v>238</v>
      </c>
      <c r="C2364" t="s">
        <v>81</v>
      </c>
      <c r="D2364" t="s">
        <v>99</v>
      </c>
      <c r="E2364" t="s">
        <v>97</v>
      </c>
      <c r="F2364">
        <v>2600</v>
      </c>
      <c r="G2364" t="s">
        <v>331</v>
      </c>
      <c r="H2364" s="15">
        <v>45292</v>
      </c>
      <c r="I2364">
        <v>2600</v>
      </c>
      <c r="J2364">
        <v>0</v>
      </c>
    </row>
    <row r="2365" spans="1:10" x14ac:dyDescent="0.3">
      <c r="A2365" s="15">
        <v>45566</v>
      </c>
      <c r="B2365" t="s">
        <v>239</v>
      </c>
      <c r="C2365" t="s">
        <v>81</v>
      </c>
      <c r="D2365" t="s">
        <v>82</v>
      </c>
      <c r="E2365" t="s">
        <v>103</v>
      </c>
      <c r="F2365">
        <v>2500</v>
      </c>
      <c r="G2365" t="s">
        <v>331</v>
      </c>
      <c r="H2365" s="15">
        <v>45292</v>
      </c>
      <c r="I2365">
        <v>2500</v>
      </c>
      <c r="J2365">
        <v>0</v>
      </c>
    </row>
    <row r="2366" spans="1:10" x14ac:dyDescent="0.3">
      <c r="A2366" s="15">
        <v>45566</v>
      </c>
      <c r="B2366" t="s">
        <v>240</v>
      </c>
      <c r="C2366" t="s">
        <v>81</v>
      </c>
      <c r="D2366" t="s">
        <v>99</v>
      </c>
      <c r="E2366" t="s">
        <v>103</v>
      </c>
      <c r="F2366">
        <v>3000</v>
      </c>
      <c r="G2366" t="s">
        <v>331</v>
      </c>
      <c r="H2366" s="15">
        <v>45292</v>
      </c>
      <c r="I2366">
        <v>3000</v>
      </c>
      <c r="J2366">
        <v>0</v>
      </c>
    </row>
    <row r="2367" spans="1:10" x14ac:dyDescent="0.3">
      <c r="A2367" s="15">
        <v>45566</v>
      </c>
      <c r="B2367" t="s">
        <v>241</v>
      </c>
      <c r="C2367" t="s">
        <v>91</v>
      </c>
      <c r="D2367" t="s">
        <v>96</v>
      </c>
      <c r="E2367" t="s">
        <v>87</v>
      </c>
      <c r="F2367">
        <v>12100</v>
      </c>
      <c r="G2367" t="s">
        <v>331</v>
      </c>
      <c r="H2367" s="15">
        <v>45292</v>
      </c>
      <c r="I2367">
        <v>12100</v>
      </c>
      <c r="J2367">
        <v>0</v>
      </c>
    </row>
    <row r="2368" spans="1:10" x14ac:dyDescent="0.3">
      <c r="A2368" s="15">
        <v>45566</v>
      </c>
      <c r="B2368" t="s">
        <v>242</v>
      </c>
      <c r="C2368" t="s">
        <v>110</v>
      </c>
      <c r="D2368" t="s">
        <v>99</v>
      </c>
      <c r="E2368" t="s">
        <v>101</v>
      </c>
      <c r="F2368">
        <v>34800</v>
      </c>
      <c r="G2368" t="s">
        <v>331</v>
      </c>
      <c r="H2368" s="15">
        <v>45292</v>
      </c>
      <c r="I2368">
        <v>34800</v>
      </c>
      <c r="J2368">
        <v>0</v>
      </c>
    </row>
    <row r="2369" spans="1:10" x14ac:dyDescent="0.3">
      <c r="A2369" s="15">
        <v>45566</v>
      </c>
      <c r="B2369" t="s">
        <v>244</v>
      </c>
      <c r="C2369" t="s">
        <v>91</v>
      </c>
      <c r="D2369" t="s">
        <v>82</v>
      </c>
      <c r="E2369" t="s">
        <v>92</v>
      </c>
      <c r="F2369">
        <v>7800</v>
      </c>
      <c r="G2369" t="s">
        <v>331</v>
      </c>
      <c r="H2369" s="15">
        <v>45292</v>
      </c>
      <c r="I2369">
        <v>7800</v>
      </c>
      <c r="J2369">
        <v>0</v>
      </c>
    </row>
    <row r="2370" spans="1:10" x14ac:dyDescent="0.3">
      <c r="A2370" s="15">
        <v>45566</v>
      </c>
      <c r="B2370" t="s">
        <v>245</v>
      </c>
      <c r="C2370" t="s">
        <v>81</v>
      </c>
      <c r="D2370" t="s">
        <v>99</v>
      </c>
      <c r="E2370" t="s">
        <v>97</v>
      </c>
      <c r="F2370">
        <v>2600</v>
      </c>
      <c r="G2370" t="s">
        <v>331</v>
      </c>
      <c r="H2370" s="15">
        <v>45292</v>
      </c>
      <c r="I2370">
        <v>2600</v>
      </c>
      <c r="J2370">
        <v>0</v>
      </c>
    </row>
    <row r="2371" spans="1:10" x14ac:dyDescent="0.3">
      <c r="A2371" s="15">
        <v>45566</v>
      </c>
      <c r="B2371" t="s">
        <v>246</v>
      </c>
      <c r="C2371" t="s">
        <v>91</v>
      </c>
      <c r="D2371" t="s">
        <v>86</v>
      </c>
      <c r="E2371" t="s">
        <v>103</v>
      </c>
      <c r="F2371">
        <v>10100</v>
      </c>
      <c r="G2371" t="s">
        <v>331</v>
      </c>
      <c r="H2371" s="15">
        <v>45292</v>
      </c>
      <c r="I2371">
        <v>10100</v>
      </c>
      <c r="J2371">
        <v>0</v>
      </c>
    </row>
    <row r="2372" spans="1:10" x14ac:dyDescent="0.3">
      <c r="A2372" s="15">
        <v>45566</v>
      </c>
      <c r="B2372" t="s">
        <v>247</v>
      </c>
      <c r="C2372" t="s">
        <v>91</v>
      </c>
      <c r="D2372" t="s">
        <v>86</v>
      </c>
      <c r="E2372" t="s">
        <v>89</v>
      </c>
      <c r="F2372">
        <v>9100</v>
      </c>
      <c r="G2372" t="s">
        <v>331</v>
      </c>
      <c r="H2372" s="15">
        <v>45292</v>
      </c>
      <c r="I2372">
        <v>9100</v>
      </c>
      <c r="J2372">
        <v>0</v>
      </c>
    </row>
    <row r="2373" spans="1:10" x14ac:dyDescent="0.3">
      <c r="A2373" s="15">
        <v>45566</v>
      </c>
      <c r="B2373" t="s">
        <v>248</v>
      </c>
      <c r="C2373" t="s">
        <v>81</v>
      </c>
      <c r="D2373" t="s">
        <v>82</v>
      </c>
      <c r="E2373" t="s">
        <v>103</v>
      </c>
      <c r="F2373">
        <v>2100</v>
      </c>
      <c r="G2373" t="s">
        <v>331</v>
      </c>
      <c r="H2373" s="15">
        <v>45292</v>
      </c>
      <c r="I2373">
        <v>2100</v>
      </c>
      <c r="J2373">
        <v>0</v>
      </c>
    </row>
    <row r="2374" spans="1:10" x14ac:dyDescent="0.3">
      <c r="A2374" s="15">
        <v>45566</v>
      </c>
      <c r="B2374" t="s">
        <v>250</v>
      </c>
      <c r="C2374" t="s">
        <v>81</v>
      </c>
      <c r="D2374" t="s">
        <v>86</v>
      </c>
      <c r="E2374" t="s">
        <v>87</v>
      </c>
      <c r="F2374">
        <v>3300</v>
      </c>
      <c r="G2374" t="s">
        <v>331</v>
      </c>
      <c r="H2374" s="15">
        <v>45292</v>
      </c>
      <c r="I2374">
        <v>3300</v>
      </c>
      <c r="J2374">
        <v>0</v>
      </c>
    </row>
    <row r="2375" spans="1:10" x14ac:dyDescent="0.3">
      <c r="A2375" s="15">
        <v>45566</v>
      </c>
      <c r="B2375" t="s">
        <v>251</v>
      </c>
      <c r="C2375" t="s">
        <v>91</v>
      </c>
      <c r="D2375" t="s">
        <v>99</v>
      </c>
      <c r="E2375" t="s">
        <v>103</v>
      </c>
      <c r="F2375">
        <v>7700</v>
      </c>
      <c r="G2375" t="s">
        <v>331</v>
      </c>
      <c r="H2375" s="15">
        <v>45292</v>
      </c>
      <c r="I2375">
        <v>7700</v>
      </c>
      <c r="J2375">
        <v>0</v>
      </c>
    </row>
    <row r="2376" spans="1:10" x14ac:dyDescent="0.3">
      <c r="A2376" s="15">
        <v>45566</v>
      </c>
      <c r="B2376" t="s">
        <v>252</v>
      </c>
      <c r="C2376" t="s">
        <v>81</v>
      </c>
      <c r="D2376" t="s">
        <v>99</v>
      </c>
      <c r="E2376" t="s">
        <v>92</v>
      </c>
      <c r="F2376">
        <v>3400</v>
      </c>
      <c r="G2376" t="s">
        <v>331</v>
      </c>
      <c r="H2376" s="15">
        <v>45292</v>
      </c>
      <c r="I2376">
        <v>3400</v>
      </c>
      <c r="J2376">
        <v>0</v>
      </c>
    </row>
    <row r="2377" spans="1:10" x14ac:dyDescent="0.3">
      <c r="A2377" s="15">
        <v>45566</v>
      </c>
      <c r="B2377" t="s">
        <v>253</v>
      </c>
      <c r="C2377" t="s">
        <v>81</v>
      </c>
      <c r="D2377" t="s">
        <v>96</v>
      </c>
      <c r="E2377" t="s">
        <v>89</v>
      </c>
      <c r="F2377">
        <v>2400</v>
      </c>
      <c r="G2377" t="s">
        <v>331</v>
      </c>
      <c r="H2377" s="15">
        <v>45292</v>
      </c>
      <c r="I2377">
        <v>2400</v>
      </c>
      <c r="J2377">
        <v>0</v>
      </c>
    </row>
    <row r="2378" spans="1:10" x14ac:dyDescent="0.3">
      <c r="A2378" s="15">
        <v>45566</v>
      </c>
      <c r="B2378" t="s">
        <v>254</v>
      </c>
      <c r="C2378" t="s">
        <v>110</v>
      </c>
      <c r="D2378" t="s">
        <v>86</v>
      </c>
      <c r="E2378" t="s">
        <v>103</v>
      </c>
      <c r="F2378">
        <v>56100</v>
      </c>
      <c r="G2378" t="s">
        <v>331</v>
      </c>
      <c r="H2378" s="15">
        <v>45292</v>
      </c>
      <c r="I2378">
        <v>56100</v>
      </c>
      <c r="J2378">
        <v>0</v>
      </c>
    </row>
    <row r="2379" spans="1:10" x14ac:dyDescent="0.3">
      <c r="A2379" s="15">
        <v>45566</v>
      </c>
      <c r="B2379" t="s">
        <v>255</v>
      </c>
      <c r="C2379" t="s">
        <v>91</v>
      </c>
      <c r="D2379" t="s">
        <v>86</v>
      </c>
      <c r="E2379" t="s">
        <v>89</v>
      </c>
      <c r="F2379">
        <v>9900</v>
      </c>
      <c r="G2379" t="s">
        <v>331</v>
      </c>
      <c r="H2379" s="15">
        <v>45292</v>
      </c>
      <c r="I2379">
        <v>9900</v>
      </c>
      <c r="J2379">
        <v>0</v>
      </c>
    </row>
    <row r="2380" spans="1:10" x14ac:dyDescent="0.3">
      <c r="A2380" s="15">
        <v>45566</v>
      </c>
      <c r="B2380" t="s">
        <v>256</v>
      </c>
      <c r="C2380" t="s">
        <v>81</v>
      </c>
      <c r="D2380" t="s">
        <v>82</v>
      </c>
      <c r="E2380" t="s">
        <v>103</v>
      </c>
      <c r="F2380">
        <v>2600</v>
      </c>
      <c r="G2380" t="s">
        <v>331</v>
      </c>
      <c r="H2380" s="15">
        <v>45292</v>
      </c>
      <c r="I2380">
        <v>2600</v>
      </c>
      <c r="J2380">
        <v>0</v>
      </c>
    </row>
    <row r="2381" spans="1:10" x14ac:dyDescent="0.3">
      <c r="A2381" s="15">
        <v>45566</v>
      </c>
      <c r="B2381" t="s">
        <v>257</v>
      </c>
      <c r="C2381" t="s">
        <v>91</v>
      </c>
      <c r="D2381" t="s">
        <v>96</v>
      </c>
      <c r="E2381" t="s">
        <v>87</v>
      </c>
      <c r="F2381">
        <v>8400</v>
      </c>
      <c r="G2381" t="s">
        <v>331</v>
      </c>
      <c r="H2381" s="15">
        <v>45292</v>
      </c>
      <c r="I2381">
        <v>8400</v>
      </c>
      <c r="J2381">
        <v>0</v>
      </c>
    </row>
    <row r="2382" spans="1:10" x14ac:dyDescent="0.3">
      <c r="A2382" s="15">
        <v>45566</v>
      </c>
      <c r="B2382" t="s">
        <v>258</v>
      </c>
      <c r="C2382" t="s">
        <v>125</v>
      </c>
      <c r="D2382" t="s">
        <v>86</v>
      </c>
      <c r="E2382" t="s">
        <v>83</v>
      </c>
      <c r="F2382">
        <v>96300</v>
      </c>
      <c r="G2382" t="s">
        <v>331</v>
      </c>
      <c r="H2382" s="15">
        <v>45292</v>
      </c>
      <c r="I2382">
        <v>96300</v>
      </c>
      <c r="J2382">
        <v>0</v>
      </c>
    </row>
    <row r="2383" spans="1:10" x14ac:dyDescent="0.3">
      <c r="A2383" s="15">
        <v>45566</v>
      </c>
      <c r="B2383" t="s">
        <v>259</v>
      </c>
      <c r="C2383" t="s">
        <v>81</v>
      </c>
      <c r="D2383" t="s">
        <v>86</v>
      </c>
      <c r="E2383" t="s">
        <v>89</v>
      </c>
      <c r="F2383">
        <v>1900</v>
      </c>
      <c r="G2383" t="s">
        <v>331</v>
      </c>
      <c r="H2383" s="15">
        <v>45292</v>
      </c>
      <c r="I2383">
        <v>1900</v>
      </c>
      <c r="J2383">
        <v>0</v>
      </c>
    </row>
    <row r="2384" spans="1:10" x14ac:dyDescent="0.3">
      <c r="A2384" s="15">
        <v>45566</v>
      </c>
      <c r="B2384" t="s">
        <v>260</v>
      </c>
      <c r="C2384" t="s">
        <v>81</v>
      </c>
      <c r="D2384" t="s">
        <v>86</v>
      </c>
      <c r="E2384" t="s">
        <v>97</v>
      </c>
      <c r="F2384">
        <v>2300</v>
      </c>
      <c r="G2384" t="s">
        <v>331</v>
      </c>
      <c r="H2384" s="15">
        <v>45292</v>
      </c>
      <c r="I2384">
        <v>2300</v>
      </c>
      <c r="J2384">
        <v>0</v>
      </c>
    </row>
    <row r="2385" spans="1:10" x14ac:dyDescent="0.3">
      <c r="A2385" s="15">
        <v>45566</v>
      </c>
      <c r="B2385" t="s">
        <v>262</v>
      </c>
      <c r="C2385" t="s">
        <v>91</v>
      </c>
      <c r="D2385" t="s">
        <v>82</v>
      </c>
      <c r="E2385" t="s">
        <v>92</v>
      </c>
      <c r="F2385">
        <v>9400</v>
      </c>
      <c r="G2385" t="s">
        <v>331</v>
      </c>
      <c r="H2385" s="15">
        <v>45292</v>
      </c>
      <c r="I2385">
        <v>9400</v>
      </c>
      <c r="J2385">
        <v>0</v>
      </c>
    </row>
    <row r="2386" spans="1:10" x14ac:dyDescent="0.3">
      <c r="A2386" s="15">
        <v>45566</v>
      </c>
      <c r="B2386" t="s">
        <v>263</v>
      </c>
      <c r="C2386" t="s">
        <v>81</v>
      </c>
      <c r="D2386" t="s">
        <v>99</v>
      </c>
      <c r="E2386" t="s">
        <v>89</v>
      </c>
      <c r="F2386">
        <v>3200</v>
      </c>
      <c r="G2386" t="s">
        <v>331</v>
      </c>
      <c r="H2386" s="15">
        <v>45292</v>
      </c>
      <c r="I2386">
        <v>3200</v>
      </c>
      <c r="J2386">
        <v>0</v>
      </c>
    </row>
    <row r="2387" spans="1:10" x14ac:dyDescent="0.3">
      <c r="A2387" s="15">
        <v>45566</v>
      </c>
      <c r="B2387" t="s">
        <v>264</v>
      </c>
      <c r="C2387" t="s">
        <v>110</v>
      </c>
      <c r="D2387" t="s">
        <v>86</v>
      </c>
      <c r="E2387" t="s">
        <v>97</v>
      </c>
      <c r="F2387">
        <v>31500</v>
      </c>
      <c r="G2387" t="s">
        <v>331</v>
      </c>
      <c r="H2387" s="15">
        <v>45292</v>
      </c>
      <c r="I2387">
        <v>31500</v>
      </c>
      <c r="J2387">
        <v>0</v>
      </c>
    </row>
    <row r="2388" spans="1:10" x14ac:dyDescent="0.3">
      <c r="A2388" s="15">
        <v>45566</v>
      </c>
      <c r="B2388" t="s">
        <v>265</v>
      </c>
      <c r="C2388" t="s">
        <v>125</v>
      </c>
      <c r="D2388" t="s">
        <v>86</v>
      </c>
      <c r="E2388" t="s">
        <v>101</v>
      </c>
      <c r="F2388">
        <v>92200</v>
      </c>
      <c r="G2388" t="s">
        <v>331</v>
      </c>
      <c r="H2388" s="15">
        <v>45292</v>
      </c>
      <c r="I2388">
        <v>92200</v>
      </c>
      <c r="J2388">
        <v>0</v>
      </c>
    </row>
    <row r="2389" spans="1:10" x14ac:dyDescent="0.3">
      <c r="A2389" s="15">
        <v>45566</v>
      </c>
      <c r="B2389" t="s">
        <v>266</v>
      </c>
      <c r="C2389" t="s">
        <v>81</v>
      </c>
      <c r="D2389" t="s">
        <v>82</v>
      </c>
      <c r="E2389" t="s">
        <v>83</v>
      </c>
      <c r="F2389">
        <v>2200</v>
      </c>
      <c r="G2389" t="s">
        <v>331</v>
      </c>
      <c r="H2389" s="15">
        <v>45292</v>
      </c>
      <c r="I2389">
        <v>2200</v>
      </c>
      <c r="J2389">
        <v>0</v>
      </c>
    </row>
    <row r="2390" spans="1:10" x14ac:dyDescent="0.3">
      <c r="A2390" s="15">
        <v>45566</v>
      </c>
      <c r="B2390" t="s">
        <v>267</v>
      </c>
      <c r="C2390" t="s">
        <v>91</v>
      </c>
      <c r="D2390" t="s">
        <v>82</v>
      </c>
      <c r="E2390" t="s">
        <v>97</v>
      </c>
      <c r="F2390">
        <v>6900</v>
      </c>
      <c r="G2390" t="s">
        <v>331</v>
      </c>
      <c r="H2390" s="15">
        <v>45292</v>
      </c>
      <c r="I2390">
        <v>6900</v>
      </c>
      <c r="J2390">
        <v>0</v>
      </c>
    </row>
    <row r="2391" spans="1:10" x14ac:dyDescent="0.3">
      <c r="A2391" s="15">
        <v>45566</v>
      </c>
      <c r="B2391" t="s">
        <v>271</v>
      </c>
      <c r="C2391" t="s">
        <v>81</v>
      </c>
      <c r="D2391" t="s">
        <v>82</v>
      </c>
      <c r="E2391" t="s">
        <v>97</v>
      </c>
      <c r="F2391">
        <v>2900</v>
      </c>
      <c r="G2391" t="s">
        <v>331</v>
      </c>
      <c r="H2391" s="15">
        <v>45292</v>
      </c>
      <c r="I2391">
        <v>2900</v>
      </c>
      <c r="J2391">
        <v>0</v>
      </c>
    </row>
    <row r="2392" spans="1:10" x14ac:dyDescent="0.3">
      <c r="A2392" s="15">
        <v>45566</v>
      </c>
      <c r="B2392" t="s">
        <v>272</v>
      </c>
      <c r="C2392" t="s">
        <v>125</v>
      </c>
      <c r="D2392" t="s">
        <v>96</v>
      </c>
      <c r="E2392" t="s">
        <v>103</v>
      </c>
      <c r="F2392">
        <v>101100</v>
      </c>
      <c r="G2392" t="s">
        <v>331</v>
      </c>
      <c r="H2392" s="15">
        <v>45292</v>
      </c>
      <c r="I2392">
        <v>101100</v>
      </c>
      <c r="J2392">
        <v>0</v>
      </c>
    </row>
    <row r="2393" spans="1:10" x14ac:dyDescent="0.3">
      <c r="A2393" s="15">
        <v>45566</v>
      </c>
      <c r="B2393" t="s">
        <v>273</v>
      </c>
      <c r="C2393" t="s">
        <v>81</v>
      </c>
      <c r="D2393" t="s">
        <v>82</v>
      </c>
      <c r="E2393" t="s">
        <v>101</v>
      </c>
      <c r="F2393">
        <v>3300</v>
      </c>
      <c r="G2393" t="s">
        <v>331</v>
      </c>
      <c r="H2393" s="15">
        <v>45292</v>
      </c>
      <c r="I2393">
        <v>3300</v>
      </c>
      <c r="J2393">
        <v>0</v>
      </c>
    </row>
    <row r="2394" spans="1:10" x14ac:dyDescent="0.3">
      <c r="A2394" s="15">
        <v>45566</v>
      </c>
      <c r="B2394" t="s">
        <v>274</v>
      </c>
      <c r="C2394" t="s">
        <v>91</v>
      </c>
      <c r="D2394" t="s">
        <v>99</v>
      </c>
      <c r="E2394" t="s">
        <v>87</v>
      </c>
      <c r="F2394">
        <v>11400</v>
      </c>
      <c r="G2394" t="s">
        <v>331</v>
      </c>
      <c r="H2394" s="15">
        <v>45292</v>
      </c>
      <c r="I2394">
        <v>11400</v>
      </c>
      <c r="J2394">
        <v>0</v>
      </c>
    </row>
    <row r="2395" spans="1:10" x14ac:dyDescent="0.3">
      <c r="A2395" s="15">
        <v>45566</v>
      </c>
      <c r="B2395" t="s">
        <v>276</v>
      </c>
      <c r="C2395" t="s">
        <v>81</v>
      </c>
      <c r="D2395" t="s">
        <v>82</v>
      </c>
      <c r="E2395" t="s">
        <v>103</v>
      </c>
      <c r="F2395">
        <v>3300</v>
      </c>
      <c r="G2395" t="s">
        <v>331</v>
      </c>
      <c r="H2395" s="15">
        <v>45292</v>
      </c>
      <c r="I2395">
        <v>3300</v>
      </c>
      <c r="J2395">
        <v>0</v>
      </c>
    </row>
    <row r="2396" spans="1:10" x14ac:dyDescent="0.3">
      <c r="A2396" s="15">
        <v>45566</v>
      </c>
      <c r="B2396" t="s">
        <v>277</v>
      </c>
      <c r="C2396" t="s">
        <v>91</v>
      </c>
      <c r="D2396" t="s">
        <v>86</v>
      </c>
      <c r="E2396" t="s">
        <v>97</v>
      </c>
      <c r="F2396">
        <v>8000</v>
      </c>
      <c r="G2396" t="s">
        <v>331</v>
      </c>
      <c r="H2396" s="15">
        <v>45292</v>
      </c>
      <c r="I2396">
        <v>8000</v>
      </c>
      <c r="J2396">
        <v>0</v>
      </c>
    </row>
    <row r="2397" spans="1:10" x14ac:dyDescent="0.3">
      <c r="A2397" s="15">
        <v>45566</v>
      </c>
      <c r="B2397" t="s">
        <v>278</v>
      </c>
      <c r="C2397" t="s">
        <v>81</v>
      </c>
      <c r="D2397" t="s">
        <v>82</v>
      </c>
      <c r="E2397" t="s">
        <v>92</v>
      </c>
      <c r="F2397">
        <v>1900</v>
      </c>
      <c r="G2397" t="s">
        <v>331</v>
      </c>
      <c r="H2397" s="15">
        <v>45292</v>
      </c>
      <c r="I2397">
        <v>1900</v>
      </c>
      <c r="J2397">
        <v>0</v>
      </c>
    </row>
    <row r="2398" spans="1:10" x14ac:dyDescent="0.3">
      <c r="A2398" s="15">
        <v>45566</v>
      </c>
      <c r="B2398" t="s">
        <v>279</v>
      </c>
      <c r="C2398" t="s">
        <v>91</v>
      </c>
      <c r="D2398" t="s">
        <v>99</v>
      </c>
      <c r="E2398" t="s">
        <v>89</v>
      </c>
      <c r="F2398">
        <v>9800</v>
      </c>
      <c r="G2398" t="s">
        <v>331</v>
      </c>
      <c r="H2398" s="15">
        <v>45292</v>
      </c>
      <c r="I2398">
        <v>9800</v>
      </c>
      <c r="J2398">
        <v>0</v>
      </c>
    </row>
    <row r="2399" spans="1:10" x14ac:dyDescent="0.3">
      <c r="A2399" s="15">
        <v>45566</v>
      </c>
      <c r="B2399" t="s">
        <v>280</v>
      </c>
      <c r="C2399" t="s">
        <v>91</v>
      </c>
      <c r="D2399" t="s">
        <v>96</v>
      </c>
      <c r="E2399" t="s">
        <v>83</v>
      </c>
      <c r="F2399">
        <v>6300</v>
      </c>
      <c r="G2399" t="s">
        <v>331</v>
      </c>
      <c r="H2399" s="15">
        <v>45292</v>
      </c>
      <c r="I2399">
        <v>6300</v>
      </c>
      <c r="J2399">
        <v>0</v>
      </c>
    </row>
    <row r="2400" spans="1:10" x14ac:dyDescent="0.3">
      <c r="A2400" s="15">
        <v>45566</v>
      </c>
      <c r="B2400" t="s">
        <v>281</v>
      </c>
      <c r="C2400" t="s">
        <v>110</v>
      </c>
      <c r="D2400" t="s">
        <v>86</v>
      </c>
      <c r="E2400" t="s">
        <v>92</v>
      </c>
      <c r="F2400">
        <v>46800</v>
      </c>
      <c r="G2400" t="s">
        <v>331</v>
      </c>
      <c r="H2400" s="15">
        <v>45292</v>
      </c>
      <c r="I2400">
        <v>46800</v>
      </c>
      <c r="J2400">
        <v>0</v>
      </c>
    </row>
    <row r="2401" spans="1:10" x14ac:dyDescent="0.3">
      <c r="A2401" s="15">
        <v>45566</v>
      </c>
      <c r="B2401" t="s">
        <v>282</v>
      </c>
      <c r="C2401" t="s">
        <v>91</v>
      </c>
      <c r="D2401" t="s">
        <v>86</v>
      </c>
      <c r="E2401" t="s">
        <v>92</v>
      </c>
      <c r="F2401">
        <v>7000</v>
      </c>
      <c r="G2401" t="s">
        <v>331</v>
      </c>
      <c r="H2401" s="15">
        <v>45292</v>
      </c>
      <c r="I2401">
        <v>7000</v>
      </c>
      <c r="J2401">
        <v>0</v>
      </c>
    </row>
    <row r="2402" spans="1:10" x14ac:dyDescent="0.3">
      <c r="A2402" s="15">
        <v>45566</v>
      </c>
      <c r="B2402" t="s">
        <v>283</v>
      </c>
      <c r="C2402" t="s">
        <v>110</v>
      </c>
      <c r="D2402" t="s">
        <v>82</v>
      </c>
      <c r="E2402" t="s">
        <v>87</v>
      </c>
      <c r="F2402">
        <v>34200</v>
      </c>
      <c r="G2402" t="s">
        <v>331</v>
      </c>
      <c r="H2402" s="15">
        <v>45292</v>
      </c>
      <c r="I2402">
        <v>34200</v>
      </c>
      <c r="J2402">
        <v>0</v>
      </c>
    </row>
    <row r="2403" spans="1:10" x14ac:dyDescent="0.3">
      <c r="A2403" s="15">
        <v>45566</v>
      </c>
      <c r="B2403" t="s">
        <v>284</v>
      </c>
      <c r="C2403" t="s">
        <v>81</v>
      </c>
      <c r="D2403" t="s">
        <v>82</v>
      </c>
      <c r="E2403" t="s">
        <v>101</v>
      </c>
      <c r="F2403">
        <v>2400</v>
      </c>
      <c r="G2403" t="s">
        <v>331</v>
      </c>
      <c r="H2403" s="15">
        <v>45292</v>
      </c>
      <c r="I2403">
        <v>2400</v>
      </c>
      <c r="J2403">
        <v>0</v>
      </c>
    </row>
    <row r="2404" spans="1:10" x14ac:dyDescent="0.3">
      <c r="A2404" s="15">
        <v>45566</v>
      </c>
      <c r="B2404" t="s">
        <v>285</v>
      </c>
      <c r="C2404" t="s">
        <v>91</v>
      </c>
      <c r="D2404" t="s">
        <v>82</v>
      </c>
      <c r="E2404" t="s">
        <v>83</v>
      </c>
      <c r="F2404">
        <v>10900</v>
      </c>
      <c r="G2404" t="s">
        <v>331</v>
      </c>
      <c r="H2404" s="15">
        <v>45292</v>
      </c>
      <c r="I2404">
        <v>10900</v>
      </c>
      <c r="J2404">
        <v>0</v>
      </c>
    </row>
    <row r="2405" spans="1:10" x14ac:dyDescent="0.3">
      <c r="A2405" s="15">
        <v>45566</v>
      </c>
      <c r="B2405" t="s">
        <v>286</v>
      </c>
      <c r="C2405" t="s">
        <v>125</v>
      </c>
      <c r="D2405" t="s">
        <v>86</v>
      </c>
      <c r="E2405" t="s">
        <v>92</v>
      </c>
      <c r="F2405">
        <v>92400</v>
      </c>
      <c r="G2405" t="s">
        <v>331</v>
      </c>
      <c r="H2405" s="15">
        <v>45292</v>
      </c>
      <c r="I2405">
        <v>92400</v>
      </c>
      <c r="J2405">
        <v>0</v>
      </c>
    </row>
    <row r="2406" spans="1:10" x14ac:dyDescent="0.3">
      <c r="A2406" s="15">
        <v>45566</v>
      </c>
      <c r="B2406" t="s">
        <v>287</v>
      </c>
      <c r="C2406" t="s">
        <v>81</v>
      </c>
      <c r="D2406" t="s">
        <v>99</v>
      </c>
      <c r="E2406" t="s">
        <v>87</v>
      </c>
      <c r="F2406">
        <v>2300</v>
      </c>
      <c r="G2406" t="s">
        <v>331</v>
      </c>
      <c r="H2406" s="15">
        <v>45292</v>
      </c>
      <c r="I2406">
        <v>2300</v>
      </c>
      <c r="J2406">
        <v>0</v>
      </c>
    </row>
    <row r="2407" spans="1:10" x14ac:dyDescent="0.3">
      <c r="A2407" s="15">
        <v>45566</v>
      </c>
      <c r="B2407" t="s">
        <v>288</v>
      </c>
      <c r="C2407" t="s">
        <v>81</v>
      </c>
      <c r="D2407" t="s">
        <v>99</v>
      </c>
      <c r="E2407" t="s">
        <v>97</v>
      </c>
      <c r="F2407">
        <v>2600</v>
      </c>
      <c r="G2407" t="s">
        <v>331</v>
      </c>
      <c r="H2407" s="15">
        <v>45292</v>
      </c>
      <c r="I2407">
        <v>2600</v>
      </c>
      <c r="J2407">
        <v>0</v>
      </c>
    </row>
    <row r="2408" spans="1:10" x14ac:dyDescent="0.3">
      <c r="A2408" s="15">
        <v>45566</v>
      </c>
      <c r="B2408" t="s">
        <v>289</v>
      </c>
      <c r="C2408" t="s">
        <v>91</v>
      </c>
      <c r="D2408" t="s">
        <v>86</v>
      </c>
      <c r="E2408" t="s">
        <v>101</v>
      </c>
      <c r="F2408">
        <v>9400</v>
      </c>
      <c r="G2408" t="s">
        <v>331</v>
      </c>
      <c r="H2408" s="15">
        <v>45292</v>
      </c>
      <c r="I2408">
        <v>9400</v>
      </c>
      <c r="J2408">
        <v>0</v>
      </c>
    </row>
    <row r="2409" spans="1:10" x14ac:dyDescent="0.3">
      <c r="A2409" s="15">
        <v>45566</v>
      </c>
      <c r="B2409" t="s">
        <v>290</v>
      </c>
      <c r="C2409" t="s">
        <v>81</v>
      </c>
      <c r="D2409" t="s">
        <v>82</v>
      </c>
      <c r="E2409" t="s">
        <v>103</v>
      </c>
      <c r="F2409">
        <v>2500</v>
      </c>
      <c r="G2409" t="s">
        <v>331</v>
      </c>
      <c r="H2409" s="15">
        <v>45292</v>
      </c>
      <c r="I2409">
        <v>2500</v>
      </c>
      <c r="J2409">
        <v>0</v>
      </c>
    </row>
    <row r="2410" spans="1:10" x14ac:dyDescent="0.3">
      <c r="A2410" s="15">
        <v>45566</v>
      </c>
      <c r="B2410" t="s">
        <v>291</v>
      </c>
      <c r="C2410" t="s">
        <v>81</v>
      </c>
      <c r="D2410" t="s">
        <v>82</v>
      </c>
      <c r="E2410" t="s">
        <v>83</v>
      </c>
      <c r="F2410">
        <v>3100</v>
      </c>
      <c r="G2410" t="s">
        <v>331</v>
      </c>
      <c r="H2410" s="15">
        <v>45292</v>
      </c>
      <c r="I2410">
        <v>3100</v>
      </c>
      <c r="J2410">
        <v>0</v>
      </c>
    </row>
    <row r="2411" spans="1:10" x14ac:dyDescent="0.3">
      <c r="A2411" s="15">
        <v>45566</v>
      </c>
      <c r="B2411" t="s">
        <v>292</v>
      </c>
      <c r="C2411" t="s">
        <v>91</v>
      </c>
      <c r="D2411" t="s">
        <v>86</v>
      </c>
      <c r="E2411" t="s">
        <v>89</v>
      </c>
      <c r="F2411">
        <v>8600</v>
      </c>
      <c r="G2411" t="s">
        <v>331</v>
      </c>
      <c r="H2411" s="15">
        <v>45292</v>
      </c>
      <c r="I2411">
        <v>8600</v>
      </c>
      <c r="J2411">
        <v>0</v>
      </c>
    </row>
    <row r="2412" spans="1:10" x14ac:dyDescent="0.3">
      <c r="A2412" s="15">
        <v>45566</v>
      </c>
      <c r="B2412" t="s">
        <v>293</v>
      </c>
      <c r="C2412" t="s">
        <v>81</v>
      </c>
      <c r="D2412" t="s">
        <v>86</v>
      </c>
      <c r="E2412" t="s">
        <v>103</v>
      </c>
      <c r="F2412">
        <v>2200</v>
      </c>
      <c r="G2412" t="s">
        <v>331</v>
      </c>
      <c r="H2412" s="15">
        <v>45292</v>
      </c>
      <c r="I2412">
        <v>2200</v>
      </c>
      <c r="J2412">
        <v>0</v>
      </c>
    </row>
    <row r="2413" spans="1:10" x14ac:dyDescent="0.3">
      <c r="A2413" s="15">
        <v>45566</v>
      </c>
      <c r="B2413" t="s">
        <v>294</v>
      </c>
      <c r="C2413" t="s">
        <v>91</v>
      </c>
      <c r="D2413" t="s">
        <v>82</v>
      </c>
      <c r="E2413" t="s">
        <v>97</v>
      </c>
      <c r="F2413">
        <v>10400</v>
      </c>
      <c r="G2413" t="s">
        <v>331</v>
      </c>
      <c r="H2413" s="15">
        <v>45292</v>
      </c>
      <c r="I2413">
        <v>10400</v>
      </c>
      <c r="J2413">
        <v>0</v>
      </c>
    </row>
    <row r="2414" spans="1:10" x14ac:dyDescent="0.3">
      <c r="A2414" s="15">
        <v>45566</v>
      </c>
      <c r="B2414" t="s">
        <v>295</v>
      </c>
      <c r="C2414" t="s">
        <v>81</v>
      </c>
      <c r="D2414" t="s">
        <v>82</v>
      </c>
      <c r="E2414" t="s">
        <v>103</v>
      </c>
      <c r="F2414">
        <v>2300</v>
      </c>
      <c r="G2414" t="s">
        <v>331</v>
      </c>
      <c r="H2414" s="15">
        <v>45292</v>
      </c>
      <c r="I2414">
        <v>2300</v>
      </c>
      <c r="J2414">
        <v>0</v>
      </c>
    </row>
    <row r="2415" spans="1:10" x14ac:dyDescent="0.3">
      <c r="A2415" s="15">
        <v>45566</v>
      </c>
      <c r="B2415" t="s">
        <v>297</v>
      </c>
      <c r="C2415" t="s">
        <v>91</v>
      </c>
      <c r="D2415" t="s">
        <v>86</v>
      </c>
      <c r="E2415" t="s">
        <v>103</v>
      </c>
      <c r="F2415">
        <v>9100</v>
      </c>
      <c r="G2415" t="s">
        <v>331</v>
      </c>
      <c r="H2415" s="15">
        <v>45292</v>
      </c>
      <c r="I2415">
        <v>9100</v>
      </c>
      <c r="J2415">
        <v>0</v>
      </c>
    </row>
    <row r="2416" spans="1:10" x14ac:dyDescent="0.3">
      <c r="A2416" s="15">
        <v>45566</v>
      </c>
      <c r="B2416" t="s">
        <v>298</v>
      </c>
      <c r="C2416" t="s">
        <v>81</v>
      </c>
      <c r="D2416" t="s">
        <v>86</v>
      </c>
      <c r="E2416" t="s">
        <v>89</v>
      </c>
      <c r="F2416">
        <v>2700</v>
      </c>
      <c r="G2416" t="s">
        <v>331</v>
      </c>
      <c r="H2416" s="15">
        <v>45292</v>
      </c>
      <c r="I2416">
        <v>2700</v>
      </c>
      <c r="J2416">
        <v>0</v>
      </c>
    </row>
    <row r="2417" spans="1:10" x14ac:dyDescent="0.3">
      <c r="A2417" s="15">
        <v>45566</v>
      </c>
      <c r="B2417" t="s">
        <v>299</v>
      </c>
      <c r="C2417" t="s">
        <v>81</v>
      </c>
      <c r="D2417" t="s">
        <v>99</v>
      </c>
      <c r="E2417" t="s">
        <v>103</v>
      </c>
      <c r="F2417">
        <v>2900</v>
      </c>
      <c r="G2417" t="s">
        <v>331</v>
      </c>
      <c r="H2417" s="15">
        <v>45292</v>
      </c>
      <c r="I2417">
        <v>2900</v>
      </c>
      <c r="J2417">
        <v>0</v>
      </c>
    </row>
    <row r="2418" spans="1:10" x14ac:dyDescent="0.3">
      <c r="A2418" s="15">
        <v>45566</v>
      </c>
      <c r="B2418" t="s">
        <v>300</v>
      </c>
      <c r="C2418" t="s">
        <v>91</v>
      </c>
      <c r="D2418" t="s">
        <v>82</v>
      </c>
      <c r="E2418" t="s">
        <v>89</v>
      </c>
      <c r="F2418">
        <v>10900</v>
      </c>
      <c r="G2418" t="s">
        <v>331</v>
      </c>
      <c r="H2418" s="15">
        <v>45292</v>
      </c>
      <c r="I2418">
        <v>10900</v>
      </c>
      <c r="J2418">
        <v>0</v>
      </c>
    </row>
    <row r="2419" spans="1:10" x14ac:dyDescent="0.3">
      <c r="A2419" s="15">
        <v>45566</v>
      </c>
      <c r="B2419" t="s">
        <v>303</v>
      </c>
      <c r="C2419" t="s">
        <v>81</v>
      </c>
      <c r="D2419" t="s">
        <v>82</v>
      </c>
      <c r="E2419" t="s">
        <v>83</v>
      </c>
      <c r="F2419">
        <v>1500</v>
      </c>
      <c r="G2419" t="s">
        <v>331</v>
      </c>
      <c r="H2419" s="15">
        <v>45292</v>
      </c>
      <c r="I2419">
        <v>1500</v>
      </c>
      <c r="J2419">
        <v>0</v>
      </c>
    </row>
    <row r="2420" spans="1:10" x14ac:dyDescent="0.3">
      <c r="A2420" s="15">
        <v>45566</v>
      </c>
      <c r="B2420" t="s">
        <v>304</v>
      </c>
      <c r="C2420" t="s">
        <v>81</v>
      </c>
      <c r="D2420" t="s">
        <v>86</v>
      </c>
      <c r="E2420" t="s">
        <v>92</v>
      </c>
      <c r="F2420">
        <v>2100</v>
      </c>
      <c r="G2420" t="s">
        <v>331</v>
      </c>
      <c r="H2420" s="15">
        <v>45292</v>
      </c>
      <c r="I2420">
        <v>2100</v>
      </c>
      <c r="J2420">
        <v>0</v>
      </c>
    </row>
    <row r="2421" spans="1:10" x14ac:dyDescent="0.3">
      <c r="A2421" s="15">
        <v>45566</v>
      </c>
      <c r="B2421" t="s">
        <v>306</v>
      </c>
      <c r="C2421" t="s">
        <v>91</v>
      </c>
      <c r="D2421" t="s">
        <v>82</v>
      </c>
      <c r="E2421" t="s">
        <v>87</v>
      </c>
      <c r="F2421">
        <v>11700</v>
      </c>
      <c r="G2421" t="s">
        <v>331</v>
      </c>
      <c r="H2421" s="15">
        <v>45292</v>
      </c>
      <c r="I2421">
        <v>11700</v>
      </c>
      <c r="J2421">
        <v>0</v>
      </c>
    </row>
    <row r="2422" spans="1:10" x14ac:dyDescent="0.3">
      <c r="A2422" s="15">
        <v>45566</v>
      </c>
      <c r="B2422" t="s">
        <v>307</v>
      </c>
      <c r="C2422" t="s">
        <v>81</v>
      </c>
      <c r="D2422" t="s">
        <v>86</v>
      </c>
      <c r="E2422" t="s">
        <v>97</v>
      </c>
      <c r="F2422">
        <v>2600</v>
      </c>
      <c r="G2422" t="s">
        <v>331</v>
      </c>
      <c r="H2422" s="15">
        <v>45292</v>
      </c>
      <c r="I2422">
        <v>2600</v>
      </c>
      <c r="J2422">
        <v>0</v>
      </c>
    </row>
    <row r="2423" spans="1:10" x14ac:dyDescent="0.3">
      <c r="A2423" s="15">
        <v>45566</v>
      </c>
      <c r="B2423" t="s">
        <v>308</v>
      </c>
      <c r="C2423" t="s">
        <v>91</v>
      </c>
      <c r="D2423" t="s">
        <v>86</v>
      </c>
      <c r="E2423" t="s">
        <v>92</v>
      </c>
      <c r="F2423">
        <v>8000</v>
      </c>
      <c r="G2423" t="s">
        <v>331</v>
      </c>
      <c r="H2423" s="15">
        <v>45292</v>
      </c>
      <c r="I2423">
        <v>8000</v>
      </c>
      <c r="J2423">
        <v>0</v>
      </c>
    </row>
    <row r="2424" spans="1:10" x14ac:dyDescent="0.3">
      <c r="A2424" s="15">
        <v>45566</v>
      </c>
      <c r="B2424" t="s">
        <v>309</v>
      </c>
      <c r="C2424" t="s">
        <v>91</v>
      </c>
      <c r="D2424" t="s">
        <v>82</v>
      </c>
      <c r="E2424" t="s">
        <v>87</v>
      </c>
      <c r="F2424">
        <v>9700</v>
      </c>
      <c r="G2424" t="s">
        <v>331</v>
      </c>
      <c r="H2424" s="15">
        <v>45292</v>
      </c>
      <c r="I2424">
        <v>9700</v>
      </c>
      <c r="J2424">
        <v>0</v>
      </c>
    </row>
    <row r="2425" spans="1:10" x14ac:dyDescent="0.3">
      <c r="A2425" s="15">
        <v>45566</v>
      </c>
      <c r="B2425" t="s">
        <v>310</v>
      </c>
      <c r="C2425" t="s">
        <v>91</v>
      </c>
      <c r="D2425" t="s">
        <v>99</v>
      </c>
      <c r="E2425" t="s">
        <v>87</v>
      </c>
      <c r="F2425">
        <v>10000</v>
      </c>
      <c r="G2425" t="s">
        <v>331</v>
      </c>
      <c r="H2425" s="15">
        <v>45292</v>
      </c>
      <c r="I2425">
        <v>10000</v>
      </c>
      <c r="J2425">
        <v>0</v>
      </c>
    </row>
    <row r="2426" spans="1:10" x14ac:dyDescent="0.3">
      <c r="A2426" s="15">
        <v>45566</v>
      </c>
      <c r="B2426" t="s">
        <v>313</v>
      </c>
      <c r="C2426" t="s">
        <v>91</v>
      </c>
      <c r="D2426" t="s">
        <v>82</v>
      </c>
      <c r="E2426" t="s">
        <v>101</v>
      </c>
      <c r="F2426">
        <v>12700</v>
      </c>
      <c r="G2426" t="s">
        <v>331</v>
      </c>
      <c r="H2426" s="15">
        <v>45292</v>
      </c>
      <c r="I2426">
        <v>12700</v>
      </c>
      <c r="J2426">
        <v>0</v>
      </c>
    </row>
    <row r="2427" spans="1:10" x14ac:dyDescent="0.3">
      <c r="A2427" s="15">
        <v>45566</v>
      </c>
      <c r="B2427" t="s">
        <v>314</v>
      </c>
      <c r="C2427" t="s">
        <v>91</v>
      </c>
      <c r="D2427" t="s">
        <v>82</v>
      </c>
      <c r="E2427" t="s">
        <v>103</v>
      </c>
      <c r="F2427">
        <v>10100</v>
      </c>
      <c r="G2427" t="s">
        <v>331</v>
      </c>
      <c r="H2427" s="15">
        <v>45292</v>
      </c>
      <c r="I2427">
        <v>10100</v>
      </c>
      <c r="J2427">
        <v>0</v>
      </c>
    </row>
    <row r="2428" spans="1:10" x14ac:dyDescent="0.3">
      <c r="A2428" s="15">
        <v>45566</v>
      </c>
      <c r="B2428" t="s">
        <v>315</v>
      </c>
      <c r="C2428" t="s">
        <v>125</v>
      </c>
      <c r="D2428" t="s">
        <v>86</v>
      </c>
      <c r="E2428" t="s">
        <v>92</v>
      </c>
      <c r="F2428">
        <v>76200</v>
      </c>
      <c r="G2428" t="s">
        <v>331</v>
      </c>
      <c r="H2428" s="15">
        <v>45292</v>
      </c>
      <c r="I2428">
        <v>76200</v>
      </c>
      <c r="J2428">
        <v>0</v>
      </c>
    </row>
    <row r="2429" spans="1:10" x14ac:dyDescent="0.3">
      <c r="A2429" s="15">
        <v>45566</v>
      </c>
      <c r="B2429" t="s">
        <v>316</v>
      </c>
      <c r="C2429" t="s">
        <v>81</v>
      </c>
      <c r="D2429" t="s">
        <v>96</v>
      </c>
      <c r="E2429" t="s">
        <v>92</v>
      </c>
      <c r="F2429">
        <v>1800</v>
      </c>
      <c r="G2429" t="s">
        <v>331</v>
      </c>
      <c r="H2429" s="15">
        <v>45292</v>
      </c>
      <c r="I2429">
        <v>1800</v>
      </c>
      <c r="J2429">
        <v>0</v>
      </c>
    </row>
    <row r="2430" spans="1:10" x14ac:dyDescent="0.3">
      <c r="A2430" s="15">
        <v>45566</v>
      </c>
      <c r="B2430" t="s">
        <v>317</v>
      </c>
      <c r="C2430" t="s">
        <v>125</v>
      </c>
      <c r="D2430" t="s">
        <v>82</v>
      </c>
      <c r="E2430" t="s">
        <v>92</v>
      </c>
      <c r="F2430">
        <v>0</v>
      </c>
      <c r="G2430" t="s">
        <v>333</v>
      </c>
      <c r="H2430" s="15">
        <v>45292</v>
      </c>
      <c r="I2430">
        <v>73500</v>
      </c>
      <c r="J2430">
        <v>-73500</v>
      </c>
    </row>
    <row r="2431" spans="1:10" x14ac:dyDescent="0.3">
      <c r="A2431" s="15">
        <v>45566</v>
      </c>
      <c r="B2431" t="s">
        <v>318</v>
      </c>
      <c r="C2431" t="s">
        <v>110</v>
      </c>
      <c r="D2431" t="s">
        <v>82</v>
      </c>
      <c r="E2431" t="s">
        <v>97</v>
      </c>
      <c r="F2431">
        <v>29600</v>
      </c>
      <c r="G2431" t="s">
        <v>331</v>
      </c>
      <c r="H2431" s="15">
        <v>45292</v>
      </c>
      <c r="I2431">
        <v>29600</v>
      </c>
      <c r="J2431">
        <v>0</v>
      </c>
    </row>
    <row r="2432" spans="1:10" x14ac:dyDescent="0.3">
      <c r="A2432" s="15">
        <v>45566</v>
      </c>
      <c r="B2432" t="s">
        <v>320</v>
      </c>
      <c r="C2432" t="s">
        <v>91</v>
      </c>
      <c r="D2432" t="s">
        <v>86</v>
      </c>
      <c r="E2432" t="s">
        <v>97</v>
      </c>
      <c r="F2432">
        <v>7700</v>
      </c>
      <c r="G2432" t="s">
        <v>331</v>
      </c>
      <c r="H2432" s="15">
        <v>45292</v>
      </c>
      <c r="I2432">
        <v>7700</v>
      </c>
      <c r="J2432">
        <v>0</v>
      </c>
    </row>
    <row r="2433" spans="1:10" x14ac:dyDescent="0.3">
      <c r="A2433" s="15">
        <v>45566</v>
      </c>
      <c r="B2433" t="s">
        <v>321</v>
      </c>
      <c r="C2433" t="s">
        <v>81</v>
      </c>
      <c r="D2433" t="s">
        <v>99</v>
      </c>
      <c r="E2433" t="s">
        <v>101</v>
      </c>
      <c r="F2433">
        <v>3300</v>
      </c>
      <c r="G2433" t="s">
        <v>331</v>
      </c>
      <c r="H2433" s="15">
        <v>45292</v>
      </c>
      <c r="I2433">
        <v>3300</v>
      </c>
      <c r="J2433">
        <v>0</v>
      </c>
    </row>
    <row r="2434" spans="1:10" x14ac:dyDescent="0.3">
      <c r="A2434" s="15">
        <v>45566</v>
      </c>
      <c r="B2434" t="s">
        <v>322</v>
      </c>
      <c r="C2434" t="s">
        <v>81</v>
      </c>
      <c r="D2434" t="s">
        <v>82</v>
      </c>
      <c r="E2434" t="s">
        <v>103</v>
      </c>
      <c r="F2434">
        <v>2000</v>
      </c>
      <c r="G2434" t="s">
        <v>331</v>
      </c>
      <c r="H2434" s="15">
        <v>45292</v>
      </c>
      <c r="I2434">
        <v>2000</v>
      </c>
      <c r="J2434">
        <v>0</v>
      </c>
    </row>
    <row r="2435" spans="1:10" x14ac:dyDescent="0.3">
      <c r="A2435" s="15">
        <v>45566</v>
      </c>
      <c r="B2435" t="s">
        <v>323</v>
      </c>
      <c r="C2435" t="s">
        <v>110</v>
      </c>
      <c r="D2435" t="s">
        <v>82</v>
      </c>
      <c r="E2435" t="s">
        <v>89</v>
      </c>
      <c r="F2435">
        <v>23400</v>
      </c>
      <c r="G2435" t="s">
        <v>331</v>
      </c>
      <c r="H2435" s="15">
        <v>45292</v>
      </c>
      <c r="I2435">
        <v>23400</v>
      </c>
      <c r="J2435">
        <v>0</v>
      </c>
    </row>
    <row r="2436" spans="1:10" x14ac:dyDescent="0.3">
      <c r="A2436" s="15">
        <v>45566</v>
      </c>
      <c r="B2436" t="s">
        <v>324</v>
      </c>
      <c r="C2436" t="s">
        <v>81</v>
      </c>
      <c r="D2436" t="s">
        <v>86</v>
      </c>
      <c r="E2436" t="s">
        <v>87</v>
      </c>
      <c r="F2436">
        <v>2700</v>
      </c>
      <c r="G2436" t="s">
        <v>331</v>
      </c>
      <c r="H2436" s="15">
        <v>45292</v>
      </c>
      <c r="I2436">
        <v>2700</v>
      </c>
      <c r="J2436">
        <v>0</v>
      </c>
    </row>
    <row r="2437" spans="1:10" x14ac:dyDescent="0.3">
      <c r="A2437" s="15">
        <v>45566</v>
      </c>
      <c r="B2437" t="s">
        <v>325</v>
      </c>
      <c r="C2437" t="s">
        <v>91</v>
      </c>
      <c r="D2437" t="s">
        <v>86</v>
      </c>
      <c r="E2437" t="s">
        <v>87</v>
      </c>
      <c r="F2437">
        <v>8800</v>
      </c>
      <c r="G2437" t="s">
        <v>331</v>
      </c>
      <c r="H2437" s="15">
        <v>45292</v>
      </c>
      <c r="I2437">
        <v>8800</v>
      </c>
      <c r="J2437">
        <v>0</v>
      </c>
    </row>
    <row r="2438" spans="1:10" x14ac:dyDescent="0.3">
      <c r="A2438" s="15">
        <v>45566</v>
      </c>
      <c r="B2438" t="s">
        <v>326</v>
      </c>
      <c r="C2438" t="s">
        <v>91</v>
      </c>
      <c r="D2438" t="s">
        <v>86</v>
      </c>
      <c r="E2438" t="s">
        <v>92</v>
      </c>
      <c r="F2438">
        <v>7900</v>
      </c>
      <c r="G2438" t="s">
        <v>331</v>
      </c>
      <c r="H2438" s="15">
        <v>45292</v>
      </c>
      <c r="I2438">
        <v>7900</v>
      </c>
      <c r="J2438">
        <v>0</v>
      </c>
    </row>
    <row r="2439" spans="1:10" x14ac:dyDescent="0.3">
      <c r="A2439" s="15">
        <v>45566</v>
      </c>
      <c r="B2439" t="s">
        <v>327</v>
      </c>
      <c r="C2439" t="s">
        <v>125</v>
      </c>
      <c r="D2439" t="s">
        <v>99</v>
      </c>
      <c r="E2439" t="s">
        <v>97</v>
      </c>
      <c r="F2439">
        <v>77500</v>
      </c>
      <c r="G2439" t="s">
        <v>331</v>
      </c>
      <c r="H2439" s="15">
        <v>45292</v>
      </c>
      <c r="I2439">
        <v>77500</v>
      </c>
      <c r="J2439">
        <v>0</v>
      </c>
    </row>
    <row r="2440" spans="1:10" x14ac:dyDescent="0.3">
      <c r="A2440" s="15">
        <v>45566</v>
      </c>
      <c r="B2440" t="s">
        <v>329</v>
      </c>
      <c r="C2440" t="s">
        <v>81</v>
      </c>
      <c r="D2440" t="s">
        <v>86</v>
      </c>
      <c r="E2440" t="s">
        <v>101</v>
      </c>
      <c r="F2440">
        <v>2200</v>
      </c>
      <c r="G2440" t="s">
        <v>331</v>
      </c>
      <c r="H2440" s="15">
        <v>45292</v>
      </c>
      <c r="I2440">
        <v>2200</v>
      </c>
      <c r="J2440">
        <v>0</v>
      </c>
    </row>
    <row r="2441" spans="1:10" x14ac:dyDescent="0.3">
      <c r="A2441" s="15">
        <v>45566</v>
      </c>
      <c r="B2441" t="s">
        <v>330</v>
      </c>
      <c r="C2441" t="s">
        <v>125</v>
      </c>
      <c r="D2441" t="s">
        <v>86</v>
      </c>
      <c r="E2441" t="s">
        <v>87</v>
      </c>
      <c r="F2441">
        <v>105400</v>
      </c>
      <c r="G2441" t="s">
        <v>331</v>
      </c>
      <c r="H2441" s="15">
        <v>45292</v>
      </c>
      <c r="I2441">
        <v>105400</v>
      </c>
      <c r="J2441">
        <v>0</v>
      </c>
    </row>
    <row r="2442" spans="1:10" x14ac:dyDescent="0.3">
      <c r="A2442" s="15">
        <v>45566</v>
      </c>
      <c r="B2442" t="s">
        <v>335</v>
      </c>
      <c r="C2442" t="s">
        <v>91</v>
      </c>
      <c r="D2442" t="s">
        <v>86</v>
      </c>
      <c r="E2442" t="s">
        <v>89</v>
      </c>
      <c r="F2442">
        <v>7300</v>
      </c>
      <c r="G2442" t="s">
        <v>331</v>
      </c>
      <c r="H2442" s="15">
        <v>45323</v>
      </c>
      <c r="I2442">
        <v>7300</v>
      </c>
      <c r="J2442">
        <v>0</v>
      </c>
    </row>
    <row r="2443" spans="1:10" x14ac:dyDescent="0.3">
      <c r="A2443" s="15">
        <v>45566</v>
      </c>
      <c r="B2443" t="s">
        <v>336</v>
      </c>
      <c r="C2443" t="s">
        <v>81</v>
      </c>
      <c r="D2443" t="s">
        <v>82</v>
      </c>
      <c r="E2443" t="s">
        <v>103</v>
      </c>
      <c r="F2443">
        <v>1500</v>
      </c>
      <c r="G2443" t="s">
        <v>331</v>
      </c>
      <c r="H2443" s="15">
        <v>45323</v>
      </c>
      <c r="I2443">
        <v>1500</v>
      </c>
      <c r="J2443">
        <v>0</v>
      </c>
    </row>
    <row r="2444" spans="1:10" x14ac:dyDescent="0.3">
      <c r="A2444" s="15">
        <v>45566</v>
      </c>
      <c r="B2444" t="s">
        <v>337</v>
      </c>
      <c r="C2444" t="s">
        <v>91</v>
      </c>
      <c r="D2444" t="s">
        <v>82</v>
      </c>
      <c r="E2444" t="s">
        <v>92</v>
      </c>
      <c r="F2444">
        <v>6200</v>
      </c>
      <c r="G2444" t="s">
        <v>331</v>
      </c>
      <c r="H2444" s="15">
        <v>45323</v>
      </c>
      <c r="I2444">
        <v>6200</v>
      </c>
      <c r="J2444">
        <v>0</v>
      </c>
    </row>
    <row r="2445" spans="1:10" x14ac:dyDescent="0.3">
      <c r="A2445" s="15">
        <v>45566</v>
      </c>
      <c r="B2445" t="s">
        <v>338</v>
      </c>
      <c r="C2445" t="s">
        <v>91</v>
      </c>
      <c r="D2445" t="s">
        <v>82</v>
      </c>
      <c r="E2445" t="s">
        <v>103</v>
      </c>
      <c r="F2445">
        <v>5700</v>
      </c>
      <c r="G2445" t="s">
        <v>331</v>
      </c>
      <c r="H2445" s="15">
        <v>45323</v>
      </c>
      <c r="I2445">
        <v>5700</v>
      </c>
      <c r="J2445">
        <v>0</v>
      </c>
    </row>
    <row r="2446" spans="1:10" x14ac:dyDescent="0.3">
      <c r="A2446" s="15">
        <v>45566</v>
      </c>
      <c r="B2446" t="s">
        <v>339</v>
      </c>
      <c r="C2446" t="s">
        <v>81</v>
      </c>
      <c r="D2446" t="s">
        <v>82</v>
      </c>
      <c r="E2446" t="s">
        <v>103</v>
      </c>
      <c r="F2446">
        <v>1600</v>
      </c>
      <c r="G2446" t="s">
        <v>334</v>
      </c>
      <c r="H2446" s="15">
        <v>45323</v>
      </c>
      <c r="I2446">
        <v>1800</v>
      </c>
      <c r="J2446">
        <v>-200</v>
      </c>
    </row>
    <row r="2447" spans="1:10" x14ac:dyDescent="0.3">
      <c r="A2447" s="15">
        <v>45566</v>
      </c>
      <c r="B2447" t="s">
        <v>340</v>
      </c>
      <c r="C2447" t="s">
        <v>81</v>
      </c>
      <c r="D2447" t="s">
        <v>82</v>
      </c>
      <c r="E2447" t="s">
        <v>87</v>
      </c>
      <c r="F2447">
        <v>1800</v>
      </c>
      <c r="G2447" t="s">
        <v>331</v>
      </c>
      <c r="H2447" s="15">
        <v>45323</v>
      </c>
      <c r="I2447">
        <v>1800</v>
      </c>
      <c r="J2447">
        <v>0</v>
      </c>
    </row>
    <row r="2448" spans="1:10" x14ac:dyDescent="0.3">
      <c r="A2448" s="15">
        <v>45566</v>
      </c>
      <c r="B2448" t="s">
        <v>341</v>
      </c>
      <c r="C2448" t="s">
        <v>110</v>
      </c>
      <c r="D2448" t="s">
        <v>82</v>
      </c>
      <c r="E2448" t="s">
        <v>92</v>
      </c>
      <c r="F2448">
        <v>18800</v>
      </c>
      <c r="G2448" t="s">
        <v>331</v>
      </c>
      <c r="H2448" s="15">
        <v>45323</v>
      </c>
      <c r="I2448">
        <v>18800</v>
      </c>
      <c r="J2448">
        <v>0</v>
      </c>
    </row>
    <row r="2449" spans="1:10" x14ac:dyDescent="0.3">
      <c r="A2449" s="15">
        <v>45566</v>
      </c>
      <c r="B2449" t="s">
        <v>342</v>
      </c>
      <c r="C2449" t="s">
        <v>91</v>
      </c>
      <c r="D2449" t="s">
        <v>82</v>
      </c>
      <c r="E2449" t="s">
        <v>83</v>
      </c>
      <c r="F2449">
        <v>7100</v>
      </c>
      <c r="G2449" t="s">
        <v>331</v>
      </c>
      <c r="H2449" s="15">
        <v>45352</v>
      </c>
      <c r="I2449">
        <v>7100</v>
      </c>
      <c r="J2449">
        <v>0</v>
      </c>
    </row>
    <row r="2450" spans="1:10" x14ac:dyDescent="0.3">
      <c r="A2450" s="15">
        <v>45566</v>
      </c>
      <c r="B2450" t="s">
        <v>343</v>
      </c>
      <c r="C2450" t="s">
        <v>81</v>
      </c>
      <c r="D2450" t="s">
        <v>82</v>
      </c>
      <c r="E2450" t="s">
        <v>89</v>
      </c>
      <c r="F2450">
        <v>2500</v>
      </c>
      <c r="G2450" t="s">
        <v>331</v>
      </c>
      <c r="H2450" s="15">
        <v>45352</v>
      </c>
      <c r="I2450">
        <v>2500</v>
      </c>
      <c r="J2450">
        <v>0</v>
      </c>
    </row>
    <row r="2451" spans="1:10" x14ac:dyDescent="0.3">
      <c r="A2451" s="15">
        <v>45566</v>
      </c>
      <c r="B2451" t="s">
        <v>344</v>
      </c>
      <c r="C2451" t="s">
        <v>110</v>
      </c>
      <c r="D2451" t="s">
        <v>86</v>
      </c>
      <c r="E2451" t="s">
        <v>89</v>
      </c>
      <c r="F2451">
        <v>21100</v>
      </c>
      <c r="G2451" t="s">
        <v>331</v>
      </c>
      <c r="H2451" s="15">
        <v>45352</v>
      </c>
      <c r="I2451">
        <v>21100</v>
      </c>
      <c r="J2451">
        <v>0</v>
      </c>
    </row>
    <row r="2452" spans="1:10" x14ac:dyDescent="0.3">
      <c r="A2452" s="15">
        <v>45566</v>
      </c>
      <c r="B2452" t="s">
        <v>345</v>
      </c>
      <c r="C2452" t="s">
        <v>91</v>
      </c>
      <c r="D2452" t="s">
        <v>86</v>
      </c>
      <c r="E2452" t="s">
        <v>83</v>
      </c>
      <c r="F2452">
        <v>6900</v>
      </c>
      <c r="G2452" t="s">
        <v>331</v>
      </c>
      <c r="H2452" s="15">
        <v>45352</v>
      </c>
      <c r="I2452">
        <v>6900</v>
      </c>
      <c r="J2452">
        <v>0</v>
      </c>
    </row>
    <row r="2453" spans="1:10" x14ac:dyDescent="0.3">
      <c r="A2453" s="15">
        <v>45566</v>
      </c>
      <c r="B2453" t="s">
        <v>346</v>
      </c>
      <c r="C2453" t="s">
        <v>81</v>
      </c>
      <c r="D2453" t="s">
        <v>86</v>
      </c>
      <c r="E2453" t="s">
        <v>97</v>
      </c>
      <c r="F2453">
        <v>1700</v>
      </c>
      <c r="G2453" t="s">
        <v>331</v>
      </c>
      <c r="H2453" s="15">
        <v>45352</v>
      </c>
      <c r="I2453">
        <v>1700</v>
      </c>
      <c r="J2453">
        <v>0</v>
      </c>
    </row>
    <row r="2454" spans="1:10" x14ac:dyDescent="0.3">
      <c r="A2454" s="15">
        <v>45566</v>
      </c>
      <c r="B2454" t="s">
        <v>347</v>
      </c>
      <c r="C2454" t="s">
        <v>91</v>
      </c>
      <c r="D2454" t="s">
        <v>82</v>
      </c>
      <c r="E2454" t="s">
        <v>83</v>
      </c>
      <c r="F2454">
        <v>4700</v>
      </c>
      <c r="G2454" t="s">
        <v>334</v>
      </c>
      <c r="H2454" s="15">
        <v>45383</v>
      </c>
      <c r="I2454">
        <v>5700</v>
      </c>
      <c r="J2454">
        <v>-1000</v>
      </c>
    </row>
    <row r="2455" spans="1:10" x14ac:dyDescent="0.3">
      <c r="A2455" s="15">
        <v>45566</v>
      </c>
      <c r="B2455" t="s">
        <v>348</v>
      </c>
      <c r="C2455" t="s">
        <v>125</v>
      </c>
      <c r="D2455" t="s">
        <v>86</v>
      </c>
      <c r="E2455" t="s">
        <v>92</v>
      </c>
      <c r="F2455">
        <v>0</v>
      </c>
      <c r="G2455" t="s">
        <v>333</v>
      </c>
      <c r="H2455" s="15">
        <v>45383</v>
      </c>
      <c r="I2455">
        <v>59200</v>
      </c>
      <c r="J2455">
        <v>-59200</v>
      </c>
    </row>
    <row r="2456" spans="1:10" x14ac:dyDescent="0.3">
      <c r="A2456" s="15">
        <v>45566</v>
      </c>
      <c r="B2456" t="s">
        <v>350</v>
      </c>
      <c r="C2456" t="s">
        <v>91</v>
      </c>
      <c r="D2456" t="s">
        <v>82</v>
      </c>
      <c r="E2456" t="s">
        <v>83</v>
      </c>
      <c r="F2456">
        <v>4800</v>
      </c>
      <c r="G2456" t="s">
        <v>331</v>
      </c>
      <c r="H2456" s="15">
        <v>45383</v>
      </c>
      <c r="I2456">
        <v>4800</v>
      </c>
      <c r="J2456">
        <v>0</v>
      </c>
    </row>
    <row r="2457" spans="1:10" x14ac:dyDescent="0.3">
      <c r="A2457" s="15">
        <v>45566</v>
      </c>
      <c r="B2457" t="s">
        <v>351</v>
      </c>
      <c r="C2457" t="s">
        <v>81</v>
      </c>
      <c r="D2457" t="s">
        <v>86</v>
      </c>
      <c r="E2457" t="s">
        <v>83</v>
      </c>
      <c r="F2457">
        <v>2300</v>
      </c>
      <c r="G2457" t="s">
        <v>331</v>
      </c>
      <c r="H2457" s="15">
        <v>45383</v>
      </c>
      <c r="I2457">
        <v>2300</v>
      </c>
      <c r="J2457">
        <v>0</v>
      </c>
    </row>
    <row r="2458" spans="1:10" x14ac:dyDescent="0.3">
      <c r="A2458" s="15">
        <v>45566</v>
      </c>
      <c r="B2458" t="s">
        <v>352</v>
      </c>
      <c r="C2458" t="s">
        <v>91</v>
      </c>
      <c r="D2458" t="s">
        <v>82</v>
      </c>
      <c r="E2458" t="s">
        <v>89</v>
      </c>
      <c r="F2458">
        <v>6600</v>
      </c>
      <c r="G2458" t="s">
        <v>331</v>
      </c>
      <c r="H2458" s="15">
        <v>45383</v>
      </c>
      <c r="I2458">
        <v>6600</v>
      </c>
      <c r="J2458">
        <v>0</v>
      </c>
    </row>
    <row r="2459" spans="1:10" x14ac:dyDescent="0.3">
      <c r="A2459" s="15">
        <v>45566</v>
      </c>
      <c r="B2459" t="s">
        <v>353</v>
      </c>
      <c r="C2459" t="s">
        <v>81</v>
      </c>
      <c r="D2459" t="s">
        <v>99</v>
      </c>
      <c r="E2459" t="s">
        <v>103</v>
      </c>
      <c r="F2459">
        <v>1200</v>
      </c>
      <c r="G2459" t="s">
        <v>331</v>
      </c>
      <c r="H2459" s="15">
        <v>45383</v>
      </c>
      <c r="I2459">
        <v>1200</v>
      </c>
      <c r="J2459">
        <v>0</v>
      </c>
    </row>
    <row r="2460" spans="1:10" x14ac:dyDescent="0.3">
      <c r="A2460" s="15">
        <v>45566</v>
      </c>
      <c r="B2460" t="s">
        <v>354</v>
      </c>
      <c r="C2460" t="s">
        <v>81</v>
      </c>
      <c r="D2460" t="s">
        <v>82</v>
      </c>
      <c r="E2460" t="s">
        <v>92</v>
      </c>
      <c r="F2460">
        <v>1800</v>
      </c>
      <c r="G2460" t="s">
        <v>331</v>
      </c>
      <c r="H2460" s="15">
        <v>45413</v>
      </c>
      <c r="I2460">
        <v>1800</v>
      </c>
      <c r="J2460">
        <v>0</v>
      </c>
    </row>
    <row r="2461" spans="1:10" x14ac:dyDescent="0.3">
      <c r="A2461" s="15">
        <v>45566</v>
      </c>
      <c r="B2461" t="s">
        <v>355</v>
      </c>
      <c r="C2461" t="s">
        <v>81</v>
      </c>
      <c r="D2461" t="s">
        <v>86</v>
      </c>
      <c r="E2461" t="s">
        <v>97</v>
      </c>
      <c r="F2461">
        <v>2200</v>
      </c>
      <c r="G2461" t="s">
        <v>331</v>
      </c>
      <c r="H2461" s="15">
        <v>45413</v>
      </c>
      <c r="I2461">
        <v>2200</v>
      </c>
      <c r="J2461">
        <v>0</v>
      </c>
    </row>
    <row r="2462" spans="1:10" x14ac:dyDescent="0.3">
      <c r="A2462" s="15">
        <v>45566</v>
      </c>
      <c r="B2462" t="s">
        <v>356</v>
      </c>
      <c r="C2462" t="s">
        <v>110</v>
      </c>
      <c r="D2462" t="s">
        <v>82</v>
      </c>
      <c r="E2462" t="s">
        <v>97</v>
      </c>
      <c r="F2462">
        <v>33000</v>
      </c>
      <c r="G2462" t="s">
        <v>331</v>
      </c>
      <c r="H2462" s="15">
        <v>45413</v>
      </c>
      <c r="I2462">
        <v>33000</v>
      </c>
      <c r="J2462">
        <v>0</v>
      </c>
    </row>
    <row r="2463" spans="1:10" x14ac:dyDescent="0.3">
      <c r="A2463" s="15">
        <v>45566</v>
      </c>
      <c r="B2463" t="s">
        <v>357</v>
      </c>
      <c r="C2463" t="s">
        <v>125</v>
      </c>
      <c r="D2463" t="s">
        <v>86</v>
      </c>
      <c r="E2463" t="s">
        <v>97</v>
      </c>
      <c r="F2463">
        <v>72100</v>
      </c>
      <c r="G2463" t="s">
        <v>334</v>
      </c>
      <c r="H2463" s="15">
        <v>45413</v>
      </c>
      <c r="I2463">
        <v>79900</v>
      </c>
      <c r="J2463">
        <v>-7800</v>
      </c>
    </row>
    <row r="2464" spans="1:10" x14ac:dyDescent="0.3">
      <c r="A2464" s="15">
        <v>45566</v>
      </c>
      <c r="B2464" t="s">
        <v>358</v>
      </c>
      <c r="C2464" t="s">
        <v>110</v>
      </c>
      <c r="D2464" t="s">
        <v>86</v>
      </c>
      <c r="E2464" t="s">
        <v>83</v>
      </c>
      <c r="F2464">
        <v>21800</v>
      </c>
      <c r="G2464" t="s">
        <v>331</v>
      </c>
      <c r="H2464" s="15">
        <v>45413</v>
      </c>
      <c r="I2464">
        <v>21800</v>
      </c>
      <c r="J2464">
        <v>0</v>
      </c>
    </row>
    <row r="2465" spans="1:10" x14ac:dyDescent="0.3">
      <c r="A2465" s="15">
        <v>45566</v>
      </c>
      <c r="B2465" t="s">
        <v>359</v>
      </c>
      <c r="C2465" t="s">
        <v>110</v>
      </c>
      <c r="D2465" t="s">
        <v>86</v>
      </c>
      <c r="E2465" t="s">
        <v>101</v>
      </c>
      <c r="F2465">
        <v>31400</v>
      </c>
      <c r="G2465" t="s">
        <v>331</v>
      </c>
      <c r="H2465" s="15">
        <v>45413</v>
      </c>
      <c r="I2465">
        <v>31400</v>
      </c>
      <c r="J2465">
        <v>0</v>
      </c>
    </row>
    <row r="2466" spans="1:10" x14ac:dyDescent="0.3">
      <c r="A2466" s="15">
        <v>45566</v>
      </c>
      <c r="B2466" t="s">
        <v>360</v>
      </c>
      <c r="C2466" t="s">
        <v>91</v>
      </c>
      <c r="D2466" t="s">
        <v>86</v>
      </c>
      <c r="E2466" t="s">
        <v>103</v>
      </c>
      <c r="F2466">
        <v>5700</v>
      </c>
      <c r="G2466" t="s">
        <v>331</v>
      </c>
      <c r="H2466" s="15">
        <v>45444</v>
      </c>
      <c r="I2466">
        <v>5700</v>
      </c>
      <c r="J2466">
        <v>0</v>
      </c>
    </row>
    <row r="2467" spans="1:10" x14ac:dyDescent="0.3">
      <c r="A2467" s="15">
        <v>45566</v>
      </c>
      <c r="B2467" t="s">
        <v>361</v>
      </c>
      <c r="C2467" t="s">
        <v>91</v>
      </c>
      <c r="D2467" t="s">
        <v>86</v>
      </c>
      <c r="E2467" t="s">
        <v>83</v>
      </c>
      <c r="F2467">
        <v>5700</v>
      </c>
      <c r="G2467" t="s">
        <v>331</v>
      </c>
      <c r="H2467" s="15">
        <v>45444</v>
      </c>
      <c r="I2467">
        <v>5700</v>
      </c>
      <c r="J2467">
        <v>0</v>
      </c>
    </row>
    <row r="2468" spans="1:10" x14ac:dyDescent="0.3">
      <c r="A2468" s="15">
        <v>45566</v>
      </c>
      <c r="B2468" t="s">
        <v>362</v>
      </c>
      <c r="C2468" t="s">
        <v>91</v>
      </c>
      <c r="D2468" t="s">
        <v>82</v>
      </c>
      <c r="E2468" t="s">
        <v>101</v>
      </c>
      <c r="F2468">
        <v>5400</v>
      </c>
      <c r="G2468" t="s">
        <v>331</v>
      </c>
      <c r="H2468" s="15">
        <v>45444</v>
      </c>
      <c r="I2468">
        <v>5400</v>
      </c>
      <c r="J2468">
        <v>0</v>
      </c>
    </row>
    <row r="2469" spans="1:10" x14ac:dyDescent="0.3">
      <c r="A2469" s="15">
        <v>45566</v>
      </c>
      <c r="B2469" t="s">
        <v>363</v>
      </c>
      <c r="C2469" t="s">
        <v>91</v>
      </c>
      <c r="D2469" t="s">
        <v>86</v>
      </c>
      <c r="E2469" t="s">
        <v>83</v>
      </c>
      <c r="F2469">
        <v>4400</v>
      </c>
      <c r="G2469" t="s">
        <v>334</v>
      </c>
      <c r="H2469" s="15">
        <v>45444</v>
      </c>
      <c r="I2469">
        <v>5100</v>
      </c>
      <c r="J2469">
        <v>-700</v>
      </c>
    </row>
    <row r="2470" spans="1:10" x14ac:dyDescent="0.3">
      <c r="A2470" s="15">
        <v>45566</v>
      </c>
      <c r="B2470" t="s">
        <v>364</v>
      </c>
      <c r="C2470" t="s">
        <v>91</v>
      </c>
      <c r="D2470" t="s">
        <v>82</v>
      </c>
      <c r="E2470" t="s">
        <v>101</v>
      </c>
      <c r="F2470">
        <v>6700</v>
      </c>
      <c r="G2470" t="s">
        <v>331</v>
      </c>
      <c r="H2470" s="15">
        <v>45444</v>
      </c>
      <c r="I2470">
        <v>6700</v>
      </c>
      <c r="J2470">
        <v>0</v>
      </c>
    </row>
    <row r="2471" spans="1:10" x14ac:dyDescent="0.3">
      <c r="A2471" s="15">
        <v>45566</v>
      </c>
      <c r="B2471" t="s">
        <v>365</v>
      </c>
      <c r="C2471" t="s">
        <v>91</v>
      </c>
      <c r="D2471" t="s">
        <v>82</v>
      </c>
      <c r="E2471" t="s">
        <v>92</v>
      </c>
      <c r="F2471">
        <v>0</v>
      </c>
      <c r="G2471" t="s">
        <v>333</v>
      </c>
      <c r="H2471" s="15">
        <v>45444</v>
      </c>
      <c r="I2471">
        <v>8400</v>
      </c>
      <c r="J2471">
        <v>-8400</v>
      </c>
    </row>
    <row r="2472" spans="1:10" x14ac:dyDescent="0.3">
      <c r="A2472" s="15">
        <v>45566</v>
      </c>
      <c r="B2472" t="s">
        <v>366</v>
      </c>
      <c r="C2472" t="s">
        <v>81</v>
      </c>
      <c r="D2472" t="s">
        <v>99</v>
      </c>
      <c r="E2472" t="s">
        <v>92</v>
      </c>
      <c r="F2472">
        <v>1600</v>
      </c>
      <c r="G2472" t="s">
        <v>331</v>
      </c>
      <c r="H2472" s="15">
        <v>45474</v>
      </c>
      <c r="I2472">
        <v>1600</v>
      </c>
      <c r="J2472">
        <v>0</v>
      </c>
    </row>
    <row r="2473" spans="1:10" x14ac:dyDescent="0.3">
      <c r="A2473" s="15">
        <v>45566</v>
      </c>
      <c r="B2473" t="s">
        <v>367</v>
      </c>
      <c r="C2473" t="s">
        <v>91</v>
      </c>
      <c r="D2473" t="s">
        <v>82</v>
      </c>
      <c r="E2473" t="s">
        <v>92</v>
      </c>
      <c r="F2473">
        <v>5800</v>
      </c>
      <c r="G2473" t="s">
        <v>331</v>
      </c>
      <c r="H2473" s="15">
        <v>45474</v>
      </c>
      <c r="I2473">
        <v>5800</v>
      </c>
      <c r="J2473">
        <v>0</v>
      </c>
    </row>
    <row r="2474" spans="1:10" x14ac:dyDescent="0.3">
      <c r="A2474" s="15">
        <v>45566</v>
      </c>
      <c r="B2474" t="s">
        <v>368</v>
      </c>
      <c r="C2474" t="s">
        <v>81</v>
      </c>
      <c r="D2474" t="s">
        <v>86</v>
      </c>
      <c r="E2474" t="s">
        <v>89</v>
      </c>
      <c r="F2474">
        <v>1400</v>
      </c>
      <c r="G2474" t="s">
        <v>331</v>
      </c>
      <c r="H2474" s="15">
        <v>45474</v>
      </c>
      <c r="I2474">
        <v>1400</v>
      </c>
      <c r="J2474">
        <v>0</v>
      </c>
    </row>
    <row r="2475" spans="1:10" x14ac:dyDescent="0.3">
      <c r="A2475" s="15">
        <v>45566</v>
      </c>
      <c r="B2475" t="s">
        <v>369</v>
      </c>
      <c r="C2475" t="s">
        <v>81</v>
      </c>
      <c r="D2475" t="s">
        <v>86</v>
      </c>
      <c r="E2475" t="s">
        <v>83</v>
      </c>
      <c r="F2475">
        <v>2200</v>
      </c>
      <c r="G2475" t="s">
        <v>331</v>
      </c>
      <c r="H2475" s="15">
        <v>45474</v>
      </c>
      <c r="I2475">
        <v>2200</v>
      </c>
      <c r="J2475">
        <v>0</v>
      </c>
    </row>
    <row r="2476" spans="1:10" x14ac:dyDescent="0.3">
      <c r="A2476" s="15">
        <v>45566</v>
      </c>
      <c r="B2476" t="s">
        <v>370</v>
      </c>
      <c r="C2476" t="s">
        <v>81</v>
      </c>
      <c r="D2476" t="s">
        <v>99</v>
      </c>
      <c r="E2476" t="s">
        <v>87</v>
      </c>
      <c r="F2476">
        <v>2100</v>
      </c>
      <c r="G2476" t="s">
        <v>331</v>
      </c>
      <c r="H2476" s="15">
        <v>45474</v>
      </c>
      <c r="I2476">
        <v>2100</v>
      </c>
      <c r="J2476">
        <v>0</v>
      </c>
    </row>
    <row r="2477" spans="1:10" x14ac:dyDescent="0.3">
      <c r="A2477" s="15">
        <v>45566</v>
      </c>
      <c r="B2477" t="s">
        <v>371</v>
      </c>
      <c r="C2477" t="s">
        <v>81</v>
      </c>
      <c r="D2477" t="s">
        <v>82</v>
      </c>
      <c r="E2477" t="s">
        <v>89</v>
      </c>
      <c r="F2477">
        <v>2100</v>
      </c>
      <c r="G2477" t="s">
        <v>331</v>
      </c>
      <c r="H2477" s="15">
        <v>45474</v>
      </c>
      <c r="I2477">
        <v>2100</v>
      </c>
      <c r="J2477">
        <v>0</v>
      </c>
    </row>
    <row r="2478" spans="1:10" x14ac:dyDescent="0.3">
      <c r="A2478" s="15">
        <v>45566</v>
      </c>
      <c r="B2478" t="s">
        <v>372</v>
      </c>
      <c r="C2478" t="s">
        <v>81</v>
      </c>
      <c r="D2478" t="s">
        <v>86</v>
      </c>
      <c r="E2478" t="s">
        <v>83</v>
      </c>
      <c r="F2478">
        <v>1800</v>
      </c>
      <c r="G2478" t="s">
        <v>331</v>
      </c>
      <c r="H2478" s="15">
        <v>45505</v>
      </c>
      <c r="I2478">
        <v>1800</v>
      </c>
      <c r="J2478">
        <v>0</v>
      </c>
    </row>
    <row r="2479" spans="1:10" x14ac:dyDescent="0.3">
      <c r="A2479" s="15">
        <v>45566</v>
      </c>
      <c r="B2479" t="s">
        <v>373</v>
      </c>
      <c r="C2479" t="s">
        <v>91</v>
      </c>
      <c r="D2479" t="s">
        <v>99</v>
      </c>
      <c r="E2479" t="s">
        <v>101</v>
      </c>
      <c r="F2479">
        <v>5200</v>
      </c>
      <c r="G2479" t="s">
        <v>331</v>
      </c>
      <c r="H2479" s="15">
        <v>45505</v>
      </c>
      <c r="I2479">
        <v>5200</v>
      </c>
      <c r="J2479">
        <v>0</v>
      </c>
    </row>
    <row r="2480" spans="1:10" x14ac:dyDescent="0.3">
      <c r="A2480" s="15">
        <v>45566</v>
      </c>
      <c r="B2480" t="s">
        <v>374</v>
      </c>
      <c r="C2480" t="s">
        <v>91</v>
      </c>
      <c r="D2480" t="s">
        <v>99</v>
      </c>
      <c r="E2480" t="s">
        <v>87</v>
      </c>
      <c r="F2480">
        <v>5000</v>
      </c>
      <c r="G2480" t="s">
        <v>331</v>
      </c>
      <c r="H2480" s="15">
        <v>45505</v>
      </c>
      <c r="I2480">
        <v>5000</v>
      </c>
      <c r="J2480">
        <v>0</v>
      </c>
    </row>
    <row r="2481" spans="1:10" x14ac:dyDescent="0.3">
      <c r="A2481" s="15">
        <v>45566</v>
      </c>
      <c r="B2481" t="s">
        <v>375</v>
      </c>
      <c r="C2481" t="s">
        <v>81</v>
      </c>
      <c r="D2481" t="s">
        <v>82</v>
      </c>
      <c r="E2481" t="s">
        <v>87</v>
      </c>
      <c r="F2481">
        <v>1800</v>
      </c>
      <c r="G2481" t="s">
        <v>331</v>
      </c>
      <c r="H2481" s="15">
        <v>45505</v>
      </c>
      <c r="I2481">
        <v>1800</v>
      </c>
      <c r="J2481">
        <v>0</v>
      </c>
    </row>
    <row r="2482" spans="1:10" x14ac:dyDescent="0.3">
      <c r="A2482" s="15">
        <v>45566</v>
      </c>
      <c r="B2482" t="s">
        <v>376</v>
      </c>
      <c r="C2482" t="s">
        <v>110</v>
      </c>
      <c r="D2482" t="s">
        <v>86</v>
      </c>
      <c r="E2482" t="s">
        <v>103</v>
      </c>
      <c r="F2482">
        <v>22900</v>
      </c>
      <c r="G2482" t="s">
        <v>331</v>
      </c>
      <c r="H2482" s="15">
        <v>45505</v>
      </c>
      <c r="I2482">
        <v>22900</v>
      </c>
      <c r="J2482">
        <v>0</v>
      </c>
    </row>
    <row r="2483" spans="1:10" x14ac:dyDescent="0.3">
      <c r="A2483" s="15">
        <v>45566</v>
      </c>
      <c r="B2483" t="s">
        <v>377</v>
      </c>
      <c r="C2483" t="s">
        <v>81</v>
      </c>
      <c r="D2483" t="s">
        <v>99</v>
      </c>
      <c r="E2483" t="s">
        <v>92</v>
      </c>
      <c r="F2483">
        <v>2300</v>
      </c>
      <c r="G2483" t="s">
        <v>331</v>
      </c>
      <c r="H2483" s="15">
        <v>45536</v>
      </c>
      <c r="I2483">
        <v>2300</v>
      </c>
      <c r="J2483">
        <v>0</v>
      </c>
    </row>
    <row r="2484" spans="1:10" x14ac:dyDescent="0.3">
      <c r="A2484" s="15">
        <v>45566</v>
      </c>
      <c r="B2484" t="s">
        <v>378</v>
      </c>
      <c r="C2484" t="s">
        <v>81</v>
      </c>
      <c r="D2484" t="s">
        <v>82</v>
      </c>
      <c r="E2484" t="s">
        <v>92</v>
      </c>
      <c r="F2484">
        <v>2300</v>
      </c>
      <c r="G2484" t="s">
        <v>331</v>
      </c>
      <c r="H2484" s="15">
        <v>45536</v>
      </c>
      <c r="I2484">
        <v>2300</v>
      </c>
      <c r="J2484">
        <v>0</v>
      </c>
    </row>
    <row r="2485" spans="1:10" x14ac:dyDescent="0.3">
      <c r="A2485" s="15">
        <v>45566</v>
      </c>
      <c r="B2485" t="s">
        <v>379</v>
      </c>
      <c r="C2485" t="s">
        <v>81</v>
      </c>
      <c r="D2485" t="s">
        <v>99</v>
      </c>
      <c r="E2485" t="s">
        <v>101</v>
      </c>
      <c r="F2485">
        <v>2600</v>
      </c>
      <c r="G2485" t="s">
        <v>331</v>
      </c>
      <c r="H2485" s="15">
        <v>45536</v>
      </c>
      <c r="I2485">
        <v>2600</v>
      </c>
      <c r="J2485">
        <v>0</v>
      </c>
    </row>
    <row r="2486" spans="1:10" x14ac:dyDescent="0.3">
      <c r="A2486" s="15">
        <v>45566</v>
      </c>
      <c r="B2486" t="s">
        <v>380</v>
      </c>
      <c r="C2486" t="s">
        <v>81</v>
      </c>
      <c r="D2486" t="s">
        <v>82</v>
      </c>
      <c r="E2486" t="s">
        <v>101</v>
      </c>
      <c r="F2486">
        <v>2100</v>
      </c>
      <c r="G2486" t="s">
        <v>331</v>
      </c>
      <c r="H2486" s="15">
        <v>45536</v>
      </c>
      <c r="I2486">
        <v>2100</v>
      </c>
      <c r="J2486">
        <v>0</v>
      </c>
    </row>
    <row r="2487" spans="1:10" x14ac:dyDescent="0.3">
      <c r="A2487" s="15">
        <v>45566</v>
      </c>
      <c r="B2487" t="s">
        <v>381</v>
      </c>
      <c r="C2487" t="s">
        <v>91</v>
      </c>
      <c r="D2487" t="s">
        <v>86</v>
      </c>
      <c r="E2487" t="s">
        <v>92</v>
      </c>
      <c r="F2487">
        <v>4600</v>
      </c>
      <c r="G2487" t="s">
        <v>331</v>
      </c>
      <c r="H2487" s="15">
        <v>45536</v>
      </c>
      <c r="I2487">
        <v>4600</v>
      </c>
      <c r="J2487">
        <v>0</v>
      </c>
    </row>
    <row r="2488" spans="1:10" x14ac:dyDescent="0.3">
      <c r="A2488" s="15">
        <v>45566</v>
      </c>
      <c r="B2488" t="s">
        <v>382</v>
      </c>
      <c r="C2488" t="s">
        <v>81</v>
      </c>
      <c r="D2488" t="s">
        <v>96</v>
      </c>
      <c r="E2488" t="s">
        <v>101</v>
      </c>
      <c r="F2488">
        <v>2100</v>
      </c>
      <c r="G2488" t="s">
        <v>331</v>
      </c>
      <c r="H2488" s="15">
        <v>45536</v>
      </c>
      <c r="I2488">
        <v>2100</v>
      </c>
      <c r="J2488">
        <v>0</v>
      </c>
    </row>
    <row r="2489" spans="1:10" x14ac:dyDescent="0.3">
      <c r="A2489" s="15">
        <v>45566</v>
      </c>
      <c r="B2489" t="s">
        <v>383</v>
      </c>
      <c r="C2489" t="s">
        <v>81</v>
      </c>
      <c r="D2489" t="s">
        <v>82</v>
      </c>
      <c r="E2489" t="s">
        <v>87</v>
      </c>
      <c r="F2489">
        <v>1800</v>
      </c>
      <c r="G2489" t="s">
        <v>331</v>
      </c>
      <c r="H2489" s="15">
        <v>45536</v>
      </c>
      <c r="I2489">
        <v>1800</v>
      </c>
      <c r="J2489">
        <v>0</v>
      </c>
    </row>
    <row r="2490" spans="1:10" x14ac:dyDescent="0.3">
      <c r="A2490" s="15">
        <v>45566</v>
      </c>
      <c r="B2490" t="s">
        <v>384</v>
      </c>
      <c r="C2490" t="s">
        <v>91</v>
      </c>
      <c r="D2490" t="s">
        <v>82</v>
      </c>
      <c r="E2490" t="s">
        <v>103</v>
      </c>
      <c r="F2490">
        <v>5000</v>
      </c>
      <c r="G2490" t="s">
        <v>84</v>
      </c>
      <c r="H2490" s="15">
        <v>45566</v>
      </c>
      <c r="I2490">
        <v>0</v>
      </c>
      <c r="J2490">
        <v>5000</v>
      </c>
    </row>
    <row r="2491" spans="1:10" x14ac:dyDescent="0.3">
      <c r="A2491" s="15">
        <v>45566</v>
      </c>
      <c r="B2491" t="s">
        <v>385</v>
      </c>
      <c r="C2491" t="s">
        <v>91</v>
      </c>
      <c r="D2491" t="s">
        <v>99</v>
      </c>
      <c r="E2491" t="s">
        <v>83</v>
      </c>
      <c r="F2491">
        <v>8300</v>
      </c>
      <c r="G2491" t="s">
        <v>84</v>
      </c>
      <c r="H2491" s="15">
        <v>45566</v>
      </c>
      <c r="I2491">
        <v>0</v>
      </c>
      <c r="J2491">
        <v>8300</v>
      </c>
    </row>
    <row r="2492" spans="1:10" x14ac:dyDescent="0.3">
      <c r="A2492" s="15">
        <v>45566</v>
      </c>
      <c r="B2492" t="s">
        <v>386</v>
      </c>
      <c r="C2492" t="s">
        <v>81</v>
      </c>
      <c r="D2492" t="s">
        <v>82</v>
      </c>
      <c r="E2492" t="s">
        <v>103</v>
      </c>
      <c r="F2492">
        <v>2200</v>
      </c>
      <c r="G2492" t="s">
        <v>84</v>
      </c>
      <c r="H2492" s="15">
        <v>45566</v>
      </c>
      <c r="I2492">
        <v>0</v>
      </c>
      <c r="J2492">
        <v>2200</v>
      </c>
    </row>
    <row r="2493" spans="1:10" x14ac:dyDescent="0.3">
      <c r="A2493" s="15">
        <v>45566</v>
      </c>
      <c r="B2493" t="s">
        <v>387</v>
      </c>
      <c r="C2493" t="s">
        <v>81</v>
      </c>
      <c r="D2493" t="s">
        <v>86</v>
      </c>
      <c r="E2493" t="s">
        <v>92</v>
      </c>
      <c r="F2493">
        <v>1700</v>
      </c>
      <c r="G2493" t="s">
        <v>84</v>
      </c>
      <c r="H2493" s="15">
        <v>45566</v>
      </c>
      <c r="I2493">
        <v>0</v>
      </c>
      <c r="J2493">
        <v>1700</v>
      </c>
    </row>
    <row r="2494" spans="1:10" x14ac:dyDescent="0.3">
      <c r="A2494" s="15">
        <v>45566</v>
      </c>
      <c r="B2494" t="s">
        <v>388</v>
      </c>
      <c r="C2494" t="s">
        <v>81</v>
      </c>
      <c r="D2494" t="s">
        <v>99</v>
      </c>
      <c r="E2494" t="s">
        <v>103</v>
      </c>
      <c r="F2494">
        <v>1700</v>
      </c>
      <c r="G2494" t="s">
        <v>84</v>
      </c>
      <c r="H2494" s="15">
        <v>45566</v>
      </c>
      <c r="I2494">
        <v>0</v>
      </c>
      <c r="J2494">
        <v>1700</v>
      </c>
    </row>
    <row r="2495" spans="1:10" x14ac:dyDescent="0.3">
      <c r="A2495" s="15">
        <v>45566</v>
      </c>
      <c r="B2495" t="s">
        <v>389</v>
      </c>
      <c r="C2495" t="s">
        <v>91</v>
      </c>
      <c r="D2495" t="s">
        <v>82</v>
      </c>
      <c r="E2495" t="s">
        <v>101</v>
      </c>
      <c r="F2495">
        <v>7300</v>
      </c>
      <c r="G2495" t="s">
        <v>84</v>
      </c>
      <c r="H2495" s="15">
        <v>45566</v>
      </c>
      <c r="I2495">
        <v>0</v>
      </c>
      <c r="J2495">
        <v>7300</v>
      </c>
    </row>
    <row r="2496" spans="1:10" x14ac:dyDescent="0.3">
      <c r="A2496" s="15">
        <v>45566</v>
      </c>
      <c r="B2496" t="s">
        <v>390</v>
      </c>
      <c r="C2496" t="s">
        <v>91</v>
      </c>
      <c r="D2496" t="s">
        <v>82</v>
      </c>
      <c r="E2496" t="s">
        <v>89</v>
      </c>
      <c r="F2496">
        <v>6200</v>
      </c>
      <c r="G2496" t="s">
        <v>84</v>
      </c>
      <c r="H2496" s="15">
        <v>45566</v>
      </c>
      <c r="I2496">
        <v>0</v>
      </c>
      <c r="J2496">
        <v>6200</v>
      </c>
    </row>
    <row r="2497" spans="1:10" x14ac:dyDescent="0.3">
      <c r="A2497" s="15">
        <v>45597</v>
      </c>
      <c r="B2497" t="s">
        <v>80</v>
      </c>
      <c r="C2497" t="s">
        <v>81</v>
      </c>
      <c r="D2497" t="s">
        <v>82</v>
      </c>
      <c r="E2497" t="s">
        <v>83</v>
      </c>
      <c r="F2497">
        <v>1900</v>
      </c>
      <c r="G2497" t="s">
        <v>331</v>
      </c>
      <c r="H2497" s="15">
        <v>45292</v>
      </c>
      <c r="I2497">
        <v>1900</v>
      </c>
      <c r="J2497">
        <v>0</v>
      </c>
    </row>
    <row r="2498" spans="1:10" x14ac:dyDescent="0.3">
      <c r="A2498" s="15">
        <v>45597</v>
      </c>
      <c r="B2498" t="s">
        <v>85</v>
      </c>
      <c r="C2498" t="s">
        <v>81</v>
      </c>
      <c r="D2498" t="s">
        <v>86</v>
      </c>
      <c r="E2498" t="s">
        <v>87</v>
      </c>
      <c r="F2498">
        <v>3200</v>
      </c>
      <c r="G2498" t="s">
        <v>331</v>
      </c>
      <c r="H2498" s="15">
        <v>45292</v>
      </c>
      <c r="I2498">
        <v>3200</v>
      </c>
      <c r="J2498">
        <v>0</v>
      </c>
    </row>
    <row r="2499" spans="1:10" x14ac:dyDescent="0.3">
      <c r="A2499" s="15">
        <v>45597</v>
      </c>
      <c r="B2499" t="s">
        <v>88</v>
      </c>
      <c r="C2499" t="s">
        <v>81</v>
      </c>
      <c r="D2499" t="s">
        <v>86</v>
      </c>
      <c r="E2499" t="s">
        <v>89</v>
      </c>
      <c r="F2499">
        <v>2500</v>
      </c>
      <c r="G2499" t="s">
        <v>332</v>
      </c>
      <c r="H2499" s="15">
        <v>45292</v>
      </c>
      <c r="I2499">
        <v>2400</v>
      </c>
      <c r="J2499">
        <v>100</v>
      </c>
    </row>
    <row r="2500" spans="1:10" x14ac:dyDescent="0.3">
      <c r="A2500" s="15">
        <v>45597</v>
      </c>
      <c r="B2500" t="s">
        <v>90</v>
      </c>
      <c r="C2500" t="s">
        <v>91</v>
      </c>
      <c r="D2500" t="s">
        <v>82</v>
      </c>
      <c r="E2500" t="s">
        <v>92</v>
      </c>
      <c r="F2500">
        <v>8300</v>
      </c>
      <c r="G2500" t="s">
        <v>331</v>
      </c>
      <c r="H2500" s="15">
        <v>45292</v>
      </c>
      <c r="I2500">
        <v>8300</v>
      </c>
      <c r="J2500">
        <v>0</v>
      </c>
    </row>
    <row r="2501" spans="1:10" x14ac:dyDescent="0.3">
      <c r="A2501" s="15">
        <v>45597</v>
      </c>
      <c r="B2501" t="s">
        <v>93</v>
      </c>
      <c r="C2501" t="s">
        <v>81</v>
      </c>
      <c r="D2501" t="s">
        <v>86</v>
      </c>
      <c r="E2501" t="s">
        <v>83</v>
      </c>
      <c r="F2501">
        <v>2200</v>
      </c>
      <c r="G2501" t="s">
        <v>331</v>
      </c>
      <c r="H2501" s="15">
        <v>45292</v>
      </c>
      <c r="I2501">
        <v>2200</v>
      </c>
      <c r="J2501">
        <v>0</v>
      </c>
    </row>
    <row r="2502" spans="1:10" x14ac:dyDescent="0.3">
      <c r="A2502" s="15">
        <v>45597</v>
      </c>
      <c r="B2502" t="s">
        <v>94</v>
      </c>
      <c r="C2502" t="s">
        <v>91</v>
      </c>
      <c r="D2502" t="s">
        <v>86</v>
      </c>
      <c r="E2502" t="s">
        <v>83</v>
      </c>
      <c r="F2502">
        <v>7900</v>
      </c>
      <c r="G2502" t="s">
        <v>331</v>
      </c>
      <c r="H2502" s="15">
        <v>45292</v>
      </c>
      <c r="I2502">
        <v>7900</v>
      </c>
      <c r="J2502">
        <v>0</v>
      </c>
    </row>
    <row r="2503" spans="1:10" x14ac:dyDescent="0.3">
      <c r="A2503" s="15">
        <v>45597</v>
      </c>
      <c r="B2503" t="s">
        <v>95</v>
      </c>
      <c r="C2503" t="s">
        <v>81</v>
      </c>
      <c r="D2503" t="s">
        <v>96</v>
      </c>
      <c r="E2503" t="s">
        <v>97</v>
      </c>
      <c r="F2503">
        <v>3100</v>
      </c>
      <c r="G2503" t="s">
        <v>331</v>
      </c>
      <c r="H2503" s="15">
        <v>45292</v>
      </c>
      <c r="I2503">
        <v>3100</v>
      </c>
      <c r="J2503">
        <v>0</v>
      </c>
    </row>
    <row r="2504" spans="1:10" x14ac:dyDescent="0.3">
      <c r="A2504" s="15">
        <v>45597</v>
      </c>
      <c r="B2504" t="s">
        <v>98</v>
      </c>
      <c r="C2504" t="s">
        <v>81</v>
      </c>
      <c r="D2504" t="s">
        <v>99</v>
      </c>
      <c r="E2504" t="s">
        <v>92</v>
      </c>
      <c r="F2504">
        <v>2300</v>
      </c>
      <c r="G2504" t="s">
        <v>331</v>
      </c>
      <c r="H2504" s="15">
        <v>45292</v>
      </c>
      <c r="I2504">
        <v>2300</v>
      </c>
      <c r="J2504">
        <v>0</v>
      </c>
    </row>
    <row r="2505" spans="1:10" x14ac:dyDescent="0.3">
      <c r="A2505" s="15">
        <v>45597</v>
      </c>
      <c r="B2505" t="s">
        <v>100</v>
      </c>
      <c r="C2505" t="s">
        <v>81</v>
      </c>
      <c r="D2505" t="s">
        <v>86</v>
      </c>
      <c r="E2505" t="s">
        <v>101</v>
      </c>
      <c r="F2505">
        <v>1800</v>
      </c>
      <c r="G2505" t="s">
        <v>331</v>
      </c>
      <c r="H2505" s="15">
        <v>45292</v>
      </c>
      <c r="I2505">
        <v>1800</v>
      </c>
      <c r="J2505">
        <v>0</v>
      </c>
    </row>
    <row r="2506" spans="1:10" x14ac:dyDescent="0.3">
      <c r="A2506" s="15">
        <v>45597</v>
      </c>
      <c r="B2506" t="s">
        <v>102</v>
      </c>
      <c r="C2506" t="s">
        <v>81</v>
      </c>
      <c r="D2506" t="s">
        <v>99</v>
      </c>
      <c r="E2506" t="s">
        <v>103</v>
      </c>
      <c r="F2506">
        <v>3300</v>
      </c>
      <c r="G2506" t="s">
        <v>331</v>
      </c>
      <c r="H2506" s="15">
        <v>45292</v>
      </c>
      <c r="I2506">
        <v>3300</v>
      </c>
      <c r="J2506">
        <v>0</v>
      </c>
    </row>
    <row r="2507" spans="1:10" x14ac:dyDescent="0.3">
      <c r="A2507" s="15">
        <v>45597</v>
      </c>
      <c r="B2507" t="s">
        <v>104</v>
      </c>
      <c r="C2507" t="s">
        <v>91</v>
      </c>
      <c r="D2507" t="s">
        <v>99</v>
      </c>
      <c r="E2507" t="s">
        <v>87</v>
      </c>
      <c r="F2507">
        <v>7000</v>
      </c>
      <c r="G2507" t="s">
        <v>331</v>
      </c>
      <c r="H2507" s="15">
        <v>45292</v>
      </c>
      <c r="I2507">
        <v>7000</v>
      </c>
      <c r="J2507">
        <v>0</v>
      </c>
    </row>
    <row r="2508" spans="1:10" x14ac:dyDescent="0.3">
      <c r="A2508" s="15">
        <v>45597</v>
      </c>
      <c r="B2508" t="s">
        <v>105</v>
      </c>
      <c r="C2508" t="s">
        <v>91</v>
      </c>
      <c r="D2508" t="s">
        <v>86</v>
      </c>
      <c r="E2508" t="s">
        <v>89</v>
      </c>
      <c r="F2508">
        <v>11400</v>
      </c>
      <c r="G2508" t="s">
        <v>331</v>
      </c>
      <c r="H2508" s="15">
        <v>45292</v>
      </c>
      <c r="I2508">
        <v>11400</v>
      </c>
      <c r="J2508">
        <v>0</v>
      </c>
    </row>
    <row r="2509" spans="1:10" x14ac:dyDescent="0.3">
      <c r="A2509" s="15">
        <v>45597</v>
      </c>
      <c r="B2509" t="s">
        <v>106</v>
      </c>
      <c r="C2509" t="s">
        <v>81</v>
      </c>
      <c r="D2509" t="s">
        <v>99</v>
      </c>
      <c r="E2509" t="s">
        <v>92</v>
      </c>
      <c r="F2509">
        <v>2700</v>
      </c>
      <c r="G2509" t="s">
        <v>331</v>
      </c>
      <c r="H2509" s="15">
        <v>45292</v>
      </c>
      <c r="I2509">
        <v>2700</v>
      </c>
      <c r="J2509">
        <v>0</v>
      </c>
    </row>
    <row r="2510" spans="1:10" x14ac:dyDescent="0.3">
      <c r="A2510" s="15">
        <v>45597</v>
      </c>
      <c r="B2510" t="s">
        <v>109</v>
      </c>
      <c r="C2510" t="s">
        <v>110</v>
      </c>
      <c r="D2510" t="s">
        <v>82</v>
      </c>
      <c r="E2510" t="s">
        <v>103</v>
      </c>
      <c r="F2510">
        <v>32700</v>
      </c>
      <c r="G2510" t="s">
        <v>331</v>
      </c>
      <c r="H2510" s="15">
        <v>45292</v>
      </c>
      <c r="I2510">
        <v>32700</v>
      </c>
      <c r="J2510">
        <v>0</v>
      </c>
    </row>
    <row r="2511" spans="1:10" x14ac:dyDescent="0.3">
      <c r="A2511" s="15">
        <v>45597</v>
      </c>
      <c r="B2511" t="s">
        <v>111</v>
      </c>
      <c r="C2511" t="s">
        <v>91</v>
      </c>
      <c r="D2511" t="s">
        <v>82</v>
      </c>
      <c r="E2511" t="s">
        <v>83</v>
      </c>
      <c r="F2511">
        <v>8800</v>
      </c>
      <c r="G2511" t="s">
        <v>331</v>
      </c>
      <c r="H2511" s="15">
        <v>45292</v>
      </c>
      <c r="I2511">
        <v>8800</v>
      </c>
      <c r="J2511">
        <v>0</v>
      </c>
    </row>
    <row r="2512" spans="1:10" x14ac:dyDescent="0.3">
      <c r="A2512" s="15">
        <v>45597</v>
      </c>
      <c r="B2512" t="s">
        <v>112</v>
      </c>
      <c r="C2512" t="s">
        <v>91</v>
      </c>
      <c r="D2512" t="s">
        <v>82</v>
      </c>
      <c r="E2512" t="s">
        <v>92</v>
      </c>
      <c r="F2512">
        <v>8600</v>
      </c>
      <c r="G2512" t="s">
        <v>331</v>
      </c>
      <c r="H2512" s="15">
        <v>45292</v>
      </c>
      <c r="I2512">
        <v>8600</v>
      </c>
      <c r="J2512">
        <v>0</v>
      </c>
    </row>
    <row r="2513" spans="1:10" x14ac:dyDescent="0.3">
      <c r="A2513" s="15">
        <v>45597</v>
      </c>
      <c r="B2513" t="s">
        <v>113</v>
      </c>
      <c r="C2513" t="s">
        <v>81</v>
      </c>
      <c r="D2513" t="s">
        <v>96</v>
      </c>
      <c r="E2513" t="s">
        <v>89</v>
      </c>
      <c r="F2513">
        <v>2500</v>
      </c>
      <c r="G2513" t="s">
        <v>331</v>
      </c>
      <c r="H2513" s="15">
        <v>45292</v>
      </c>
      <c r="I2513">
        <v>2500</v>
      </c>
      <c r="J2513">
        <v>0</v>
      </c>
    </row>
    <row r="2514" spans="1:10" x14ac:dyDescent="0.3">
      <c r="A2514" s="15">
        <v>45597</v>
      </c>
      <c r="B2514" t="s">
        <v>114</v>
      </c>
      <c r="C2514" t="s">
        <v>110</v>
      </c>
      <c r="D2514" t="s">
        <v>99</v>
      </c>
      <c r="E2514" t="s">
        <v>97</v>
      </c>
      <c r="F2514">
        <v>41600</v>
      </c>
      <c r="G2514" t="s">
        <v>331</v>
      </c>
      <c r="H2514" s="15">
        <v>45292</v>
      </c>
      <c r="I2514">
        <v>41600</v>
      </c>
      <c r="J2514">
        <v>0</v>
      </c>
    </row>
    <row r="2515" spans="1:10" x14ac:dyDescent="0.3">
      <c r="A2515" s="15">
        <v>45597</v>
      </c>
      <c r="B2515" t="s">
        <v>115</v>
      </c>
      <c r="C2515" t="s">
        <v>81</v>
      </c>
      <c r="D2515" t="s">
        <v>82</v>
      </c>
      <c r="E2515" t="s">
        <v>101</v>
      </c>
      <c r="F2515">
        <v>2600</v>
      </c>
      <c r="G2515" t="s">
        <v>331</v>
      </c>
      <c r="H2515" s="15">
        <v>45292</v>
      </c>
      <c r="I2515">
        <v>2600</v>
      </c>
      <c r="J2515">
        <v>0</v>
      </c>
    </row>
    <row r="2516" spans="1:10" x14ac:dyDescent="0.3">
      <c r="A2516" s="15">
        <v>45597</v>
      </c>
      <c r="B2516" t="s">
        <v>116</v>
      </c>
      <c r="C2516" t="s">
        <v>81</v>
      </c>
      <c r="D2516" t="s">
        <v>86</v>
      </c>
      <c r="E2516" t="s">
        <v>87</v>
      </c>
      <c r="F2516">
        <v>2900</v>
      </c>
      <c r="G2516" t="s">
        <v>331</v>
      </c>
      <c r="H2516" s="15">
        <v>45292</v>
      </c>
      <c r="I2516">
        <v>2900</v>
      </c>
      <c r="J2516">
        <v>0</v>
      </c>
    </row>
    <row r="2517" spans="1:10" x14ac:dyDescent="0.3">
      <c r="A2517" s="15">
        <v>45597</v>
      </c>
      <c r="B2517" t="s">
        <v>117</v>
      </c>
      <c r="C2517" t="s">
        <v>81</v>
      </c>
      <c r="D2517" t="s">
        <v>86</v>
      </c>
      <c r="E2517" t="s">
        <v>103</v>
      </c>
      <c r="F2517">
        <v>2500</v>
      </c>
      <c r="G2517" t="s">
        <v>331</v>
      </c>
      <c r="H2517" s="15">
        <v>45292</v>
      </c>
      <c r="I2517">
        <v>2500</v>
      </c>
      <c r="J2517">
        <v>0</v>
      </c>
    </row>
    <row r="2518" spans="1:10" x14ac:dyDescent="0.3">
      <c r="A2518" s="15">
        <v>45597</v>
      </c>
      <c r="B2518" t="s">
        <v>118</v>
      </c>
      <c r="C2518" t="s">
        <v>81</v>
      </c>
      <c r="D2518" t="s">
        <v>82</v>
      </c>
      <c r="E2518" t="s">
        <v>103</v>
      </c>
      <c r="F2518">
        <v>2900</v>
      </c>
      <c r="G2518" t="s">
        <v>331</v>
      </c>
      <c r="H2518" s="15">
        <v>45292</v>
      </c>
      <c r="I2518">
        <v>2900</v>
      </c>
      <c r="J2518">
        <v>0</v>
      </c>
    </row>
    <row r="2519" spans="1:10" x14ac:dyDescent="0.3">
      <c r="A2519" s="15">
        <v>45597</v>
      </c>
      <c r="B2519" t="s">
        <v>119</v>
      </c>
      <c r="C2519" t="s">
        <v>91</v>
      </c>
      <c r="D2519" t="s">
        <v>96</v>
      </c>
      <c r="E2519" t="s">
        <v>89</v>
      </c>
      <c r="F2519">
        <v>12800</v>
      </c>
      <c r="G2519" t="s">
        <v>331</v>
      </c>
      <c r="H2519" s="15">
        <v>45292</v>
      </c>
      <c r="I2519">
        <v>12800</v>
      </c>
      <c r="J2519">
        <v>0</v>
      </c>
    </row>
    <row r="2520" spans="1:10" x14ac:dyDescent="0.3">
      <c r="A2520" s="15">
        <v>45597</v>
      </c>
      <c r="B2520" t="s">
        <v>120</v>
      </c>
      <c r="C2520" t="s">
        <v>81</v>
      </c>
      <c r="D2520" t="s">
        <v>86</v>
      </c>
      <c r="E2520" t="s">
        <v>101</v>
      </c>
      <c r="F2520">
        <v>2200</v>
      </c>
      <c r="G2520" t="s">
        <v>331</v>
      </c>
      <c r="H2520" s="15">
        <v>45292</v>
      </c>
      <c r="I2520">
        <v>2200</v>
      </c>
      <c r="J2520">
        <v>0</v>
      </c>
    </row>
    <row r="2521" spans="1:10" x14ac:dyDescent="0.3">
      <c r="A2521" s="15">
        <v>45597</v>
      </c>
      <c r="B2521" t="s">
        <v>123</v>
      </c>
      <c r="C2521" t="s">
        <v>81</v>
      </c>
      <c r="D2521" t="s">
        <v>82</v>
      </c>
      <c r="E2521" t="s">
        <v>92</v>
      </c>
      <c r="F2521">
        <v>2200</v>
      </c>
      <c r="G2521" t="s">
        <v>331</v>
      </c>
      <c r="H2521" s="15">
        <v>45292</v>
      </c>
      <c r="I2521">
        <v>2200</v>
      </c>
      <c r="J2521">
        <v>0</v>
      </c>
    </row>
    <row r="2522" spans="1:10" x14ac:dyDescent="0.3">
      <c r="A2522" s="15">
        <v>45597</v>
      </c>
      <c r="B2522" t="s">
        <v>124</v>
      </c>
      <c r="C2522" t="s">
        <v>125</v>
      </c>
      <c r="D2522" t="s">
        <v>82</v>
      </c>
      <c r="E2522" t="s">
        <v>97</v>
      </c>
      <c r="F2522">
        <v>67900</v>
      </c>
      <c r="G2522" t="s">
        <v>331</v>
      </c>
      <c r="H2522" s="15">
        <v>45292</v>
      </c>
      <c r="I2522">
        <v>67900</v>
      </c>
      <c r="J2522">
        <v>0</v>
      </c>
    </row>
    <row r="2523" spans="1:10" x14ac:dyDescent="0.3">
      <c r="A2523" s="15">
        <v>45597</v>
      </c>
      <c r="B2523" t="s">
        <v>126</v>
      </c>
      <c r="C2523" t="s">
        <v>91</v>
      </c>
      <c r="D2523" t="s">
        <v>82</v>
      </c>
      <c r="E2523" t="s">
        <v>83</v>
      </c>
      <c r="F2523">
        <v>8800</v>
      </c>
      <c r="G2523" t="s">
        <v>331</v>
      </c>
      <c r="H2523" s="15">
        <v>45292</v>
      </c>
      <c r="I2523">
        <v>8800</v>
      </c>
      <c r="J2523">
        <v>0</v>
      </c>
    </row>
    <row r="2524" spans="1:10" x14ac:dyDescent="0.3">
      <c r="A2524" s="15">
        <v>45597</v>
      </c>
      <c r="B2524" t="s">
        <v>127</v>
      </c>
      <c r="C2524" t="s">
        <v>81</v>
      </c>
      <c r="D2524" t="s">
        <v>82</v>
      </c>
      <c r="E2524" t="s">
        <v>101</v>
      </c>
      <c r="F2524">
        <v>2100</v>
      </c>
      <c r="G2524" t="s">
        <v>331</v>
      </c>
      <c r="H2524" s="15">
        <v>45292</v>
      </c>
      <c r="I2524">
        <v>2100</v>
      </c>
      <c r="J2524">
        <v>0</v>
      </c>
    </row>
    <row r="2525" spans="1:10" x14ac:dyDescent="0.3">
      <c r="A2525" s="15">
        <v>45597</v>
      </c>
      <c r="B2525" t="s">
        <v>128</v>
      </c>
      <c r="C2525" t="s">
        <v>81</v>
      </c>
      <c r="D2525" t="s">
        <v>82</v>
      </c>
      <c r="E2525" t="s">
        <v>92</v>
      </c>
      <c r="F2525">
        <v>1700</v>
      </c>
      <c r="G2525" t="s">
        <v>331</v>
      </c>
      <c r="H2525" s="15">
        <v>45292</v>
      </c>
      <c r="I2525">
        <v>1700</v>
      </c>
      <c r="J2525">
        <v>0</v>
      </c>
    </row>
    <row r="2526" spans="1:10" x14ac:dyDescent="0.3">
      <c r="A2526" s="15">
        <v>45597</v>
      </c>
      <c r="B2526" t="s">
        <v>129</v>
      </c>
      <c r="C2526" t="s">
        <v>110</v>
      </c>
      <c r="D2526" t="s">
        <v>86</v>
      </c>
      <c r="E2526" t="s">
        <v>92</v>
      </c>
      <c r="F2526">
        <v>34200</v>
      </c>
      <c r="G2526" t="s">
        <v>334</v>
      </c>
      <c r="H2526" s="15">
        <v>45292</v>
      </c>
      <c r="I2526">
        <v>36700</v>
      </c>
      <c r="J2526">
        <v>-2500</v>
      </c>
    </row>
    <row r="2527" spans="1:10" x14ac:dyDescent="0.3">
      <c r="A2527" s="15">
        <v>45597</v>
      </c>
      <c r="B2527" t="s">
        <v>131</v>
      </c>
      <c r="C2527" t="s">
        <v>81</v>
      </c>
      <c r="D2527" t="s">
        <v>86</v>
      </c>
      <c r="E2527" t="s">
        <v>101</v>
      </c>
      <c r="F2527">
        <v>1900</v>
      </c>
      <c r="G2527" t="s">
        <v>331</v>
      </c>
      <c r="H2527" s="15">
        <v>45292</v>
      </c>
      <c r="I2527">
        <v>1900</v>
      </c>
      <c r="J2527">
        <v>0</v>
      </c>
    </row>
    <row r="2528" spans="1:10" x14ac:dyDescent="0.3">
      <c r="A2528" s="15">
        <v>45597</v>
      </c>
      <c r="B2528" t="s">
        <v>133</v>
      </c>
      <c r="C2528" t="s">
        <v>81</v>
      </c>
      <c r="D2528" t="s">
        <v>96</v>
      </c>
      <c r="E2528" t="s">
        <v>87</v>
      </c>
      <c r="F2528">
        <v>2700</v>
      </c>
      <c r="G2528" t="s">
        <v>331</v>
      </c>
      <c r="H2528" s="15">
        <v>45292</v>
      </c>
      <c r="I2528">
        <v>2700</v>
      </c>
      <c r="J2528">
        <v>0</v>
      </c>
    </row>
    <row r="2529" spans="1:10" x14ac:dyDescent="0.3">
      <c r="A2529" s="15">
        <v>45597</v>
      </c>
      <c r="B2529" t="s">
        <v>134</v>
      </c>
      <c r="C2529" t="s">
        <v>81</v>
      </c>
      <c r="D2529" t="s">
        <v>82</v>
      </c>
      <c r="E2529" t="s">
        <v>92</v>
      </c>
      <c r="F2529">
        <v>2900</v>
      </c>
      <c r="G2529" t="s">
        <v>331</v>
      </c>
      <c r="H2529" s="15">
        <v>45292</v>
      </c>
      <c r="I2529">
        <v>2900</v>
      </c>
      <c r="J2529">
        <v>0</v>
      </c>
    </row>
    <row r="2530" spans="1:10" x14ac:dyDescent="0.3">
      <c r="A2530" s="15">
        <v>45597</v>
      </c>
      <c r="B2530" t="s">
        <v>135</v>
      </c>
      <c r="C2530" t="s">
        <v>81</v>
      </c>
      <c r="D2530" t="s">
        <v>82</v>
      </c>
      <c r="E2530" t="s">
        <v>103</v>
      </c>
      <c r="F2530">
        <v>2800</v>
      </c>
      <c r="G2530" t="s">
        <v>331</v>
      </c>
      <c r="H2530" s="15">
        <v>45292</v>
      </c>
      <c r="I2530">
        <v>2800</v>
      </c>
      <c r="J2530">
        <v>0</v>
      </c>
    </row>
    <row r="2531" spans="1:10" x14ac:dyDescent="0.3">
      <c r="A2531" s="15">
        <v>45597</v>
      </c>
      <c r="B2531" t="s">
        <v>136</v>
      </c>
      <c r="C2531" t="s">
        <v>81</v>
      </c>
      <c r="D2531" t="s">
        <v>82</v>
      </c>
      <c r="E2531" t="s">
        <v>101</v>
      </c>
      <c r="F2531">
        <v>2900</v>
      </c>
      <c r="G2531" t="s">
        <v>331</v>
      </c>
      <c r="H2531" s="15">
        <v>45292</v>
      </c>
      <c r="I2531">
        <v>2900</v>
      </c>
      <c r="J2531">
        <v>0</v>
      </c>
    </row>
    <row r="2532" spans="1:10" x14ac:dyDescent="0.3">
      <c r="A2532" s="15">
        <v>45597</v>
      </c>
      <c r="B2532" t="s">
        <v>137</v>
      </c>
      <c r="C2532" t="s">
        <v>81</v>
      </c>
      <c r="D2532" t="s">
        <v>82</v>
      </c>
      <c r="E2532" t="s">
        <v>89</v>
      </c>
      <c r="F2532">
        <v>1700</v>
      </c>
      <c r="G2532" t="s">
        <v>331</v>
      </c>
      <c r="H2532" s="15">
        <v>45292</v>
      </c>
      <c r="I2532">
        <v>1700</v>
      </c>
      <c r="J2532">
        <v>0</v>
      </c>
    </row>
    <row r="2533" spans="1:10" x14ac:dyDescent="0.3">
      <c r="A2533" s="15">
        <v>45597</v>
      </c>
      <c r="B2533" t="s">
        <v>138</v>
      </c>
      <c r="C2533" t="s">
        <v>81</v>
      </c>
      <c r="D2533" t="s">
        <v>86</v>
      </c>
      <c r="E2533" t="s">
        <v>97</v>
      </c>
      <c r="F2533">
        <v>3300</v>
      </c>
      <c r="G2533" t="s">
        <v>331</v>
      </c>
      <c r="H2533" s="15">
        <v>45292</v>
      </c>
      <c r="I2533">
        <v>3300</v>
      </c>
      <c r="J2533">
        <v>0</v>
      </c>
    </row>
    <row r="2534" spans="1:10" x14ac:dyDescent="0.3">
      <c r="A2534" s="15">
        <v>45597</v>
      </c>
      <c r="B2534" t="s">
        <v>139</v>
      </c>
      <c r="C2534" t="s">
        <v>91</v>
      </c>
      <c r="D2534" t="s">
        <v>82</v>
      </c>
      <c r="E2534" t="s">
        <v>103</v>
      </c>
      <c r="F2534">
        <v>6800</v>
      </c>
      <c r="G2534" t="s">
        <v>331</v>
      </c>
      <c r="H2534" s="15">
        <v>45292</v>
      </c>
      <c r="I2534">
        <v>6800</v>
      </c>
      <c r="J2534">
        <v>0</v>
      </c>
    </row>
    <row r="2535" spans="1:10" x14ac:dyDescent="0.3">
      <c r="A2535" s="15">
        <v>45597</v>
      </c>
      <c r="B2535" t="s">
        <v>141</v>
      </c>
      <c r="C2535" t="s">
        <v>125</v>
      </c>
      <c r="D2535" t="s">
        <v>99</v>
      </c>
      <c r="E2535" t="s">
        <v>103</v>
      </c>
      <c r="F2535">
        <v>117900</v>
      </c>
      <c r="G2535" t="s">
        <v>332</v>
      </c>
      <c r="H2535" s="15">
        <v>45292</v>
      </c>
      <c r="I2535">
        <v>106100</v>
      </c>
      <c r="J2535">
        <v>11800</v>
      </c>
    </row>
    <row r="2536" spans="1:10" x14ac:dyDescent="0.3">
      <c r="A2536" s="15">
        <v>45597</v>
      </c>
      <c r="B2536" t="s">
        <v>142</v>
      </c>
      <c r="C2536" t="s">
        <v>125</v>
      </c>
      <c r="D2536" t="s">
        <v>82</v>
      </c>
      <c r="E2536" t="s">
        <v>92</v>
      </c>
      <c r="F2536">
        <v>93300</v>
      </c>
      <c r="G2536" t="s">
        <v>331</v>
      </c>
      <c r="H2536" s="15">
        <v>45292</v>
      </c>
      <c r="I2536">
        <v>93300</v>
      </c>
      <c r="J2536">
        <v>0</v>
      </c>
    </row>
    <row r="2537" spans="1:10" x14ac:dyDescent="0.3">
      <c r="A2537" s="15">
        <v>45597</v>
      </c>
      <c r="B2537" t="s">
        <v>143</v>
      </c>
      <c r="C2537" t="s">
        <v>91</v>
      </c>
      <c r="D2537" t="s">
        <v>99</v>
      </c>
      <c r="E2537" t="s">
        <v>103</v>
      </c>
      <c r="F2537">
        <v>8000</v>
      </c>
      <c r="G2537" t="s">
        <v>331</v>
      </c>
      <c r="H2537" s="15">
        <v>45292</v>
      </c>
      <c r="I2537">
        <v>8000</v>
      </c>
      <c r="J2537">
        <v>0</v>
      </c>
    </row>
    <row r="2538" spans="1:10" x14ac:dyDescent="0.3">
      <c r="A2538" s="15">
        <v>45597</v>
      </c>
      <c r="B2538" t="s">
        <v>144</v>
      </c>
      <c r="C2538" t="s">
        <v>81</v>
      </c>
      <c r="D2538" t="s">
        <v>82</v>
      </c>
      <c r="E2538" t="s">
        <v>92</v>
      </c>
      <c r="F2538">
        <v>2400</v>
      </c>
      <c r="G2538" t="s">
        <v>331</v>
      </c>
      <c r="H2538" s="15">
        <v>45292</v>
      </c>
      <c r="I2538">
        <v>2400</v>
      </c>
      <c r="J2538">
        <v>0</v>
      </c>
    </row>
    <row r="2539" spans="1:10" x14ac:dyDescent="0.3">
      <c r="A2539" s="15">
        <v>45597</v>
      </c>
      <c r="B2539" t="s">
        <v>145</v>
      </c>
      <c r="C2539" t="s">
        <v>91</v>
      </c>
      <c r="D2539" t="s">
        <v>82</v>
      </c>
      <c r="E2539" t="s">
        <v>87</v>
      </c>
      <c r="F2539">
        <v>8200</v>
      </c>
      <c r="G2539" t="s">
        <v>331</v>
      </c>
      <c r="H2539" s="15">
        <v>45292</v>
      </c>
      <c r="I2539">
        <v>8200</v>
      </c>
      <c r="J2539">
        <v>0</v>
      </c>
    </row>
    <row r="2540" spans="1:10" x14ac:dyDescent="0.3">
      <c r="A2540" s="15">
        <v>45597</v>
      </c>
      <c r="B2540" t="s">
        <v>146</v>
      </c>
      <c r="C2540" t="s">
        <v>91</v>
      </c>
      <c r="D2540" t="s">
        <v>86</v>
      </c>
      <c r="E2540" t="s">
        <v>87</v>
      </c>
      <c r="F2540">
        <v>9200</v>
      </c>
      <c r="G2540" t="s">
        <v>331</v>
      </c>
      <c r="H2540" s="15">
        <v>45292</v>
      </c>
      <c r="I2540">
        <v>9200</v>
      </c>
      <c r="J2540">
        <v>0</v>
      </c>
    </row>
    <row r="2541" spans="1:10" x14ac:dyDescent="0.3">
      <c r="A2541" s="15">
        <v>45597</v>
      </c>
      <c r="B2541" t="s">
        <v>148</v>
      </c>
      <c r="C2541" t="s">
        <v>110</v>
      </c>
      <c r="D2541" t="s">
        <v>86</v>
      </c>
      <c r="E2541" t="s">
        <v>89</v>
      </c>
      <c r="F2541">
        <v>25100</v>
      </c>
      <c r="G2541" t="s">
        <v>331</v>
      </c>
      <c r="H2541" s="15">
        <v>45292</v>
      </c>
      <c r="I2541">
        <v>25100</v>
      </c>
      <c r="J2541">
        <v>0</v>
      </c>
    </row>
    <row r="2542" spans="1:10" x14ac:dyDescent="0.3">
      <c r="A2542" s="15">
        <v>45597</v>
      </c>
      <c r="B2542" t="s">
        <v>149</v>
      </c>
      <c r="C2542" t="s">
        <v>110</v>
      </c>
      <c r="D2542" t="s">
        <v>82</v>
      </c>
      <c r="E2542" t="s">
        <v>103</v>
      </c>
      <c r="F2542">
        <v>31000</v>
      </c>
      <c r="G2542" t="s">
        <v>331</v>
      </c>
      <c r="H2542" s="15">
        <v>45292</v>
      </c>
      <c r="I2542">
        <v>31000</v>
      </c>
      <c r="J2542">
        <v>0</v>
      </c>
    </row>
    <row r="2543" spans="1:10" x14ac:dyDescent="0.3">
      <c r="A2543" s="15">
        <v>45597</v>
      </c>
      <c r="B2543" t="s">
        <v>150</v>
      </c>
      <c r="C2543" t="s">
        <v>91</v>
      </c>
      <c r="D2543" t="s">
        <v>99</v>
      </c>
      <c r="E2543" t="s">
        <v>101</v>
      </c>
      <c r="F2543">
        <v>8700</v>
      </c>
      <c r="G2543" t="s">
        <v>331</v>
      </c>
      <c r="H2543" s="15">
        <v>45292</v>
      </c>
      <c r="I2543">
        <v>8700</v>
      </c>
      <c r="J2543">
        <v>0</v>
      </c>
    </row>
    <row r="2544" spans="1:10" x14ac:dyDescent="0.3">
      <c r="A2544" s="15">
        <v>45597</v>
      </c>
      <c r="B2544" t="s">
        <v>151</v>
      </c>
      <c r="C2544" t="s">
        <v>91</v>
      </c>
      <c r="D2544" t="s">
        <v>82</v>
      </c>
      <c r="E2544" t="s">
        <v>97</v>
      </c>
      <c r="F2544">
        <v>6800</v>
      </c>
      <c r="G2544" t="s">
        <v>331</v>
      </c>
      <c r="H2544" s="15">
        <v>45292</v>
      </c>
      <c r="I2544">
        <v>6800</v>
      </c>
      <c r="J2544">
        <v>0</v>
      </c>
    </row>
    <row r="2545" spans="1:10" x14ac:dyDescent="0.3">
      <c r="A2545" s="15">
        <v>45597</v>
      </c>
      <c r="B2545" t="s">
        <v>152</v>
      </c>
      <c r="C2545" t="s">
        <v>81</v>
      </c>
      <c r="D2545" t="s">
        <v>99</v>
      </c>
      <c r="E2545" t="s">
        <v>87</v>
      </c>
      <c r="F2545">
        <v>3100</v>
      </c>
      <c r="G2545" t="s">
        <v>331</v>
      </c>
      <c r="H2545" s="15">
        <v>45292</v>
      </c>
      <c r="I2545">
        <v>3100</v>
      </c>
      <c r="J2545">
        <v>0</v>
      </c>
    </row>
    <row r="2546" spans="1:10" x14ac:dyDescent="0.3">
      <c r="A2546" s="15">
        <v>45597</v>
      </c>
      <c r="B2546" t="s">
        <v>153</v>
      </c>
      <c r="C2546" t="s">
        <v>110</v>
      </c>
      <c r="D2546" t="s">
        <v>99</v>
      </c>
      <c r="E2546" t="s">
        <v>87</v>
      </c>
      <c r="F2546">
        <v>31500</v>
      </c>
      <c r="G2546" t="s">
        <v>331</v>
      </c>
      <c r="H2546" s="15">
        <v>45292</v>
      </c>
      <c r="I2546">
        <v>31500</v>
      </c>
      <c r="J2546">
        <v>0</v>
      </c>
    </row>
    <row r="2547" spans="1:10" x14ac:dyDescent="0.3">
      <c r="A2547" s="15">
        <v>45597</v>
      </c>
      <c r="B2547" t="s">
        <v>154</v>
      </c>
      <c r="C2547" t="s">
        <v>91</v>
      </c>
      <c r="D2547" t="s">
        <v>86</v>
      </c>
      <c r="E2547" t="s">
        <v>103</v>
      </c>
      <c r="F2547">
        <v>8800</v>
      </c>
      <c r="G2547" t="s">
        <v>331</v>
      </c>
      <c r="H2547" s="15">
        <v>45292</v>
      </c>
      <c r="I2547">
        <v>8800</v>
      </c>
      <c r="J2547">
        <v>0</v>
      </c>
    </row>
    <row r="2548" spans="1:10" x14ac:dyDescent="0.3">
      <c r="A2548" s="15">
        <v>45597</v>
      </c>
      <c r="B2548" t="s">
        <v>155</v>
      </c>
      <c r="C2548" t="s">
        <v>91</v>
      </c>
      <c r="D2548" t="s">
        <v>82</v>
      </c>
      <c r="E2548" t="s">
        <v>92</v>
      </c>
      <c r="F2548">
        <v>7100</v>
      </c>
      <c r="G2548" t="s">
        <v>331</v>
      </c>
      <c r="H2548" s="15">
        <v>45292</v>
      </c>
      <c r="I2548">
        <v>7100</v>
      </c>
      <c r="J2548">
        <v>0</v>
      </c>
    </row>
    <row r="2549" spans="1:10" x14ac:dyDescent="0.3">
      <c r="A2549" s="15">
        <v>45597</v>
      </c>
      <c r="B2549" t="s">
        <v>156</v>
      </c>
      <c r="C2549" t="s">
        <v>81</v>
      </c>
      <c r="D2549" t="s">
        <v>86</v>
      </c>
      <c r="E2549" t="s">
        <v>101</v>
      </c>
      <c r="F2549">
        <v>2300</v>
      </c>
      <c r="G2549" t="s">
        <v>331</v>
      </c>
      <c r="H2549" s="15">
        <v>45292</v>
      </c>
      <c r="I2549">
        <v>2300</v>
      </c>
      <c r="J2549">
        <v>0</v>
      </c>
    </row>
    <row r="2550" spans="1:10" x14ac:dyDescent="0.3">
      <c r="A2550" s="15">
        <v>45597</v>
      </c>
      <c r="B2550" t="s">
        <v>157</v>
      </c>
      <c r="C2550" t="s">
        <v>81</v>
      </c>
      <c r="D2550" t="s">
        <v>82</v>
      </c>
      <c r="E2550" t="s">
        <v>92</v>
      </c>
      <c r="F2550">
        <v>1800</v>
      </c>
      <c r="G2550" t="s">
        <v>331</v>
      </c>
      <c r="H2550" s="15">
        <v>45292</v>
      </c>
      <c r="I2550">
        <v>1800</v>
      </c>
      <c r="J2550">
        <v>0</v>
      </c>
    </row>
    <row r="2551" spans="1:10" x14ac:dyDescent="0.3">
      <c r="A2551" s="15">
        <v>45597</v>
      </c>
      <c r="B2551" t="s">
        <v>158</v>
      </c>
      <c r="C2551" t="s">
        <v>91</v>
      </c>
      <c r="D2551" t="s">
        <v>96</v>
      </c>
      <c r="E2551" t="s">
        <v>83</v>
      </c>
      <c r="F2551">
        <v>11400</v>
      </c>
      <c r="G2551" t="s">
        <v>331</v>
      </c>
      <c r="H2551" s="15">
        <v>45292</v>
      </c>
      <c r="I2551">
        <v>11400</v>
      </c>
      <c r="J2551">
        <v>0</v>
      </c>
    </row>
    <row r="2552" spans="1:10" x14ac:dyDescent="0.3">
      <c r="A2552" s="15">
        <v>45597</v>
      </c>
      <c r="B2552" t="s">
        <v>159</v>
      </c>
      <c r="C2552" t="s">
        <v>81</v>
      </c>
      <c r="D2552" t="s">
        <v>86</v>
      </c>
      <c r="E2552" t="s">
        <v>87</v>
      </c>
      <c r="F2552">
        <v>2400</v>
      </c>
      <c r="G2552" t="s">
        <v>331</v>
      </c>
      <c r="H2552" s="15">
        <v>45292</v>
      </c>
      <c r="I2552">
        <v>2400</v>
      </c>
      <c r="J2552">
        <v>0</v>
      </c>
    </row>
    <row r="2553" spans="1:10" x14ac:dyDescent="0.3">
      <c r="A2553" s="15">
        <v>45597</v>
      </c>
      <c r="B2553" t="s">
        <v>161</v>
      </c>
      <c r="C2553" t="s">
        <v>91</v>
      </c>
      <c r="D2553" t="s">
        <v>99</v>
      </c>
      <c r="E2553" t="s">
        <v>83</v>
      </c>
      <c r="F2553">
        <v>10700</v>
      </c>
      <c r="G2553" t="s">
        <v>331</v>
      </c>
      <c r="H2553" s="15">
        <v>45292</v>
      </c>
      <c r="I2553">
        <v>10700</v>
      </c>
      <c r="J2553">
        <v>0</v>
      </c>
    </row>
    <row r="2554" spans="1:10" x14ac:dyDescent="0.3">
      <c r="A2554" s="15">
        <v>45597</v>
      </c>
      <c r="B2554" t="s">
        <v>162</v>
      </c>
      <c r="C2554" t="s">
        <v>91</v>
      </c>
      <c r="D2554" t="s">
        <v>82</v>
      </c>
      <c r="E2554" t="s">
        <v>103</v>
      </c>
      <c r="F2554">
        <v>12700</v>
      </c>
      <c r="G2554" t="s">
        <v>331</v>
      </c>
      <c r="H2554" s="15">
        <v>45292</v>
      </c>
      <c r="I2554">
        <v>12700</v>
      </c>
      <c r="J2554">
        <v>0</v>
      </c>
    </row>
    <row r="2555" spans="1:10" x14ac:dyDescent="0.3">
      <c r="A2555" s="15">
        <v>45597</v>
      </c>
      <c r="B2555" t="s">
        <v>164</v>
      </c>
      <c r="C2555" t="s">
        <v>81</v>
      </c>
      <c r="D2555" t="s">
        <v>99</v>
      </c>
      <c r="E2555" t="s">
        <v>89</v>
      </c>
      <c r="F2555">
        <v>2500</v>
      </c>
      <c r="G2555" t="s">
        <v>331</v>
      </c>
      <c r="H2555" s="15">
        <v>45292</v>
      </c>
      <c r="I2555">
        <v>2500</v>
      </c>
      <c r="J2555">
        <v>0</v>
      </c>
    </row>
    <row r="2556" spans="1:10" x14ac:dyDescent="0.3">
      <c r="A2556" s="15">
        <v>45597</v>
      </c>
      <c r="B2556" t="s">
        <v>165</v>
      </c>
      <c r="C2556" t="s">
        <v>81</v>
      </c>
      <c r="D2556" t="s">
        <v>82</v>
      </c>
      <c r="E2556" t="s">
        <v>97</v>
      </c>
      <c r="F2556">
        <v>2700</v>
      </c>
      <c r="G2556" t="s">
        <v>331</v>
      </c>
      <c r="H2556" s="15">
        <v>45292</v>
      </c>
      <c r="I2556">
        <v>2700</v>
      </c>
      <c r="J2556">
        <v>0</v>
      </c>
    </row>
    <row r="2557" spans="1:10" x14ac:dyDescent="0.3">
      <c r="A2557" s="15">
        <v>45597</v>
      </c>
      <c r="B2557" t="s">
        <v>166</v>
      </c>
      <c r="C2557" t="s">
        <v>81</v>
      </c>
      <c r="D2557" t="s">
        <v>99</v>
      </c>
      <c r="E2557" t="s">
        <v>103</v>
      </c>
      <c r="F2557">
        <v>2600</v>
      </c>
      <c r="G2557" t="s">
        <v>331</v>
      </c>
      <c r="H2557" s="15">
        <v>45292</v>
      </c>
      <c r="I2557">
        <v>2600</v>
      </c>
      <c r="J2557">
        <v>0</v>
      </c>
    </row>
    <row r="2558" spans="1:10" x14ac:dyDescent="0.3">
      <c r="A2558" s="15">
        <v>45597</v>
      </c>
      <c r="B2558" t="s">
        <v>167</v>
      </c>
      <c r="C2558" t="s">
        <v>81</v>
      </c>
      <c r="D2558" t="s">
        <v>82</v>
      </c>
      <c r="E2558" t="s">
        <v>97</v>
      </c>
      <c r="F2558">
        <v>2100</v>
      </c>
      <c r="G2558" t="s">
        <v>331</v>
      </c>
      <c r="H2558" s="15">
        <v>45292</v>
      </c>
      <c r="I2558">
        <v>2100</v>
      </c>
      <c r="J2558">
        <v>0</v>
      </c>
    </row>
    <row r="2559" spans="1:10" x14ac:dyDescent="0.3">
      <c r="A2559" s="15">
        <v>45597</v>
      </c>
      <c r="B2559" t="s">
        <v>168</v>
      </c>
      <c r="C2559" t="s">
        <v>91</v>
      </c>
      <c r="D2559" t="s">
        <v>86</v>
      </c>
      <c r="E2559" t="s">
        <v>103</v>
      </c>
      <c r="F2559">
        <v>12300</v>
      </c>
      <c r="G2559" t="s">
        <v>331</v>
      </c>
      <c r="H2559" s="15">
        <v>45292</v>
      </c>
      <c r="I2559">
        <v>12300</v>
      </c>
      <c r="J2559">
        <v>0</v>
      </c>
    </row>
    <row r="2560" spans="1:10" x14ac:dyDescent="0.3">
      <c r="A2560" s="15">
        <v>45597</v>
      </c>
      <c r="B2560" t="s">
        <v>169</v>
      </c>
      <c r="C2560" t="s">
        <v>81</v>
      </c>
      <c r="D2560" t="s">
        <v>86</v>
      </c>
      <c r="E2560" t="s">
        <v>103</v>
      </c>
      <c r="F2560">
        <v>2000</v>
      </c>
      <c r="G2560" t="s">
        <v>331</v>
      </c>
      <c r="H2560" s="15">
        <v>45292</v>
      </c>
      <c r="I2560">
        <v>2000</v>
      </c>
      <c r="J2560">
        <v>0</v>
      </c>
    </row>
    <row r="2561" spans="1:10" x14ac:dyDescent="0.3">
      <c r="A2561" s="15">
        <v>45597</v>
      </c>
      <c r="B2561" t="s">
        <v>170</v>
      </c>
      <c r="C2561" t="s">
        <v>91</v>
      </c>
      <c r="D2561" t="s">
        <v>99</v>
      </c>
      <c r="E2561" t="s">
        <v>83</v>
      </c>
      <c r="F2561">
        <v>6500</v>
      </c>
      <c r="G2561" t="s">
        <v>331</v>
      </c>
      <c r="H2561" s="15">
        <v>45292</v>
      </c>
      <c r="I2561">
        <v>6500</v>
      </c>
      <c r="J2561">
        <v>0</v>
      </c>
    </row>
    <row r="2562" spans="1:10" x14ac:dyDescent="0.3">
      <c r="A2562" s="15">
        <v>45597</v>
      </c>
      <c r="B2562" t="s">
        <v>171</v>
      </c>
      <c r="C2562" t="s">
        <v>81</v>
      </c>
      <c r="D2562" t="s">
        <v>99</v>
      </c>
      <c r="E2562" t="s">
        <v>97</v>
      </c>
      <c r="F2562">
        <v>1700</v>
      </c>
      <c r="G2562" t="s">
        <v>334</v>
      </c>
      <c r="H2562" s="15">
        <v>45292</v>
      </c>
      <c r="I2562">
        <v>1800</v>
      </c>
      <c r="J2562">
        <v>-100</v>
      </c>
    </row>
    <row r="2563" spans="1:10" x14ac:dyDescent="0.3">
      <c r="A2563" s="15">
        <v>45597</v>
      </c>
      <c r="B2563" t="s">
        <v>172</v>
      </c>
      <c r="C2563" t="s">
        <v>91</v>
      </c>
      <c r="D2563" t="s">
        <v>96</v>
      </c>
      <c r="E2563" t="s">
        <v>101</v>
      </c>
      <c r="F2563">
        <v>7700</v>
      </c>
      <c r="G2563" t="s">
        <v>331</v>
      </c>
      <c r="H2563" s="15">
        <v>45292</v>
      </c>
      <c r="I2563">
        <v>7700</v>
      </c>
      <c r="J2563">
        <v>0</v>
      </c>
    </row>
    <row r="2564" spans="1:10" x14ac:dyDescent="0.3">
      <c r="A2564" s="15">
        <v>45597</v>
      </c>
      <c r="B2564" t="s">
        <v>173</v>
      </c>
      <c r="C2564" t="s">
        <v>81</v>
      </c>
      <c r="D2564" t="s">
        <v>86</v>
      </c>
      <c r="E2564" t="s">
        <v>103</v>
      </c>
      <c r="F2564">
        <v>3700</v>
      </c>
      <c r="G2564" t="s">
        <v>331</v>
      </c>
      <c r="H2564" s="15">
        <v>45292</v>
      </c>
      <c r="I2564">
        <v>3700</v>
      </c>
      <c r="J2564">
        <v>0</v>
      </c>
    </row>
    <row r="2565" spans="1:10" x14ac:dyDescent="0.3">
      <c r="A2565" s="15">
        <v>45597</v>
      </c>
      <c r="B2565" t="s">
        <v>174</v>
      </c>
      <c r="C2565" t="s">
        <v>81</v>
      </c>
      <c r="D2565" t="s">
        <v>82</v>
      </c>
      <c r="E2565" t="s">
        <v>92</v>
      </c>
      <c r="F2565">
        <v>2400</v>
      </c>
      <c r="G2565" t="s">
        <v>331</v>
      </c>
      <c r="H2565" s="15">
        <v>45292</v>
      </c>
      <c r="I2565">
        <v>2400</v>
      </c>
      <c r="J2565">
        <v>0</v>
      </c>
    </row>
    <row r="2566" spans="1:10" x14ac:dyDescent="0.3">
      <c r="A2566" s="15">
        <v>45597</v>
      </c>
      <c r="B2566" t="s">
        <v>175</v>
      </c>
      <c r="C2566" t="s">
        <v>91</v>
      </c>
      <c r="D2566" t="s">
        <v>96</v>
      </c>
      <c r="E2566" t="s">
        <v>83</v>
      </c>
      <c r="F2566">
        <v>8800</v>
      </c>
      <c r="G2566" t="s">
        <v>331</v>
      </c>
      <c r="H2566" s="15">
        <v>45292</v>
      </c>
      <c r="I2566">
        <v>8800</v>
      </c>
      <c r="J2566">
        <v>0</v>
      </c>
    </row>
    <row r="2567" spans="1:10" x14ac:dyDescent="0.3">
      <c r="A2567" s="15">
        <v>45597</v>
      </c>
      <c r="B2567" t="s">
        <v>176</v>
      </c>
      <c r="C2567" t="s">
        <v>81</v>
      </c>
      <c r="D2567" t="s">
        <v>99</v>
      </c>
      <c r="E2567" t="s">
        <v>92</v>
      </c>
      <c r="F2567">
        <v>2900</v>
      </c>
      <c r="G2567" t="s">
        <v>331</v>
      </c>
      <c r="H2567" s="15">
        <v>45292</v>
      </c>
      <c r="I2567">
        <v>2900</v>
      </c>
      <c r="J2567">
        <v>0</v>
      </c>
    </row>
    <row r="2568" spans="1:10" x14ac:dyDescent="0.3">
      <c r="A2568" s="15">
        <v>45597</v>
      </c>
      <c r="B2568" t="s">
        <v>177</v>
      </c>
      <c r="C2568" t="s">
        <v>81</v>
      </c>
      <c r="D2568" t="s">
        <v>96</v>
      </c>
      <c r="E2568" t="s">
        <v>83</v>
      </c>
      <c r="F2568">
        <v>2900</v>
      </c>
      <c r="G2568" t="s">
        <v>331</v>
      </c>
      <c r="H2568" s="15">
        <v>45292</v>
      </c>
      <c r="I2568">
        <v>2900</v>
      </c>
      <c r="J2568">
        <v>0</v>
      </c>
    </row>
    <row r="2569" spans="1:10" x14ac:dyDescent="0.3">
      <c r="A2569" s="15">
        <v>45597</v>
      </c>
      <c r="B2569" t="s">
        <v>178</v>
      </c>
      <c r="C2569" t="s">
        <v>91</v>
      </c>
      <c r="D2569" t="s">
        <v>82</v>
      </c>
      <c r="E2569" t="s">
        <v>89</v>
      </c>
      <c r="F2569">
        <v>8400</v>
      </c>
      <c r="G2569" t="s">
        <v>331</v>
      </c>
      <c r="H2569" s="15">
        <v>45292</v>
      </c>
      <c r="I2569">
        <v>8400</v>
      </c>
      <c r="J2569">
        <v>0</v>
      </c>
    </row>
    <row r="2570" spans="1:10" x14ac:dyDescent="0.3">
      <c r="A2570" s="15">
        <v>45597</v>
      </c>
      <c r="B2570" t="s">
        <v>179</v>
      </c>
      <c r="C2570" t="s">
        <v>110</v>
      </c>
      <c r="D2570" t="s">
        <v>86</v>
      </c>
      <c r="E2570" t="s">
        <v>87</v>
      </c>
      <c r="F2570">
        <v>30000</v>
      </c>
      <c r="G2570" t="s">
        <v>331</v>
      </c>
      <c r="H2570" s="15">
        <v>45292</v>
      </c>
      <c r="I2570">
        <v>30000</v>
      </c>
      <c r="J2570">
        <v>0</v>
      </c>
    </row>
    <row r="2571" spans="1:10" x14ac:dyDescent="0.3">
      <c r="A2571" s="15">
        <v>45597</v>
      </c>
      <c r="B2571" t="s">
        <v>180</v>
      </c>
      <c r="C2571" t="s">
        <v>91</v>
      </c>
      <c r="D2571" t="s">
        <v>86</v>
      </c>
      <c r="E2571" t="s">
        <v>83</v>
      </c>
      <c r="F2571">
        <v>8500</v>
      </c>
      <c r="G2571" t="s">
        <v>331</v>
      </c>
      <c r="H2571" s="15">
        <v>45292</v>
      </c>
      <c r="I2571">
        <v>8500</v>
      </c>
      <c r="J2571">
        <v>0</v>
      </c>
    </row>
    <row r="2572" spans="1:10" x14ac:dyDescent="0.3">
      <c r="A2572" s="15">
        <v>45597</v>
      </c>
      <c r="B2572" t="s">
        <v>181</v>
      </c>
      <c r="C2572" t="s">
        <v>91</v>
      </c>
      <c r="D2572" t="s">
        <v>82</v>
      </c>
      <c r="E2572" t="s">
        <v>97</v>
      </c>
      <c r="F2572">
        <v>10100</v>
      </c>
      <c r="G2572" t="s">
        <v>331</v>
      </c>
      <c r="H2572" s="15">
        <v>45292</v>
      </c>
      <c r="I2572">
        <v>10100</v>
      </c>
      <c r="J2572">
        <v>0</v>
      </c>
    </row>
    <row r="2573" spans="1:10" x14ac:dyDescent="0.3">
      <c r="A2573" s="15">
        <v>45597</v>
      </c>
      <c r="B2573" t="s">
        <v>182</v>
      </c>
      <c r="C2573" t="s">
        <v>125</v>
      </c>
      <c r="D2573" t="s">
        <v>82</v>
      </c>
      <c r="E2573" t="s">
        <v>92</v>
      </c>
      <c r="F2573">
        <v>80700</v>
      </c>
      <c r="G2573" t="s">
        <v>331</v>
      </c>
      <c r="H2573" s="15">
        <v>45292</v>
      </c>
      <c r="I2573">
        <v>80700</v>
      </c>
      <c r="J2573">
        <v>0</v>
      </c>
    </row>
    <row r="2574" spans="1:10" x14ac:dyDescent="0.3">
      <c r="A2574" s="15">
        <v>45597</v>
      </c>
      <c r="B2574" t="s">
        <v>183</v>
      </c>
      <c r="C2574" t="s">
        <v>91</v>
      </c>
      <c r="D2574" t="s">
        <v>96</v>
      </c>
      <c r="E2574" t="s">
        <v>92</v>
      </c>
      <c r="F2574">
        <v>9500</v>
      </c>
      <c r="G2574" t="s">
        <v>331</v>
      </c>
      <c r="H2574" s="15">
        <v>45292</v>
      </c>
      <c r="I2574">
        <v>9500</v>
      </c>
      <c r="J2574">
        <v>0</v>
      </c>
    </row>
    <row r="2575" spans="1:10" x14ac:dyDescent="0.3">
      <c r="A2575" s="15">
        <v>45597</v>
      </c>
      <c r="B2575" t="s">
        <v>184</v>
      </c>
      <c r="C2575" t="s">
        <v>81</v>
      </c>
      <c r="D2575" t="s">
        <v>82</v>
      </c>
      <c r="E2575" t="s">
        <v>83</v>
      </c>
      <c r="F2575">
        <v>2600</v>
      </c>
      <c r="G2575" t="s">
        <v>331</v>
      </c>
      <c r="H2575" s="15">
        <v>45292</v>
      </c>
      <c r="I2575">
        <v>2600</v>
      </c>
      <c r="J2575">
        <v>0</v>
      </c>
    </row>
    <row r="2576" spans="1:10" x14ac:dyDescent="0.3">
      <c r="A2576" s="15">
        <v>45597</v>
      </c>
      <c r="B2576" t="s">
        <v>185</v>
      </c>
      <c r="C2576" t="s">
        <v>81</v>
      </c>
      <c r="D2576" t="s">
        <v>96</v>
      </c>
      <c r="E2576" t="s">
        <v>97</v>
      </c>
      <c r="F2576">
        <v>2000</v>
      </c>
      <c r="G2576" t="s">
        <v>331</v>
      </c>
      <c r="H2576" s="15">
        <v>45292</v>
      </c>
      <c r="I2576">
        <v>2000</v>
      </c>
      <c r="J2576">
        <v>0</v>
      </c>
    </row>
    <row r="2577" spans="1:10" x14ac:dyDescent="0.3">
      <c r="A2577" s="15">
        <v>45597</v>
      </c>
      <c r="B2577" t="s">
        <v>186</v>
      </c>
      <c r="C2577" t="s">
        <v>91</v>
      </c>
      <c r="D2577" t="s">
        <v>82</v>
      </c>
      <c r="E2577" t="s">
        <v>103</v>
      </c>
      <c r="F2577">
        <v>13900</v>
      </c>
      <c r="G2577" t="s">
        <v>331</v>
      </c>
      <c r="H2577" s="15">
        <v>45292</v>
      </c>
      <c r="I2577">
        <v>13900</v>
      </c>
      <c r="J2577">
        <v>0</v>
      </c>
    </row>
    <row r="2578" spans="1:10" x14ac:dyDescent="0.3">
      <c r="A2578" s="15">
        <v>45597</v>
      </c>
      <c r="B2578" t="s">
        <v>187</v>
      </c>
      <c r="C2578" t="s">
        <v>110</v>
      </c>
      <c r="D2578" t="s">
        <v>86</v>
      </c>
      <c r="E2578" t="s">
        <v>97</v>
      </c>
      <c r="F2578">
        <v>32300</v>
      </c>
      <c r="G2578" t="s">
        <v>331</v>
      </c>
      <c r="H2578" s="15">
        <v>45292</v>
      </c>
      <c r="I2578">
        <v>32300</v>
      </c>
      <c r="J2578">
        <v>0</v>
      </c>
    </row>
    <row r="2579" spans="1:10" x14ac:dyDescent="0.3">
      <c r="A2579" s="15">
        <v>45597</v>
      </c>
      <c r="B2579" t="s">
        <v>188</v>
      </c>
      <c r="C2579" t="s">
        <v>91</v>
      </c>
      <c r="D2579" t="s">
        <v>82</v>
      </c>
      <c r="E2579" t="s">
        <v>92</v>
      </c>
      <c r="F2579">
        <v>12000</v>
      </c>
      <c r="G2579" t="s">
        <v>331</v>
      </c>
      <c r="H2579" s="15">
        <v>45292</v>
      </c>
      <c r="I2579">
        <v>12000</v>
      </c>
      <c r="J2579">
        <v>0</v>
      </c>
    </row>
    <row r="2580" spans="1:10" x14ac:dyDescent="0.3">
      <c r="A2580" s="15">
        <v>45597</v>
      </c>
      <c r="B2580" t="s">
        <v>189</v>
      </c>
      <c r="C2580" t="s">
        <v>81</v>
      </c>
      <c r="D2580" t="s">
        <v>86</v>
      </c>
      <c r="E2580" t="s">
        <v>103</v>
      </c>
      <c r="F2580">
        <v>2000</v>
      </c>
      <c r="G2580" t="s">
        <v>331</v>
      </c>
      <c r="H2580" s="15">
        <v>45292</v>
      </c>
      <c r="I2580">
        <v>2000</v>
      </c>
      <c r="J2580">
        <v>0</v>
      </c>
    </row>
    <row r="2581" spans="1:10" x14ac:dyDescent="0.3">
      <c r="A2581" s="15">
        <v>45597</v>
      </c>
      <c r="B2581" t="s">
        <v>190</v>
      </c>
      <c r="C2581" t="s">
        <v>81</v>
      </c>
      <c r="D2581" t="s">
        <v>99</v>
      </c>
      <c r="E2581" t="s">
        <v>89</v>
      </c>
      <c r="F2581">
        <v>2000</v>
      </c>
      <c r="G2581" t="s">
        <v>331</v>
      </c>
      <c r="H2581" s="15">
        <v>45292</v>
      </c>
      <c r="I2581">
        <v>2000</v>
      </c>
      <c r="J2581">
        <v>0</v>
      </c>
    </row>
    <row r="2582" spans="1:10" x14ac:dyDescent="0.3">
      <c r="A2582" s="15">
        <v>45597</v>
      </c>
      <c r="B2582" t="s">
        <v>191</v>
      </c>
      <c r="C2582" t="s">
        <v>91</v>
      </c>
      <c r="D2582" t="s">
        <v>86</v>
      </c>
      <c r="E2582" t="s">
        <v>87</v>
      </c>
      <c r="F2582">
        <v>6900</v>
      </c>
      <c r="G2582" t="s">
        <v>331</v>
      </c>
      <c r="H2582" s="15">
        <v>45292</v>
      </c>
      <c r="I2582">
        <v>6900</v>
      </c>
      <c r="J2582">
        <v>0</v>
      </c>
    </row>
    <row r="2583" spans="1:10" x14ac:dyDescent="0.3">
      <c r="A2583" s="15">
        <v>45597</v>
      </c>
      <c r="B2583" t="s">
        <v>192</v>
      </c>
      <c r="C2583" t="s">
        <v>81</v>
      </c>
      <c r="D2583" t="s">
        <v>82</v>
      </c>
      <c r="E2583" t="s">
        <v>97</v>
      </c>
      <c r="F2583">
        <v>2700</v>
      </c>
      <c r="G2583" t="s">
        <v>331</v>
      </c>
      <c r="H2583" s="15">
        <v>45292</v>
      </c>
      <c r="I2583">
        <v>2700</v>
      </c>
      <c r="J2583">
        <v>0</v>
      </c>
    </row>
    <row r="2584" spans="1:10" x14ac:dyDescent="0.3">
      <c r="A2584" s="15">
        <v>45597</v>
      </c>
      <c r="B2584" t="s">
        <v>193</v>
      </c>
      <c r="C2584" t="s">
        <v>81</v>
      </c>
      <c r="D2584" t="s">
        <v>82</v>
      </c>
      <c r="E2584" t="s">
        <v>87</v>
      </c>
      <c r="F2584">
        <v>3200</v>
      </c>
      <c r="G2584" t="s">
        <v>331</v>
      </c>
      <c r="H2584" s="15">
        <v>45292</v>
      </c>
      <c r="I2584">
        <v>3200</v>
      </c>
      <c r="J2584">
        <v>0</v>
      </c>
    </row>
    <row r="2585" spans="1:10" x14ac:dyDescent="0.3">
      <c r="A2585" s="15">
        <v>45597</v>
      </c>
      <c r="B2585" t="s">
        <v>194</v>
      </c>
      <c r="C2585" t="s">
        <v>91</v>
      </c>
      <c r="D2585" t="s">
        <v>82</v>
      </c>
      <c r="E2585" t="s">
        <v>101</v>
      </c>
      <c r="F2585">
        <v>10400</v>
      </c>
      <c r="G2585" t="s">
        <v>331</v>
      </c>
      <c r="H2585" s="15">
        <v>45292</v>
      </c>
      <c r="I2585">
        <v>10400</v>
      </c>
      <c r="J2585">
        <v>0</v>
      </c>
    </row>
    <row r="2586" spans="1:10" x14ac:dyDescent="0.3">
      <c r="A2586" s="15">
        <v>45597</v>
      </c>
      <c r="B2586" t="s">
        <v>195</v>
      </c>
      <c r="C2586" t="s">
        <v>91</v>
      </c>
      <c r="D2586" t="s">
        <v>86</v>
      </c>
      <c r="E2586" t="s">
        <v>97</v>
      </c>
      <c r="F2586">
        <v>6800</v>
      </c>
      <c r="G2586" t="s">
        <v>331</v>
      </c>
      <c r="H2586" s="15">
        <v>45292</v>
      </c>
      <c r="I2586">
        <v>6800</v>
      </c>
      <c r="J2586">
        <v>0</v>
      </c>
    </row>
    <row r="2587" spans="1:10" x14ac:dyDescent="0.3">
      <c r="A2587" s="15">
        <v>45597</v>
      </c>
      <c r="B2587" t="s">
        <v>196</v>
      </c>
      <c r="C2587" t="s">
        <v>81</v>
      </c>
      <c r="D2587" t="s">
        <v>86</v>
      </c>
      <c r="E2587" t="s">
        <v>87</v>
      </c>
      <c r="F2587">
        <v>2600</v>
      </c>
      <c r="G2587" t="s">
        <v>331</v>
      </c>
      <c r="H2587" s="15">
        <v>45292</v>
      </c>
      <c r="I2587">
        <v>2600</v>
      </c>
      <c r="J2587">
        <v>0</v>
      </c>
    </row>
    <row r="2588" spans="1:10" x14ac:dyDescent="0.3">
      <c r="A2588" s="15">
        <v>45597</v>
      </c>
      <c r="B2588" t="s">
        <v>197</v>
      </c>
      <c r="C2588" t="s">
        <v>91</v>
      </c>
      <c r="D2588" t="s">
        <v>82</v>
      </c>
      <c r="E2588" t="s">
        <v>89</v>
      </c>
      <c r="F2588">
        <v>10400</v>
      </c>
      <c r="G2588" t="s">
        <v>331</v>
      </c>
      <c r="H2588" s="15">
        <v>45292</v>
      </c>
      <c r="I2588">
        <v>10400</v>
      </c>
      <c r="J2588">
        <v>0</v>
      </c>
    </row>
    <row r="2589" spans="1:10" x14ac:dyDescent="0.3">
      <c r="A2589" s="15">
        <v>45597</v>
      </c>
      <c r="B2589" t="s">
        <v>198</v>
      </c>
      <c r="C2589" t="s">
        <v>81</v>
      </c>
      <c r="D2589" t="s">
        <v>82</v>
      </c>
      <c r="E2589" t="s">
        <v>89</v>
      </c>
      <c r="F2589">
        <v>2900</v>
      </c>
      <c r="G2589" t="s">
        <v>331</v>
      </c>
      <c r="H2589" s="15">
        <v>45292</v>
      </c>
      <c r="I2589">
        <v>2900</v>
      </c>
      <c r="J2589">
        <v>0</v>
      </c>
    </row>
    <row r="2590" spans="1:10" x14ac:dyDescent="0.3">
      <c r="A2590" s="15">
        <v>45597</v>
      </c>
      <c r="B2590" t="s">
        <v>199</v>
      </c>
      <c r="C2590" t="s">
        <v>81</v>
      </c>
      <c r="D2590" t="s">
        <v>86</v>
      </c>
      <c r="E2590" t="s">
        <v>89</v>
      </c>
      <c r="F2590">
        <v>2200</v>
      </c>
      <c r="G2590" t="s">
        <v>331</v>
      </c>
      <c r="H2590" s="15">
        <v>45292</v>
      </c>
      <c r="I2590">
        <v>2200</v>
      </c>
      <c r="J2590">
        <v>0</v>
      </c>
    </row>
    <row r="2591" spans="1:10" x14ac:dyDescent="0.3">
      <c r="A2591" s="15">
        <v>45597</v>
      </c>
      <c r="B2591" t="s">
        <v>200</v>
      </c>
      <c r="C2591" t="s">
        <v>91</v>
      </c>
      <c r="D2591" t="s">
        <v>86</v>
      </c>
      <c r="E2591" t="s">
        <v>92</v>
      </c>
      <c r="F2591">
        <v>8800</v>
      </c>
      <c r="G2591" t="s">
        <v>331</v>
      </c>
      <c r="H2591" s="15">
        <v>45292</v>
      </c>
      <c r="I2591">
        <v>8800</v>
      </c>
      <c r="J2591">
        <v>0</v>
      </c>
    </row>
    <row r="2592" spans="1:10" x14ac:dyDescent="0.3">
      <c r="A2592" s="15">
        <v>45597</v>
      </c>
      <c r="B2592" t="s">
        <v>201</v>
      </c>
      <c r="C2592" t="s">
        <v>81</v>
      </c>
      <c r="D2592" t="s">
        <v>86</v>
      </c>
      <c r="E2592" t="s">
        <v>83</v>
      </c>
      <c r="F2592">
        <v>1800</v>
      </c>
      <c r="G2592" t="s">
        <v>331</v>
      </c>
      <c r="H2592" s="15">
        <v>45292</v>
      </c>
      <c r="I2592">
        <v>1800</v>
      </c>
      <c r="J2592">
        <v>0</v>
      </c>
    </row>
    <row r="2593" spans="1:10" x14ac:dyDescent="0.3">
      <c r="A2593" s="15">
        <v>45597</v>
      </c>
      <c r="B2593" t="s">
        <v>202</v>
      </c>
      <c r="C2593" t="s">
        <v>91</v>
      </c>
      <c r="D2593" t="s">
        <v>82</v>
      </c>
      <c r="E2593" t="s">
        <v>92</v>
      </c>
      <c r="F2593">
        <v>11000</v>
      </c>
      <c r="G2593" t="s">
        <v>331</v>
      </c>
      <c r="H2593" s="15">
        <v>45292</v>
      </c>
      <c r="I2593">
        <v>11000</v>
      </c>
      <c r="J2593">
        <v>0</v>
      </c>
    </row>
    <row r="2594" spans="1:10" x14ac:dyDescent="0.3">
      <c r="A2594" s="15">
        <v>45597</v>
      </c>
      <c r="B2594" t="s">
        <v>203</v>
      </c>
      <c r="C2594" t="s">
        <v>110</v>
      </c>
      <c r="D2594" t="s">
        <v>86</v>
      </c>
      <c r="E2594" t="s">
        <v>92</v>
      </c>
      <c r="F2594">
        <v>26300</v>
      </c>
      <c r="G2594" t="s">
        <v>334</v>
      </c>
      <c r="H2594" s="15">
        <v>45292</v>
      </c>
      <c r="I2594">
        <v>32000</v>
      </c>
      <c r="J2594">
        <v>-5700</v>
      </c>
    </row>
    <row r="2595" spans="1:10" x14ac:dyDescent="0.3">
      <c r="A2595" s="15">
        <v>45597</v>
      </c>
      <c r="B2595" t="s">
        <v>204</v>
      </c>
      <c r="C2595" t="s">
        <v>81</v>
      </c>
      <c r="D2595" t="s">
        <v>82</v>
      </c>
      <c r="E2595" t="s">
        <v>87</v>
      </c>
      <c r="F2595">
        <v>2200</v>
      </c>
      <c r="G2595" t="s">
        <v>331</v>
      </c>
      <c r="H2595" s="15">
        <v>45292</v>
      </c>
      <c r="I2595">
        <v>2200</v>
      </c>
      <c r="J2595">
        <v>0</v>
      </c>
    </row>
    <row r="2596" spans="1:10" x14ac:dyDescent="0.3">
      <c r="A2596" s="15">
        <v>45597</v>
      </c>
      <c r="B2596" t="s">
        <v>205</v>
      </c>
      <c r="C2596" t="s">
        <v>91</v>
      </c>
      <c r="D2596" t="s">
        <v>86</v>
      </c>
      <c r="E2596" t="s">
        <v>103</v>
      </c>
      <c r="F2596">
        <v>10600</v>
      </c>
      <c r="G2596" t="s">
        <v>331</v>
      </c>
      <c r="H2596" s="15">
        <v>45292</v>
      </c>
      <c r="I2596">
        <v>10600</v>
      </c>
      <c r="J2596">
        <v>0</v>
      </c>
    </row>
    <row r="2597" spans="1:10" x14ac:dyDescent="0.3">
      <c r="A2597" s="15">
        <v>45597</v>
      </c>
      <c r="B2597" t="s">
        <v>206</v>
      </c>
      <c r="C2597" t="s">
        <v>81</v>
      </c>
      <c r="D2597" t="s">
        <v>86</v>
      </c>
      <c r="E2597" t="s">
        <v>89</v>
      </c>
      <c r="F2597">
        <v>3000</v>
      </c>
      <c r="G2597" t="s">
        <v>331</v>
      </c>
      <c r="H2597" s="15">
        <v>45292</v>
      </c>
      <c r="I2597">
        <v>3000</v>
      </c>
      <c r="J2597">
        <v>0</v>
      </c>
    </row>
    <row r="2598" spans="1:10" x14ac:dyDescent="0.3">
      <c r="A2598" s="15">
        <v>45597</v>
      </c>
      <c r="B2598" t="s">
        <v>207</v>
      </c>
      <c r="C2598" t="s">
        <v>81</v>
      </c>
      <c r="D2598" t="s">
        <v>82</v>
      </c>
      <c r="E2598" t="s">
        <v>89</v>
      </c>
      <c r="F2598">
        <v>4100</v>
      </c>
      <c r="G2598" t="s">
        <v>331</v>
      </c>
      <c r="H2598" s="15">
        <v>45292</v>
      </c>
      <c r="I2598">
        <v>4100</v>
      </c>
      <c r="J2598">
        <v>0</v>
      </c>
    </row>
    <row r="2599" spans="1:10" x14ac:dyDescent="0.3">
      <c r="A2599" s="15">
        <v>45597</v>
      </c>
      <c r="B2599" t="s">
        <v>208</v>
      </c>
      <c r="C2599" t="s">
        <v>91</v>
      </c>
      <c r="D2599" t="s">
        <v>99</v>
      </c>
      <c r="E2599" t="s">
        <v>89</v>
      </c>
      <c r="F2599">
        <v>7300</v>
      </c>
      <c r="G2599" t="s">
        <v>331</v>
      </c>
      <c r="H2599" s="15">
        <v>45292</v>
      </c>
      <c r="I2599">
        <v>7300</v>
      </c>
      <c r="J2599">
        <v>0</v>
      </c>
    </row>
    <row r="2600" spans="1:10" x14ac:dyDescent="0.3">
      <c r="A2600" s="15">
        <v>45597</v>
      </c>
      <c r="B2600" t="s">
        <v>209</v>
      </c>
      <c r="C2600" t="s">
        <v>81</v>
      </c>
      <c r="D2600" t="s">
        <v>86</v>
      </c>
      <c r="E2600" t="s">
        <v>83</v>
      </c>
      <c r="F2600">
        <v>3100</v>
      </c>
      <c r="G2600" t="s">
        <v>331</v>
      </c>
      <c r="H2600" s="15">
        <v>45292</v>
      </c>
      <c r="I2600">
        <v>3100</v>
      </c>
      <c r="J2600">
        <v>0</v>
      </c>
    </row>
    <row r="2601" spans="1:10" x14ac:dyDescent="0.3">
      <c r="A2601" s="15">
        <v>45597</v>
      </c>
      <c r="B2601" t="s">
        <v>210</v>
      </c>
      <c r="C2601" t="s">
        <v>125</v>
      </c>
      <c r="D2601" t="s">
        <v>96</v>
      </c>
      <c r="E2601" t="s">
        <v>89</v>
      </c>
      <c r="F2601">
        <v>90300</v>
      </c>
      <c r="G2601" t="s">
        <v>331</v>
      </c>
      <c r="H2601" s="15">
        <v>45292</v>
      </c>
      <c r="I2601">
        <v>90300</v>
      </c>
      <c r="J2601">
        <v>0</v>
      </c>
    </row>
    <row r="2602" spans="1:10" x14ac:dyDescent="0.3">
      <c r="A2602" s="15">
        <v>45597</v>
      </c>
      <c r="B2602" t="s">
        <v>211</v>
      </c>
      <c r="C2602" t="s">
        <v>110</v>
      </c>
      <c r="D2602" t="s">
        <v>82</v>
      </c>
      <c r="E2602" t="s">
        <v>92</v>
      </c>
      <c r="F2602">
        <v>28900</v>
      </c>
      <c r="G2602" t="s">
        <v>331</v>
      </c>
      <c r="H2602" s="15">
        <v>45292</v>
      </c>
      <c r="I2602">
        <v>28900</v>
      </c>
      <c r="J2602">
        <v>0</v>
      </c>
    </row>
    <row r="2603" spans="1:10" x14ac:dyDescent="0.3">
      <c r="A2603" s="15">
        <v>45597</v>
      </c>
      <c r="B2603" t="s">
        <v>212</v>
      </c>
      <c r="C2603" t="s">
        <v>81</v>
      </c>
      <c r="D2603" t="s">
        <v>96</v>
      </c>
      <c r="E2603" t="s">
        <v>101</v>
      </c>
      <c r="F2603">
        <v>0</v>
      </c>
      <c r="G2603" t="s">
        <v>333</v>
      </c>
      <c r="H2603" s="15">
        <v>45292</v>
      </c>
      <c r="I2603">
        <v>2700</v>
      </c>
      <c r="J2603">
        <v>-2700</v>
      </c>
    </row>
    <row r="2604" spans="1:10" x14ac:dyDescent="0.3">
      <c r="A2604" s="15">
        <v>45597</v>
      </c>
      <c r="B2604" t="s">
        <v>213</v>
      </c>
      <c r="C2604" t="s">
        <v>81</v>
      </c>
      <c r="D2604" t="s">
        <v>82</v>
      </c>
      <c r="E2604" t="s">
        <v>97</v>
      </c>
      <c r="F2604">
        <v>3300</v>
      </c>
      <c r="G2604" t="s">
        <v>331</v>
      </c>
      <c r="H2604" s="15">
        <v>45292</v>
      </c>
      <c r="I2604">
        <v>3300</v>
      </c>
      <c r="J2604">
        <v>0</v>
      </c>
    </row>
    <row r="2605" spans="1:10" x14ac:dyDescent="0.3">
      <c r="A2605" s="15">
        <v>45597</v>
      </c>
      <c r="B2605" t="s">
        <v>214</v>
      </c>
      <c r="C2605" t="s">
        <v>91</v>
      </c>
      <c r="D2605" t="s">
        <v>82</v>
      </c>
      <c r="E2605" t="s">
        <v>89</v>
      </c>
      <c r="F2605">
        <v>8700</v>
      </c>
      <c r="G2605" t="s">
        <v>331</v>
      </c>
      <c r="H2605" s="15">
        <v>45292</v>
      </c>
      <c r="I2605">
        <v>8700</v>
      </c>
      <c r="J2605">
        <v>0</v>
      </c>
    </row>
    <row r="2606" spans="1:10" x14ac:dyDescent="0.3">
      <c r="A2606" s="15">
        <v>45597</v>
      </c>
      <c r="B2606" t="s">
        <v>215</v>
      </c>
      <c r="C2606" t="s">
        <v>110</v>
      </c>
      <c r="D2606" t="s">
        <v>99</v>
      </c>
      <c r="E2606" t="s">
        <v>89</v>
      </c>
      <c r="F2606">
        <v>42900</v>
      </c>
      <c r="G2606" t="s">
        <v>331</v>
      </c>
      <c r="H2606" s="15">
        <v>45292</v>
      </c>
      <c r="I2606">
        <v>42900</v>
      </c>
      <c r="J2606">
        <v>0</v>
      </c>
    </row>
    <row r="2607" spans="1:10" x14ac:dyDescent="0.3">
      <c r="A2607" s="15">
        <v>45597</v>
      </c>
      <c r="B2607" t="s">
        <v>216</v>
      </c>
      <c r="C2607" t="s">
        <v>81</v>
      </c>
      <c r="D2607" t="s">
        <v>82</v>
      </c>
      <c r="E2607" t="s">
        <v>97</v>
      </c>
      <c r="F2607">
        <v>3500</v>
      </c>
      <c r="G2607" t="s">
        <v>331</v>
      </c>
      <c r="H2607" s="15">
        <v>45292</v>
      </c>
      <c r="I2607">
        <v>3500</v>
      </c>
      <c r="J2607">
        <v>0</v>
      </c>
    </row>
    <row r="2608" spans="1:10" x14ac:dyDescent="0.3">
      <c r="A2608" s="15">
        <v>45597</v>
      </c>
      <c r="B2608" t="s">
        <v>217</v>
      </c>
      <c r="C2608" t="s">
        <v>91</v>
      </c>
      <c r="D2608" t="s">
        <v>82</v>
      </c>
      <c r="E2608" t="s">
        <v>97</v>
      </c>
      <c r="F2608">
        <v>9000</v>
      </c>
      <c r="G2608" t="s">
        <v>331</v>
      </c>
      <c r="H2608" s="15">
        <v>45292</v>
      </c>
      <c r="I2608">
        <v>9000</v>
      </c>
      <c r="J2608">
        <v>0</v>
      </c>
    </row>
    <row r="2609" spans="1:10" x14ac:dyDescent="0.3">
      <c r="A2609" s="15">
        <v>45597</v>
      </c>
      <c r="B2609" t="s">
        <v>218</v>
      </c>
      <c r="C2609" t="s">
        <v>110</v>
      </c>
      <c r="D2609" t="s">
        <v>99</v>
      </c>
      <c r="E2609" t="s">
        <v>92</v>
      </c>
      <c r="F2609">
        <v>29900</v>
      </c>
      <c r="G2609" t="s">
        <v>331</v>
      </c>
      <c r="H2609" s="15">
        <v>45292</v>
      </c>
      <c r="I2609">
        <v>29900</v>
      </c>
      <c r="J2609">
        <v>0</v>
      </c>
    </row>
    <row r="2610" spans="1:10" x14ac:dyDescent="0.3">
      <c r="A2610" s="15">
        <v>45597</v>
      </c>
      <c r="B2610" t="s">
        <v>219</v>
      </c>
      <c r="C2610" t="s">
        <v>81</v>
      </c>
      <c r="D2610" t="s">
        <v>99</v>
      </c>
      <c r="E2610" t="s">
        <v>89</v>
      </c>
      <c r="F2610">
        <v>2500</v>
      </c>
      <c r="G2610" t="s">
        <v>331</v>
      </c>
      <c r="H2610" s="15">
        <v>45292</v>
      </c>
      <c r="I2610">
        <v>2500</v>
      </c>
      <c r="J2610">
        <v>0</v>
      </c>
    </row>
    <row r="2611" spans="1:10" x14ac:dyDescent="0.3">
      <c r="A2611" s="15">
        <v>45597</v>
      </c>
      <c r="B2611" t="s">
        <v>220</v>
      </c>
      <c r="C2611" t="s">
        <v>110</v>
      </c>
      <c r="D2611" t="s">
        <v>82</v>
      </c>
      <c r="E2611" t="s">
        <v>89</v>
      </c>
      <c r="F2611">
        <v>30800</v>
      </c>
      <c r="G2611" t="s">
        <v>331</v>
      </c>
      <c r="H2611" s="15">
        <v>45292</v>
      </c>
      <c r="I2611">
        <v>30800</v>
      </c>
      <c r="J2611">
        <v>0</v>
      </c>
    </row>
    <row r="2612" spans="1:10" x14ac:dyDescent="0.3">
      <c r="A2612" s="15">
        <v>45597</v>
      </c>
      <c r="B2612" t="s">
        <v>221</v>
      </c>
      <c r="C2612" t="s">
        <v>91</v>
      </c>
      <c r="D2612" t="s">
        <v>96</v>
      </c>
      <c r="E2612" t="s">
        <v>83</v>
      </c>
      <c r="F2612">
        <v>8200</v>
      </c>
      <c r="G2612" t="s">
        <v>331</v>
      </c>
      <c r="H2612" s="15">
        <v>45292</v>
      </c>
      <c r="I2612">
        <v>8200</v>
      </c>
      <c r="J2612">
        <v>0</v>
      </c>
    </row>
    <row r="2613" spans="1:10" x14ac:dyDescent="0.3">
      <c r="A2613" s="15">
        <v>45597</v>
      </c>
      <c r="B2613" t="s">
        <v>223</v>
      </c>
      <c r="C2613" t="s">
        <v>81</v>
      </c>
      <c r="D2613" t="s">
        <v>99</v>
      </c>
      <c r="E2613" t="s">
        <v>87</v>
      </c>
      <c r="F2613">
        <v>2100</v>
      </c>
      <c r="G2613" t="s">
        <v>331</v>
      </c>
      <c r="H2613" s="15">
        <v>45292</v>
      </c>
      <c r="I2613">
        <v>2100</v>
      </c>
      <c r="J2613">
        <v>0</v>
      </c>
    </row>
    <row r="2614" spans="1:10" x14ac:dyDescent="0.3">
      <c r="A2614" s="15">
        <v>45597</v>
      </c>
      <c r="B2614" t="s">
        <v>224</v>
      </c>
      <c r="C2614" t="s">
        <v>91</v>
      </c>
      <c r="D2614" t="s">
        <v>82</v>
      </c>
      <c r="E2614" t="s">
        <v>101</v>
      </c>
      <c r="F2614">
        <v>10300</v>
      </c>
      <c r="G2614" t="s">
        <v>331</v>
      </c>
      <c r="H2614" s="15">
        <v>45292</v>
      </c>
      <c r="I2614">
        <v>10300</v>
      </c>
      <c r="J2614">
        <v>0</v>
      </c>
    </row>
    <row r="2615" spans="1:10" x14ac:dyDescent="0.3">
      <c r="A2615" s="15">
        <v>45597</v>
      </c>
      <c r="B2615" t="s">
        <v>225</v>
      </c>
      <c r="C2615" t="s">
        <v>110</v>
      </c>
      <c r="D2615" t="s">
        <v>99</v>
      </c>
      <c r="E2615" t="s">
        <v>103</v>
      </c>
      <c r="F2615">
        <v>42200</v>
      </c>
      <c r="G2615" t="s">
        <v>331</v>
      </c>
      <c r="H2615" s="15">
        <v>45292</v>
      </c>
      <c r="I2615">
        <v>42200</v>
      </c>
      <c r="J2615">
        <v>0</v>
      </c>
    </row>
    <row r="2616" spans="1:10" x14ac:dyDescent="0.3">
      <c r="A2616" s="15">
        <v>45597</v>
      </c>
      <c r="B2616" t="s">
        <v>226</v>
      </c>
      <c r="C2616" t="s">
        <v>91</v>
      </c>
      <c r="D2616" t="s">
        <v>82</v>
      </c>
      <c r="E2616" t="s">
        <v>103</v>
      </c>
      <c r="F2616">
        <v>6300</v>
      </c>
      <c r="G2616" t="s">
        <v>331</v>
      </c>
      <c r="H2616" s="15">
        <v>45292</v>
      </c>
      <c r="I2616">
        <v>6300</v>
      </c>
      <c r="J2616">
        <v>0</v>
      </c>
    </row>
    <row r="2617" spans="1:10" x14ac:dyDescent="0.3">
      <c r="A2617" s="15">
        <v>45597</v>
      </c>
      <c r="B2617" t="s">
        <v>227</v>
      </c>
      <c r="C2617" t="s">
        <v>110</v>
      </c>
      <c r="D2617" t="s">
        <v>86</v>
      </c>
      <c r="E2617" t="s">
        <v>87</v>
      </c>
      <c r="F2617">
        <v>25900</v>
      </c>
      <c r="G2617" t="s">
        <v>331</v>
      </c>
      <c r="H2617" s="15">
        <v>45292</v>
      </c>
      <c r="I2617">
        <v>25900</v>
      </c>
      <c r="J2617">
        <v>0</v>
      </c>
    </row>
    <row r="2618" spans="1:10" x14ac:dyDescent="0.3">
      <c r="A2618" s="15">
        <v>45597</v>
      </c>
      <c r="B2618" t="s">
        <v>228</v>
      </c>
      <c r="C2618" t="s">
        <v>91</v>
      </c>
      <c r="D2618" t="s">
        <v>96</v>
      </c>
      <c r="E2618" t="s">
        <v>89</v>
      </c>
      <c r="F2618">
        <v>12000</v>
      </c>
      <c r="G2618" t="s">
        <v>331</v>
      </c>
      <c r="H2618" s="15">
        <v>45292</v>
      </c>
      <c r="I2618">
        <v>12000</v>
      </c>
      <c r="J2618">
        <v>0</v>
      </c>
    </row>
    <row r="2619" spans="1:10" x14ac:dyDescent="0.3">
      <c r="A2619" s="15">
        <v>45597</v>
      </c>
      <c r="B2619" t="s">
        <v>229</v>
      </c>
      <c r="C2619" t="s">
        <v>81</v>
      </c>
      <c r="D2619" t="s">
        <v>82</v>
      </c>
      <c r="E2619" t="s">
        <v>83</v>
      </c>
      <c r="F2619">
        <v>3000</v>
      </c>
      <c r="G2619" t="s">
        <v>331</v>
      </c>
      <c r="H2619" s="15">
        <v>45292</v>
      </c>
      <c r="I2619">
        <v>3000</v>
      </c>
      <c r="J2619">
        <v>0</v>
      </c>
    </row>
    <row r="2620" spans="1:10" x14ac:dyDescent="0.3">
      <c r="A2620" s="15">
        <v>45597</v>
      </c>
      <c r="B2620" t="s">
        <v>230</v>
      </c>
      <c r="C2620" t="s">
        <v>81</v>
      </c>
      <c r="D2620" t="s">
        <v>86</v>
      </c>
      <c r="E2620" t="s">
        <v>101</v>
      </c>
      <c r="F2620">
        <v>3400</v>
      </c>
      <c r="G2620" t="s">
        <v>331</v>
      </c>
      <c r="H2620" s="15">
        <v>45292</v>
      </c>
      <c r="I2620">
        <v>3400</v>
      </c>
      <c r="J2620">
        <v>0</v>
      </c>
    </row>
    <row r="2621" spans="1:10" x14ac:dyDescent="0.3">
      <c r="A2621" s="15">
        <v>45597</v>
      </c>
      <c r="B2621" t="s">
        <v>231</v>
      </c>
      <c r="C2621" t="s">
        <v>91</v>
      </c>
      <c r="D2621" t="s">
        <v>82</v>
      </c>
      <c r="E2621" t="s">
        <v>92</v>
      </c>
      <c r="F2621">
        <v>6900</v>
      </c>
      <c r="G2621" t="s">
        <v>331</v>
      </c>
      <c r="H2621" s="15">
        <v>45292</v>
      </c>
      <c r="I2621">
        <v>6900</v>
      </c>
      <c r="J2621">
        <v>0</v>
      </c>
    </row>
    <row r="2622" spans="1:10" x14ac:dyDescent="0.3">
      <c r="A2622" s="15">
        <v>45597</v>
      </c>
      <c r="B2622" t="s">
        <v>232</v>
      </c>
      <c r="C2622" t="s">
        <v>125</v>
      </c>
      <c r="D2622" t="s">
        <v>86</v>
      </c>
      <c r="E2622" t="s">
        <v>83</v>
      </c>
      <c r="F2622">
        <v>121100</v>
      </c>
      <c r="G2622" t="s">
        <v>331</v>
      </c>
      <c r="H2622" s="15">
        <v>45292</v>
      </c>
      <c r="I2622">
        <v>121100</v>
      </c>
      <c r="J2622">
        <v>0</v>
      </c>
    </row>
    <row r="2623" spans="1:10" x14ac:dyDescent="0.3">
      <c r="A2623" s="15">
        <v>45597</v>
      </c>
      <c r="B2623" t="s">
        <v>233</v>
      </c>
      <c r="C2623" t="s">
        <v>81</v>
      </c>
      <c r="D2623" t="s">
        <v>82</v>
      </c>
      <c r="E2623" t="s">
        <v>87</v>
      </c>
      <c r="F2623">
        <v>3300</v>
      </c>
      <c r="G2623" t="s">
        <v>331</v>
      </c>
      <c r="H2623" s="15">
        <v>45292</v>
      </c>
      <c r="I2623">
        <v>3300</v>
      </c>
      <c r="J2623">
        <v>0</v>
      </c>
    </row>
    <row r="2624" spans="1:10" x14ac:dyDescent="0.3">
      <c r="A2624" s="15">
        <v>45597</v>
      </c>
      <c r="B2624" t="s">
        <v>234</v>
      </c>
      <c r="C2624" t="s">
        <v>110</v>
      </c>
      <c r="D2624" t="s">
        <v>82</v>
      </c>
      <c r="E2624" t="s">
        <v>103</v>
      </c>
      <c r="F2624">
        <v>41200</v>
      </c>
      <c r="G2624" t="s">
        <v>331</v>
      </c>
      <c r="H2624" s="15">
        <v>45292</v>
      </c>
      <c r="I2624">
        <v>41200</v>
      </c>
      <c r="J2624">
        <v>0</v>
      </c>
    </row>
    <row r="2625" spans="1:10" x14ac:dyDescent="0.3">
      <c r="A2625" s="15">
        <v>45597</v>
      </c>
      <c r="B2625" t="s">
        <v>235</v>
      </c>
      <c r="C2625" t="s">
        <v>91</v>
      </c>
      <c r="D2625" t="s">
        <v>96</v>
      </c>
      <c r="E2625" t="s">
        <v>103</v>
      </c>
      <c r="F2625">
        <v>10500</v>
      </c>
      <c r="G2625" t="s">
        <v>331</v>
      </c>
      <c r="H2625" s="15">
        <v>45292</v>
      </c>
      <c r="I2625">
        <v>10500</v>
      </c>
      <c r="J2625">
        <v>0</v>
      </c>
    </row>
    <row r="2626" spans="1:10" x14ac:dyDescent="0.3">
      <c r="A2626" s="15">
        <v>45597</v>
      </c>
      <c r="B2626" t="s">
        <v>236</v>
      </c>
      <c r="C2626" t="s">
        <v>110</v>
      </c>
      <c r="D2626" t="s">
        <v>82</v>
      </c>
      <c r="E2626" t="s">
        <v>97</v>
      </c>
      <c r="F2626">
        <v>27200</v>
      </c>
      <c r="G2626" t="s">
        <v>331</v>
      </c>
      <c r="H2626" s="15">
        <v>45292</v>
      </c>
      <c r="I2626">
        <v>27200</v>
      </c>
      <c r="J2626">
        <v>0</v>
      </c>
    </row>
    <row r="2627" spans="1:10" x14ac:dyDescent="0.3">
      <c r="A2627" s="15">
        <v>45597</v>
      </c>
      <c r="B2627" t="s">
        <v>237</v>
      </c>
      <c r="C2627" t="s">
        <v>91</v>
      </c>
      <c r="D2627" t="s">
        <v>82</v>
      </c>
      <c r="E2627" t="s">
        <v>83</v>
      </c>
      <c r="F2627">
        <v>8100</v>
      </c>
      <c r="G2627" t="s">
        <v>331</v>
      </c>
      <c r="H2627" s="15">
        <v>45292</v>
      </c>
      <c r="I2627">
        <v>8100</v>
      </c>
      <c r="J2627">
        <v>0</v>
      </c>
    </row>
    <row r="2628" spans="1:10" x14ac:dyDescent="0.3">
      <c r="A2628" s="15">
        <v>45597</v>
      </c>
      <c r="B2628" t="s">
        <v>238</v>
      </c>
      <c r="C2628" t="s">
        <v>81</v>
      </c>
      <c r="D2628" t="s">
        <v>99</v>
      </c>
      <c r="E2628" t="s">
        <v>97</v>
      </c>
      <c r="F2628">
        <v>2600</v>
      </c>
      <c r="G2628" t="s">
        <v>331</v>
      </c>
      <c r="H2628" s="15">
        <v>45292</v>
      </c>
      <c r="I2628">
        <v>2600</v>
      </c>
      <c r="J2628">
        <v>0</v>
      </c>
    </row>
    <row r="2629" spans="1:10" x14ac:dyDescent="0.3">
      <c r="A2629" s="15">
        <v>45597</v>
      </c>
      <c r="B2629" t="s">
        <v>239</v>
      </c>
      <c r="C2629" t="s">
        <v>81</v>
      </c>
      <c r="D2629" t="s">
        <v>82</v>
      </c>
      <c r="E2629" t="s">
        <v>103</v>
      </c>
      <c r="F2629">
        <v>2500</v>
      </c>
      <c r="G2629" t="s">
        <v>331</v>
      </c>
      <c r="H2629" s="15">
        <v>45292</v>
      </c>
      <c r="I2629">
        <v>2500</v>
      </c>
      <c r="J2629">
        <v>0</v>
      </c>
    </row>
    <row r="2630" spans="1:10" x14ac:dyDescent="0.3">
      <c r="A2630" s="15">
        <v>45597</v>
      </c>
      <c r="B2630" t="s">
        <v>240</v>
      </c>
      <c r="C2630" t="s">
        <v>81</v>
      </c>
      <c r="D2630" t="s">
        <v>99</v>
      </c>
      <c r="E2630" t="s">
        <v>103</v>
      </c>
      <c r="F2630">
        <v>3000</v>
      </c>
      <c r="G2630" t="s">
        <v>331</v>
      </c>
      <c r="H2630" s="15">
        <v>45292</v>
      </c>
      <c r="I2630">
        <v>3000</v>
      </c>
      <c r="J2630">
        <v>0</v>
      </c>
    </row>
    <row r="2631" spans="1:10" x14ac:dyDescent="0.3">
      <c r="A2631" s="15">
        <v>45597</v>
      </c>
      <c r="B2631" t="s">
        <v>241</v>
      </c>
      <c r="C2631" t="s">
        <v>91</v>
      </c>
      <c r="D2631" t="s">
        <v>96</v>
      </c>
      <c r="E2631" t="s">
        <v>87</v>
      </c>
      <c r="F2631">
        <v>12100</v>
      </c>
      <c r="G2631" t="s">
        <v>331</v>
      </c>
      <c r="H2631" s="15">
        <v>45292</v>
      </c>
      <c r="I2631">
        <v>12100</v>
      </c>
      <c r="J2631">
        <v>0</v>
      </c>
    </row>
    <row r="2632" spans="1:10" x14ac:dyDescent="0.3">
      <c r="A2632" s="15">
        <v>45597</v>
      </c>
      <c r="B2632" t="s">
        <v>242</v>
      </c>
      <c r="C2632" t="s">
        <v>110</v>
      </c>
      <c r="D2632" t="s">
        <v>99</v>
      </c>
      <c r="E2632" t="s">
        <v>101</v>
      </c>
      <c r="F2632">
        <v>34800</v>
      </c>
      <c r="G2632" t="s">
        <v>331</v>
      </c>
      <c r="H2632" s="15">
        <v>45292</v>
      </c>
      <c r="I2632">
        <v>34800</v>
      </c>
      <c r="J2632">
        <v>0</v>
      </c>
    </row>
    <row r="2633" spans="1:10" x14ac:dyDescent="0.3">
      <c r="A2633" s="15">
        <v>45597</v>
      </c>
      <c r="B2633" t="s">
        <v>244</v>
      </c>
      <c r="C2633" t="s">
        <v>91</v>
      </c>
      <c r="D2633" t="s">
        <v>82</v>
      </c>
      <c r="E2633" t="s">
        <v>92</v>
      </c>
      <c r="F2633">
        <v>7800</v>
      </c>
      <c r="G2633" t="s">
        <v>331</v>
      </c>
      <c r="H2633" s="15">
        <v>45292</v>
      </c>
      <c r="I2633">
        <v>7800</v>
      </c>
      <c r="J2633">
        <v>0</v>
      </c>
    </row>
    <row r="2634" spans="1:10" x14ac:dyDescent="0.3">
      <c r="A2634" s="15">
        <v>45597</v>
      </c>
      <c r="B2634" t="s">
        <v>245</v>
      </c>
      <c r="C2634" t="s">
        <v>81</v>
      </c>
      <c r="D2634" t="s">
        <v>99</v>
      </c>
      <c r="E2634" t="s">
        <v>97</v>
      </c>
      <c r="F2634">
        <v>2600</v>
      </c>
      <c r="G2634" t="s">
        <v>331</v>
      </c>
      <c r="H2634" s="15">
        <v>45292</v>
      </c>
      <c r="I2634">
        <v>2600</v>
      </c>
      <c r="J2634">
        <v>0</v>
      </c>
    </row>
    <row r="2635" spans="1:10" x14ac:dyDescent="0.3">
      <c r="A2635" s="15">
        <v>45597</v>
      </c>
      <c r="B2635" t="s">
        <v>246</v>
      </c>
      <c r="C2635" t="s">
        <v>91</v>
      </c>
      <c r="D2635" t="s">
        <v>86</v>
      </c>
      <c r="E2635" t="s">
        <v>103</v>
      </c>
      <c r="F2635">
        <v>10100</v>
      </c>
      <c r="G2635" t="s">
        <v>331</v>
      </c>
      <c r="H2635" s="15">
        <v>45292</v>
      </c>
      <c r="I2635">
        <v>10100</v>
      </c>
      <c r="J2635">
        <v>0</v>
      </c>
    </row>
    <row r="2636" spans="1:10" x14ac:dyDescent="0.3">
      <c r="A2636" s="15">
        <v>45597</v>
      </c>
      <c r="B2636" t="s">
        <v>247</v>
      </c>
      <c r="C2636" t="s">
        <v>91</v>
      </c>
      <c r="D2636" t="s">
        <v>86</v>
      </c>
      <c r="E2636" t="s">
        <v>89</v>
      </c>
      <c r="F2636">
        <v>9100</v>
      </c>
      <c r="G2636" t="s">
        <v>331</v>
      </c>
      <c r="H2636" s="15">
        <v>45292</v>
      </c>
      <c r="I2636">
        <v>9100</v>
      </c>
      <c r="J2636">
        <v>0</v>
      </c>
    </row>
    <row r="2637" spans="1:10" x14ac:dyDescent="0.3">
      <c r="A2637" s="15">
        <v>45597</v>
      </c>
      <c r="B2637" t="s">
        <v>248</v>
      </c>
      <c r="C2637" t="s">
        <v>81</v>
      </c>
      <c r="D2637" t="s">
        <v>82</v>
      </c>
      <c r="E2637" t="s">
        <v>103</v>
      </c>
      <c r="F2637">
        <v>2100</v>
      </c>
      <c r="G2637" t="s">
        <v>331</v>
      </c>
      <c r="H2637" s="15">
        <v>45292</v>
      </c>
      <c r="I2637">
        <v>2100</v>
      </c>
      <c r="J2637">
        <v>0</v>
      </c>
    </row>
    <row r="2638" spans="1:10" x14ac:dyDescent="0.3">
      <c r="A2638" s="15">
        <v>45597</v>
      </c>
      <c r="B2638" t="s">
        <v>250</v>
      </c>
      <c r="C2638" t="s">
        <v>81</v>
      </c>
      <c r="D2638" t="s">
        <v>86</v>
      </c>
      <c r="E2638" t="s">
        <v>87</v>
      </c>
      <c r="F2638">
        <v>3300</v>
      </c>
      <c r="G2638" t="s">
        <v>331</v>
      </c>
      <c r="H2638" s="15">
        <v>45292</v>
      </c>
      <c r="I2638">
        <v>3300</v>
      </c>
      <c r="J2638">
        <v>0</v>
      </c>
    </row>
    <row r="2639" spans="1:10" x14ac:dyDescent="0.3">
      <c r="A2639" s="15">
        <v>45597</v>
      </c>
      <c r="B2639" t="s">
        <v>251</v>
      </c>
      <c r="C2639" t="s">
        <v>91</v>
      </c>
      <c r="D2639" t="s">
        <v>99</v>
      </c>
      <c r="E2639" t="s">
        <v>103</v>
      </c>
      <c r="F2639">
        <v>7700</v>
      </c>
      <c r="G2639" t="s">
        <v>331</v>
      </c>
      <c r="H2639" s="15">
        <v>45292</v>
      </c>
      <c r="I2639">
        <v>7700</v>
      </c>
      <c r="J2639">
        <v>0</v>
      </c>
    </row>
    <row r="2640" spans="1:10" x14ac:dyDescent="0.3">
      <c r="A2640" s="15">
        <v>45597</v>
      </c>
      <c r="B2640" t="s">
        <v>252</v>
      </c>
      <c r="C2640" t="s">
        <v>81</v>
      </c>
      <c r="D2640" t="s">
        <v>99</v>
      </c>
      <c r="E2640" t="s">
        <v>92</v>
      </c>
      <c r="F2640">
        <v>3400</v>
      </c>
      <c r="G2640" t="s">
        <v>331</v>
      </c>
      <c r="H2640" s="15">
        <v>45292</v>
      </c>
      <c r="I2640">
        <v>3400</v>
      </c>
      <c r="J2640">
        <v>0</v>
      </c>
    </row>
    <row r="2641" spans="1:10" x14ac:dyDescent="0.3">
      <c r="A2641" s="15">
        <v>45597</v>
      </c>
      <c r="B2641" t="s">
        <v>253</v>
      </c>
      <c r="C2641" t="s">
        <v>81</v>
      </c>
      <c r="D2641" t="s">
        <v>96</v>
      </c>
      <c r="E2641" t="s">
        <v>89</v>
      </c>
      <c r="F2641">
        <v>2400</v>
      </c>
      <c r="G2641" t="s">
        <v>331</v>
      </c>
      <c r="H2641" s="15">
        <v>45292</v>
      </c>
      <c r="I2641">
        <v>2400</v>
      </c>
      <c r="J2641">
        <v>0</v>
      </c>
    </row>
    <row r="2642" spans="1:10" x14ac:dyDescent="0.3">
      <c r="A2642" s="15">
        <v>45597</v>
      </c>
      <c r="B2642" t="s">
        <v>254</v>
      </c>
      <c r="C2642" t="s">
        <v>110</v>
      </c>
      <c r="D2642" t="s">
        <v>86</v>
      </c>
      <c r="E2642" t="s">
        <v>103</v>
      </c>
      <c r="F2642">
        <v>56100</v>
      </c>
      <c r="G2642" t="s">
        <v>331</v>
      </c>
      <c r="H2642" s="15">
        <v>45292</v>
      </c>
      <c r="I2642">
        <v>56100</v>
      </c>
      <c r="J2642">
        <v>0</v>
      </c>
    </row>
    <row r="2643" spans="1:10" x14ac:dyDescent="0.3">
      <c r="A2643" s="15">
        <v>45597</v>
      </c>
      <c r="B2643" t="s">
        <v>255</v>
      </c>
      <c r="C2643" t="s">
        <v>91</v>
      </c>
      <c r="D2643" t="s">
        <v>86</v>
      </c>
      <c r="E2643" t="s">
        <v>89</v>
      </c>
      <c r="F2643">
        <v>9900</v>
      </c>
      <c r="G2643" t="s">
        <v>331</v>
      </c>
      <c r="H2643" s="15">
        <v>45292</v>
      </c>
      <c r="I2643">
        <v>9900</v>
      </c>
      <c r="J2643">
        <v>0</v>
      </c>
    </row>
    <row r="2644" spans="1:10" x14ac:dyDescent="0.3">
      <c r="A2644" s="15">
        <v>45597</v>
      </c>
      <c r="B2644" t="s">
        <v>256</v>
      </c>
      <c r="C2644" t="s">
        <v>81</v>
      </c>
      <c r="D2644" t="s">
        <v>82</v>
      </c>
      <c r="E2644" t="s">
        <v>103</v>
      </c>
      <c r="F2644">
        <v>2600</v>
      </c>
      <c r="G2644" t="s">
        <v>331</v>
      </c>
      <c r="H2644" s="15">
        <v>45292</v>
      </c>
      <c r="I2644">
        <v>2600</v>
      </c>
      <c r="J2644">
        <v>0</v>
      </c>
    </row>
    <row r="2645" spans="1:10" x14ac:dyDescent="0.3">
      <c r="A2645" s="15">
        <v>45597</v>
      </c>
      <c r="B2645" t="s">
        <v>257</v>
      </c>
      <c r="C2645" t="s">
        <v>91</v>
      </c>
      <c r="D2645" t="s">
        <v>96</v>
      </c>
      <c r="E2645" t="s">
        <v>87</v>
      </c>
      <c r="F2645">
        <v>8400</v>
      </c>
      <c r="G2645" t="s">
        <v>331</v>
      </c>
      <c r="H2645" s="15">
        <v>45292</v>
      </c>
      <c r="I2645">
        <v>8400</v>
      </c>
      <c r="J2645">
        <v>0</v>
      </c>
    </row>
    <row r="2646" spans="1:10" x14ac:dyDescent="0.3">
      <c r="A2646" s="15">
        <v>45597</v>
      </c>
      <c r="B2646" t="s">
        <v>258</v>
      </c>
      <c r="C2646" t="s">
        <v>125</v>
      </c>
      <c r="D2646" t="s">
        <v>86</v>
      </c>
      <c r="E2646" t="s">
        <v>83</v>
      </c>
      <c r="F2646">
        <v>96300</v>
      </c>
      <c r="G2646" t="s">
        <v>331</v>
      </c>
      <c r="H2646" s="15">
        <v>45292</v>
      </c>
      <c r="I2646">
        <v>96300</v>
      </c>
      <c r="J2646">
        <v>0</v>
      </c>
    </row>
    <row r="2647" spans="1:10" x14ac:dyDescent="0.3">
      <c r="A2647" s="15">
        <v>45597</v>
      </c>
      <c r="B2647" t="s">
        <v>259</v>
      </c>
      <c r="C2647" t="s">
        <v>81</v>
      </c>
      <c r="D2647" t="s">
        <v>86</v>
      </c>
      <c r="E2647" t="s">
        <v>89</v>
      </c>
      <c r="F2647">
        <v>1900</v>
      </c>
      <c r="G2647" t="s">
        <v>331</v>
      </c>
      <c r="H2647" s="15">
        <v>45292</v>
      </c>
      <c r="I2647">
        <v>1900</v>
      </c>
      <c r="J2647">
        <v>0</v>
      </c>
    </row>
    <row r="2648" spans="1:10" x14ac:dyDescent="0.3">
      <c r="A2648" s="15">
        <v>45597</v>
      </c>
      <c r="B2648" t="s">
        <v>260</v>
      </c>
      <c r="C2648" t="s">
        <v>81</v>
      </c>
      <c r="D2648" t="s">
        <v>86</v>
      </c>
      <c r="E2648" t="s">
        <v>97</v>
      </c>
      <c r="F2648">
        <v>2300</v>
      </c>
      <c r="G2648" t="s">
        <v>331</v>
      </c>
      <c r="H2648" s="15">
        <v>45292</v>
      </c>
      <c r="I2648">
        <v>2300</v>
      </c>
      <c r="J2648">
        <v>0</v>
      </c>
    </row>
    <row r="2649" spans="1:10" x14ac:dyDescent="0.3">
      <c r="A2649" s="15">
        <v>45597</v>
      </c>
      <c r="B2649" t="s">
        <v>262</v>
      </c>
      <c r="C2649" t="s">
        <v>91</v>
      </c>
      <c r="D2649" t="s">
        <v>82</v>
      </c>
      <c r="E2649" t="s">
        <v>92</v>
      </c>
      <c r="F2649">
        <v>9400</v>
      </c>
      <c r="G2649" t="s">
        <v>331</v>
      </c>
      <c r="H2649" s="15">
        <v>45292</v>
      </c>
      <c r="I2649">
        <v>9400</v>
      </c>
      <c r="J2649">
        <v>0</v>
      </c>
    </row>
    <row r="2650" spans="1:10" x14ac:dyDescent="0.3">
      <c r="A2650" s="15">
        <v>45597</v>
      </c>
      <c r="B2650" t="s">
        <v>263</v>
      </c>
      <c r="C2650" t="s">
        <v>81</v>
      </c>
      <c r="D2650" t="s">
        <v>99</v>
      </c>
      <c r="E2650" t="s">
        <v>89</v>
      </c>
      <c r="F2650">
        <v>0</v>
      </c>
      <c r="G2650" t="s">
        <v>333</v>
      </c>
      <c r="H2650" s="15">
        <v>45292</v>
      </c>
      <c r="I2650">
        <v>3200</v>
      </c>
      <c r="J2650">
        <v>-3200</v>
      </c>
    </row>
    <row r="2651" spans="1:10" x14ac:dyDescent="0.3">
      <c r="A2651" s="15">
        <v>45597</v>
      </c>
      <c r="B2651" t="s">
        <v>264</v>
      </c>
      <c r="C2651" t="s">
        <v>110</v>
      </c>
      <c r="D2651" t="s">
        <v>86</v>
      </c>
      <c r="E2651" t="s">
        <v>97</v>
      </c>
      <c r="F2651">
        <v>31500</v>
      </c>
      <c r="G2651" t="s">
        <v>331</v>
      </c>
      <c r="H2651" s="15">
        <v>45292</v>
      </c>
      <c r="I2651">
        <v>31500</v>
      </c>
      <c r="J2651">
        <v>0</v>
      </c>
    </row>
    <row r="2652" spans="1:10" x14ac:dyDescent="0.3">
      <c r="A2652" s="15">
        <v>45597</v>
      </c>
      <c r="B2652" t="s">
        <v>265</v>
      </c>
      <c r="C2652" t="s">
        <v>125</v>
      </c>
      <c r="D2652" t="s">
        <v>86</v>
      </c>
      <c r="E2652" t="s">
        <v>101</v>
      </c>
      <c r="F2652">
        <v>92200</v>
      </c>
      <c r="G2652" t="s">
        <v>331</v>
      </c>
      <c r="H2652" s="15">
        <v>45292</v>
      </c>
      <c r="I2652">
        <v>92200</v>
      </c>
      <c r="J2652">
        <v>0</v>
      </c>
    </row>
    <row r="2653" spans="1:10" x14ac:dyDescent="0.3">
      <c r="A2653" s="15">
        <v>45597</v>
      </c>
      <c r="B2653" t="s">
        <v>266</v>
      </c>
      <c r="C2653" t="s">
        <v>81</v>
      </c>
      <c r="D2653" t="s">
        <v>82</v>
      </c>
      <c r="E2653" t="s">
        <v>83</v>
      </c>
      <c r="F2653">
        <v>2200</v>
      </c>
      <c r="G2653" t="s">
        <v>331</v>
      </c>
      <c r="H2653" s="15">
        <v>45292</v>
      </c>
      <c r="I2653">
        <v>2200</v>
      </c>
      <c r="J2653">
        <v>0</v>
      </c>
    </row>
    <row r="2654" spans="1:10" x14ac:dyDescent="0.3">
      <c r="A2654" s="15">
        <v>45597</v>
      </c>
      <c r="B2654" t="s">
        <v>267</v>
      </c>
      <c r="C2654" t="s">
        <v>91</v>
      </c>
      <c r="D2654" t="s">
        <v>82</v>
      </c>
      <c r="E2654" t="s">
        <v>97</v>
      </c>
      <c r="F2654">
        <v>6900</v>
      </c>
      <c r="G2654" t="s">
        <v>331</v>
      </c>
      <c r="H2654" s="15">
        <v>45292</v>
      </c>
      <c r="I2654">
        <v>6900</v>
      </c>
      <c r="J2654">
        <v>0</v>
      </c>
    </row>
    <row r="2655" spans="1:10" x14ac:dyDescent="0.3">
      <c r="A2655" s="15">
        <v>45597</v>
      </c>
      <c r="B2655" t="s">
        <v>271</v>
      </c>
      <c r="C2655" t="s">
        <v>81</v>
      </c>
      <c r="D2655" t="s">
        <v>82</v>
      </c>
      <c r="E2655" t="s">
        <v>97</v>
      </c>
      <c r="F2655">
        <v>0</v>
      </c>
      <c r="G2655" t="s">
        <v>333</v>
      </c>
      <c r="H2655" s="15">
        <v>45292</v>
      </c>
      <c r="I2655">
        <v>2900</v>
      </c>
      <c r="J2655">
        <v>-2900</v>
      </c>
    </row>
    <row r="2656" spans="1:10" x14ac:dyDescent="0.3">
      <c r="A2656" s="15">
        <v>45597</v>
      </c>
      <c r="B2656" t="s">
        <v>272</v>
      </c>
      <c r="C2656" t="s">
        <v>125</v>
      </c>
      <c r="D2656" t="s">
        <v>96</v>
      </c>
      <c r="E2656" t="s">
        <v>103</v>
      </c>
      <c r="F2656">
        <v>101100</v>
      </c>
      <c r="G2656" t="s">
        <v>331</v>
      </c>
      <c r="H2656" s="15">
        <v>45292</v>
      </c>
      <c r="I2656">
        <v>101100</v>
      </c>
      <c r="J2656">
        <v>0</v>
      </c>
    </row>
    <row r="2657" spans="1:10" x14ac:dyDescent="0.3">
      <c r="A2657" s="15">
        <v>45597</v>
      </c>
      <c r="B2657" t="s">
        <v>273</v>
      </c>
      <c r="C2657" t="s">
        <v>81</v>
      </c>
      <c r="D2657" t="s">
        <v>82</v>
      </c>
      <c r="E2657" t="s">
        <v>101</v>
      </c>
      <c r="F2657">
        <v>3300</v>
      </c>
      <c r="G2657" t="s">
        <v>331</v>
      </c>
      <c r="H2657" s="15">
        <v>45292</v>
      </c>
      <c r="I2657">
        <v>3300</v>
      </c>
      <c r="J2657">
        <v>0</v>
      </c>
    </row>
    <row r="2658" spans="1:10" x14ac:dyDescent="0.3">
      <c r="A2658" s="15">
        <v>45597</v>
      </c>
      <c r="B2658" t="s">
        <v>274</v>
      </c>
      <c r="C2658" t="s">
        <v>91</v>
      </c>
      <c r="D2658" t="s">
        <v>99</v>
      </c>
      <c r="E2658" t="s">
        <v>87</v>
      </c>
      <c r="F2658">
        <v>11400</v>
      </c>
      <c r="G2658" t="s">
        <v>331</v>
      </c>
      <c r="H2658" s="15">
        <v>45292</v>
      </c>
      <c r="I2658">
        <v>11400</v>
      </c>
      <c r="J2658">
        <v>0</v>
      </c>
    </row>
    <row r="2659" spans="1:10" x14ac:dyDescent="0.3">
      <c r="A2659" s="15">
        <v>45597</v>
      </c>
      <c r="B2659" t="s">
        <v>276</v>
      </c>
      <c r="C2659" t="s">
        <v>81</v>
      </c>
      <c r="D2659" t="s">
        <v>82</v>
      </c>
      <c r="E2659" t="s">
        <v>103</v>
      </c>
      <c r="F2659">
        <v>3300</v>
      </c>
      <c r="G2659" t="s">
        <v>331</v>
      </c>
      <c r="H2659" s="15">
        <v>45292</v>
      </c>
      <c r="I2659">
        <v>3300</v>
      </c>
      <c r="J2659">
        <v>0</v>
      </c>
    </row>
    <row r="2660" spans="1:10" x14ac:dyDescent="0.3">
      <c r="A2660" s="15">
        <v>45597</v>
      </c>
      <c r="B2660" t="s">
        <v>277</v>
      </c>
      <c r="C2660" t="s">
        <v>91</v>
      </c>
      <c r="D2660" t="s">
        <v>86</v>
      </c>
      <c r="E2660" t="s">
        <v>97</v>
      </c>
      <c r="F2660">
        <v>8000</v>
      </c>
      <c r="G2660" t="s">
        <v>331</v>
      </c>
      <c r="H2660" s="15">
        <v>45292</v>
      </c>
      <c r="I2660">
        <v>8000</v>
      </c>
      <c r="J2660">
        <v>0</v>
      </c>
    </row>
    <row r="2661" spans="1:10" x14ac:dyDescent="0.3">
      <c r="A2661" s="15">
        <v>45597</v>
      </c>
      <c r="B2661" t="s">
        <v>278</v>
      </c>
      <c r="C2661" t="s">
        <v>81</v>
      </c>
      <c r="D2661" t="s">
        <v>82</v>
      </c>
      <c r="E2661" t="s">
        <v>92</v>
      </c>
      <c r="F2661">
        <v>1900</v>
      </c>
      <c r="G2661" t="s">
        <v>331</v>
      </c>
      <c r="H2661" s="15">
        <v>45292</v>
      </c>
      <c r="I2661">
        <v>1900</v>
      </c>
      <c r="J2661">
        <v>0</v>
      </c>
    </row>
    <row r="2662" spans="1:10" x14ac:dyDescent="0.3">
      <c r="A2662" s="15">
        <v>45597</v>
      </c>
      <c r="B2662" t="s">
        <v>279</v>
      </c>
      <c r="C2662" t="s">
        <v>91</v>
      </c>
      <c r="D2662" t="s">
        <v>99</v>
      </c>
      <c r="E2662" t="s">
        <v>89</v>
      </c>
      <c r="F2662">
        <v>9800</v>
      </c>
      <c r="G2662" t="s">
        <v>331</v>
      </c>
      <c r="H2662" s="15">
        <v>45292</v>
      </c>
      <c r="I2662">
        <v>9800</v>
      </c>
      <c r="J2662">
        <v>0</v>
      </c>
    </row>
    <row r="2663" spans="1:10" x14ac:dyDescent="0.3">
      <c r="A2663" s="15">
        <v>45597</v>
      </c>
      <c r="B2663" t="s">
        <v>280</v>
      </c>
      <c r="C2663" t="s">
        <v>91</v>
      </c>
      <c r="D2663" t="s">
        <v>96</v>
      </c>
      <c r="E2663" t="s">
        <v>83</v>
      </c>
      <c r="F2663">
        <v>6300</v>
      </c>
      <c r="G2663" t="s">
        <v>331</v>
      </c>
      <c r="H2663" s="15">
        <v>45292</v>
      </c>
      <c r="I2663">
        <v>6300</v>
      </c>
      <c r="J2663">
        <v>0</v>
      </c>
    </row>
    <row r="2664" spans="1:10" x14ac:dyDescent="0.3">
      <c r="A2664" s="15">
        <v>45597</v>
      </c>
      <c r="B2664" t="s">
        <v>281</v>
      </c>
      <c r="C2664" t="s">
        <v>110</v>
      </c>
      <c r="D2664" t="s">
        <v>86</v>
      </c>
      <c r="E2664" t="s">
        <v>92</v>
      </c>
      <c r="F2664">
        <v>52700</v>
      </c>
      <c r="G2664" t="s">
        <v>332</v>
      </c>
      <c r="H2664" s="15">
        <v>45292</v>
      </c>
      <c r="I2664">
        <v>46800</v>
      </c>
      <c r="J2664">
        <v>5900</v>
      </c>
    </row>
    <row r="2665" spans="1:10" x14ac:dyDescent="0.3">
      <c r="A2665" s="15">
        <v>45597</v>
      </c>
      <c r="B2665" t="s">
        <v>282</v>
      </c>
      <c r="C2665" t="s">
        <v>91</v>
      </c>
      <c r="D2665" t="s">
        <v>86</v>
      </c>
      <c r="E2665" t="s">
        <v>92</v>
      </c>
      <c r="F2665">
        <v>7000</v>
      </c>
      <c r="G2665" t="s">
        <v>331</v>
      </c>
      <c r="H2665" s="15">
        <v>45292</v>
      </c>
      <c r="I2665">
        <v>7000</v>
      </c>
      <c r="J2665">
        <v>0</v>
      </c>
    </row>
    <row r="2666" spans="1:10" x14ac:dyDescent="0.3">
      <c r="A2666" s="15">
        <v>45597</v>
      </c>
      <c r="B2666" t="s">
        <v>283</v>
      </c>
      <c r="C2666" t="s">
        <v>110</v>
      </c>
      <c r="D2666" t="s">
        <v>82</v>
      </c>
      <c r="E2666" t="s">
        <v>87</v>
      </c>
      <c r="F2666">
        <v>34200</v>
      </c>
      <c r="G2666" t="s">
        <v>331</v>
      </c>
      <c r="H2666" s="15">
        <v>45292</v>
      </c>
      <c r="I2666">
        <v>34200</v>
      </c>
      <c r="J2666">
        <v>0</v>
      </c>
    </row>
    <row r="2667" spans="1:10" x14ac:dyDescent="0.3">
      <c r="A2667" s="15">
        <v>45597</v>
      </c>
      <c r="B2667" t="s">
        <v>284</v>
      </c>
      <c r="C2667" t="s">
        <v>81</v>
      </c>
      <c r="D2667" t="s">
        <v>82</v>
      </c>
      <c r="E2667" t="s">
        <v>101</v>
      </c>
      <c r="F2667">
        <v>2400</v>
      </c>
      <c r="G2667" t="s">
        <v>331</v>
      </c>
      <c r="H2667" s="15">
        <v>45292</v>
      </c>
      <c r="I2667">
        <v>2400</v>
      </c>
      <c r="J2667">
        <v>0</v>
      </c>
    </row>
    <row r="2668" spans="1:10" x14ac:dyDescent="0.3">
      <c r="A2668" s="15">
        <v>45597</v>
      </c>
      <c r="B2668" t="s">
        <v>285</v>
      </c>
      <c r="C2668" t="s">
        <v>91</v>
      </c>
      <c r="D2668" t="s">
        <v>82</v>
      </c>
      <c r="E2668" t="s">
        <v>83</v>
      </c>
      <c r="F2668">
        <v>10900</v>
      </c>
      <c r="G2668" t="s">
        <v>331</v>
      </c>
      <c r="H2668" s="15">
        <v>45292</v>
      </c>
      <c r="I2668">
        <v>10900</v>
      </c>
      <c r="J2668">
        <v>0</v>
      </c>
    </row>
    <row r="2669" spans="1:10" x14ac:dyDescent="0.3">
      <c r="A2669" s="15">
        <v>45597</v>
      </c>
      <c r="B2669" t="s">
        <v>286</v>
      </c>
      <c r="C2669" t="s">
        <v>125</v>
      </c>
      <c r="D2669" t="s">
        <v>86</v>
      </c>
      <c r="E2669" t="s">
        <v>92</v>
      </c>
      <c r="F2669">
        <v>92400</v>
      </c>
      <c r="G2669" t="s">
        <v>331</v>
      </c>
      <c r="H2669" s="15">
        <v>45292</v>
      </c>
      <c r="I2669">
        <v>92400</v>
      </c>
      <c r="J2669">
        <v>0</v>
      </c>
    </row>
    <row r="2670" spans="1:10" x14ac:dyDescent="0.3">
      <c r="A2670" s="15">
        <v>45597</v>
      </c>
      <c r="B2670" t="s">
        <v>287</v>
      </c>
      <c r="C2670" t="s">
        <v>81</v>
      </c>
      <c r="D2670" t="s">
        <v>99</v>
      </c>
      <c r="E2670" t="s">
        <v>87</v>
      </c>
      <c r="F2670">
        <v>2300</v>
      </c>
      <c r="G2670" t="s">
        <v>331</v>
      </c>
      <c r="H2670" s="15">
        <v>45292</v>
      </c>
      <c r="I2670">
        <v>2300</v>
      </c>
      <c r="J2670">
        <v>0</v>
      </c>
    </row>
    <row r="2671" spans="1:10" x14ac:dyDescent="0.3">
      <c r="A2671" s="15">
        <v>45597</v>
      </c>
      <c r="B2671" t="s">
        <v>288</v>
      </c>
      <c r="C2671" t="s">
        <v>81</v>
      </c>
      <c r="D2671" t="s">
        <v>99</v>
      </c>
      <c r="E2671" t="s">
        <v>97</v>
      </c>
      <c r="F2671">
        <v>2600</v>
      </c>
      <c r="G2671" t="s">
        <v>331</v>
      </c>
      <c r="H2671" s="15">
        <v>45292</v>
      </c>
      <c r="I2671">
        <v>2600</v>
      </c>
      <c r="J2671">
        <v>0</v>
      </c>
    </row>
    <row r="2672" spans="1:10" x14ac:dyDescent="0.3">
      <c r="A2672" s="15">
        <v>45597</v>
      </c>
      <c r="B2672" t="s">
        <v>289</v>
      </c>
      <c r="C2672" t="s">
        <v>91</v>
      </c>
      <c r="D2672" t="s">
        <v>86</v>
      </c>
      <c r="E2672" t="s">
        <v>101</v>
      </c>
      <c r="F2672">
        <v>9400</v>
      </c>
      <c r="G2672" t="s">
        <v>331</v>
      </c>
      <c r="H2672" s="15">
        <v>45292</v>
      </c>
      <c r="I2672">
        <v>9400</v>
      </c>
      <c r="J2672">
        <v>0</v>
      </c>
    </row>
    <row r="2673" spans="1:10" x14ac:dyDescent="0.3">
      <c r="A2673" s="15">
        <v>45597</v>
      </c>
      <c r="B2673" t="s">
        <v>290</v>
      </c>
      <c r="C2673" t="s">
        <v>81</v>
      </c>
      <c r="D2673" t="s">
        <v>82</v>
      </c>
      <c r="E2673" t="s">
        <v>103</v>
      </c>
      <c r="F2673">
        <v>2500</v>
      </c>
      <c r="G2673" t="s">
        <v>331</v>
      </c>
      <c r="H2673" s="15">
        <v>45292</v>
      </c>
      <c r="I2673">
        <v>2500</v>
      </c>
      <c r="J2673">
        <v>0</v>
      </c>
    </row>
    <row r="2674" spans="1:10" x14ac:dyDescent="0.3">
      <c r="A2674" s="15">
        <v>45597</v>
      </c>
      <c r="B2674" t="s">
        <v>291</v>
      </c>
      <c r="C2674" t="s">
        <v>81</v>
      </c>
      <c r="D2674" t="s">
        <v>82</v>
      </c>
      <c r="E2674" t="s">
        <v>83</v>
      </c>
      <c r="F2674">
        <v>3100</v>
      </c>
      <c r="G2674" t="s">
        <v>331</v>
      </c>
      <c r="H2674" s="15">
        <v>45292</v>
      </c>
      <c r="I2674">
        <v>3100</v>
      </c>
      <c r="J2674">
        <v>0</v>
      </c>
    </row>
    <row r="2675" spans="1:10" x14ac:dyDescent="0.3">
      <c r="A2675" s="15">
        <v>45597</v>
      </c>
      <c r="B2675" t="s">
        <v>292</v>
      </c>
      <c r="C2675" t="s">
        <v>91</v>
      </c>
      <c r="D2675" t="s">
        <v>86</v>
      </c>
      <c r="E2675" t="s">
        <v>89</v>
      </c>
      <c r="F2675">
        <v>8600</v>
      </c>
      <c r="G2675" t="s">
        <v>331</v>
      </c>
      <c r="H2675" s="15">
        <v>45292</v>
      </c>
      <c r="I2675">
        <v>8600</v>
      </c>
      <c r="J2675">
        <v>0</v>
      </c>
    </row>
    <row r="2676" spans="1:10" x14ac:dyDescent="0.3">
      <c r="A2676" s="15">
        <v>45597</v>
      </c>
      <c r="B2676" t="s">
        <v>293</v>
      </c>
      <c r="C2676" t="s">
        <v>81</v>
      </c>
      <c r="D2676" t="s">
        <v>86</v>
      </c>
      <c r="E2676" t="s">
        <v>103</v>
      </c>
      <c r="F2676">
        <v>2200</v>
      </c>
      <c r="G2676" t="s">
        <v>331</v>
      </c>
      <c r="H2676" s="15">
        <v>45292</v>
      </c>
      <c r="I2676">
        <v>2200</v>
      </c>
      <c r="J2676">
        <v>0</v>
      </c>
    </row>
    <row r="2677" spans="1:10" x14ac:dyDescent="0.3">
      <c r="A2677" s="15">
        <v>45597</v>
      </c>
      <c r="B2677" t="s">
        <v>294</v>
      </c>
      <c r="C2677" t="s">
        <v>91</v>
      </c>
      <c r="D2677" t="s">
        <v>82</v>
      </c>
      <c r="E2677" t="s">
        <v>97</v>
      </c>
      <c r="F2677">
        <v>10400</v>
      </c>
      <c r="G2677" t="s">
        <v>331</v>
      </c>
      <c r="H2677" s="15">
        <v>45292</v>
      </c>
      <c r="I2677">
        <v>10400</v>
      </c>
      <c r="J2677">
        <v>0</v>
      </c>
    </row>
    <row r="2678" spans="1:10" x14ac:dyDescent="0.3">
      <c r="A2678" s="15">
        <v>45597</v>
      </c>
      <c r="B2678" t="s">
        <v>295</v>
      </c>
      <c r="C2678" t="s">
        <v>81</v>
      </c>
      <c r="D2678" t="s">
        <v>82</v>
      </c>
      <c r="E2678" t="s">
        <v>103</v>
      </c>
      <c r="F2678">
        <v>2300</v>
      </c>
      <c r="G2678" t="s">
        <v>331</v>
      </c>
      <c r="H2678" s="15">
        <v>45292</v>
      </c>
      <c r="I2678">
        <v>2300</v>
      </c>
      <c r="J2678">
        <v>0</v>
      </c>
    </row>
    <row r="2679" spans="1:10" x14ac:dyDescent="0.3">
      <c r="A2679" s="15">
        <v>45597</v>
      </c>
      <c r="B2679" t="s">
        <v>297</v>
      </c>
      <c r="C2679" t="s">
        <v>91</v>
      </c>
      <c r="D2679" t="s">
        <v>86</v>
      </c>
      <c r="E2679" t="s">
        <v>103</v>
      </c>
      <c r="F2679">
        <v>9100</v>
      </c>
      <c r="G2679" t="s">
        <v>331</v>
      </c>
      <c r="H2679" s="15">
        <v>45292</v>
      </c>
      <c r="I2679">
        <v>9100</v>
      </c>
      <c r="J2679">
        <v>0</v>
      </c>
    </row>
    <row r="2680" spans="1:10" x14ac:dyDescent="0.3">
      <c r="A2680" s="15">
        <v>45597</v>
      </c>
      <c r="B2680" t="s">
        <v>298</v>
      </c>
      <c r="C2680" t="s">
        <v>81</v>
      </c>
      <c r="D2680" t="s">
        <v>86</v>
      </c>
      <c r="E2680" t="s">
        <v>89</v>
      </c>
      <c r="F2680">
        <v>2700</v>
      </c>
      <c r="G2680" t="s">
        <v>331</v>
      </c>
      <c r="H2680" s="15">
        <v>45292</v>
      </c>
      <c r="I2680">
        <v>2700</v>
      </c>
      <c r="J2680">
        <v>0</v>
      </c>
    </row>
    <row r="2681" spans="1:10" x14ac:dyDescent="0.3">
      <c r="A2681" s="15">
        <v>45597</v>
      </c>
      <c r="B2681" t="s">
        <v>299</v>
      </c>
      <c r="C2681" t="s">
        <v>81</v>
      </c>
      <c r="D2681" t="s">
        <v>99</v>
      </c>
      <c r="E2681" t="s">
        <v>103</v>
      </c>
      <c r="F2681">
        <v>2900</v>
      </c>
      <c r="G2681" t="s">
        <v>331</v>
      </c>
      <c r="H2681" s="15">
        <v>45292</v>
      </c>
      <c r="I2681">
        <v>2900</v>
      </c>
      <c r="J2681">
        <v>0</v>
      </c>
    </row>
    <row r="2682" spans="1:10" x14ac:dyDescent="0.3">
      <c r="A2682" s="15">
        <v>45597</v>
      </c>
      <c r="B2682" t="s">
        <v>300</v>
      </c>
      <c r="C2682" t="s">
        <v>91</v>
      </c>
      <c r="D2682" t="s">
        <v>82</v>
      </c>
      <c r="E2682" t="s">
        <v>89</v>
      </c>
      <c r="F2682">
        <v>10900</v>
      </c>
      <c r="G2682" t="s">
        <v>331</v>
      </c>
      <c r="H2682" s="15">
        <v>45292</v>
      </c>
      <c r="I2682">
        <v>10900</v>
      </c>
      <c r="J2682">
        <v>0</v>
      </c>
    </row>
    <row r="2683" spans="1:10" x14ac:dyDescent="0.3">
      <c r="A2683" s="15">
        <v>45597</v>
      </c>
      <c r="B2683" t="s">
        <v>303</v>
      </c>
      <c r="C2683" t="s">
        <v>81</v>
      </c>
      <c r="D2683" t="s">
        <v>82</v>
      </c>
      <c r="E2683" t="s">
        <v>83</v>
      </c>
      <c r="F2683">
        <v>1500</v>
      </c>
      <c r="G2683" t="s">
        <v>331</v>
      </c>
      <c r="H2683" s="15">
        <v>45292</v>
      </c>
      <c r="I2683">
        <v>1500</v>
      </c>
      <c r="J2683">
        <v>0</v>
      </c>
    </row>
    <row r="2684" spans="1:10" x14ac:dyDescent="0.3">
      <c r="A2684" s="15">
        <v>45597</v>
      </c>
      <c r="B2684" t="s">
        <v>304</v>
      </c>
      <c r="C2684" t="s">
        <v>81</v>
      </c>
      <c r="D2684" t="s">
        <v>86</v>
      </c>
      <c r="E2684" t="s">
        <v>92</v>
      </c>
      <c r="F2684">
        <v>2100</v>
      </c>
      <c r="G2684" t="s">
        <v>331</v>
      </c>
      <c r="H2684" s="15">
        <v>45292</v>
      </c>
      <c r="I2684">
        <v>2100</v>
      </c>
      <c r="J2684">
        <v>0</v>
      </c>
    </row>
    <row r="2685" spans="1:10" x14ac:dyDescent="0.3">
      <c r="A2685" s="15">
        <v>45597</v>
      </c>
      <c r="B2685" t="s">
        <v>306</v>
      </c>
      <c r="C2685" t="s">
        <v>91</v>
      </c>
      <c r="D2685" t="s">
        <v>82</v>
      </c>
      <c r="E2685" t="s">
        <v>87</v>
      </c>
      <c r="F2685">
        <v>11700</v>
      </c>
      <c r="G2685" t="s">
        <v>331</v>
      </c>
      <c r="H2685" s="15">
        <v>45292</v>
      </c>
      <c r="I2685">
        <v>11700</v>
      </c>
      <c r="J2685">
        <v>0</v>
      </c>
    </row>
    <row r="2686" spans="1:10" x14ac:dyDescent="0.3">
      <c r="A2686" s="15">
        <v>45597</v>
      </c>
      <c r="B2686" t="s">
        <v>307</v>
      </c>
      <c r="C2686" t="s">
        <v>81</v>
      </c>
      <c r="D2686" t="s">
        <v>86</v>
      </c>
      <c r="E2686" t="s">
        <v>97</v>
      </c>
      <c r="F2686">
        <v>2600</v>
      </c>
      <c r="G2686" t="s">
        <v>331</v>
      </c>
      <c r="H2686" s="15">
        <v>45292</v>
      </c>
      <c r="I2686">
        <v>2600</v>
      </c>
      <c r="J2686">
        <v>0</v>
      </c>
    </row>
    <row r="2687" spans="1:10" x14ac:dyDescent="0.3">
      <c r="A2687" s="15">
        <v>45597</v>
      </c>
      <c r="B2687" t="s">
        <v>308</v>
      </c>
      <c r="C2687" t="s">
        <v>91</v>
      </c>
      <c r="D2687" t="s">
        <v>86</v>
      </c>
      <c r="E2687" t="s">
        <v>92</v>
      </c>
      <c r="F2687">
        <v>8000</v>
      </c>
      <c r="G2687" t="s">
        <v>331</v>
      </c>
      <c r="H2687" s="15">
        <v>45292</v>
      </c>
      <c r="I2687">
        <v>8000</v>
      </c>
      <c r="J2687">
        <v>0</v>
      </c>
    </row>
    <row r="2688" spans="1:10" x14ac:dyDescent="0.3">
      <c r="A2688" s="15">
        <v>45597</v>
      </c>
      <c r="B2688" t="s">
        <v>309</v>
      </c>
      <c r="C2688" t="s">
        <v>91</v>
      </c>
      <c r="D2688" t="s">
        <v>82</v>
      </c>
      <c r="E2688" t="s">
        <v>87</v>
      </c>
      <c r="F2688">
        <v>9700</v>
      </c>
      <c r="G2688" t="s">
        <v>331</v>
      </c>
      <c r="H2688" s="15">
        <v>45292</v>
      </c>
      <c r="I2688">
        <v>9700</v>
      </c>
      <c r="J2688">
        <v>0</v>
      </c>
    </row>
    <row r="2689" spans="1:10" x14ac:dyDescent="0.3">
      <c r="A2689" s="15">
        <v>45597</v>
      </c>
      <c r="B2689" t="s">
        <v>310</v>
      </c>
      <c r="C2689" t="s">
        <v>91</v>
      </c>
      <c r="D2689" t="s">
        <v>99</v>
      </c>
      <c r="E2689" t="s">
        <v>87</v>
      </c>
      <c r="F2689">
        <v>10000</v>
      </c>
      <c r="G2689" t="s">
        <v>331</v>
      </c>
      <c r="H2689" s="15">
        <v>45292</v>
      </c>
      <c r="I2689">
        <v>10000</v>
      </c>
      <c r="J2689">
        <v>0</v>
      </c>
    </row>
    <row r="2690" spans="1:10" x14ac:dyDescent="0.3">
      <c r="A2690" s="15">
        <v>45597</v>
      </c>
      <c r="B2690" t="s">
        <v>313</v>
      </c>
      <c r="C2690" t="s">
        <v>91</v>
      </c>
      <c r="D2690" t="s">
        <v>82</v>
      </c>
      <c r="E2690" t="s">
        <v>101</v>
      </c>
      <c r="F2690">
        <v>12700</v>
      </c>
      <c r="G2690" t="s">
        <v>331</v>
      </c>
      <c r="H2690" s="15">
        <v>45292</v>
      </c>
      <c r="I2690">
        <v>12700</v>
      </c>
      <c r="J2690">
        <v>0</v>
      </c>
    </row>
    <row r="2691" spans="1:10" x14ac:dyDescent="0.3">
      <c r="A2691" s="15">
        <v>45597</v>
      </c>
      <c r="B2691" t="s">
        <v>314</v>
      </c>
      <c r="C2691" t="s">
        <v>91</v>
      </c>
      <c r="D2691" t="s">
        <v>82</v>
      </c>
      <c r="E2691" t="s">
        <v>103</v>
      </c>
      <c r="F2691">
        <v>0</v>
      </c>
      <c r="G2691" t="s">
        <v>333</v>
      </c>
      <c r="H2691" s="15">
        <v>45292</v>
      </c>
      <c r="I2691">
        <v>10100</v>
      </c>
      <c r="J2691">
        <v>-10100</v>
      </c>
    </row>
    <row r="2692" spans="1:10" x14ac:dyDescent="0.3">
      <c r="A2692" s="15">
        <v>45597</v>
      </c>
      <c r="B2692" t="s">
        <v>315</v>
      </c>
      <c r="C2692" t="s">
        <v>125</v>
      </c>
      <c r="D2692" t="s">
        <v>86</v>
      </c>
      <c r="E2692" t="s">
        <v>92</v>
      </c>
      <c r="F2692">
        <v>76200</v>
      </c>
      <c r="G2692" t="s">
        <v>331</v>
      </c>
      <c r="H2692" s="15">
        <v>45292</v>
      </c>
      <c r="I2692">
        <v>76200</v>
      </c>
      <c r="J2692">
        <v>0</v>
      </c>
    </row>
    <row r="2693" spans="1:10" x14ac:dyDescent="0.3">
      <c r="A2693" s="15">
        <v>45597</v>
      </c>
      <c r="B2693" t="s">
        <v>316</v>
      </c>
      <c r="C2693" t="s">
        <v>81</v>
      </c>
      <c r="D2693" t="s">
        <v>96</v>
      </c>
      <c r="E2693" t="s">
        <v>92</v>
      </c>
      <c r="F2693">
        <v>1800</v>
      </c>
      <c r="G2693" t="s">
        <v>331</v>
      </c>
      <c r="H2693" s="15">
        <v>45292</v>
      </c>
      <c r="I2693">
        <v>1800</v>
      </c>
      <c r="J2693">
        <v>0</v>
      </c>
    </row>
    <row r="2694" spans="1:10" x14ac:dyDescent="0.3">
      <c r="A2694" s="15">
        <v>45597</v>
      </c>
      <c r="B2694" t="s">
        <v>318</v>
      </c>
      <c r="C2694" t="s">
        <v>110</v>
      </c>
      <c r="D2694" t="s">
        <v>82</v>
      </c>
      <c r="E2694" t="s">
        <v>97</v>
      </c>
      <c r="F2694">
        <v>29600</v>
      </c>
      <c r="G2694" t="s">
        <v>331</v>
      </c>
      <c r="H2694" s="15">
        <v>45292</v>
      </c>
      <c r="I2694">
        <v>29600</v>
      </c>
      <c r="J2694">
        <v>0</v>
      </c>
    </row>
    <row r="2695" spans="1:10" x14ac:dyDescent="0.3">
      <c r="A2695" s="15">
        <v>45597</v>
      </c>
      <c r="B2695" t="s">
        <v>320</v>
      </c>
      <c r="C2695" t="s">
        <v>91</v>
      </c>
      <c r="D2695" t="s">
        <v>86</v>
      </c>
      <c r="E2695" t="s">
        <v>97</v>
      </c>
      <c r="F2695">
        <v>7700</v>
      </c>
      <c r="G2695" t="s">
        <v>331</v>
      </c>
      <c r="H2695" s="15">
        <v>45292</v>
      </c>
      <c r="I2695">
        <v>7700</v>
      </c>
      <c r="J2695">
        <v>0</v>
      </c>
    </row>
    <row r="2696" spans="1:10" x14ac:dyDescent="0.3">
      <c r="A2696" s="15">
        <v>45597</v>
      </c>
      <c r="B2696" t="s">
        <v>321</v>
      </c>
      <c r="C2696" t="s">
        <v>81</v>
      </c>
      <c r="D2696" t="s">
        <v>99</v>
      </c>
      <c r="E2696" t="s">
        <v>101</v>
      </c>
      <c r="F2696">
        <v>3300</v>
      </c>
      <c r="G2696" t="s">
        <v>331</v>
      </c>
      <c r="H2696" s="15">
        <v>45292</v>
      </c>
      <c r="I2696">
        <v>3300</v>
      </c>
      <c r="J2696">
        <v>0</v>
      </c>
    </row>
    <row r="2697" spans="1:10" x14ac:dyDescent="0.3">
      <c r="A2697" s="15">
        <v>45597</v>
      </c>
      <c r="B2697" t="s">
        <v>322</v>
      </c>
      <c r="C2697" t="s">
        <v>81</v>
      </c>
      <c r="D2697" t="s">
        <v>82</v>
      </c>
      <c r="E2697" t="s">
        <v>103</v>
      </c>
      <c r="F2697">
        <v>2000</v>
      </c>
      <c r="G2697" t="s">
        <v>331</v>
      </c>
      <c r="H2697" s="15">
        <v>45292</v>
      </c>
      <c r="I2697">
        <v>2000</v>
      </c>
      <c r="J2697">
        <v>0</v>
      </c>
    </row>
    <row r="2698" spans="1:10" x14ac:dyDescent="0.3">
      <c r="A2698" s="15">
        <v>45597</v>
      </c>
      <c r="B2698" t="s">
        <v>323</v>
      </c>
      <c r="C2698" t="s">
        <v>110</v>
      </c>
      <c r="D2698" t="s">
        <v>82</v>
      </c>
      <c r="E2698" t="s">
        <v>89</v>
      </c>
      <c r="F2698">
        <v>23400</v>
      </c>
      <c r="G2698" t="s">
        <v>331</v>
      </c>
      <c r="H2698" s="15">
        <v>45292</v>
      </c>
      <c r="I2698">
        <v>23400</v>
      </c>
      <c r="J2698">
        <v>0</v>
      </c>
    </row>
    <row r="2699" spans="1:10" x14ac:dyDescent="0.3">
      <c r="A2699" s="15">
        <v>45597</v>
      </c>
      <c r="B2699" t="s">
        <v>324</v>
      </c>
      <c r="C2699" t="s">
        <v>81</v>
      </c>
      <c r="D2699" t="s">
        <v>86</v>
      </c>
      <c r="E2699" t="s">
        <v>87</v>
      </c>
      <c r="F2699">
        <v>2700</v>
      </c>
      <c r="G2699" t="s">
        <v>331</v>
      </c>
      <c r="H2699" s="15">
        <v>45292</v>
      </c>
      <c r="I2699">
        <v>2700</v>
      </c>
      <c r="J2699">
        <v>0</v>
      </c>
    </row>
    <row r="2700" spans="1:10" x14ac:dyDescent="0.3">
      <c r="A2700" s="15">
        <v>45597</v>
      </c>
      <c r="B2700" t="s">
        <v>325</v>
      </c>
      <c r="C2700" t="s">
        <v>91</v>
      </c>
      <c r="D2700" t="s">
        <v>86</v>
      </c>
      <c r="E2700" t="s">
        <v>87</v>
      </c>
      <c r="F2700">
        <v>8800</v>
      </c>
      <c r="G2700" t="s">
        <v>331</v>
      </c>
      <c r="H2700" s="15">
        <v>45292</v>
      </c>
      <c r="I2700">
        <v>8800</v>
      </c>
      <c r="J2700">
        <v>0</v>
      </c>
    </row>
    <row r="2701" spans="1:10" x14ac:dyDescent="0.3">
      <c r="A2701" s="15">
        <v>45597</v>
      </c>
      <c r="B2701" t="s">
        <v>326</v>
      </c>
      <c r="C2701" t="s">
        <v>91</v>
      </c>
      <c r="D2701" t="s">
        <v>86</v>
      </c>
      <c r="E2701" t="s">
        <v>92</v>
      </c>
      <c r="F2701">
        <v>7900</v>
      </c>
      <c r="G2701" t="s">
        <v>331</v>
      </c>
      <c r="H2701" s="15">
        <v>45292</v>
      </c>
      <c r="I2701">
        <v>7900</v>
      </c>
      <c r="J2701">
        <v>0</v>
      </c>
    </row>
    <row r="2702" spans="1:10" x14ac:dyDescent="0.3">
      <c r="A2702" s="15">
        <v>45597</v>
      </c>
      <c r="B2702" t="s">
        <v>327</v>
      </c>
      <c r="C2702" t="s">
        <v>125</v>
      </c>
      <c r="D2702" t="s">
        <v>99</v>
      </c>
      <c r="E2702" t="s">
        <v>97</v>
      </c>
      <c r="F2702">
        <v>77500</v>
      </c>
      <c r="G2702" t="s">
        <v>331</v>
      </c>
      <c r="H2702" s="15">
        <v>45292</v>
      </c>
      <c r="I2702">
        <v>77500</v>
      </c>
      <c r="J2702">
        <v>0</v>
      </c>
    </row>
    <row r="2703" spans="1:10" x14ac:dyDescent="0.3">
      <c r="A2703" s="15">
        <v>45597</v>
      </c>
      <c r="B2703" t="s">
        <v>329</v>
      </c>
      <c r="C2703" t="s">
        <v>81</v>
      </c>
      <c r="D2703" t="s">
        <v>86</v>
      </c>
      <c r="E2703" t="s">
        <v>101</v>
      </c>
      <c r="F2703">
        <v>2200</v>
      </c>
      <c r="G2703" t="s">
        <v>331</v>
      </c>
      <c r="H2703" s="15">
        <v>45292</v>
      </c>
      <c r="I2703">
        <v>2200</v>
      </c>
      <c r="J2703">
        <v>0</v>
      </c>
    </row>
    <row r="2704" spans="1:10" x14ac:dyDescent="0.3">
      <c r="A2704" s="15">
        <v>45597</v>
      </c>
      <c r="B2704" t="s">
        <v>330</v>
      </c>
      <c r="C2704" t="s">
        <v>125</v>
      </c>
      <c r="D2704" t="s">
        <v>86</v>
      </c>
      <c r="E2704" t="s">
        <v>87</v>
      </c>
      <c r="F2704">
        <v>105400</v>
      </c>
      <c r="G2704" t="s">
        <v>331</v>
      </c>
      <c r="H2704" s="15">
        <v>45292</v>
      </c>
      <c r="I2704">
        <v>105400</v>
      </c>
      <c r="J2704">
        <v>0</v>
      </c>
    </row>
    <row r="2705" spans="1:10" x14ac:dyDescent="0.3">
      <c r="A2705" s="15">
        <v>45597</v>
      </c>
      <c r="B2705" t="s">
        <v>335</v>
      </c>
      <c r="C2705" t="s">
        <v>91</v>
      </c>
      <c r="D2705" t="s">
        <v>86</v>
      </c>
      <c r="E2705" t="s">
        <v>89</v>
      </c>
      <c r="F2705">
        <v>7300</v>
      </c>
      <c r="G2705" t="s">
        <v>331</v>
      </c>
      <c r="H2705" s="15">
        <v>45323</v>
      </c>
      <c r="I2705">
        <v>7300</v>
      </c>
      <c r="J2705">
        <v>0</v>
      </c>
    </row>
    <row r="2706" spans="1:10" x14ac:dyDescent="0.3">
      <c r="A2706" s="15">
        <v>45597</v>
      </c>
      <c r="B2706" t="s">
        <v>336</v>
      </c>
      <c r="C2706" t="s">
        <v>81</v>
      </c>
      <c r="D2706" t="s">
        <v>82</v>
      </c>
      <c r="E2706" t="s">
        <v>103</v>
      </c>
      <c r="F2706">
        <v>1500</v>
      </c>
      <c r="G2706" t="s">
        <v>331</v>
      </c>
      <c r="H2706" s="15">
        <v>45323</v>
      </c>
      <c r="I2706">
        <v>1500</v>
      </c>
      <c r="J2706">
        <v>0</v>
      </c>
    </row>
    <row r="2707" spans="1:10" x14ac:dyDescent="0.3">
      <c r="A2707" s="15">
        <v>45597</v>
      </c>
      <c r="B2707" t="s">
        <v>337</v>
      </c>
      <c r="C2707" t="s">
        <v>91</v>
      </c>
      <c r="D2707" t="s">
        <v>82</v>
      </c>
      <c r="E2707" t="s">
        <v>92</v>
      </c>
      <c r="F2707">
        <v>6200</v>
      </c>
      <c r="G2707" t="s">
        <v>331</v>
      </c>
      <c r="H2707" s="15">
        <v>45323</v>
      </c>
      <c r="I2707">
        <v>6200</v>
      </c>
      <c r="J2707">
        <v>0</v>
      </c>
    </row>
    <row r="2708" spans="1:10" x14ac:dyDescent="0.3">
      <c r="A2708" s="15">
        <v>45597</v>
      </c>
      <c r="B2708" t="s">
        <v>338</v>
      </c>
      <c r="C2708" t="s">
        <v>91</v>
      </c>
      <c r="D2708" t="s">
        <v>82</v>
      </c>
      <c r="E2708" t="s">
        <v>103</v>
      </c>
      <c r="F2708">
        <v>0</v>
      </c>
      <c r="G2708" t="s">
        <v>333</v>
      </c>
      <c r="H2708" s="15">
        <v>45323</v>
      </c>
      <c r="I2708">
        <v>5700</v>
      </c>
      <c r="J2708">
        <v>-5700</v>
      </c>
    </row>
    <row r="2709" spans="1:10" x14ac:dyDescent="0.3">
      <c r="A2709" s="15">
        <v>45597</v>
      </c>
      <c r="B2709" t="s">
        <v>339</v>
      </c>
      <c r="C2709" t="s">
        <v>81</v>
      </c>
      <c r="D2709" t="s">
        <v>82</v>
      </c>
      <c r="E2709" t="s">
        <v>103</v>
      </c>
      <c r="F2709">
        <v>1600</v>
      </c>
      <c r="G2709" t="s">
        <v>331</v>
      </c>
      <c r="H2709" s="15">
        <v>45323</v>
      </c>
      <c r="I2709">
        <v>1600</v>
      </c>
      <c r="J2709">
        <v>0</v>
      </c>
    </row>
    <row r="2710" spans="1:10" x14ac:dyDescent="0.3">
      <c r="A2710" s="15">
        <v>45597</v>
      </c>
      <c r="B2710" t="s">
        <v>340</v>
      </c>
      <c r="C2710" t="s">
        <v>81</v>
      </c>
      <c r="D2710" t="s">
        <v>82</v>
      </c>
      <c r="E2710" t="s">
        <v>87</v>
      </c>
      <c r="F2710">
        <v>1800</v>
      </c>
      <c r="G2710" t="s">
        <v>331</v>
      </c>
      <c r="H2710" s="15">
        <v>45323</v>
      </c>
      <c r="I2710">
        <v>1800</v>
      </c>
      <c r="J2710">
        <v>0</v>
      </c>
    </row>
    <row r="2711" spans="1:10" x14ac:dyDescent="0.3">
      <c r="A2711" s="15">
        <v>45597</v>
      </c>
      <c r="B2711" t="s">
        <v>341</v>
      </c>
      <c r="C2711" t="s">
        <v>110</v>
      </c>
      <c r="D2711" t="s">
        <v>82</v>
      </c>
      <c r="E2711" t="s">
        <v>92</v>
      </c>
      <c r="F2711">
        <v>18800</v>
      </c>
      <c r="G2711" t="s">
        <v>331</v>
      </c>
      <c r="H2711" s="15">
        <v>45323</v>
      </c>
      <c r="I2711">
        <v>18800</v>
      </c>
      <c r="J2711">
        <v>0</v>
      </c>
    </row>
    <row r="2712" spans="1:10" x14ac:dyDescent="0.3">
      <c r="A2712" s="15">
        <v>45597</v>
      </c>
      <c r="B2712" t="s">
        <v>342</v>
      </c>
      <c r="C2712" t="s">
        <v>91</v>
      </c>
      <c r="D2712" t="s">
        <v>82</v>
      </c>
      <c r="E2712" t="s">
        <v>83</v>
      </c>
      <c r="F2712">
        <v>7100</v>
      </c>
      <c r="G2712" t="s">
        <v>331</v>
      </c>
      <c r="H2712" s="15">
        <v>45352</v>
      </c>
      <c r="I2712">
        <v>7100</v>
      </c>
      <c r="J2712">
        <v>0</v>
      </c>
    </row>
    <row r="2713" spans="1:10" x14ac:dyDescent="0.3">
      <c r="A2713" s="15">
        <v>45597</v>
      </c>
      <c r="B2713" t="s">
        <v>343</v>
      </c>
      <c r="C2713" t="s">
        <v>81</v>
      </c>
      <c r="D2713" t="s">
        <v>82</v>
      </c>
      <c r="E2713" t="s">
        <v>89</v>
      </c>
      <c r="F2713">
        <v>2500</v>
      </c>
      <c r="G2713" t="s">
        <v>331</v>
      </c>
      <c r="H2713" s="15">
        <v>45352</v>
      </c>
      <c r="I2713">
        <v>2500</v>
      </c>
      <c r="J2713">
        <v>0</v>
      </c>
    </row>
    <row r="2714" spans="1:10" x14ac:dyDescent="0.3">
      <c r="A2714" s="15">
        <v>45597</v>
      </c>
      <c r="B2714" t="s">
        <v>344</v>
      </c>
      <c r="C2714" t="s">
        <v>110</v>
      </c>
      <c r="D2714" t="s">
        <v>86</v>
      </c>
      <c r="E2714" t="s">
        <v>89</v>
      </c>
      <c r="F2714">
        <v>21100</v>
      </c>
      <c r="G2714" t="s">
        <v>331</v>
      </c>
      <c r="H2714" s="15">
        <v>45352</v>
      </c>
      <c r="I2714">
        <v>21100</v>
      </c>
      <c r="J2714">
        <v>0</v>
      </c>
    </row>
    <row r="2715" spans="1:10" x14ac:dyDescent="0.3">
      <c r="A2715" s="15">
        <v>45597</v>
      </c>
      <c r="B2715" t="s">
        <v>345</v>
      </c>
      <c r="C2715" t="s">
        <v>91</v>
      </c>
      <c r="D2715" t="s">
        <v>86</v>
      </c>
      <c r="E2715" t="s">
        <v>83</v>
      </c>
      <c r="F2715">
        <v>6900</v>
      </c>
      <c r="G2715" t="s">
        <v>331</v>
      </c>
      <c r="H2715" s="15">
        <v>45352</v>
      </c>
      <c r="I2715">
        <v>6900</v>
      </c>
      <c r="J2715">
        <v>0</v>
      </c>
    </row>
    <row r="2716" spans="1:10" x14ac:dyDescent="0.3">
      <c r="A2716" s="15">
        <v>45597</v>
      </c>
      <c r="B2716" t="s">
        <v>346</v>
      </c>
      <c r="C2716" t="s">
        <v>81</v>
      </c>
      <c r="D2716" t="s">
        <v>86</v>
      </c>
      <c r="E2716" t="s">
        <v>97</v>
      </c>
      <c r="F2716">
        <v>1700</v>
      </c>
      <c r="G2716" t="s">
        <v>331</v>
      </c>
      <c r="H2716" s="15">
        <v>45352</v>
      </c>
      <c r="I2716">
        <v>1700</v>
      </c>
      <c r="J2716">
        <v>0</v>
      </c>
    </row>
    <row r="2717" spans="1:10" x14ac:dyDescent="0.3">
      <c r="A2717" s="15">
        <v>45597</v>
      </c>
      <c r="B2717" t="s">
        <v>347</v>
      </c>
      <c r="C2717" t="s">
        <v>91</v>
      </c>
      <c r="D2717" t="s">
        <v>82</v>
      </c>
      <c r="E2717" t="s">
        <v>83</v>
      </c>
      <c r="F2717">
        <v>4700</v>
      </c>
      <c r="G2717" t="s">
        <v>331</v>
      </c>
      <c r="H2717" s="15">
        <v>45383</v>
      </c>
      <c r="I2717">
        <v>4700</v>
      </c>
      <c r="J2717">
        <v>0</v>
      </c>
    </row>
    <row r="2718" spans="1:10" x14ac:dyDescent="0.3">
      <c r="A2718" s="15">
        <v>45597</v>
      </c>
      <c r="B2718" t="s">
        <v>350</v>
      </c>
      <c r="C2718" t="s">
        <v>91</v>
      </c>
      <c r="D2718" t="s">
        <v>82</v>
      </c>
      <c r="E2718" t="s">
        <v>83</v>
      </c>
      <c r="F2718">
        <v>4800</v>
      </c>
      <c r="G2718" t="s">
        <v>331</v>
      </c>
      <c r="H2718" s="15">
        <v>45383</v>
      </c>
      <c r="I2718">
        <v>4800</v>
      </c>
      <c r="J2718">
        <v>0</v>
      </c>
    </row>
    <row r="2719" spans="1:10" x14ac:dyDescent="0.3">
      <c r="A2719" s="15">
        <v>45597</v>
      </c>
      <c r="B2719" t="s">
        <v>351</v>
      </c>
      <c r="C2719" t="s">
        <v>81</v>
      </c>
      <c r="D2719" t="s">
        <v>86</v>
      </c>
      <c r="E2719" t="s">
        <v>83</v>
      </c>
      <c r="F2719">
        <v>2300</v>
      </c>
      <c r="G2719" t="s">
        <v>331</v>
      </c>
      <c r="H2719" s="15">
        <v>45383</v>
      </c>
      <c r="I2719">
        <v>2300</v>
      </c>
      <c r="J2719">
        <v>0</v>
      </c>
    </row>
    <row r="2720" spans="1:10" x14ac:dyDescent="0.3">
      <c r="A2720" s="15">
        <v>45597</v>
      </c>
      <c r="B2720" t="s">
        <v>352</v>
      </c>
      <c r="C2720" t="s">
        <v>91</v>
      </c>
      <c r="D2720" t="s">
        <v>82</v>
      </c>
      <c r="E2720" t="s">
        <v>89</v>
      </c>
      <c r="F2720">
        <v>6600</v>
      </c>
      <c r="G2720" t="s">
        <v>331</v>
      </c>
      <c r="H2720" s="15">
        <v>45383</v>
      </c>
      <c r="I2720">
        <v>6600</v>
      </c>
      <c r="J2720">
        <v>0</v>
      </c>
    </row>
    <row r="2721" spans="1:10" x14ac:dyDescent="0.3">
      <c r="A2721" s="15">
        <v>45597</v>
      </c>
      <c r="B2721" t="s">
        <v>353</v>
      </c>
      <c r="C2721" t="s">
        <v>81</v>
      </c>
      <c r="D2721" t="s">
        <v>99</v>
      </c>
      <c r="E2721" t="s">
        <v>103</v>
      </c>
      <c r="F2721">
        <v>1200</v>
      </c>
      <c r="G2721" t="s">
        <v>331</v>
      </c>
      <c r="H2721" s="15">
        <v>45383</v>
      </c>
      <c r="I2721">
        <v>1200</v>
      </c>
      <c r="J2721">
        <v>0</v>
      </c>
    </row>
    <row r="2722" spans="1:10" x14ac:dyDescent="0.3">
      <c r="A2722" s="15">
        <v>45597</v>
      </c>
      <c r="B2722" t="s">
        <v>354</v>
      </c>
      <c r="C2722" t="s">
        <v>81</v>
      </c>
      <c r="D2722" t="s">
        <v>82</v>
      </c>
      <c r="E2722" t="s">
        <v>92</v>
      </c>
      <c r="F2722">
        <v>1800</v>
      </c>
      <c r="G2722" t="s">
        <v>331</v>
      </c>
      <c r="H2722" s="15">
        <v>45413</v>
      </c>
      <c r="I2722">
        <v>1800</v>
      </c>
      <c r="J2722">
        <v>0</v>
      </c>
    </row>
    <row r="2723" spans="1:10" x14ac:dyDescent="0.3">
      <c r="A2723" s="15">
        <v>45597</v>
      </c>
      <c r="B2723" t="s">
        <v>355</v>
      </c>
      <c r="C2723" t="s">
        <v>81</v>
      </c>
      <c r="D2723" t="s">
        <v>86</v>
      </c>
      <c r="E2723" t="s">
        <v>97</v>
      </c>
      <c r="F2723">
        <v>2200</v>
      </c>
      <c r="G2723" t="s">
        <v>331</v>
      </c>
      <c r="H2723" s="15">
        <v>45413</v>
      </c>
      <c r="I2723">
        <v>2200</v>
      </c>
      <c r="J2723">
        <v>0</v>
      </c>
    </row>
    <row r="2724" spans="1:10" x14ac:dyDescent="0.3">
      <c r="A2724" s="15">
        <v>45597</v>
      </c>
      <c r="B2724" t="s">
        <v>356</v>
      </c>
      <c r="C2724" t="s">
        <v>110</v>
      </c>
      <c r="D2724" t="s">
        <v>82</v>
      </c>
      <c r="E2724" t="s">
        <v>97</v>
      </c>
      <c r="F2724">
        <v>33000</v>
      </c>
      <c r="G2724" t="s">
        <v>331</v>
      </c>
      <c r="H2724" s="15">
        <v>45413</v>
      </c>
      <c r="I2724">
        <v>33000</v>
      </c>
      <c r="J2724">
        <v>0</v>
      </c>
    </row>
    <row r="2725" spans="1:10" x14ac:dyDescent="0.3">
      <c r="A2725" s="15">
        <v>45597</v>
      </c>
      <c r="B2725" t="s">
        <v>357</v>
      </c>
      <c r="C2725" t="s">
        <v>125</v>
      </c>
      <c r="D2725" t="s">
        <v>86</v>
      </c>
      <c r="E2725" t="s">
        <v>97</v>
      </c>
      <c r="F2725">
        <v>72100</v>
      </c>
      <c r="G2725" t="s">
        <v>331</v>
      </c>
      <c r="H2725" s="15">
        <v>45413</v>
      </c>
      <c r="I2725">
        <v>72100</v>
      </c>
      <c r="J2725">
        <v>0</v>
      </c>
    </row>
    <row r="2726" spans="1:10" x14ac:dyDescent="0.3">
      <c r="A2726" s="15">
        <v>45597</v>
      </c>
      <c r="B2726" t="s">
        <v>358</v>
      </c>
      <c r="C2726" t="s">
        <v>110</v>
      </c>
      <c r="D2726" t="s">
        <v>86</v>
      </c>
      <c r="E2726" t="s">
        <v>83</v>
      </c>
      <c r="F2726">
        <v>21800</v>
      </c>
      <c r="G2726" t="s">
        <v>331</v>
      </c>
      <c r="H2726" s="15">
        <v>45413</v>
      </c>
      <c r="I2726">
        <v>21800</v>
      </c>
      <c r="J2726">
        <v>0</v>
      </c>
    </row>
    <row r="2727" spans="1:10" x14ac:dyDescent="0.3">
      <c r="A2727" s="15">
        <v>45597</v>
      </c>
      <c r="B2727" t="s">
        <v>359</v>
      </c>
      <c r="C2727" t="s">
        <v>110</v>
      </c>
      <c r="D2727" t="s">
        <v>86</v>
      </c>
      <c r="E2727" t="s">
        <v>101</v>
      </c>
      <c r="F2727">
        <v>31400</v>
      </c>
      <c r="G2727" t="s">
        <v>331</v>
      </c>
      <c r="H2727" s="15">
        <v>45413</v>
      </c>
      <c r="I2727">
        <v>31400</v>
      </c>
      <c r="J2727">
        <v>0</v>
      </c>
    </row>
    <row r="2728" spans="1:10" x14ac:dyDescent="0.3">
      <c r="A2728" s="15">
        <v>45597</v>
      </c>
      <c r="B2728" t="s">
        <v>360</v>
      </c>
      <c r="C2728" t="s">
        <v>91</v>
      </c>
      <c r="D2728" t="s">
        <v>86</v>
      </c>
      <c r="E2728" t="s">
        <v>103</v>
      </c>
      <c r="F2728">
        <v>5700</v>
      </c>
      <c r="G2728" t="s">
        <v>331</v>
      </c>
      <c r="H2728" s="15">
        <v>45444</v>
      </c>
      <c r="I2728">
        <v>5700</v>
      </c>
      <c r="J2728">
        <v>0</v>
      </c>
    </row>
    <row r="2729" spans="1:10" x14ac:dyDescent="0.3">
      <c r="A2729" s="15">
        <v>45597</v>
      </c>
      <c r="B2729" t="s">
        <v>361</v>
      </c>
      <c r="C2729" t="s">
        <v>91</v>
      </c>
      <c r="D2729" t="s">
        <v>86</v>
      </c>
      <c r="E2729" t="s">
        <v>83</v>
      </c>
      <c r="F2729">
        <v>5700</v>
      </c>
      <c r="G2729" t="s">
        <v>331</v>
      </c>
      <c r="H2729" s="15">
        <v>45444</v>
      </c>
      <c r="I2729">
        <v>5700</v>
      </c>
      <c r="J2729">
        <v>0</v>
      </c>
    </row>
    <row r="2730" spans="1:10" x14ac:dyDescent="0.3">
      <c r="A2730" s="15">
        <v>45597</v>
      </c>
      <c r="B2730" t="s">
        <v>362</v>
      </c>
      <c r="C2730" t="s">
        <v>91</v>
      </c>
      <c r="D2730" t="s">
        <v>82</v>
      </c>
      <c r="E2730" t="s">
        <v>101</v>
      </c>
      <c r="F2730">
        <v>5400</v>
      </c>
      <c r="G2730" t="s">
        <v>331</v>
      </c>
      <c r="H2730" s="15">
        <v>45444</v>
      </c>
      <c r="I2730">
        <v>5400</v>
      </c>
      <c r="J2730">
        <v>0</v>
      </c>
    </row>
    <row r="2731" spans="1:10" x14ac:dyDescent="0.3">
      <c r="A2731" s="15">
        <v>45597</v>
      </c>
      <c r="B2731" t="s">
        <v>363</v>
      </c>
      <c r="C2731" t="s">
        <v>91</v>
      </c>
      <c r="D2731" t="s">
        <v>86</v>
      </c>
      <c r="E2731" t="s">
        <v>83</v>
      </c>
      <c r="F2731">
        <v>4400</v>
      </c>
      <c r="G2731" t="s">
        <v>331</v>
      </c>
      <c r="H2731" s="15">
        <v>45444</v>
      </c>
      <c r="I2731">
        <v>4400</v>
      </c>
      <c r="J2731">
        <v>0</v>
      </c>
    </row>
    <row r="2732" spans="1:10" x14ac:dyDescent="0.3">
      <c r="A2732" s="15">
        <v>45597</v>
      </c>
      <c r="B2732" t="s">
        <v>364</v>
      </c>
      <c r="C2732" t="s">
        <v>91</v>
      </c>
      <c r="D2732" t="s">
        <v>82</v>
      </c>
      <c r="E2732" t="s">
        <v>101</v>
      </c>
      <c r="F2732">
        <v>6700</v>
      </c>
      <c r="G2732" t="s">
        <v>331</v>
      </c>
      <c r="H2732" s="15">
        <v>45444</v>
      </c>
      <c r="I2732">
        <v>6700</v>
      </c>
      <c r="J2732">
        <v>0</v>
      </c>
    </row>
    <row r="2733" spans="1:10" x14ac:dyDescent="0.3">
      <c r="A2733" s="15">
        <v>45597</v>
      </c>
      <c r="B2733" t="s">
        <v>366</v>
      </c>
      <c r="C2733" t="s">
        <v>81</v>
      </c>
      <c r="D2733" t="s">
        <v>99</v>
      </c>
      <c r="E2733" t="s">
        <v>92</v>
      </c>
      <c r="F2733">
        <v>1600</v>
      </c>
      <c r="G2733" t="s">
        <v>331</v>
      </c>
      <c r="H2733" s="15">
        <v>45474</v>
      </c>
      <c r="I2733">
        <v>1600</v>
      </c>
      <c r="J2733">
        <v>0</v>
      </c>
    </row>
    <row r="2734" spans="1:10" x14ac:dyDescent="0.3">
      <c r="A2734" s="15">
        <v>45597</v>
      </c>
      <c r="B2734" t="s">
        <v>367</v>
      </c>
      <c r="C2734" t="s">
        <v>91</v>
      </c>
      <c r="D2734" t="s">
        <v>82</v>
      </c>
      <c r="E2734" t="s">
        <v>92</v>
      </c>
      <c r="F2734">
        <v>5800</v>
      </c>
      <c r="G2734" t="s">
        <v>331</v>
      </c>
      <c r="H2734" s="15">
        <v>45474</v>
      </c>
      <c r="I2734">
        <v>5800</v>
      </c>
      <c r="J2734">
        <v>0</v>
      </c>
    </row>
    <row r="2735" spans="1:10" x14ac:dyDescent="0.3">
      <c r="A2735" s="15">
        <v>45597</v>
      </c>
      <c r="B2735" t="s">
        <v>368</v>
      </c>
      <c r="C2735" t="s">
        <v>81</v>
      </c>
      <c r="D2735" t="s">
        <v>86</v>
      </c>
      <c r="E2735" t="s">
        <v>89</v>
      </c>
      <c r="F2735">
        <v>1400</v>
      </c>
      <c r="G2735" t="s">
        <v>331</v>
      </c>
      <c r="H2735" s="15">
        <v>45474</v>
      </c>
      <c r="I2735">
        <v>1400</v>
      </c>
      <c r="J2735">
        <v>0</v>
      </c>
    </row>
    <row r="2736" spans="1:10" x14ac:dyDescent="0.3">
      <c r="A2736" s="15">
        <v>45597</v>
      </c>
      <c r="B2736" t="s">
        <v>369</v>
      </c>
      <c r="C2736" t="s">
        <v>81</v>
      </c>
      <c r="D2736" t="s">
        <v>86</v>
      </c>
      <c r="E2736" t="s">
        <v>83</v>
      </c>
      <c r="F2736">
        <v>2000</v>
      </c>
      <c r="G2736" t="s">
        <v>334</v>
      </c>
      <c r="H2736" s="15">
        <v>45474</v>
      </c>
      <c r="I2736">
        <v>2200</v>
      </c>
      <c r="J2736">
        <v>-200</v>
      </c>
    </row>
    <row r="2737" spans="1:10" x14ac:dyDescent="0.3">
      <c r="A2737" s="15">
        <v>45597</v>
      </c>
      <c r="B2737" t="s">
        <v>370</v>
      </c>
      <c r="C2737" t="s">
        <v>81</v>
      </c>
      <c r="D2737" t="s">
        <v>99</v>
      </c>
      <c r="E2737" t="s">
        <v>87</v>
      </c>
      <c r="F2737">
        <v>2100</v>
      </c>
      <c r="G2737" t="s">
        <v>331</v>
      </c>
      <c r="H2737" s="15">
        <v>45474</v>
      </c>
      <c r="I2737">
        <v>2100</v>
      </c>
      <c r="J2737">
        <v>0</v>
      </c>
    </row>
    <row r="2738" spans="1:10" x14ac:dyDescent="0.3">
      <c r="A2738" s="15">
        <v>45597</v>
      </c>
      <c r="B2738" t="s">
        <v>371</v>
      </c>
      <c r="C2738" t="s">
        <v>81</v>
      </c>
      <c r="D2738" t="s">
        <v>82</v>
      </c>
      <c r="E2738" t="s">
        <v>89</v>
      </c>
      <c r="F2738">
        <v>0</v>
      </c>
      <c r="G2738" t="s">
        <v>333</v>
      </c>
      <c r="H2738" s="15">
        <v>45474</v>
      </c>
      <c r="I2738">
        <v>2100</v>
      </c>
      <c r="J2738">
        <v>-2100</v>
      </c>
    </row>
    <row r="2739" spans="1:10" x14ac:dyDescent="0.3">
      <c r="A2739" s="15">
        <v>45597</v>
      </c>
      <c r="B2739" t="s">
        <v>372</v>
      </c>
      <c r="C2739" t="s">
        <v>81</v>
      </c>
      <c r="D2739" t="s">
        <v>86</v>
      </c>
      <c r="E2739" t="s">
        <v>83</v>
      </c>
      <c r="F2739">
        <v>1500</v>
      </c>
      <c r="G2739" t="s">
        <v>334</v>
      </c>
      <c r="H2739" s="15">
        <v>45505</v>
      </c>
      <c r="I2739">
        <v>1800</v>
      </c>
      <c r="J2739">
        <v>-300</v>
      </c>
    </row>
    <row r="2740" spans="1:10" x14ac:dyDescent="0.3">
      <c r="A2740" s="15">
        <v>45597</v>
      </c>
      <c r="B2740" t="s">
        <v>373</v>
      </c>
      <c r="C2740" t="s">
        <v>91</v>
      </c>
      <c r="D2740" t="s">
        <v>99</v>
      </c>
      <c r="E2740" t="s">
        <v>101</v>
      </c>
      <c r="F2740">
        <v>5200</v>
      </c>
      <c r="G2740" t="s">
        <v>331</v>
      </c>
      <c r="H2740" s="15">
        <v>45505</v>
      </c>
      <c r="I2740">
        <v>5200</v>
      </c>
      <c r="J2740">
        <v>0</v>
      </c>
    </row>
    <row r="2741" spans="1:10" x14ac:dyDescent="0.3">
      <c r="A2741" s="15">
        <v>45597</v>
      </c>
      <c r="B2741" t="s">
        <v>374</v>
      </c>
      <c r="C2741" t="s">
        <v>91</v>
      </c>
      <c r="D2741" t="s">
        <v>99</v>
      </c>
      <c r="E2741" t="s">
        <v>87</v>
      </c>
      <c r="F2741">
        <v>5000</v>
      </c>
      <c r="G2741" t="s">
        <v>331</v>
      </c>
      <c r="H2741" s="15">
        <v>45505</v>
      </c>
      <c r="I2741">
        <v>5000</v>
      </c>
      <c r="J2741">
        <v>0</v>
      </c>
    </row>
    <row r="2742" spans="1:10" x14ac:dyDescent="0.3">
      <c r="A2742" s="15">
        <v>45597</v>
      </c>
      <c r="B2742" t="s">
        <v>375</v>
      </c>
      <c r="C2742" t="s">
        <v>81</v>
      </c>
      <c r="D2742" t="s">
        <v>82</v>
      </c>
      <c r="E2742" t="s">
        <v>87</v>
      </c>
      <c r="F2742">
        <v>0</v>
      </c>
      <c r="G2742" t="s">
        <v>333</v>
      </c>
      <c r="H2742" s="15">
        <v>45505</v>
      </c>
      <c r="I2742">
        <v>1800</v>
      </c>
      <c r="J2742">
        <v>-1800</v>
      </c>
    </row>
    <row r="2743" spans="1:10" x14ac:dyDescent="0.3">
      <c r="A2743" s="15">
        <v>45597</v>
      </c>
      <c r="B2743" t="s">
        <v>376</v>
      </c>
      <c r="C2743" t="s">
        <v>110</v>
      </c>
      <c r="D2743" t="s">
        <v>86</v>
      </c>
      <c r="E2743" t="s">
        <v>103</v>
      </c>
      <c r="F2743">
        <v>22900</v>
      </c>
      <c r="G2743" t="s">
        <v>331</v>
      </c>
      <c r="H2743" s="15">
        <v>45505</v>
      </c>
      <c r="I2743">
        <v>22900</v>
      </c>
      <c r="J2743">
        <v>0</v>
      </c>
    </row>
    <row r="2744" spans="1:10" x14ac:dyDescent="0.3">
      <c r="A2744" s="15">
        <v>45597</v>
      </c>
      <c r="B2744" t="s">
        <v>377</v>
      </c>
      <c r="C2744" t="s">
        <v>81</v>
      </c>
      <c r="D2744" t="s">
        <v>99</v>
      </c>
      <c r="E2744" t="s">
        <v>92</v>
      </c>
      <c r="F2744">
        <v>2300</v>
      </c>
      <c r="G2744" t="s">
        <v>331</v>
      </c>
      <c r="H2744" s="15">
        <v>45536</v>
      </c>
      <c r="I2744">
        <v>2300</v>
      </c>
      <c r="J2744">
        <v>0</v>
      </c>
    </row>
    <row r="2745" spans="1:10" x14ac:dyDescent="0.3">
      <c r="A2745" s="15">
        <v>45597</v>
      </c>
      <c r="B2745" t="s">
        <v>378</v>
      </c>
      <c r="C2745" t="s">
        <v>81</v>
      </c>
      <c r="D2745" t="s">
        <v>82</v>
      </c>
      <c r="E2745" t="s">
        <v>92</v>
      </c>
      <c r="F2745">
        <v>2300</v>
      </c>
      <c r="G2745" t="s">
        <v>331</v>
      </c>
      <c r="H2745" s="15">
        <v>45536</v>
      </c>
      <c r="I2745">
        <v>2300</v>
      </c>
      <c r="J2745">
        <v>0</v>
      </c>
    </row>
    <row r="2746" spans="1:10" x14ac:dyDescent="0.3">
      <c r="A2746" s="15">
        <v>45597</v>
      </c>
      <c r="B2746" t="s">
        <v>379</v>
      </c>
      <c r="C2746" t="s">
        <v>81</v>
      </c>
      <c r="D2746" t="s">
        <v>99</v>
      </c>
      <c r="E2746" t="s">
        <v>101</v>
      </c>
      <c r="F2746">
        <v>2600</v>
      </c>
      <c r="G2746" t="s">
        <v>331</v>
      </c>
      <c r="H2746" s="15">
        <v>45536</v>
      </c>
      <c r="I2746">
        <v>2600</v>
      </c>
      <c r="J2746">
        <v>0</v>
      </c>
    </row>
    <row r="2747" spans="1:10" x14ac:dyDescent="0.3">
      <c r="A2747" s="15">
        <v>45597</v>
      </c>
      <c r="B2747" t="s">
        <v>380</v>
      </c>
      <c r="C2747" t="s">
        <v>81</v>
      </c>
      <c r="D2747" t="s">
        <v>82</v>
      </c>
      <c r="E2747" t="s">
        <v>101</v>
      </c>
      <c r="F2747">
        <v>2100</v>
      </c>
      <c r="G2747" t="s">
        <v>331</v>
      </c>
      <c r="H2747" s="15">
        <v>45536</v>
      </c>
      <c r="I2747">
        <v>2100</v>
      </c>
      <c r="J2747">
        <v>0</v>
      </c>
    </row>
    <row r="2748" spans="1:10" x14ac:dyDescent="0.3">
      <c r="A2748" s="15">
        <v>45597</v>
      </c>
      <c r="B2748" t="s">
        <v>381</v>
      </c>
      <c r="C2748" t="s">
        <v>91</v>
      </c>
      <c r="D2748" t="s">
        <v>86</v>
      </c>
      <c r="E2748" t="s">
        <v>92</v>
      </c>
      <c r="F2748">
        <v>4600</v>
      </c>
      <c r="G2748" t="s">
        <v>331</v>
      </c>
      <c r="H2748" s="15">
        <v>45536</v>
      </c>
      <c r="I2748">
        <v>4600</v>
      </c>
      <c r="J2748">
        <v>0</v>
      </c>
    </row>
    <row r="2749" spans="1:10" x14ac:dyDescent="0.3">
      <c r="A2749" s="15">
        <v>45597</v>
      </c>
      <c r="B2749" t="s">
        <v>382</v>
      </c>
      <c r="C2749" t="s">
        <v>81</v>
      </c>
      <c r="D2749" t="s">
        <v>96</v>
      </c>
      <c r="E2749" t="s">
        <v>101</v>
      </c>
      <c r="F2749">
        <v>2100</v>
      </c>
      <c r="G2749" t="s">
        <v>331</v>
      </c>
      <c r="H2749" s="15">
        <v>45536</v>
      </c>
      <c r="I2749">
        <v>2100</v>
      </c>
      <c r="J2749">
        <v>0</v>
      </c>
    </row>
    <row r="2750" spans="1:10" x14ac:dyDescent="0.3">
      <c r="A2750" s="15">
        <v>45597</v>
      </c>
      <c r="B2750" t="s">
        <v>383</v>
      </c>
      <c r="C2750" t="s">
        <v>81</v>
      </c>
      <c r="D2750" t="s">
        <v>82</v>
      </c>
      <c r="E2750" t="s">
        <v>87</v>
      </c>
      <c r="F2750">
        <v>1800</v>
      </c>
      <c r="G2750" t="s">
        <v>331</v>
      </c>
      <c r="H2750" s="15">
        <v>45536</v>
      </c>
      <c r="I2750">
        <v>1800</v>
      </c>
      <c r="J2750">
        <v>0</v>
      </c>
    </row>
    <row r="2751" spans="1:10" x14ac:dyDescent="0.3">
      <c r="A2751" s="15">
        <v>45597</v>
      </c>
      <c r="B2751" t="s">
        <v>384</v>
      </c>
      <c r="C2751" t="s">
        <v>91</v>
      </c>
      <c r="D2751" t="s">
        <v>82</v>
      </c>
      <c r="E2751" t="s">
        <v>103</v>
      </c>
      <c r="F2751">
        <v>5000</v>
      </c>
      <c r="G2751" t="s">
        <v>331</v>
      </c>
      <c r="H2751" s="15">
        <v>45566</v>
      </c>
      <c r="I2751">
        <v>5000</v>
      </c>
      <c r="J2751">
        <v>0</v>
      </c>
    </row>
    <row r="2752" spans="1:10" x14ac:dyDescent="0.3">
      <c r="A2752" s="15">
        <v>45597</v>
      </c>
      <c r="B2752" t="s">
        <v>385</v>
      </c>
      <c r="C2752" t="s">
        <v>91</v>
      </c>
      <c r="D2752" t="s">
        <v>99</v>
      </c>
      <c r="E2752" t="s">
        <v>83</v>
      </c>
      <c r="F2752">
        <v>8300</v>
      </c>
      <c r="G2752" t="s">
        <v>331</v>
      </c>
      <c r="H2752" s="15">
        <v>45566</v>
      </c>
      <c r="I2752">
        <v>8300</v>
      </c>
      <c r="J2752">
        <v>0</v>
      </c>
    </row>
    <row r="2753" spans="1:10" x14ac:dyDescent="0.3">
      <c r="A2753" s="15">
        <v>45597</v>
      </c>
      <c r="B2753" t="s">
        <v>386</v>
      </c>
      <c r="C2753" t="s">
        <v>81</v>
      </c>
      <c r="D2753" t="s">
        <v>82</v>
      </c>
      <c r="E2753" t="s">
        <v>103</v>
      </c>
      <c r="F2753">
        <v>2200</v>
      </c>
      <c r="G2753" t="s">
        <v>331</v>
      </c>
      <c r="H2753" s="15">
        <v>45566</v>
      </c>
      <c r="I2753">
        <v>2200</v>
      </c>
      <c r="J2753">
        <v>0</v>
      </c>
    </row>
    <row r="2754" spans="1:10" x14ac:dyDescent="0.3">
      <c r="A2754" s="15">
        <v>45597</v>
      </c>
      <c r="B2754" t="s">
        <v>387</v>
      </c>
      <c r="C2754" t="s">
        <v>81</v>
      </c>
      <c r="D2754" t="s">
        <v>86</v>
      </c>
      <c r="E2754" t="s">
        <v>92</v>
      </c>
      <c r="F2754">
        <v>1700</v>
      </c>
      <c r="G2754" t="s">
        <v>331</v>
      </c>
      <c r="H2754" s="15">
        <v>45566</v>
      </c>
      <c r="I2754">
        <v>1700</v>
      </c>
      <c r="J2754">
        <v>0</v>
      </c>
    </row>
    <row r="2755" spans="1:10" x14ac:dyDescent="0.3">
      <c r="A2755" s="15">
        <v>45597</v>
      </c>
      <c r="B2755" t="s">
        <v>388</v>
      </c>
      <c r="C2755" t="s">
        <v>81</v>
      </c>
      <c r="D2755" t="s">
        <v>99</v>
      </c>
      <c r="E2755" t="s">
        <v>103</v>
      </c>
      <c r="F2755">
        <v>1700</v>
      </c>
      <c r="G2755" t="s">
        <v>331</v>
      </c>
      <c r="H2755" s="15">
        <v>45566</v>
      </c>
      <c r="I2755">
        <v>1700</v>
      </c>
      <c r="J2755">
        <v>0</v>
      </c>
    </row>
    <row r="2756" spans="1:10" x14ac:dyDescent="0.3">
      <c r="A2756" s="15">
        <v>45597</v>
      </c>
      <c r="B2756" t="s">
        <v>389</v>
      </c>
      <c r="C2756" t="s">
        <v>91</v>
      </c>
      <c r="D2756" t="s">
        <v>82</v>
      </c>
      <c r="E2756" t="s">
        <v>101</v>
      </c>
      <c r="F2756">
        <v>7300</v>
      </c>
      <c r="G2756" t="s">
        <v>331</v>
      </c>
      <c r="H2756" s="15">
        <v>45566</v>
      </c>
      <c r="I2756">
        <v>7300</v>
      </c>
      <c r="J2756">
        <v>0</v>
      </c>
    </row>
    <row r="2757" spans="1:10" x14ac:dyDescent="0.3">
      <c r="A2757" s="15">
        <v>45597</v>
      </c>
      <c r="B2757" t="s">
        <v>390</v>
      </c>
      <c r="C2757" t="s">
        <v>91</v>
      </c>
      <c r="D2757" t="s">
        <v>82</v>
      </c>
      <c r="E2757" t="s">
        <v>89</v>
      </c>
      <c r="F2757">
        <v>6200</v>
      </c>
      <c r="G2757" t="s">
        <v>331</v>
      </c>
      <c r="H2757" s="15">
        <v>45566</v>
      </c>
      <c r="I2757">
        <v>6200</v>
      </c>
      <c r="J2757">
        <v>0</v>
      </c>
    </row>
    <row r="2758" spans="1:10" x14ac:dyDescent="0.3">
      <c r="A2758" s="15">
        <v>45597</v>
      </c>
      <c r="B2758" t="s">
        <v>391</v>
      </c>
      <c r="C2758" t="s">
        <v>91</v>
      </c>
      <c r="D2758" t="s">
        <v>82</v>
      </c>
      <c r="E2758" t="s">
        <v>92</v>
      </c>
      <c r="F2758">
        <v>8100</v>
      </c>
      <c r="G2758" t="s">
        <v>84</v>
      </c>
      <c r="H2758" s="15">
        <v>45597</v>
      </c>
      <c r="I2758">
        <v>0</v>
      </c>
      <c r="J2758">
        <v>8100</v>
      </c>
    </row>
    <row r="2759" spans="1:10" x14ac:dyDescent="0.3">
      <c r="A2759" s="15">
        <v>45597</v>
      </c>
      <c r="B2759" t="s">
        <v>392</v>
      </c>
      <c r="C2759" t="s">
        <v>91</v>
      </c>
      <c r="D2759" t="s">
        <v>86</v>
      </c>
      <c r="E2759" t="s">
        <v>97</v>
      </c>
      <c r="F2759">
        <v>8800</v>
      </c>
      <c r="G2759" t="s">
        <v>84</v>
      </c>
      <c r="H2759" s="15">
        <v>45597</v>
      </c>
      <c r="I2759">
        <v>0</v>
      </c>
      <c r="J2759">
        <v>8800</v>
      </c>
    </row>
    <row r="2760" spans="1:10" x14ac:dyDescent="0.3">
      <c r="A2760" s="15">
        <v>45597</v>
      </c>
      <c r="B2760" t="s">
        <v>393</v>
      </c>
      <c r="C2760" t="s">
        <v>81</v>
      </c>
      <c r="D2760" t="s">
        <v>82</v>
      </c>
      <c r="E2760" t="s">
        <v>92</v>
      </c>
      <c r="F2760">
        <v>2100</v>
      </c>
      <c r="G2760" t="s">
        <v>84</v>
      </c>
      <c r="H2760" s="15">
        <v>45597</v>
      </c>
      <c r="I2760">
        <v>0</v>
      </c>
      <c r="J2760">
        <v>2100</v>
      </c>
    </row>
    <row r="2761" spans="1:10" x14ac:dyDescent="0.3">
      <c r="A2761" s="15">
        <v>45597</v>
      </c>
      <c r="B2761" t="s">
        <v>394</v>
      </c>
      <c r="C2761" t="s">
        <v>81</v>
      </c>
      <c r="D2761" t="s">
        <v>99</v>
      </c>
      <c r="E2761" t="s">
        <v>87</v>
      </c>
      <c r="F2761">
        <v>1400</v>
      </c>
      <c r="G2761" t="s">
        <v>84</v>
      </c>
      <c r="H2761" s="15">
        <v>45597</v>
      </c>
      <c r="I2761">
        <v>0</v>
      </c>
      <c r="J2761">
        <v>1400</v>
      </c>
    </row>
    <row r="2762" spans="1:10" x14ac:dyDescent="0.3">
      <c r="A2762" s="15">
        <v>45627</v>
      </c>
      <c r="B2762" t="s">
        <v>80</v>
      </c>
      <c r="C2762" t="s">
        <v>81</v>
      </c>
      <c r="D2762" t="s">
        <v>82</v>
      </c>
      <c r="E2762" t="s">
        <v>83</v>
      </c>
      <c r="F2762">
        <v>1900</v>
      </c>
      <c r="G2762" t="s">
        <v>331</v>
      </c>
      <c r="H2762" s="15">
        <v>45292</v>
      </c>
      <c r="I2762">
        <v>1900</v>
      </c>
      <c r="J2762">
        <v>0</v>
      </c>
    </row>
    <row r="2763" spans="1:10" x14ac:dyDescent="0.3">
      <c r="A2763" s="15">
        <v>45627</v>
      </c>
      <c r="B2763" t="s">
        <v>85</v>
      </c>
      <c r="C2763" t="s">
        <v>81</v>
      </c>
      <c r="D2763" t="s">
        <v>86</v>
      </c>
      <c r="E2763" t="s">
        <v>87</v>
      </c>
      <c r="F2763">
        <v>3200</v>
      </c>
      <c r="G2763" t="s">
        <v>331</v>
      </c>
      <c r="H2763" s="15">
        <v>45292</v>
      </c>
      <c r="I2763">
        <v>3200</v>
      </c>
      <c r="J2763">
        <v>0</v>
      </c>
    </row>
    <row r="2764" spans="1:10" x14ac:dyDescent="0.3">
      <c r="A2764" s="15">
        <v>45627</v>
      </c>
      <c r="B2764" t="s">
        <v>88</v>
      </c>
      <c r="C2764" t="s">
        <v>81</v>
      </c>
      <c r="D2764" t="s">
        <v>86</v>
      </c>
      <c r="E2764" t="s">
        <v>89</v>
      </c>
      <c r="F2764">
        <v>2500</v>
      </c>
      <c r="G2764" t="s">
        <v>331</v>
      </c>
      <c r="H2764" s="15">
        <v>45292</v>
      </c>
      <c r="I2764">
        <v>2500</v>
      </c>
      <c r="J2764">
        <v>0</v>
      </c>
    </row>
    <row r="2765" spans="1:10" x14ac:dyDescent="0.3">
      <c r="A2765" s="15">
        <v>45627</v>
      </c>
      <c r="B2765" t="s">
        <v>90</v>
      </c>
      <c r="C2765" t="s">
        <v>91</v>
      </c>
      <c r="D2765" t="s">
        <v>82</v>
      </c>
      <c r="E2765" t="s">
        <v>92</v>
      </c>
      <c r="F2765">
        <v>8300</v>
      </c>
      <c r="G2765" t="s">
        <v>331</v>
      </c>
      <c r="H2765" s="15">
        <v>45292</v>
      </c>
      <c r="I2765">
        <v>8300</v>
      </c>
      <c r="J2765">
        <v>0</v>
      </c>
    </row>
    <row r="2766" spans="1:10" x14ac:dyDescent="0.3">
      <c r="A2766" s="15">
        <v>45627</v>
      </c>
      <c r="B2766" t="s">
        <v>93</v>
      </c>
      <c r="C2766" t="s">
        <v>81</v>
      </c>
      <c r="D2766" t="s">
        <v>86</v>
      </c>
      <c r="E2766" t="s">
        <v>83</v>
      </c>
      <c r="F2766">
        <v>2200</v>
      </c>
      <c r="G2766" t="s">
        <v>331</v>
      </c>
      <c r="H2766" s="15">
        <v>45292</v>
      </c>
      <c r="I2766">
        <v>2200</v>
      </c>
      <c r="J2766">
        <v>0</v>
      </c>
    </row>
    <row r="2767" spans="1:10" x14ac:dyDescent="0.3">
      <c r="A2767" s="15">
        <v>45627</v>
      </c>
      <c r="B2767" t="s">
        <v>94</v>
      </c>
      <c r="C2767" t="s">
        <v>91</v>
      </c>
      <c r="D2767" t="s">
        <v>86</v>
      </c>
      <c r="E2767" t="s">
        <v>83</v>
      </c>
      <c r="F2767">
        <v>8500</v>
      </c>
      <c r="G2767" t="s">
        <v>332</v>
      </c>
      <c r="H2767" s="15">
        <v>45292</v>
      </c>
      <c r="I2767">
        <v>7900</v>
      </c>
      <c r="J2767">
        <v>600</v>
      </c>
    </row>
    <row r="2768" spans="1:10" x14ac:dyDescent="0.3">
      <c r="A2768" s="15">
        <v>45627</v>
      </c>
      <c r="B2768" t="s">
        <v>95</v>
      </c>
      <c r="C2768" t="s">
        <v>81</v>
      </c>
      <c r="D2768" t="s">
        <v>96</v>
      </c>
      <c r="E2768" t="s">
        <v>97</v>
      </c>
      <c r="F2768">
        <v>3100</v>
      </c>
      <c r="G2768" t="s">
        <v>331</v>
      </c>
      <c r="H2768" s="15">
        <v>45292</v>
      </c>
      <c r="I2768">
        <v>3100</v>
      </c>
      <c r="J2768">
        <v>0</v>
      </c>
    </row>
    <row r="2769" spans="1:10" x14ac:dyDescent="0.3">
      <c r="A2769" s="15">
        <v>45627</v>
      </c>
      <c r="B2769" t="s">
        <v>98</v>
      </c>
      <c r="C2769" t="s">
        <v>81</v>
      </c>
      <c r="D2769" t="s">
        <v>99</v>
      </c>
      <c r="E2769" t="s">
        <v>92</v>
      </c>
      <c r="F2769">
        <v>2300</v>
      </c>
      <c r="G2769" t="s">
        <v>331</v>
      </c>
      <c r="H2769" s="15">
        <v>45292</v>
      </c>
      <c r="I2769">
        <v>2300</v>
      </c>
      <c r="J2769">
        <v>0</v>
      </c>
    </row>
    <row r="2770" spans="1:10" x14ac:dyDescent="0.3">
      <c r="A2770" s="15">
        <v>45627</v>
      </c>
      <c r="B2770" t="s">
        <v>100</v>
      </c>
      <c r="C2770" t="s">
        <v>81</v>
      </c>
      <c r="D2770" t="s">
        <v>86</v>
      </c>
      <c r="E2770" t="s">
        <v>101</v>
      </c>
      <c r="F2770">
        <v>1800</v>
      </c>
      <c r="G2770" t="s">
        <v>331</v>
      </c>
      <c r="H2770" s="15">
        <v>45292</v>
      </c>
      <c r="I2770">
        <v>1800</v>
      </c>
      <c r="J2770">
        <v>0</v>
      </c>
    </row>
    <row r="2771" spans="1:10" x14ac:dyDescent="0.3">
      <c r="A2771" s="15">
        <v>45627</v>
      </c>
      <c r="B2771" t="s">
        <v>102</v>
      </c>
      <c r="C2771" t="s">
        <v>81</v>
      </c>
      <c r="D2771" t="s">
        <v>99</v>
      </c>
      <c r="E2771" t="s">
        <v>103</v>
      </c>
      <c r="F2771">
        <v>3300</v>
      </c>
      <c r="G2771" t="s">
        <v>331</v>
      </c>
      <c r="H2771" s="15">
        <v>45292</v>
      </c>
      <c r="I2771">
        <v>3300</v>
      </c>
      <c r="J2771">
        <v>0</v>
      </c>
    </row>
    <row r="2772" spans="1:10" x14ac:dyDescent="0.3">
      <c r="A2772" s="15">
        <v>45627</v>
      </c>
      <c r="B2772" t="s">
        <v>104</v>
      </c>
      <c r="C2772" t="s">
        <v>91</v>
      </c>
      <c r="D2772" t="s">
        <v>99</v>
      </c>
      <c r="E2772" t="s">
        <v>87</v>
      </c>
      <c r="F2772">
        <v>7000</v>
      </c>
      <c r="G2772" t="s">
        <v>331</v>
      </c>
      <c r="H2772" s="15">
        <v>45292</v>
      </c>
      <c r="I2772">
        <v>7000</v>
      </c>
      <c r="J2772">
        <v>0</v>
      </c>
    </row>
    <row r="2773" spans="1:10" x14ac:dyDescent="0.3">
      <c r="A2773" s="15">
        <v>45627</v>
      </c>
      <c r="B2773" t="s">
        <v>105</v>
      </c>
      <c r="C2773" t="s">
        <v>91</v>
      </c>
      <c r="D2773" t="s">
        <v>86</v>
      </c>
      <c r="E2773" t="s">
        <v>89</v>
      </c>
      <c r="F2773">
        <v>11400</v>
      </c>
      <c r="G2773" t="s">
        <v>331</v>
      </c>
      <c r="H2773" s="15">
        <v>45292</v>
      </c>
      <c r="I2773">
        <v>11400</v>
      </c>
      <c r="J2773">
        <v>0</v>
      </c>
    </row>
    <row r="2774" spans="1:10" x14ac:dyDescent="0.3">
      <c r="A2774" s="15">
        <v>45627</v>
      </c>
      <c r="B2774" t="s">
        <v>106</v>
      </c>
      <c r="C2774" t="s">
        <v>81</v>
      </c>
      <c r="D2774" t="s">
        <v>99</v>
      </c>
      <c r="E2774" t="s">
        <v>92</v>
      </c>
      <c r="F2774">
        <v>2700</v>
      </c>
      <c r="G2774" t="s">
        <v>331</v>
      </c>
      <c r="H2774" s="15">
        <v>45292</v>
      </c>
      <c r="I2774">
        <v>2700</v>
      </c>
      <c r="J2774">
        <v>0</v>
      </c>
    </row>
    <row r="2775" spans="1:10" x14ac:dyDescent="0.3">
      <c r="A2775" s="15">
        <v>45627</v>
      </c>
      <c r="B2775" t="s">
        <v>109</v>
      </c>
      <c r="C2775" t="s">
        <v>110</v>
      </c>
      <c r="D2775" t="s">
        <v>82</v>
      </c>
      <c r="E2775" t="s">
        <v>103</v>
      </c>
      <c r="F2775">
        <v>32700</v>
      </c>
      <c r="G2775" t="s">
        <v>331</v>
      </c>
      <c r="H2775" s="15">
        <v>45292</v>
      </c>
      <c r="I2775">
        <v>32700</v>
      </c>
      <c r="J2775">
        <v>0</v>
      </c>
    </row>
    <row r="2776" spans="1:10" x14ac:dyDescent="0.3">
      <c r="A2776" s="15">
        <v>45627</v>
      </c>
      <c r="B2776" t="s">
        <v>111</v>
      </c>
      <c r="C2776" t="s">
        <v>91</v>
      </c>
      <c r="D2776" t="s">
        <v>82</v>
      </c>
      <c r="E2776" t="s">
        <v>83</v>
      </c>
      <c r="F2776">
        <v>8800</v>
      </c>
      <c r="G2776" t="s">
        <v>331</v>
      </c>
      <c r="H2776" s="15">
        <v>45292</v>
      </c>
      <c r="I2776">
        <v>8800</v>
      </c>
      <c r="J2776">
        <v>0</v>
      </c>
    </row>
    <row r="2777" spans="1:10" x14ac:dyDescent="0.3">
      <c r="A2777" s="15">
        <v>45627</v>
      </c>
      <c r="B2777" t="s">
        <v>112</v>
      </c>
      <c r="C2777" t="s">
        <v>91</v>
      </c>
      <c r="D2777" t="s">
        <v>82</v>
      </c>
      <c r="E2777" t="s">
        <v>92</v>
      </c>
      <c r="F2777">
        <v>8600</v>
      </c>
      <c r="G2777" t="s">
        <v>331</v>
      </c>
      <c r="H2777" s="15">
        <v>45292</v>
      </c>
      <c r="I2777">
        <v>8600</v>
      </c>
      <c r="J2777">
        <v>0</v>
      </c>
    </row>
    <row r="2778" spans="1:10" x14ac:dyDescent="0.3">
      <c r="A2778" s="15">
        <v>45627</v>
      </c>
      <c r="B2778" t="s">
        <v>113</v>
      </c>
      <c r="C2778" t="s">
        <v>81</v>
      </c>
      <c r="D2778" t="s">
        <v>96</v>
      </c>
      <c r="E2778" t="s">
        <v>89</v>
      </c>
      <c r="F2778">
        <v>2500</v>
      </c>
      <c r="G2778" t="s">
        <v>331</v>
      </c>
      <c r="H2778" s="15">
        <v>45292</v>
      </c>
      <c r="I2778">
        <v>2500</v>
      </c>
      <c r="J2778">
        <v>0</v>
      </c>
    </row>
    <row r="2779" spans="1:10" x14ac:dyDescent="0.3">
      <c r="A2779" s="15">
        <v>45627</v>
      </c>
      <c r="B2779" t="s">
        <v>114</v>
      </c>
      <c r="C2779" t="s">
        <v>110</v>
      </c>
      <c r="D2779" t="s">
        <v>99</v>
      </c>
      <c r="E2779" t="s">
        <v>97</v>
      </c>
      <c r="F2779">
        <v>41600</v>
      </c>
      <c r="G2779" t="s">
        <v>331</v>
      </c>
      <c r="H2779" s="15">
        <v>45292</v>
      </c>
      <c r="I2779">
        <v>41600</v>
      </c>
      <c r="J2779">
        <v>0</v>
      </c>
    </row>
    <row r="2780" spans="1:10" x14ac:dyDescent="0.3">
      <c r="A2780" s="15">
        <v>45627</v>
      </c>
      <c r="B2780" t="s">
        <v>115</v>
      </c>
      <c r="C2780" t="s">
        <v>81</v>
      </c>
      <c r="D2780" t="s">
        <v>82</v>
      </c>
      <c r="E2780" t="s">
        <v>101</v>
      </c>
      <c r="F2780">
        <v>2600</v>
      </c>
      <c r="G2780" t="s">
        <v>331</v>
      </c>
      <c r="H2780" s="15">
        <v>45292</v>
      </c>
      <c r="I2780">
        <v>2600</v>
      </c>
      <c r="J2780">
        <v>0</v>
      </c>
    </row>
    <row r="2781" spans="1:10" x14ac:dyDescent="0.3">
      <c r="A2781" s="15">
        <v>45627</v>
      </c>
      <c r="B2781" t="s">
        <v>116</v>
      </c>
      <c r="C2781" t="s">
        <v>81</v>
      </c>
      <c r="D2781" t="s">
        <v>86</v>
      </c>
      <c r="E2781" t="s">
        <v>87</v>
      </c>
      <c r="F2781">
        <v>2900</v>
      </c>
      <c r="G2781" t="s">
        <v>331</v>
      </c>
      <c r="H2781" s="15">
        <v>45292</v>
      </c>
      <c r="I2781">
        <v>2900</v>
      </c>
      <c r="J2781">
        <v>0</v>
      </c>
    </row>
    <row r="2782" spans="1:10" x14ac:dyDescent="0.3">
      <c r="A2782" s="15">
        <v>45627</v>
      </c>
      <c r="B2782" t="s">
        <v>117</v>
      </c>
      <c r="C2782" t="s">
        <v>81</v>
      </c>
      <c r="D2782" t="s">
        <v>86</v>
      </c>
      <c r="E2782" t="s">
        <v>103</v>
      </c>
      <c r="F2782">
        <v>2500</v>
      </c>
      <c r="G2782" t="s">
        <v>331</v>
      </c>
      <c r="H2782" s="15">
        <v>45292</v>
      </c>
      <c r="I2782">
        <v>2500</v>
      </c>
      <c r="J2782">
        <v>0</v>
      </c>
    </row>
    <row r="2783" spans="1:10" x14ac:dyDescent="0.3">
      <c r="A2783" s="15">
        <v>45627</v>
      </c>
      <c r="B2783" t="s">
        <v>118</v>
      </c>
      <c r="C2783" t="s">
        <v>81</v>
      </c>
      <c r="D2783" t="s">
        <v>82</v>
      </c>
      <c r="E2783" t="s">
        <v>103</v>
      </c>
      <c r="F2783">
        <v>2900</v>
      </c>
      <c r="G2783" t="s">
        <v>331</v>
      </c>
      <c r="H2783" s="15">
        <v>45292</v>
      </c>
      <c r="I2783">
        <v>2900</v>
      </c>
      <c r="J2783">
        <v>0</v>
      </c>
    </row>
    <row r="2784" spans="1:10" x14ac:dyDescent="0.3">
      <c r="A2784" s="15">
        <v>45627</v>
      </c>
      <c r="B2784" t="s">
        <v>119</v>
      </c>
      <c r="C2784" t="s">
        <v>91</v>
      </c>
      <c r="D2784" t="s">
        <v>96</v>
      </c>
      <c r="E2784" t="s">
        <v>89</v>
      </c>
      <c r="F2784">
        <v>12800</v>
      </c>
      <c r="G2784" t="s">
        <v>331</v>
      </c>
      <c r="H2784" s="15">
        <v>45292</v>
      </c>
      <c r="I2784">
        <v>12800</v>
      </c>
      <c r="J2784">
        <v>0</v>
      </c>
    </row>
    <row r="2785" spans="1:10" x14ac:dyDescent="0.3">
      <c r="A2785" s="15">
        <v>45627</v>
      </c>
      <c r="B2785" t="s">
        <v>120</v>
      </c>
      <c r="C2785" t="s">
        <v>81</v>
      </c>
      <c r="D2785" t="s">
        <v>86</v>
      </c>
      <c r="E2785" t="s">
        <v>101</v>
      </c>
      <c r="F2785">
        <v>2200</v>
      </c>
      <c r="G2785" t="s">
        <v>331</v>
      </c>
      <c r="H2785" s="15">
        <v>45292</v>
      </c>
      <c r="I2785">
        <v>2200</v>
      </c>
      <c r="J2785">
        <v>0</v>
      </c>
    </row>
    <row r="2786" spans="1:10" x14ac:dyDescent="0.3">
      <c r="A2786" s="15">
        <v>45627</v>
      </c>
      <c r="B2786" t="s">
        <v>123</v>
      </c>
      <c r="C2786" t="s">
        <v>81</v>
      </c>
      <c r="D2786" t="s">
        <v>82</v>
      </c>
      <c r="E2786" t="s">
        <v>92</v>
      </c>
      <c r="F2786">
        <v>2200</v>
      </c>
      <c r="G2786" t="s">
        <v>331</v>
      </c>
      <c r="H2786" s="15">
        <v>45292</v>
      </c>
      <c r="I2786">
        <v>2200</v>
      </c>
      <c r="J2786">
        <v>0</v>
      </c>
    </row>
    <row r="2787" spans="1:10" x14ac:dyDescent="0.3">
      <c r="A2787" s="15">
        <v>45627</v>
      </c>
      <c r="B2787" t="s">
        <v>124</v>
      </c>
      <c r="C2787" t="s">
        <v>125</v>
      </c>
      <c r="D2787" t="s">
        <v>82</v>
      </c>
      <c r="E2787" t="s">
        <v>97</v>
      </c>
      <c r="F2787">
        <v>67900</v>
      </c>
      <c r="G2787" t="s">
        <v>331</v>
      </c>
      <c r="H2787" s="15">
        <v>45292</v>
      </c>
      <c r="I2787">
        <v>67900</v>
      </c>
      <c r="J2787">
        <v>0</v>
      </c>
    </row>
    <row r="2788" spans="1:10" x14ac:dyDescent="0.3">
      <c r="A2788" s="15">
        <v>45627</v>
      </c>
      <c r="B2788" t="s">
        <v>126</v>
      </c>
      <c r="C2788" t="s">
        <v>91</v>
      </c>
      <c r="D2788" t="s">
        <v>82</v>
      </c>
      <c r="E2788" t="s">
        <v>83</v>
      </c>
      <c r="F2788">
        <v>8800</v>
      </c>
      <c r="G2788" t="s">
        <v>331</v>
      </c>
      <c r="H2788" s="15">
        <v>45292</v>
      </c>
      <c r="I2788">
        <v>8800</v>
      </c>
      <c r="J2788">
        <v>0</v>
      </c>
    </row>
    <row r="2789" spans="1:10" x14ac:dyDescent="0.3">
      <c r="A2789" s="15">
        <v>45627</v>
      </c>
      <c r="B2789" t="s">
        <v>127</v>
      </c>
      <c r="C2789" t="s">
        <v>81</v>
      </c>
      <c r="D2789" t="s">
        <v>82</v>
      </c>
      <c r="E2789" t="s">
        <v>101</v>
      </c>
      <c r="F2789">
        <v>2100</v>
      </c>
      <c r="G2789" t="s">
        <v>331</v>
      </c>
      <c r="H2789" s="15">
        <v>45292</v>
      </c>
      <c r="I2789">
        <v>2100</v>
      </c>
      <c r="J2789">
        <v>0</v>
      </c>
    </row>
    <row r="2790" spans="1:10" x14ac:dyDescent="0.3">
      <c r="A2790" s="15">
        <v>45627</v>
      </c>
      <c r="B2790" t="s">
        <v>128</v>
      </c>
      <c r="C2790" t="s">
        <v>81</v>
      </c>
      <c r="D2790" t="s">
        <v>82</v>
      </c>
      <c r="E2790" t="s">
        <v>92</v>
      </c>
      <c r="F2790">
        <v>1700</v>
      </c>
      <c r="G2790" t="s">
        <v>331</v>
      </c>
      <c r="H2790" s="15">
        <v>45292</v>
      </c>
      <c r="I2790">
        <v>1700</v>
      </c>
      <c r="J2790">
        <v>0</v>
      </c>
    </row>
    <row r="2791" spans="1:10" x14ac:dyDescent="0.3">
      <c r="A2791" s="15">
        <v>45627</v>
      </c>
      <c r="B2791" t="s">
        <v>129</v>
      </c>
      <c r="C2791" t="s">
        <v>110</v>
      </c>
      <c r="D2791" t="s">
        <v>86</v>
      </c>
      <c r="E2791" t="s">
        <v>92</v>
      </c>
      <c r="F2791">
        <v>34200</v>
      </c>
      <c r="G2791" t="s">
        <v>331</v>
      </c>
      <c r="H2791" s="15">
        <v>45292</v>
      </c>
      <c r="I2791">
        <v>34200</v>
      </c>
      <c r="J2791">
        <v>0</v>
      </c>
    </row>
    <row r="2792" spans="1:10" x14ac:dyDescent="0.3">
      <c r="A2792" s="15">
        <v>45627</v>
      </c>
      <c r="B2792" t="s">
        <v>131</v>
      </c>
      <c r="C2792" t="s">
        <v>81</v>
      </c>
      <c r="D2792" t="s">
        <v>86</v>
      </c>
      <c r="E2792" t="s">
        <v>101</v>
      </c>
      <c r="F2792">
        <v>2100</v>
      </c>
      <c r="G2792" t="s">
        <v>332</v>
      </c>
      <c r="H2792" s="15">
        <v>45292</v>
      </c>
      <c r="I2792">
        <v>1900</v>
      </c>
      <c r="J2792">
        <v>200</v>
      </c>
    </row>
    <row r="2793" spans="1:10" x14ac:dyDescent="0.3">
      <c r="A2793" s="15">
        <v>45627</v>
      </c>
      <c r="B2793" t="s">
        <v>133</v>
      </c>
      <c r="C2793" t="s">
        <v>81</v>
      </c>
      <c r="D2793" t="s">
        <v>96</v>
      </c>
      <c r="E2793" t="s">
        <v>87</v>
      </c>
      <c r="F2793">
        <v>2700</v>
      </c>
      <c r="G2793" t="s">
        <v>331</v>
      </c>
      <c r="H2793" s="15">
        <v>45292</v>
      </c>
      <c r="I2793">
        <v>2700</v>
      </c>
      <c r="J2793">
        <v>0</v>
      </c>
    </row>
    <row r="2794" spans="1:10" x14ac:dyDescent="0.3">
      <c r="A2794" s="15">
        <v>45627</v>
      </c>
      <c r="B2794" t="s">
        <v>134</v>
      </c>
      <c r="C2794" t="s">
        <v>81</v>
      </c>
      <c r="D2794" t="s">
        <v>82</v>
      </c>
      <c r="E2794" t="s">
        <v>92</v>
      </c>
      <c r="F2794">
        <v>2900</v>
      </c>
      <c r="G2794" t="s">
        <v>331</v>
      </c>
      <c r="H2794" s="15">
        <v>45292</v>
      </c>
      <c r="I2794">
        <v>2900</v>
      </c>
      <c r="J2794">
        <v>0</v>
      </c>
    </row>
    <row r="2795" spans="1:10" x14ac:dyDescent="0.3">
      <c r="A2795" s="15">
        <v>45627</v>
      </c>
      <c r="B2795" t="s">
        <v>135</v>
      </c>
      <c r="C2795" t="s">
        <v>81</v>
      </c>
      <c r="D2795" t="s">
        <v>82</v>
      </c>
      <c r="E2795" t="s">
        <v>103</v>
      </c>
      <c r="F2795">
        <v>2800</v>
      </c>
      <c r="G2795" t="s">
        <v>331</v>
      </c>
      <c r="H2795" s="15">
        <v>45292</v>
      </c>
      <c r="I2795">
        <v>2800</v>
      </c>
      <c r="J2795">
        <v>0</v>
      </c>
    </row>
    <row r="2796" spans="1:10" x14ac:dyDescent="0.3">
      <c r="A2796" s="15">
        <v>45627</v>
      </c>
      <c r="B2796" t="s">
        <v>136</v>
      </c>
      <c r="C2796" t="s">
        <v>81</v>
      </c>
      <c r="D2796" t="s">
        <v>82</v>
      </c>
      <c r="E2796" t="s">
        <v>101</v>
      </c>
      <c r="F2796">
        <v>2900</v>
      </c>
      <c r="G2796" t="s">
        <v>331</v>
      </c>
      <c r="H2796" s="15">
        <v>45292</v>
      </c>
      <c r="I2796">
        <v>2900</v>
      </c>
      <c r="J2796">
        <v>0</v>
      </c>
    </row>
    <row r="2797" spans="1:10" x14ac:dyDescent="0.3">
      <c r="A2797" s="15">
        <v>45627</v>
      </c>
      <c r="B2797" t="s">
        <v>137</v>
      </c>
      <c r="C2797" t="s">
        <v>81</v>
      </c>
      <c r="D2797" t="s">
        <v>82</v>
      </c>
      <c r="E2797" t="s">
        <v>89</v>
      </c>
      <c r="F2797">
        <v>1800</v>
      </c>
      <c r="G2797" t="s">
        <v>332</v>
      </c>
      <c r="H2797" s="15">
        <v>45292</v>
      </c>
      <c r="I2797">
        <v>1700</v>
      </c>
      <c r="J2797">
        <v>100</v>
      </c>
    </row>
    <row r="2798" spans="1:10" x14ac:dyDescent="0.3">
      <c r="A2798" s="15">
        <v>45627</v>
      </c>
      <c r="B2798" t="s">
        <v>138</v>
      </c>
      <c r="C2798" t="s">
        <v>81</v>
      </c>
      <c r="D2798" t="s">
        <v>86</v>
      </c>
      <c r="E2798" t="s">
        <v>97</v>
      </c>
      <c r="F2798">
        <v>3300</v>
      </c>
      <c r="G2798" t="s">
        <v>331</v>
      </c>
      <c r="H2798" s="15">
        <v>45292</v>
      </c>
      <c r="I2798">
        <v>3300</v>
      </c>
      <c r="J2798">
        <v>0</v>
      </c>
    </row>
    <row r="2799" spans="1:10" x14ac:dyDescent="0.3">
      <c r="A2799" s="15">
        <v>45627</v>
      </c>
      <c r="B2799" t="s">
        <v>139</v>
      </c>
      <c r="C2799" t="s">
        <v>91</v>
      </c>
      <c r="D2799" t="s">
        <v>82</v>
      </c>
      <c r="E2799" t="s">
        <v>103</v>
      </c>
      <c r="F2799">
        <v>6800</v>
      </c>
      <c r="G2799" t="s">
        <v>331</v>
      </c>
      <c r="H2799" s="15">
        <v>45292</v>
      </c>
      <c r="I2799">
        <v>6800</v>
      </c>
      <c r="J2799">
        <v>0</v>
      </c>
    </row>
    <row r="2800" spans="1:10" x14ac:dyDescent="0.3">
      <c r="A2800" s="15">
        <v>45627</v>
      </c>
      <c r="B2800" t="s">
        <v>141</v>
      </c>
      <c r="C2800" t="s">
        <v>125</v>
      </c>
      <c r="D2800" t="s">
        <v>99</v>
      </c>
      <c r="E2800" t="s">
        <v>103</v>
      </c>
      <c r="F2800">
        <v>117900</v>
      </c>
      <c r="G2800" t="s">
        <v>331</v>
      </c>
      <c r="H2800" s="15">
        <v>45292</v>
      </c>
      <c r="I2800">
        <v>117900</v>
      </c>
      <c r="J2800">
        <v>0</v>
      </c>
    </row>
    <row r="2801" spans="1:10" x14ac:dyDescent="0.3">
      <c r="A2801" s="15">
        <v>45627</v>
      </c>
      <c r="B2801" t="s">
        <v>142</v>
      </c>
      <c r="C2801" t="s">
        <v>125</v>
      </c>
      <c r="D2801" t="s">
        <v>82</v>
      </c>
      <c r="E2801" t="s">
        <v>92</v>
      </c>
      <c r="F2801">
        <v>93300</v>
      </c>
      <c r="G2801" t="s">
        <v>331</v>
      </c>
      <c r="H2801" s="15">
        <v>45292</v>
      </c>
      <c r="I2801">
        <v>93300</v>
      </c>
      <c r="J2801">
        <v>0</v>
      </c>
    </row>
    <row r="2802" spans="1:10" x14ac:dyDescent="0.3">
      <c r="A2802" s="15">
        <v>45627</v>
      </c>
      <c r="B2802" t="s">
        <v>143</v>
      </c>
      <c r="C2802" t="s">
        <v>91</v>
      </c>
      <c r="D2802" t="s">
        <v>99</v>
      </c>
      <c r="E2802" t="s">
        <v>103</v>
      </c>
      <c r="F2802">
        <v>8000</v>
      </c>
      <c r="G2802" t="s">
        <v>331</v>
      </c>
      <c r="H2802" s="15">
        <v>45292</v>
      </c>
      <c r="I2802">
        <v>8000</v>
      </c>
      <c r="J2802">
        <v>0</v>
      </c>
    </row>
    <row r="2803" spans="1:10" x14ac:dyDescent="0.3">
      <c r="A2803" s="15">
        <v>45627</v>
      </c>
      <c r="B2803" t="s">
        <v>144</v>
      </c>
      <c r="C2803" t="s">
        <v>81</v>
      </c>
      <c r="D2803" t="s">
        <v>82</v>
      </c>
      <c r="E2803" t="s">
        <v>92</v>
      </c>
      <c r="F2803">
        <v>2400</v>
      </c>
      <c r="G2803" t="s">
        <v>331</v>
      </c>
      <c r="H2803" s="15">
        <v>45292</v>
      </c>
      <c r="I2803">
        <v>2400</v>
      </c>
      <c r="J2803">
        <v>0</v>
      </c>
    </row>
    <row r="2804" spans="1:10" x14ac:dyDescent="0.3">
      <c r="A2804" s="15">
        <v>45627</v>
      </c>
      <c r="B2804" t="s">
        <v>145</v>
      </c>
      <c r="C2804" t="s">
        <v>91</v>
      </c>
      <c r="D2804" t="s">
        <v>82</v>
      </c>
      <c r="E2804" t="s">
        <v>87</v>
      </c>
      <c r="F2804">
        <v>8200</v>
      </c>
      <c r="G2804" t="s">
        <v>331</v>
      </c>
      <c r="H2804" s="15">
        <v>45292</v>
      </c>
      <c r="I2804">
        <v>8200</v>
      </c>
      <c r="J2804">
        <v>0</v>
      </c>
    </row>
    <row r="2805" spans="1:10" x14ac:dyDescent="0.3">
      <c r="A2805" s="15">
        <v>45627</v>
      </c>
      <c r="B2805" t="s">
        <v>146</v>
      </c>
      <c r="C2805" t="s">
        <v>91</v>
      </c>
      <c r="D2805" t="s">
        <v>86</v>
      </c>
      <c r="E2805" t="s">
        <v>87</v>
      </c>
      <c r="F2805">
        <v>9200</v>
      </c>
      <c r="G2805" t="s">
        <v>331</v>
      </c>
      <c r="H2805" s="15">
        <v>45292</v>
      </c>
      <c r="I2805">
        <v>9200</v>
      </c>
      <c r="J2805">
        <v>0</v>
      </c>
    </row>
    <row r="2806" spans="1:10" x14ac:dyDescent="0.3">
      <c r="A2806" s="15">
        <v>45627</v>
      </c>
      <c r="B2806" t="s">
        <v>148</v>
      </c>
      <c r="C2806" t="s">
        <v>110</v>
      </c>
      <c r="D2806" t="s">
        <v>86</v>
      </c>
      <c r="E2806" t="s">
        <v>89</v>
      </c>
      <c r="F2806">
        <v>25100</v>
      </c>
      <c r="G2806" t="s">
        <v>331</v>
      </c>
      <c r="H2806" s="15">
        <v>45292</v>
      </c>
      <c r="I2806">
        <v>25100</v>
      </c>
      <c r="J2806">
        <v>0</v>
      </c>
    </row>
    <row r="2807" spans="1:10" x14ac:dyDescent="0.3">
      <c r="A2807" s="15">
        <v>45627</v>
      </c>
      <c r="B2807" t="s">
        <v>149</v>
      </c>
      <c r="C2807" t="s">
        <v>110</v>
      </c>
      <c r="D2807" t="s">
        <v>82</v>
      </c>
      <c r="E2807" t="s">
        <v>103</v>
      </c>
      <c r="F2807">
        <v>31000</v>
      </c>
      <c r="G2807" t="s">
        <v>331</v>
      </c>
      <c r="H2807" s="15">
        <v>45292</v>
      </c>
      <c r="I2807">
        <v>31000</v>
      </c>
      <c r="J2807">
        <v>0</v>
      </c>
    </row>
    <row r="2808" spans="1:10" x14ac:dyDescent="0.3">
      <c r="A2808" s="15">
        <v>45627</v>
      </c>
      <c r="B2808" t="s">
        <v>150</v>
      </c>
      <c r="C2808" t="s">
        <v>91</v>
      </c>
      <c r="D2808" t="s">
        <v>99</v>
      </c>
      <c r="E2808" t="s">
        <v>101</v>
      </c>
      <c r="F2808">
        <v>8700</v>
      </c>
      <c r="G2808" t="s">
        <v>331</v>
      </c>
      <c r="H2808" s="15">
        <v>45292</v>
      </c>
      <c r="I2808">
        <v>8700</v>
      </c>
      <c r="J2808">
        <v>0</v>
      </c>
    </row>
    <row r="2809" spans="1:10" x14ac:dyDescent="0.3">
      <c r="A2809" s="15">
        <v>45627</v>
      </c>
      <c r="B2809" t="s">
        <v>151</v>
      </c>
      <c r="C2809" t="s">
        <v>91</v>
      </c>
      <c r="D2809" t="s">
        <v>82</v>
      </c>
      <c r="E2809" t="s">
        <v>97</v>
      </c>
      <c r="F2809">
        <v>6800</v>
      </c>
      <c r="G2809" t="s">
        <v>331</v>
      </c>
      <c r="H2809" s="15">
        <v>45292</v>
      </c>
      <c r="I2809">
        <v>6800</v>
      </c>
      <c r="J2809">
        <v>0</v>
      </c>
    </row>
    <row r="2810" spans="1:10" x14ac:dyDescent="0.3">
      <c r="A2810" s="15">
        <v>45627</v>
      </c>
      <c r="B2810" t="s">
        <v>152</v>
      </c>
      <c r="C2810" t="s">
        <v>81</v>
      </c>
      <c r="D2810" t="s">
        <v>99</v>
      </c>
      <c r="E2810" t="s">
        <v>87</v>
      </c>
      <c r="F2810">
        <v>3100</v>
      </c>
      <c r="G2810" t="s">
        <v>331</v>
      </c>
      <c r="H2810" s="15">
        <v>45292</v>
      </c>
      <c r="I2810">
        <v>3100</v>
      </c>
      <c r="J2810">
        <v>0</v>
      </c>
    </row>
    <row r="2811" spans="1:10" x14ac:dyDescent="0.3">
      <c r="A2811" s="15">
        <v>45627</v>
      </c>
      <c r="B2811" t="s">
        <v>153</v>
      </c>
      <c r="C2811" t="s">
        <v>110</v>
      </c>
      <c r="D2811" t="s">
        <v>99</v>
      </c>
      <c r="E2811" t="s">
        <v>87</v>
      </c>
      <c r="F2811">
        <v>31500</v>
      </c>
      <c r="G2811" t="s">
        <v>331</v>
      </c>
      <c r="H2811" s="15">
        <v>45292</v>
      </c>
      <c r="I2811">
        <v>31500</v>
      </c>
      <c r="J2811">
        <v>0</v>
      </c>
    </row>
    <row r="2812" spans="1:10" x14ac:dyDescent="0.3">
      <c r="A2812" s="15">
        <v>45627</v>
      </c>
      <c r="B2812" t="s">
        <v>154</v>
      </c>
      <c r="C2812" t="s">
        <v>91</v>
      </c>
      <c r="D2812" t="s">
        <v>86</v>
      </c>
      <c r="E2812" t="s">
        <v>103</v>
      </c>
      <c r="F2812">
        <v>8800</v>
      </c>
      <c r="G2812" t="s">
        <v>331</v>
      </c>
      <c r="H2812" s="15">
        <v>45292</v>
      </c>
      <c r="I2812">
        <v>8800</v>
      </c>
      <c r="J2812">
        <v>0</v>
      </c>
    </row>
    <row r="2813" spans="1:10" x14ac:dyDescent="0.3">
      <c r="A2813" s="15">
        <v>45627</v>
      </c>
      <c r="B2813" t="s">
        <v>155</v>
      </c>
      <c r="C2813" t="s">
        <v>91</v>
      </c>
      <c r="D2813" t="s">
        <v>82</v>
      </c>
      <c r="E2813" t="s">
        <v>92</v>
      </c>
      <c r="F2813">
        <v>7100</v>
      </c>
      <c r="G2813" t="s">
        <v>331</v>
      </c>
      <c r="H2813" s="15">
        <v>45292</v>
      </c>
      <c r="I2813">
        <v>7100</v>
      </c>
      <c r="J2813">
        <v>0</v>
      </c>
    </row>
    <row r="2814" spans="1:10" x14ac:dyDescent="0.3">
      <c r="A2814" s="15">
        <v>45627</v>
      </c>
      <c r="B2814" t="s">
        <v>156</v>
      </c>
      <c r="C2814" t="s">
        <v>81</v>
      </c>
      <c r="D2814" t="s">
        <v>86</v>
      </c>
      <c r="E2814" t="s">
        <v>101</v>
      </c>
      <c r="F2814">
        <v>2300</v>
      </c>
      <c r="G2814" t="s">
        <v>331</v>
      </c>
      <c r="H2814" s="15">
        <v>45292</v>
      </c>
      <c r="I2814">
        <v>2300</v>
      </c>
      <c r="J2814">
        <v>0</v>
      </c>
    </row>
    <row r="2815" spans="1:10" x14ac:dyDescent="0.3">
      <c r="A2815" s="15">
        <v>45627</v>
      </c>
      <c r="B2815" t="s">
        <v>157</v>
      </c>
      <c r="C2815" t="s">
        <v>81</v>
      </c>
      <c r="D2815" t="s">
        <v>82</v>
      </c>
      <c r="E2815" t="s">
        <v>92</v>
      </c>
      <c r="F2815">
        <v>1800</v>
      </c>
      <c r="G2815" t="s">
        <v>331</v>
      </c>
      <c r="H2815" s="15">
        <v>45292</v>
      </c>
      <c r="I2815">
        <v>1800</v>
      </c>
      <c r="J2815">
        <v>0</v>
      </c>
    </row>
    <row r="2816" spans="1:10" x14ac:dyDescent="0.3">
      <c r="A2816" s="15">
        <v>45627</v>
      </c>
      <c r="B2816" t="s">
        <v>158</v>
      </c>
      <c r="C2816" t="s">
        <v>91</v>
      </c>
      <c r="D2816" t="s">
        <v>96</v>
      </c>
      <c r="E2816" t="s">
        <v>83</v>
      </c>
      <c r="F2816">
        <v>12600</v>
      </c>
      <c r="G2816" t="s">
        <v>332</v>
      </c>
      <c r="H2816" s="15">
        <v>45292</v>
      </c>
      <c r="I2816">
        <v>11400</v>
      </c>
      <c r="J2816">
        <v>1200</v>
      </c>
    </row>
    <row r="2817" spans="1:10" x14ac:dyDescent="0.3">
      <c r="A2817" s="15">
        <v>45627</v>
      </c>
      <c r="B2817" t="s">
        <v>159</v>
      </c>
      <c r="C2817" t="s">
        <v>81</v>
      </c>
      <c r="D2817" t="s">
        <v>86</v>
      </c>
      <c r="E2817" t="s">
        <v>87</v>
      </c>
      <c r="F2817">
        <v>2400</v>
      </c>
      <c r="G2817" t="s">
        <v>331</v>
      </c>
      <c r="H2817" s="15">
        <v>45292</v>
      </c>
      <c r="I2817">
        <v>2400</v>
      </c>
      <c r="J2817">
        <v>0</v>
      </c>
    </row>
    <row r="2818" spans="1:10" x14ac:dyDescent="0.3">
      <c r="A2818" s="15">
        <v>45627</v>
      </c>
      <c r="B2818" t="s">
        <v>161</v>
      </c>
      <c r="C2818" t="s">
        <v>91</v>
      </c>
      <c r="D2818" t="s">
        <v>99</v>
      </c>
      <c r="E2818" t="s">
        <v>83</v>
      </c>
      <c r="F2818">
        <v>10700</v>
      </c>
      <c r="G2818" t="s">
        <v>331</v>
      </c>
      <c r="H2818" s="15">
        <v>45292</v>
      </c>
      <c r="I2818">
        <v>10700</v>
      </c>
      <c r="J2818">
        <v>0</v>
      </c>
    </row>
    <row r="2819" spans="1:10" x14ac:dyDescent="0.3">
      <c r="A2819" s="15">
        <v>45627</v>
      </c>
      <c r="B2819" t="s">
        <v>162</v>
      </c>
      <c r="C2819" t="s">
        <v>91</v>
      </c>
      <c r="D2819" t="s">
        <v>82</v>
      </c>
      <c r="E2819" t="s">
        <v>103</v>
      </c>
      <c r="F2819">
        <v>12700</v>
      </c>
      <c r="G2819" t="s">
        <v>331</v>
      </c>
      <c r="H2819" s="15">
        <v>45292</v>
      </c>
      <c r="I2819">
        <v>12700</v>
      </c>
      <c r="J2819">
        <v>0</v>
      </c>
    </row>
    <row r="2820" spans="1:10" x14ac:dyDescent="0.3">
      <c r="A2820" s="15">
        <v>45627</v>
      </c>
      <c r="B2820" t="s">
        <v>164</v>
      </c>
      <c r="C2820" t="s">
        <v>81</v>
      </c>
      <c r="D2820" t="s">
        <v>99</v>
      </c>
      <c r="E2820" t="s">
        <v>89</v>
      </c>
      <c r="F2820">
        <v>2500</v>
      </c>
      <c r="G2820" t="s">
        <v>331</v>
      </c>
      <c r="H2820" s="15">
        <v>45292</v>
      </c>
      <c r="I2820">
        <v>2500</v>
      </c>
      <c r="J2820">
        <v>0</v>
      </c>
    </row>
    <row r="2821" spans="1:10" x14ac:dyDescent="0.3">
      <c r="A2821" s="15">
        <v>45627</v>
      </c>
      <c r="B2821" t="s">
        <v>165</v>
      </c>
      <c r="C2821" t="s">
        <v>81</v>
      </c>
      <c r="D2821" t="s">
        <v>82</v>
      </c>
      <c r="E2821" t="s">
        <v>97</v>
      </c>
      <c r="F2821">
        <v>2700</v>
      </c>
      <c r="G2821" t="s">
        <v>331</v>
      </c>
      <c r="H2821" s="15">
        <v>45292</v>
      </c>
      <c r="I2821">
        <v>2700</v>
      </c>
      <c r="J2821">
        <v>0</v>
      </c>
    </row>
    <row r="2822" spans="1:10" x14ac:dyDescent="0.3">
      <c r="A2822" s="15">
        <v>45627</v>
      </c>
      <c r="B2822" t="s">
        <v>166</v>
      </c>
      <c r="C2822" t="s">
        <v>81</v>
      </c>
      <c r="D2822" t="s">
        <v>99</v>
      </c>
      <c r="E2822" t="s">
        <v>103</v>
      </c>
      <c r="F2822">
        <v>2600</v>
      </c>
      <c r="G2822" t="s">
        <v>331</v>
      </c>
      <c r="H2822" s="15">
        <v>45292</v>
      </c>
      <c r="I2822">
        <v>2600</v>
      </c>
      <c r="J2822">
        <v>0</v>
      </c>
    </row>
    <row r="2823" spans="1:10" x14ac:dyDescent="0.3">
      <c r="A2823" s="15">
        <v>45627</v>
      </c>
      <c r="B2823" t="s">
        <v>167</v>
      </c>
      <c r="C2823" t="s">
        <v>81</v>
      </c>
      <c r="D2823" t="s">
        <v>82</v>
      </c>
      <c r="E2823" t="s">
        <v>97</v>
      </c>
      <c r="F2823">
        <v>2100</v>
      </c>
      <c r="G2823" t="s">
        <v>331</v>
      </c>
      <c r="H2823" s="15">
        <v>45292</v>
      </c>
      <c r="I2823">
        <v>2100</v>
      </c>
      <c r="J2823">
        <v>0</v>
      </c>
    </row>
    <row r="2824" spans="1:10" x14ac:dyDescent="0.3">
      <c r="A2824" s="15">
        <v>45627</v>
      </c>
      <c r="B2824" t="s">
        <v>168</v>
      </c>
      <c r="C2824" t="s">
        <v>91</v>
      </c>
      <c r="D2824" t="s">
        <v>86</v>
      </c>
      <c r="E2824" t="s">
        <v>103</v>
      </c>
      <c r="F2824">
        <v>12300</v>
      </c>
      <c r="G2824" t="s">
        <v>331</v>
      </c>
      <c r="H2824" s="15">
        <v>45292</v>
      </c>
      <c r="I2824">
        <v>12300</v>
      </c>
      <c r="J2824">
        <v>0</v>
      </c>
    </row>
    <row r="2825" spans="1:10" x14ac:dyDescent="0.3">
      <c r="A2825" s="15">
        <v>45627</v>
      </c>
      <c r="B2825" t="s">
        <v>169</v>
      </c>
      <c r="C2825" t="s">
        <v>81</v>
      </c>
      <c r="D2825" t="s">
        <v>86</v>
      </c>
      <c r="E2825" t="s">
        <v>103</v>
      </c>
      <c r="F2825">
        <v>2000</v>
      </c>
      <c r="G2825" t="s">
        <v>331</v>
      </c>
      <c r="H2825" s="15">
        <v>45292</v>
      </c>
      <c r="I2825">
        <v>2000</v>
      </c>
      <c r="J2825">
        <v>0</v>
      </c>
    </row>
    <row r="2826" spans="1:10" x14ac:dyDescent="0.3">
      <c r="A2826" s="15">
        <v>45627</v>
      </c>
      <c r="B2826" t="s">
        <v>170</v>
      </c>
      <c r="C2826" t="s">
        <v>91</v>
      </c>
      <c r="D2826" t="s">
        <v>99</v>
      </c>
      <c r="E2826" t="s">
        <v>83</v>
      </c>
      <c r="F2826">
        <v>6500</v>
      </c>
      <c r="G2826" t="s">
        <v>331</v>
      </c>
      <c r="H2826" s="15">
        <v>45292</v>
      </c>
      <c r="I2826">
        <v>6500</v>
      </c>
      <c r="J2826">
        <v>0</v>
      </c>
    </row>
    <row r="2827" spans="1:10" x14ac:dyDescent="0.3">
      <c r="A2827" s="15">
        <v>45627</v>
      </c>
      <c r="B2827" t="s">
        <v>171</v>
      </c>
      <c r="C2827" t="s">
        <v>81</v>
      </c>
      <c r="D2827" t="s">
        <v>99</v>
      </c>
      <c r="E2827" t="s">
        <v>97</v>
      </c>
      <c r="F2827">
        <v>1700</v>
      </c>
      <c r="G2827" t="s">
        <v>331</v>
      </c>
      <c r="H2827" s="15">
        <v>45292</v>
      </c>
      <c r="I2827">
        <v>1700</v>
      </c>
      <c r="J2827">
        <v>0</v>
      </c>
    </row>
    <row r="2828" spans="1:10" x14ac:dyDescent="0.3">
      <c r="A2828" s="15">
        <v>45627</v>
      </c>
      <c r="B2828" t="s">
        <v>172</v>
      </c>
      <c r="C2828" t="s">
        <v>91</v>
      </c>
      <c r="D2828" t="s">
        <v>96</v>
      </c>
      <c r="E2828" t="s">
        <v>101</v>
      </c>
      <c r="F2828">
        <v>0</v>
      </c>
      <c r="G2828" t="s">
        <v>333</v>
      </c>
      <c r="H2828" s="15">
        <v>45292</v>
      </c>
      <c r="I2828">
        <v>7700</v>
      </c>
      <c r="J2828">
        <v>-7700</v>
      </c>
    </row>
    <row r="2829" spans="1:10" x14ac:dyDescent="0.3">
      <c r="A2829" s="15">
        <v>45627</v>
      </c>
      <c r="B2829" t="s">
        <v>173</v>
      </c>
      <c r="C2829" t="s">
        <v>81</v>
      </c>
      <c r="D2829" t="s">
        <v>86</v>
      </c>
      <c r="E2829" t="s">
        <v>103</v>
      </c>
      <c r="F2829">
        <v>0</v>
      </c>
      <c r="G2829" t="s">
        <v>333</v>
      </c>
      <c r="H2829" s="15">
        <v>45292</v>
      </c>
      <c r="I2829">
        <v>3700</v>
      </c>
      <c r="J2829">
        <v>-3700</v>
      </c>
    </row>
    <row r="2830" spans="1:10" x14ac:dyDescent="0.3">
      <c r="A2830" s="15">
        <v>45627</v>
      </c>
      <c r="B2830" t="s">
        <v>174</v>
      </c>
      <c r="C2830" t="s">
        <v>81</v>
      </c>
      <c r="D2830" t="s">
        <v>82</v>
      </c>
      <c r="E2830" t="s">
        <v>92</v>
      </c>
      <c r="F2830">
        <v>2400</v>
      </c>
      <c r="G2830" t="s">
        <v>331</v>
      </c>
      <c r="H2830" s="15">
        <v>45292</v>
      </c>
      <c r="I2830">
        <v>2400</v>
      </c>
      <c r="J2830">
        <v>0</v>
      </c>
    </row>
    <row r="2831" spans="1:10" x14ac:dyDescent="0.3">
      <c r="A2831" s="15">
        <v>45627</v>
      </c>
      <c r="B2831" t="s">
        <v>175</v>
      </c>
      <c r="C2831" t="s">
        <v>91</v>
      </c>
      <c r="D2831" t="s">
        <v>96</v>
      </c>
      <c r="E2831" t="s">
        <v>83</v>
      </c>
      <c r="F2831">
        <v>8800</v>
      </c>
      <c r="G2831" t="s">
        <v>331</v>
      </c>
      <c r="H2831" s="15">
        <v>45292</v>
      </c>
      <c r="I2831">
        <v>8800</v>
      </c>
      <c r="J2831">
        <v>0</v>
      </c>
    </row>
    <row r="2832" spans="1:10" x14ac:dyDescent="0.3">
      <c r="A2832" s="15">
        <v>45627</v>
      </c>
      <c r="B2832" t="s">
        <v>176</v>
      </c>
      <c r="C2832" t="s">
        <v>81</v>
      </c>
      <c r="D2832" t="s">
        <v>99</v>
      </c>
      <c r="E2832" t="s">
        <v>92</v>
      </c>
      <c r="F2832">
        <v>2900</v>
      </c>
      <c r="G2832" t="s">
        <v>331</v>
      </c>
      <c r="H2832" s="15">
        <v>45292</v>
      </c>
      <c r="I2832">
        <v>2900</v>
      </c>
      <c r="J2832">
        <v>0</v>
      </c>
    </row>
    <row r="2833" spans="1:10" x14ac:dyDescent="0.3">
      <c r="A2833" s="15">
        <v>45627</v>
      </c>
      <c r="B2833" t="s">
        <v>177</v>
      </c>
      <c r="C2833" t="s">
        <v>81</v>
      </c>
      <c r="D2833" t="s">
        <v>96</v>
      </c>
      <c r="E2833" t="s">
        <v>83</v>
      </c>
      <c r="F2833">
        <v>2900</v>
      </c>
      <c r="G2833" t="s">
        <v>331</v>
      </c>
      <c r="H2833" s="15">
        <v>45292</v>
      </c>
      <c r="I2833">
        <v>2900</v>
      </c>
      <c r="J2833">
        <v>0</v>
      </c>
    </row>
    <row r="2834" spans="1:10" x14ac:dyDescent="0.3">
      <c r="A2834" s="15">
        <v>45627</v>
      </c>
      <c r="B2834" t="s">
        <v>178</v>
      </c>
      <c r="C2834" t="s">
        <v>91</v>
      </c>
      <c r="D2834" t="s">
        <v>82</v>
      </c>
      <c r="E2834" t="s">
        <v>89</v>
      </c>
      <c r="F2834">
        <v>8400</v>
      </c>
      <c r="G2834" t="s">
        <v>331</v>
      </c>
      <c r="H2834" s="15">
        <v>45292</v>
      </c>
      <c r="I2834">
        <v>8400</v>
      </c>
      <c r="J2834">
        <v>0</v>
      </c>
    </row>
    <row r="2835" spans="1:10" x14ac:dyDescent="0.3">
      <c r="A2835" s="15">
        <v>45627</v>
      </c>
      <c r="B2835" t="s">
        <v>179</v>
      </c>
      <c r="C2835" t="s">
        <v>110</v>
      </c>
      <c r="D2835" t="s">
        <v>86</v>
      </c>
      <c r="E2835" t="s">
        <v>87</v>
      </c>
      <c r="F2835">
        <v>30000</v>
      </c>
      <c r="G2835" t="s">
        <v>331</v>
      </c>
      <c r="H2835" s="15">
        <v>45292</v>
      </c>
      <c r="I2835">
        <v>30000</v>
      </c>
      <c r="J2835">
        <v>0</v>
      </c>
    </row>
    <row r="2836" spans="1:10" x14ac:dyDescent="0.3">
      <c r="A2836" s="15">
        <v>45627</v>
      </c>
      <c r="B2836" t="s">
        <v>180</v>
      </c>
      <c r="C2836" t="s">
        <v>91</v>
      </c>
      <c r="D2836" t="s">
        <v>86</v>
      </c>
      <c r="E2836" t="s">
        <v>83</v>
      </c>
      <c r="F2836">
        <v>8500</v>
      </c>
      <c r="G2836" t="s">
        <v>331</v>
      </c>
      <c r="H2836" s="15">
        <v>45292</v>
      </c>
      <c r="I2836">
        <v>8500</v>
      </c>
      <c r="J2836">
        <v>0</v>
      </c>
    </row>
    <row r="2837" spans="1:10" x14ac:dyDescent="0.3">
      <c r="A2837" s="15">
        <v>45627</v>
      </c>
      <c r="B2837" t="s">
        <v>181</v>
      </c>
      <c r="C2837" t="s">
        <v>91</v>
      </c>
      <c r="D2837" t="s">
        <v>82</v>
      </c>
      <c r="E2837" t="s">
        <v>97</v>
      </c>
      <c r="F2837">
        <v>10100</v>
      </c>
      <c r="G2837" t="s">
        <v>331</v>
      </c>
      <c r="H2837" s="15">
        <v>45292</v>
      </c>
      <c r="I2837">
        <v>10100</v>
      </c>
      <c r="J2837">
        <v>0</v>
      </c>
    </row>
    <row r="2838" spans="1:10" x14ac:dyDescent="0.3">
      <c r="A2838" s="15">
        <v>45627</v>
      </c>
      <c r="B2838" t="s">
        <v>182</v>
      </c>
      <c r="C2838" t="s">
        <v>125</v>
      </c>
      <c r="D2838" t="s">
        <v>82</v>
      </c>
      <c r="E2838" t="s">
        <v>92</v>
      </c>
      <c r="F2838">
        <v>93100</v>
      </c>
      <c r="G2838" t="s">
        <v>332</v>
      </c>
      <c r="H2838" s="15">
        <v>45292</v>
      </c>
      <c r="I2838">
        <v>80700</v>
      </c>
      <c r="J2838">
        <v>12400</v>
      </c>
    </row>
    <row r="2839" spans="1:10" x14ac:dyDescent="0.3">
      <c r="A2839" s="15">
        <v>45627</v>
      </c>
      <c r="B2839" t="s">
        <v>183</v>
      </c>
      <c r="C2839" t="s">
        <v>91</v>
      </c>
      <c r="D2839" t="s">
        <v>96</v>
      </c>
      <c r="E2839" t="s">
        <v>92</v>
      </c>
      <c r="F2839">
        <v>9500</v>
      </c>
      <c r="G2839" t="s">
        <v>331</v>
      </c>
      <c r="H2839" s="15">
        <v>45292</v>
      </c>
      <c r="I2839">
        <v>9500</v>
      </c>
      <c r="J2839">
        <v>0</v>
      </c>
    </row>
    <row r="2840" spans="1:10" x14ac:dyDescent="0.3">
      <c r="A2840" s="15">
        <v>45627</v>
      </c>
      <c r="B2840" t="s">
        <v>184</v>
      </c>
      <c r="C2840" t="s">
        <v>81</v>
      </c>
      <c r="D2840" t="s">
        <v>82</v>
      </c>
      <c r="E2840" t="s">
        <v>83</v>
      </c>
      <c r="F2840">
        <v>2600</v>
      </c>
      <c r="G2840" t="s">
        <v>331</v>
      </c>
      <c r="H2840" s="15">
        <v>45292</v>
      </c>
      <c r="I2840">
        <v>2600</v>
      </c>
      <c r="J2840">
        <v>0</v>
      </c>
    </row>
    <row r="2841" spans="1:10" x14ac:dyDescent="0.3">
      <c r="A2841" s="15">
        <v>45627</v>
      </c>
      <c r="B2841" t="s">
        <v>185</v>
      </c>
      <c r="C2841" t="s">
        <v>81</v>
      </c>
      <c r="D2841" t="s">
        <v>96</v>
      </c>
      <c r="E2841" t="s">
        <v>97</v>
      </c>
      <c r="F2841">
        <v>2000</v>
      </c>
      <c r="G2841" t="s">
        <v>331</v>
      </c>
      <c r="H2841" s="15">
        <v>45292</v>
      </c>
      <c r="I2841">
        <v>2000</v>
      </c>
      <c r="J2841">
        <v>0</v>
      </c>
    </row>
    <row r="2842" spans="1:10" x14ac:dyDescent="0.3">
      <c r="A2842" s="15">
        <v>45627</v>
      </c>
      <c r="B2842" t="s">
        <v>186</v>
      </c>
      <c r="C2842" t="s">
        <v>91</v>
      </c>
      <c r="D2842" t="s">
        <v>82</v>
      </c>
      <c r="E2842" t="s">
        <v>103</v>
      </c>
      <c r="F2842">
        <v>13900</v>
      </c>
      <c r="G2842" t="s">
        <v>331</v>
      </c>
      <c r="H2842" s="15">
        <v>45292</v>
      </c>
      <c r="I2842">
        <v>13900</v>
      </c>
      <c r="J2842">
        <v>0</v>
      </c>
    </row>
    <row r="2843" spans="1:10" x14ac:dyDescent="0.3">
      <c r="A2843" s="15">
        <v>45627</v>
      </c>
      <c r="B2843" t="s">
        <v>187</v>
      </c>
      <c r="C2843" t="s">
        <v>110</v>
      </c>
      <c r="D2843" t="s">
        <v>86</v>
      </c>
      <c r="E2843" t="s">
        <v>97</v>
      </c>
      <c r="F2843">
        <v>26700</v>
      </c>
      <c r="G2843" t="s">
        <v>334</v>
      </c>
      <c r="H2843" s="15">
        <v>45292</v>
      </c>
      <c r="I2843">
        <v>32300</v>
      </c>
      <c r="J2843">
        <v>-5600</v>
      </c>
    </row>
    <row r="2844" spans="1:10" x14ac:dyDescent="0.3">
      <c r="A2844" s="15">
        <v>45627</v>
      </c>
      <c r="B2844" t="s">
        <v>188</v>
      </c>
      <c r="C2844" t="s">
        <v>91</v>
      </c>
      <c r="D2844" t="s">
        <v>82</v>
      </c>
      <c r="E2844" t="s">
        <v>92</v>
      </c>
      <c r="F2844">
        <v>12000</v>
      </c>
      <c r="G2844" t="s">
        <v>331</v>
      </c>
      <c r="H2844" s="15">
        <v>45292</v>
      </c>
      <c r="I2844">
        <v>12000</v>
      </c>
      <c r="J2844">
        <v>0</v>
      </c>
    </row>
    <row r="2845" spans="1:10" x14ac:dyDescent="0.3">
      <c r="A2845" s="15">
        <v>45627</v>
      </c>
      <c r="B2845" t="s">
        <v>189</v>
      </c>
      <c r="C2845" t="s">
        <v>81</v>
      </c>
      <c r="D2845" t="s">
        <v>86</v>
      </c>
      <c r="E2845" t="s">
        <v>103</v>
      </c>
      <c r="F2845">
        <v>2000</v>
      </c>
      <c r="G2845" t="s">
        <v>331</v>
      </c>
      <c r="H2845" s="15">
        <v>45292</v>
      </c>
      <c r="I2845">
        <v>2000</v>
      </c>
      <c r="J2845">
        <v>0</v>
      </c>
    </row>
    <row r="2846" spans="1:10" x14ac:dyDescent="0.3">
      <c r="A2846" s="15">
        <v>45627</v>
      </c>
      <c r="B2846" t="s">
        <v>190</v>
      </c>
      <c r="C2846" t="s">
        <v>81</v>
      </c>
      <c r="D2846" t="s">
        <v>99</v>
      </c>
      <c r="E2846" t="s">
        <v>89</v>
      </c>
      <c r="F2846">
        <v>2000</v>
      </c>
      <c r="G2846" t="s">
        <v>331</v>
      </c>
      <c r="H2846" s="15">
        <v>45292</v>
      </c>
      <c r="I2846">
        <v>2000</v>
      </c>
      <c r="J2846">
        <v>0</v>
      </c>
    </row>
    <row r="2847" spans="1:10" x14ac:dyDescent="0.3">
      <c r="A2847" s="15">
        <v>45627</v>
      </c>
      <c r="B2847" t="s">
        <v>191</v>
      </c>
      <c r="C2847" t="s">
        <v>91</v>
      </c>
      <c r="D2847" t="s">
        <v>86</v>
      </c>
      <c r="E2847" t="s">
        <v>87</v>
      </c>
      <c r="F2847">
        <v>6900</v>
      </c>
      <c r="G2847" t="s">
        <v>331</v>
      </c>
      <c r="H2847" s="15">
        <v>45292</v>
      </c>
      <c r="I2847">
        <v>6900</v>
      </c>
      <c r="J2847">
        <v>0</v>
      </c>
    </row>
    <row r="2848" spans="1:10" x14ac:dyDescent="0.3">
      <c r="A2848" s="15">
        <v>45627</v>
      </c>
      <c r="B2848" t="s">
        <v>192</v>
      </c>
      <c r="C2848" t="s">
        <v>81</v>
      </c>
      <c r="D2848" t="s">
        <v>82</v>
      </c>
      <c r="E2848" t="s">
        <v>97</v>
      </c>
      <c r="F2848">
        <v>2700</v>
      </c>
      <c r="G2848" t="s">
        <v>331</v>
      </c>
      <c r="H2848" s="15">
        <v>45292</v>
      </c>
      <c r="I2848">
        <v>2700</v>
      </c>
      <c r="J2848">
        <v>0</v>
      </c>
    </row>
    <row r="2849" spans="1:10" x14ac:dyDescent="0.3">
      <c r="A2849" s="15">
        <v>45627</v>
      </c>
      <c r="B2849" t="s">
        <v>193</v>
      </c>
      <c r="C2849" t="s">
        <v>81</v>
      </c>
      <c r="D2849" t="s">
        <v>82</v>
      </c>
      <c r="E2849" t="s">
        <v>87</v>
      </c>
      <c r="F2849">
        <v>3200</v>
      </c>
      <c r="G2849" t="s">
        <v>331</v>
      </c>
      <c r="H2849" s="15">
        <v>45292</v>
      </c>
      <c r="I2849">
        <v>3200</v>
      </c>
      <c r="J2849">
        <v>0</v>
      </c>
    </row>
    <row r="2850" spans="1:10" x14ac:dyDescent="0.3">
      <c r="A2850" s="15">
        <v>45627</v>
      </c>
      <c r="B2850" t="s">
        <v>194</v>
      </c>
      <c r="C2850" t="s">
        <v>91</v>
      </c>
      <c r="D2850" t="s">
        <v>82</v>
      </c>
      <c r="E2850" t="s">
        <v>101</v>
      </c>
      <c r="F2850">
        <v>10400</v>
      </c>
      <c r="G2850" t="s">
        <v>331</v>
      </c>
      <c r="H2850" s="15">
        <v>45292</v>
      </c>
      <c r="I2850">
        <v>10400</v>
      </c>
      <c r="J2850">
        <v>0</v>
      </c>
    </row>
    <row r="2851" spans="1:10" x14ac:dyDescent="0.3">
      <c r="A2851" s="15">
        <v>45627</v>
      </c>
      <c r="B2851" t="s">
        <v>195</v>
      </c>
      <c r="C2851" t="s">
        <v>91</v>
      </c>
      <c r="D2851" t="s">
        <v>86</v>
      </c>
      <c r="E2851" t="s">
        <v>97</v>
      </c>
      <c r="F2851">
        <v>6800</v>
      </c>
      <c r="G2851" t="s">
        <v>331</v>
      </c>
      <c r="H2851" s="15">
        <v>45292</v>
      </c>
      <c r="I2851">
        <v>6800</v>
      </c>
      <c r="J2851">
        <v>0</v>
      </c>
    </row>
    <row r="2852" spans="1:10" x14ac:dyDescent="0.3">
      <c r="A2852" s="15">
        <v>45627</v>
      </c>
      <c r="B2852" t="s">
        <v>196</v>
      </c>
      <c r="C2852" t="s">
        <v>81</v>
      </c>
      <c r="D2852" t="s">
        <v>86</v>
      </c>
      <c r="E2852" t="s">
        <v>87</v>
      </c>
      <c r="F2852">
        <v>2600</v>
      </c>
      <c r="G2852" t="s">
        <v>331</v>
      </c>
      <c r="H2852" s="15">
        <v>45292</v>
      </c>
      <c r="I2852">
        <v>2600</v>
      </c>
      <c r="J2852">
        <v>0</v>
      </c>
    </row>
    <row r="2853" spans="1:10" x14ac:dyDescent="0.3">
      <c r="A2853" s="15">
        <v>45627</v>
      </c>
      <c r="B2853" t="s">
        <v>197</v>
      </c>
      <c r="C2853" t="s">
        <v>91</v>
      </c>
      <c r="D2853" t="s">
        <v>82</v>
      </c>
      <c r="E2853" t="s">
        <v>89</v>
      </c>
      <c r="F2853">
        <v>10400</v>
      </c>
      <c r="G2853" t="s">
        <v>331</v>
      </c>
      <c r="H2853" s="15">
        <v>45292</v>
      </c>
      <c r="I2853">
        <v>10400</v>
      </c>
      <c r="J2853">
        <v>0</v>
      </c>
    </row>
    <row r="2854" spans="1:10" x14ac:dyDescent="0.3">
      <c r="A2854" s="15">
        <v>45627</v>
      </c>
      <c r="B2854" t="s">
        <v>198</v>
      </c>
      <c r="C2854" t="s">
        <v>81</v>
      </c>
      <c r="D2854" t="s">
        <v>82</v>
      </c>
      <c r="E2854" t="s">
        <v>89</v>
      </c>
      <c r="F2854">
        <v>2900</v>
      </c>
      <c r="G2854" t="s">
        <v>331</v>
      </c>
      <c r="H2854" s="15">
        <v>45292</v>
      </c>
      <c r="I2854">
        <v>2900</v>
      </c>
      <c r="J2854">
        <v>0</v>
      </c>
    </row>
    <row r="2855" spans="1:10" x14ac:dyDescent="0.3">
      <c r="A2855" s="15">
        <v>45627</v>
      </c>
      <c r="B2855" t="s">
        <v>199</v>
      </c>
      <c r="C2855" t="s">
        <v>81</v>
      </c>
      <c r="D2855" t="s">
        <v>86</v>
      </c>
      <c r="E2855" t="s">
        <v>89</v>
      </c>
      <c r="F2855">
        <v>2200</v>
      </c>
      <c r="G2855" t="s">
        <v>331</v>
      </c>
      <c r="H2855" s="15">
        <v>45292</v>
      </c>
      <c r="I2855">
        <v>2200</v>
      </c>
      <c r="J2855">
        <v>0</v>
      </c>
    </row>
    <row r="2856" spans="1:10" x14ac:dyDescent="0.3">
      <c r="A2856" s="15">
        <v>45627</v>
      </c>
      <c r="B2856" t="s">
        <v>200</v>
      </c>
      <c r="C2856" t="s">
        <v>91</v>
      </c>
      <c r="D2856" t="s">
        <v>86</v>
      </c>
      <c r="E2856" t="s">
        <v>92</v>
      </c>
      <c r="F2856">
        <v>8800</v>
      </c>
      <c r="G2856" t="s">
        <v>331</v>
      </c>
      <c r="H2856" s="15">
        <v>45292</v>
      </c>
      <c r="I2856">
        <v>8800</v>
      </c>
      <c r="J2856">
        <v>0</v>
      </c>
    </row>
    <row r="2857" spans="1:10" x14ac:dyDescent="0.3">
      <c r="A2857" s="15">
        <v>45627</v>
      </c>
      <c r="B2857" t="s">
        <v>201</v>
      </c>
      <c r="C2857" t="s">
        <v>81</v>
      </c>
      <c r="D2857" t="s">
        <v>86</v>
      </c>
      <c r="E2857" t="s">
        <v>83</v>
      </c>
      <c r="F2857">
        <v>1800</v>
      </c>
      <c r="G2857" t="s">
        <v>331</v>
      </c>
      <c r="H2857" s="15">
        <v>45292</v>
      </c>
      <c r="I2857">
        <v>1800</v>
      </c>
      <c r="J2857">
        <v>0</v>
      </c>
    </row>
    <row r="2858" spans="1:10" x14ac:dyDescent="0.3">
      <c r="A2858" s="15">
        <v>45627</v>
      </c>
      <c r="B2858" t="s">
        <v>202</v>
      </c>
      <c r="C2858" t="s">
        <v>91</v>
      </c>
      <c r="D2858" t="s">
        <v>82</v>
      </c>
      <c r="E2858" t="s">
        <v>92</v>
      </c>
      <c r="F2858">
        <v>11000</v>
      </c>
      <c r="G2858" t="s">
        <v>331</v>
      </c>
      <c r="H2858" s="15">
        <v>45292</v>
      </c>
      <c r="I2858">
        <v>11000</v>
      </c>
      <c r="J2858">
        <v>0</v>
      </c>
    </row>
    <row r="2859" spans="1:10" x14ac:dyDescent="0.3">
      <c r="A2859" s="15">
        <v>45627</v>
      </c>
      <c r="B2859" t="s">
        <v>203</v>
      </c>
      <c r="C2859" t="s">
        <v>110</v>
      </c>
      <c r="D2859" t="s">
        <v>86</v>
      </c>
      <c r="E2859" t="s">
        <v>92</v>
      </c>
      <c r="F2859">
        <v>26300</v>
      </c>
      <c r="G2859" t="s">
        <v>331</v>
      </c>
      <c r="H2859" s="15">
        <v>45292</v>
      </c>
      <c r="I2859">
        <v>26300</v>
      </c>
      <c r="J2859">
        <v>0</v>
      </c>
    </row>
    <row r="2860" spans="1:10" x14ac:dyDescent="0.3">
      <c r="A2860" s="15">
        <v>45627</v>
      </c>
      <c r="B2860" t="s">
        <v>204</v>
      </c>
      <c r="C2860" t="s">
        <v>81</v>
      </c>
      <c r="D2860" t="s">
        <v>82</v>
      </c>
      <c r="E2860" t="s">
        <v>87</v>
      </c>
      <c r="F2860">
        <v>2200</v>
      </c>
      <c r="G2860" t="s">
        <v>331</v>
      </c>
      <c r="H2860" s="15">
        <v>45292</v>
      </c>
      <c r="I2860">
        <v>2200</v>
      </c>
      <c r="J2860">
        <v>0</v>
      </c>
    </row>
    <row r="2861" spans="1:10" x14ac:dyDescent="0.3">
      <c r="A2861" s="15">
        <v>45627</v>
      </c>
      <c r="B2861" t="s">
        <v>205</v>
      </c>
      <c r="C2861" t="s">
        <v>91</v>
      </c>
      <c r="D2861" t="s">
        <v>86</v>
      </c>
      <c r="E2861" t="s">
        <v>103</v>
      </c>
      <c r="F2861">
        <v>10600</v>
      </c>
      <c r="G2861" t="s">
        <v>331</v>
      </c>
      <c r="H2861" s="15">
        <v>45292</v>
      </c>
      <c r="I2861">
        <v>10600</v>
      </c>
      <c r="J2861">
        <v>0</v>
      </c>
    </row>
    <row r="2862" spans="1:10" x14ac:dyDescent="0.3">
      <c r="A2862" s="15">
        <v>45627</v>
      </c>
      <c r="B2862" t="s">
        <v>206</v>
      </c>
      <c r="C2862" t="s">
        <v>81</v>
      </c>
      <c r="D2862" t="s">
        <v>86</v>
      </c>
      <c r="E2862" t="s">
        <v>89</v>
      </c>
      <c r="F2862">
        <v>3000</v>
      </c>
      <c r="G2862" t="s">
        <v>331</v>
      </c>
      <c r="H2862" s="15">
        <v>45292</v>
      </c>
      <c r="I2862">
        <v>3000</v>
      </c>
      <c r="J2862">
        <v>0</v>
      </c>
    </row>
    <row r="2863" spans="1:10" x14ac:dyDescent="0.3">
      <c r="A2863" s="15">
        <v>45627</v>
      </c>
      <c r="B2863" t="s">
        <v>207</v>
      </c>
      <c r="C2863" t="s">
        <v>81</v>
      </c>
      <c r="D2863" t="s">
        <v>82</v>
      </c>
      <c r="E2863" t="s">
        <v>89</v>
      </c>
      <c r="F2863">
        <v>4100</v>
      </c>
      <c r="G2863" t="s">
        <v>331</v>
      </c>
      <c r="H2863" s="15">
        <v>45292</v>
      </c>
      <c r="I2863">
        <v>4100</v>
      </c>
      <c r="J2863">
        <v>0</v>
      </c>
    </row>
    <row r="2864" spans="1:10" x14ac:dyDescent="0.3">
      <c r="A2864" s="15">
        <v>45627</v>
      </c>
      <c r="B2864" t="s">
        <v>208</v>
      </c>
      <c r="C2864" t="s">
        <v>91</v>
      </c>
      <c r="D2864" t="s">
        <v>99</v>
      </c>
      <c r="E2864" t="s">
        <v>89</v>
      </c>
      <c r="F2864">
        <v>7300</v>
      </c>
      <c r="G2864" t="s">
        <v>331</v>
      </c>
      <c r="H2864" s="15">
        <v>45292</v>
      </c>
      <c r="I2864">
        <v>7300</v>
      </c>
      <c r="J2864">
        <v>0</v>
      </c>
    </row>
    <row r="2865" spans="1:10" x14ac:dyDescent="0.3">
      <c r="A2865" s="15">
        <v>45627</v>
      </c>
      <c r="B2865" t="s">
        <v>209</v>
      </c>
      <c r="C2865" t="s">
        <v>81</v>
      </c>
      <c r="D2865" t="s">
        <v>86</v>
      </c>
      <c r="E2865" t="s">
        <v>83</v>
      </c>
      <c r="F2865">
        <v>3100</v>
      </c>
      <c r="G2865" t="s">
        <v>331</v>
      </c>
      <c r="H2865" s="15">
        <v>45292</v>
      </c>
      <c r="I2865">
        <v>3100</v>
      </c>
      <c r="J2865">
        <v>0</v>
      </c>
    </row>
    <row r="2866" spans="1:10" x14ac:dyDescent="0.3">
      <c r="A2866" s="15">
        <v>45627</v>
      </c>
      <c r="B2866" t="s">
        <v>210</v>
      </c>
      <c r="C2866" t="s">
        <v>125</v>
      </c>
      <c r="D2866" t="s">
        <v>96</v>
      </c>
      <c r="E2866" t="s">
        <v>89</v>
      </c>
      <c r="F2866">
        <v>90300</v>
      </c>
      <c r="G2866" t="s">
        <v>331</v>
      </c>
      <c r="H2866" s="15">
        <v>45292</v>
      </c>
      <c r="I2866">
        <v>90300</v>
      </c>
      <c r="J2866">
        <v>0</v>
      </c>
    </row>
    <row r="2867" spans="1:10" x14ac:dyDescent="0.3">
      <c r="A2867" s="15">
        <v>45627</v>
      </c>
      <c r="B2867" t="s">
        <v>211</v>
      </c>
      <c r="C2867" t="s">
        <v>110</v>
      </c>
      <c r="D2867" t="s">
        <v>82</v>
      </c>
      <c r="E2867" t="s">
        <v>92</v>
      </c>
      <c r="F2867">
        <v>28900</v>
      </c>
      <c r="G2867" t="s">
        <v>331</v>
      </c>
      <c r="H2867" s="15">
        <v>45292</v>
      </c>
      <c r="I2867">
        <v>28900</v>
      </c>
      <c r="J2867">
        <v>0</v>
      </c>
    </row>
    <row r="2868" spans="1:10" x14ac:dyDescent="0.3">
      <c r="A2868" s="15">
        <v>45627</v>
      </c>
      <c r="B2868" t="s">
        <v>213</v>
      </c>
      <c r="C2868" t="s">
        <v>81</v>
      </c>
      <c r="D2868" t="s">
        <v>82</v>
      </c>
      <c r="E2868" t="s">
        <v>97</v>
      </c>
      <c r="F2868">
        <v>3300</v>
      </c>
      <c r="G2868" t="s">
        <v>331</v>
      </c>
      <c r="H2868" s="15">
        <v>45292</v>
      </c>
      <c r="I2868">
        <v>3300</v>
      </c>
      <c r="J2868">
        <v>0</v>
      </c>
    </row>
    <row r="2869" spans="1:10" x14ac:dyDescent="0.3">
      <c r="A2869" s="15">
        <v>45627</v>
      </c>
      <c r="B2869" t="s">
        <v>214</v>
      </c>
      <c r="C2869" t="s">
        <v>91</v>
      </c>
      <c r="D2869" t="s">
        <v>82</v>
      </c>
      <c r="E2869" t="s">
        <v>89</v>
      </c>
      <c r="F2869">
        <v>8700</v>
      </c>
      <c r="G2869" t="s">
        <v>331</v>
      </c>
      <c r="H2869" s="15">
        <v>45292</v>
      </c>
      <c r="I2869">
        <v>8700</v>
      </c>
      <c r="J2869">
        <v>0</v>
      </c>
    </row>
    <row r="2870" spans="1:10" x14ac:dyDescent="0.3">
      <c r="A2870" s="15">
        <v>45627</v>
      </c>
      <c r="B2870" t="s">
        <v>215</v>
      </c>
      <c r="C2870" t="s">
        <v>110</v>
      </c>
      <c r="D2870" t="s">
        <v>99</v>
      </c>
      <c r="E2870" t="s">
        <v>89</v>
      </c>
      <c r="F2870">
        <v>42900</v>
      </c>
      <c r="G2870" t="s">
        <v>331</v>
      </c>
      <c r="H2870" s="15">
        <v>45292</v>
      </c>
      <c r="I2870">
        <v>42900</v>
      </c>
      <c r="J2870">
        <v>0</v>
      </c>
    </row>
    <row r="2871" spans="1:10" x14ac:dyDescent="0.3">
      <c r="A2871" s="15">
        <v>45627</v>
      </c>
      <c r="B2871" t="s">
        <v>216</v>
      </c>
      <c r="C2871" t="s">
        <v>81</v>
      </c>
      <c r="D2871" t="s">
        <v>82</v>
      </c>
      <c r="E2871" t="s">
        <v>97</v>
      </c>
      <c r="F2871">
        <v>3500</v>
      </c>
      <c r="G2871" t="s">
        <v>331</v>
      </c>
      <c r="H2871" s="15">
        <v>45292</v>
      </c>
      <c r="I2871">
        <v>3500</v>
      </c>
      <c r="J2871">
        <v>0</v>
      </c>
    </row>
    <row r="2872" spans="1:10" x14ac:dyDescent="0.3">
      <c r="A2872" s="15">
        <v>45627</v>
      </c>
      <c r="B2872" t="s">
        <v>217</v>
      </c>
      <c r="C2872" t="s">
        <v>91</v>
      </c>
      <c r="D2872" t="s">
        <v>82</v>
      </c>
      <c r="E2872" t="s">
        <v>97</v>
      </c>
      <c r="F2872">
        <v>9000</v>
      </c>
      <c r="G2872" t="s">
        <v>331</v>
      </c>
      <c r="H2872" s="15">
        <v>45292</v>
      </c>
      <c r="I2872">
        <v>9000</v>
      </c>
      <c r="J2872">
        <v>0</v>
      </c>
    </row>
    <row r="2873" spans="1:10" x14ac:dyDescent="0.3">
      <c r="A2873" s="15">
        <v>45627</v>
      </c>
      <c r="B2873" t="s">
        <v>218</v>
      </c>
      <c r="C2873" t="s">
        <v>110</v>
      </c>
      <c r="D2873" t="s">
        <v>99</v>
      </c>
      <c r="E2873" t="s">
        <v>92</v>
      </c>
      <c r="F2873">
        <v>29900</v>
      </c>
      <c r="G2873" t="s">
        <v>331</v>
      </c>
      <c r="H2873" s="15">
        <v>45292</v>
      </c>
      <c r="I2873">
        <v>29900</v>
      </c>
      <c r="J2873">
        <v>0</v>
      </c>
    </row>
    <row r="2874" spans="1:10" x14ac:dyDescent="0.3">
      <c r="A2874" s="15">
        <v>45627</v>
      </c>
      <c r="B2874" t="s">
        <v>219</v>
      </c>
      <c r="C2874" t="s">
        <v>81</v>
      </c>
      <c r="D2874" t="s">
        <v>99</v>
      </c>
      <c r="E2874" t="s">
        <v>89</v>
      </c>
      <c r="F2874">
        <v>2500</v>
      </c>
      <c r="G2874" t="s">
        <v>331</v>
      </c>
      <c r="H2874" s="15">
        <v>45292</v>
      </c>
      <c r="I2874">
        <v>2500</v>
      </c>
      <c r="J2874">
        <v>0</v>
      </c>
    </row>
    <row r="2875" spans="1:10" x14ac:dyDescent="0.3">
      <c r="A2875" s="15">
        <v>45627</v>
      </c>
      <c r="B2875" t="s">
        <v>220</v>
      </c>
      <c r="C2875" t="s">
        <v>110</v>
      </c>
      <c r="D2875" t="s">
        <v>82</v>
      </c>
      <c r="E2875" t="s">
        <v>89</v>
      </c>
      <c r="F2875">
        <v>30800</v>
      </c>
      <c r="G2875" t="s">
        <v>331</v>
      </c>
      <c r="H2875" s="15">
        <v>45292</v>
      </c>
      <c r="I2875">
        <v>30800</v>
      </c>
      <c r="J2875">
        <v>0</v>
      </c>
    </row>
    <row r="2876" spans="1:10" x14ac:dyDescent="0.3">
      <c r="A2876" s="15">
        <v>45627</v>
      </c>
      <c r="B2876" t="s">
        <v>221</v>
      </c>
      <c r="C2876" t="s">
        <v>91</v>
      </c>
      <c r="D2876" t="s">
        <v>96</v>
      </c>
      <c r="E2876" t="s">
        <v>83</v>
      </c>
      <c r="F2876">
        <v>9100</v>
      </c>
      <c r="G2876" t="s">
        <v>332</v>
      </c>
      <c r="H2876" s="15">
        <v>45292</v>
      </c>
      <c r="I2876">
        <v>8200</v>
      </c>
      <c r="J2876">
        <v>900</v>
      </c>
    </row>
    <row r="2877" spans="1:10" x14ac:dyDescent="0.3">
      <c r="A2877" s="15">
        <v>45627</v>
      </c>
      <c r="B2877" t="s">
        <v>223</v>
      </c>
      <c r="C2877" t="s">
        <v>81</v>
      </c>
      <c r="D2877" t="s">
        <v>99</v>
      </c>
      <c r="E2877" t="s">
        <v>87</v>
      </c>
      <c r="F2877">
        <v>2100</v>
      </c>
      <c r="G2877" t="s">
        <v>331</v>
      </c>
      <c r="H2877" s="15">
        <v>45292</v>
      </c>
      <c r="I2877">
        <v>2100</v>
      </c>
      <c r="J2877">
        <v>0</v>
      </c>
    </row>
    <row r="2878" spans="1:10" x14ac:dyDescent="0.3">
      <c r="A2878" s="15">
        <v>45627</v>
      </c>
      <c r="B2878" t="s">
        <v>224</v>
      </c>
      <c r="C2878" t="s">
        <v>91</v>
      </c>
      <c r="D2878" t="s">
        <v>82</v>
      </c>
      <c r="E2878" t="s">
        <v>101</v>
      </c>
      <c r="F2878">
        <v>10300</v>
      </c>
      <c r="G2878" t="s">
        <v>331</v>
      </c>
      <c r="H2878" s="15">
        <v>45292</v>
      </c>
      <c r="I2878">
        <v>10300</v>
      </c>
      <c r="J2878">
        <v>0</v>
      </c>
    </row>
    <row r="2879" spans="1:10" x14ac:dyDescent="0.3">
      <c r="A2879" s="15">
        <v>45627</v>
      </c>
      <c r="B2879" t="s">
        <v>225</v>
      </c>
      <c r="C2879" t="s">
        <v>110</v>
      </c>
      <c r="D2879" t="s">
        <v>99</v>
      </c>
      <c r="E2879" t="s">
        <v>103</v>
      </c>
      <c r="F2879">
        <v>42200</v>
      </c>
      <c r="G2879" t="s">
        <v>331</v>
      </c>
      <c r="H2879" s="15">
        <v>45292</v>
      </c>
      <c r="I2879">
        <v>42200</v>
      </c>
      <c r="J2879">
        <v>0</v>
      </c>
    </row>
    <row r="2880" spans="1:10" x14ac:dyDescent="0.3">
      <c r="A2880" s="15">
        <v>45627</v>
      </c>
      <c r="B2880" t="s">
        <v>226</v>
      </c>
      <c r="C2880" t="s">
        <v>91</v>
      </c>
      <c r="D2880" t="s">
        <v>82</v>
      </c>
      <c r="E2880" t="s">
        <v>103</v>
      </c>
      <c r="F2880">
        <v>6300</v>
      </c>
      <c r="G2880" t="s">
        <v>331</v>
      </c>
      <c r="H2880" s="15">
        <v>45292</v>
      </c>
      <c r="I2880">
        <v>6300</v>
      </c>
      <c r="J2880">
        <v>0</v>
      </c>
    </row>
    <row r="2881" spans="1:10" x14ac:dyDescent="0.3">
      <c r="A2881" s="15">
        <v>45627</v>
      </c>
      <c r="B2881" t="s">
        <v>227</v>
      </c>
      <c r="C2881" t="s">
        <v>110</v>
      </c>
      <c r="D2881" t="s">
        <v>86</v>
      </c>
      <c r="E2881" t="s">
        <v>87</v>
      </c>
      <c r="F2881">
        <v>25900</v>
      </c>
      <c r="G2881" t="s">
        <v>331</v>
      </c>
      <c r="H2881" s="15">
        <v>45292</v>
      </c>
      <c r="I2881">
        <v>25900</v>
      </c>
      <c r="J2881">
        <v>0</v>
      </c>
    </row>
    <row r="2882" spans="1:10" x14ac:dyDescent="0.3">
      <c r="A2882" s="15">
        <v>45627</v>
      </c>
      <c r="B2882" t="s">
        <v>228</v>
      </c>
      <c r="C2882" t="s">
        <v>91</v>
      </c>
      <c r="D2882" t="s">
        <v>96</v>
      </c>
      <c r="E2882" t="s">
        <v>89</v>
      </c>
      <c r="F2882">
        <v>12000</v>
      </c>
      <c r="G2882" t="s">
        <v>331</v>
      </c>
      <c r="H2882" s="15">
        <v>45292</v>
      </c>
      <c r="I2882">
        <v>12000</v>
      </c>
      <c r="J2882">
        <v>0</v>
      </c>
    </row>
    <row r="2883" spans="1:10" x14ac:dyDescent="0.3">
      <c r="A2883" s="15">
        <v>45627</v>
      </c>
      <c r="B2883" t="s">
        <v>229</v>
      </c>
      <c r="C2883" t="s">
        <v>81</v>
      </c>
      <c r="D2883" t="s">
        <v>82</v>
      </c>
      <c r="E2883" t="s">
        <v>83</v>
      </c>
      <c r="F2883">
        <v>3000</v>
      </c>
      <c r="G2883" t="s">
        <v>331</v>
      </c>
      <c r="H2883" s="15">
        <v>45292</v>
      </c>
      <c r="I2883">
        <v>3000</v>
      </c>
      <c r="J2883">
        <v>0</v>
      </c>
    </row>
    <row r="2884" spans="1:10" x14ac:dyDescent="0.3">
      <c r="A2884" s="15">
        <v>45627</v>
      </c>
      <c r="B2884" t="s">
        <v>230</v>
      </c>
      <c r="C2884" t="s">
        <v>81</v>
      </c>
      <c r="D2884" t="s">
        <v>86</v>
      </c>
      <c r="E2884" t="s">
        <v>101</v>
      </c>
      <c r="F2884">
        <v>3400</v>
      </c>
      <c r="G2884" t="s">
        <v>331</v>
      </c>
      <c r="H2884" s="15">
        <v>45292</v>
      </c>
      <c r="I2884">
        <v>3400</v>
      </c>
      <c r="J2884">
        <v>0</v>
      </c>
    </row>
    <row r="2885" spans="1:10" x14ac:dyDescent="0.3">
      <c r="A2885" s="15">
        <v>45627</v>
      </c>
      <c r="B2885" t="s">
        <v>231</v>
      </c>
      <c r="C2885" t="s">
        <v>91</v>
      </c>
      <c r="D2885" t="s">
        <v>82</v>
      </c>
      <c r="E2885" t="s">
        <v>92</v>
      </c>
      <c r="F2885">
        <v>6900</v>
      </c>
      <c r="G2885" t="s">
        <v>331</v>
      </c>
      <c r="H2885" s="15">
        <v>45292</v>
      </c>
      <c r="I2885">
        <v>6900</v>
      </c>
      <c r="J2885">
        <v>0</v>
      </c>
    </row>
    <row r="2886" spans="1:10" x14ac:dyDescent="0.3">
      <c r="A2886" s="15">
        <v>45627</v>
      </c>
      <c r="B2886" t="s">
        <v>232</v>
      </c>
      <c r="C2886" t="s">
        <v>125</v>
      </c>
      <c r="D2886" t="s">
        <v>86</v>
      </c>
      <c r="E2886" t="s">
        <v>83</v>
      </c>
      <c r="F2886">
        <v>121100</v>
      </c>
      <c r="G2886" t="s">
        <v>331</v>
      </c>
      <c r="H2886" s="15">
        <v>45292</v>
      </c>
      <c r="I2886">
        <v>121100</v>
      </c>
      <c r="J2886">
        <v>0</v>
      </c>
    </row>
    <row r="2887" spans="1:10" x14ac:dyDescent="0.3">
      <c r="A2887" s="15">
        <v>45627</v>
      </c>
      <c r="B2887" t="s">
        <v>233</v>
      </c>
      <c r="C2887" t="s">
        <v>81</v>
      </c>
      <c r="D2887" t="s">
        <v>82</v>
      </c>
      <c r="E2887" t="s">
        <v>87</v>
      </c>
      <c r="F2887">
        <v>3300</v>
      </c>
      <c r="G2887" t="s">
        <v>331</v>
      </c>
      <c r="H2887" s="15">
        <v>45292</v>
      </c>
      <c r="I2887">
        <v>3300</v>
      </c>
      <c r="J2887">
        <v>0</v>
      </c>
    </row>
    <row r="2888" spans="1:10" x14ac:dyDescent="0.3">
      <c r="A2888" s="15">
        <v>45627</v>
      </c>
      <c r="B2888" t="s">
        <v>234</v>
      </c>
      <c r="C2888" t="s">
        <v>110</v>
      </c>
      <c r="D2888" t="s">
        <v>82</v>
      </c>
      <c r="E2888" t="s">
        <v>103</v>
      </c>
      <c r="F2888">
        <v>41200</v>
      </c>
      <c r="G2888" t="s">
        <v>331</v>
      </c>
      <c r="H2888" s="15">
        <v>45292</v>
      </c>
      <c r="I2888">
        <v>41200</v>
      </c>
      <c r="J2888">
        <v>0</v>
      </c>
    </row>
    <row r="2889" spans="1:10" x14ac:dyDescent="0.3">
      <c r="A2889" s="15">
        <v>45627</v>
      </c>
      <c r="B2889" t="s">
        <v>235</v>
      </c>
      <c r="C2889" t="s">
        <v>91</v>
      </c>
      <c r="D2889" t="s">
        <v>96</v>
      </c>
      <c r="E2889" t="s">
        <v>103</v>
      </c>
      <c r="F2889">
        <v>10500</v>
      </c>
      <c r="G2889" t="s">
        <v>331</v>
      </c>
      <c r="H2889" s="15">
        <v>45292</v>
      </c>
      <c r="I2889">
        <v>10500</v>
      </c>
      <c r="J2889">
        <v>0</v>
      </c>
    </row>
    <row r="2890" spans="1:10" x14ac:dyDescent="0.3">
      <c r="A2890" s="15">
        <v>45627</v>
      </c>
      <c r="B2890" t="s">
        <v>236</v>
      </c>
      <c r="C2890" t="s">
        <v>110</v>
      </c>
      <c r="D2890" t="s">
        <v>82</v>
      </c>
      <c r="E2890" t="s">
        <v>97</v>
      </c>
      <c r="F2890">
        <v>27200</v>
      </c>
      <c r="G2890" t="s">
        <v>331</v>
      </c>
      <c r="H2890" s="15">
        <v>45292</v>
      </c>
      <c r="I2890">
        <v>27200</v>
      </c>
      <c r="J2890">
        <v>0</v>
      </c>
    </row>
    <row r="2891" spans="1:10" x14ac:dyDescent="0.3">
      <c r="A2891" s="15">
        <v>45627</v>
      </c>
      <c r="B2891" t="s">
        <v>237</v>
      </c>
      <c r="C2891" t="s">
        <v>91</v>
      </c>
      <c r="D2891" t="s">
        <v>82</v>
      </c>
      <c r="E2891" t="s">
        <v>83</v>
      </c>
      <c r="F2891">
        <v>8100</v>
      </c>
      <c r="G2891" t="s">
        <v>331</v>
      </c>
      <c r="H2891" s="15">
        <v>45292</v>
      </c>
      <c r="I2891">
        <v>8100</v>
      </c>
      <c r="J2891">
        <v>0</v>
      </c>
    </row>
    <row r="2892" spans="1:10" x14ac:dyDescent="0.3">
      <c r="A2892" s="15">
        <v>45627</v>
      </c>
      <c r="B2892" t="s">
        <v>238</v>
      </c>
      <c r="C2892" t="s">
        <v>81</v>
      </c>
      <c r="D2892" t="s">
        <v>99</v>
      </c>
      <c r="E2892" t="s">
        <v>97</v>
      </c>
      <c r="F2892">
        <v>2600</v>
      </c>
      <c r="G2892" t="s">
        <v>331</v>
      </c>
      <c r="H2892" s="15">
        <v>45292</v>
      </c>
      <c r="I2892">
        <v>2600</v>
      </c>
      <c r="J2892">
        <v>0</v>
      </c>
    </row>
    <row r="2893" spans="1:10" x14ac:dyDescent="0.3">
      <c r="A2893" s="15">
        <v>45627</v>
      </c>
      <c r="B2893" t="s">
        <v>239</v>
      </c>
      <c r="C2893" t="s">
        <v>81</v>
      </c>
      <c r="D2893" t="s">
        <v>82</v>
      </c>
      <c r="E2893" t="s">
        <v>103</v>
      </c>
      <c r="F2893">
        <v>2500</v>
      </c>
      <c r="G2893" t="s">
        <v>331</v>
      </c>
      <c r="H2893" s="15">
        <v>45292</v>
      </c>
      <c r="I2893">
        <v>2500</v>
      </c>
      <c r="J2893">
        <v>0</v>
      </c>
    </row>
    <row r="2894" spans="1:10" x14ac:dyDescent="0.3">
      <c r="A2894" s="15">
        <v>45627</v>
      </c>
      <c r="B2894" t="s">
        <v>240</v>
      </c>
      <c r="C2894" t="s">
        <v>81</v>
      </c>
      <c r="D2894" t="s">
        <v>99</v>
      </c>
      <c r="E2894" t="s">
        <v>103</v>
      </c>
      <c r="F2894">
        <v>3000</v>
      </c>
      <c r="G2894" t="s">
        <v>331</v>
      </c>
      <c r="H2894" s="15">
        <v>45292</v>
      </c>
      <c r="I2894">
        <v>3000</v>
      </c>
      <c r="J2894">
        <v>0</v>
      </c>
    </row>
    <row r="2895" spans="1:10" x14ac:dyDescent="0.3">
      <c r="A2895" s="15">
        <v>45627</v>
      </c>
      <c r="B2895" t="s">
        <v>241</v>
      </c>
      <c r="C2895" t="s">
        <v>91</v>
      </c>
      <c r="D2895" t="s">
        <v>96</v>
      </c>
      <c r="E2895" t="s">
        <v>87</v>
      </c>
      <c r="F2895">
        <v>12100</v>
      </c>
      <c r="G2895" t="s">
        <v>331</v>
      </c>
      <c r="H2895" s="15">
        <v>45292</v>
      </c>
      <c r="I2895">
        <v>12100</v>
      </c>
      <c r="J2895">
        <v>0</v>
      </c>
    </row>
    <row r="2896" spans="1:10" x14ac:dyDescent="0.3">
      <c r="A2896" s="15">
        <v>45627</v>
      </c>
      <c r="B2896" t="s">
        <v>242</v>
      </c>
      <c r="C2896" t="s">
        <v>110</v>
      </c>
      <c r="D2896" t="s">
        <v>99</v>
      </c>
      <c r="E2896" t="s">
        <v>101</v>
      </c>
      <c r="F2896">
        <v>34800</v>
      </c>
      <c r="G2896" t="s">
        <v>331</v>
      </c>
      <c r="H2896" s="15">
        <v>45292</v>
      </c>
      <c r="I2896">
        <v>34800</v>
      </c>
      <c r="J2896">
        <v>0</v>
      </c>
    </row>
    <row r="2897" spans="1:10" x14ac:dyDescent="0.3">
      <c r="A2897" s="15">
        <v>45627</v>
      </c>
      <c r="B2897" t="s">
        <v>244</v>
      </c>
      <c r="C2897" t="s">
        <v>91</v>
      </c>
      <c r="D2897" t="s">
        <v>82</v>
      </c>
      <c r="E2897" t="s">
        <v>92</v>
      </c>
      <c r="F2897">
        <v>7800</v>
      </c>
      <c r="G2897" t="s">
        <v>331</v>
      </c>
      <c r="H2897" s="15">
        <v>45292</v>
      </c>
      <c r="I2897">
        <v>7800</v>
      </c>
      <c r="J2897">
        <v>0</v>
      </c>
    </row>
    <row r="2898" spans="1:10" x14ac:dyDescent="0.3">
      <c r="A2898" s="15">
        <v>45627</v>
      </c>
      <c r="B2898" t="s">
        <v>245</v>
      </c>
      <c r="C2898" t="s">
        <v>81</v>
      </c>
      <c r="D2898" t="s">
        <v>99</v>
      </c>
      <c r="E2898" t="s">
        <v>97</v>
      </c>
      <c r="F2898">
        <v>2600</v>
      </c>
      <c r="G2898" t="s">
        <v>331</v>
      </c>
      <c r="H2898" s="15">
        <v>45292</v>
      </c>
      <c r="I2898">
        <v>2600</v>
      </c>
      <c r="J2898">
        <v>0</v>
      </c>
    </row>
    <row r="2899" spans="1:10" x14ac:dyDescent="0.3">
      <c r="A2899" s="15">
        <v>45627</v>
      </c>
      <c r="B2899" t="s">
        <v>246</v>
      </c>
      <c r="C2899" t="s">
        <v>91</v>
      </c>
      <c r="D2899" t="s">
        <v>86</v>
      </c>
      <c r="E2899" t="s">
        <v>103</v>
      </c>
      <c r="F2899">
        <v>10100</v>
      </c>
      <c r="G2899" t="s">
        <v>331</v>
      </c>
      <c r="H2899" s="15">
        <v>45292</v>
      </c>
      <c r="I2899">
        <v>10100</v>
      </c>
      <c r="J2899">
        <v>0</v>
      </c>
    </row>
    <row r="2900" spans="1:10" x14ac:dyDescent="0.3">
      <c r="A2900" s="15">
        <v>45627</v>
      </c>
      <c r="B2900" t="s">
        <v>247</v>
      </c>
      <c r="C2900" t="s">
        <v>91</v>
      </c>
      <c r="D2900" t="s">
        <v>86</v>
      </c>
      <c r="E2900" t="s">
        <v>89</v>
      </c>
      <c r="F2900">
        <v>9100</v>
      </c>
      <c r="G2900" t="s">
        <v>331</v>
      </c>
      <c r="H2900" s="15">
        <v>45292</v>
      </c>
      <c r="I2900">
        <v>9100</v>
      </c>
      <c r="J2900">
        <v>0</v>
      </c>
    </row>
    <row r="2901" spans="1:10" x14ac:dyDescent="0.3">
      <c r="A2901" s="15">
        <v>45627</v>
      </c>
      <c r="B2901" t="s">
        <v>248</v>
      </c>
      <c r="C2901" t="s">
        <v>81</v>
      </c>
      <c r="D2901" t="s">
        <v>82</v>
      </c>
      <c r="E2901" t="s">
        <v>103</v>
      </c>
      <c r="F2901">
        <v>2100</v>
      </c>
      <c r="G2901" t="s">
        <v>331</v>
      </c>
      <c r="H2901" s="15">
        <v>45292</v>
      </c>
      <c r="I2901">
        <v>2100</v>
      </c>
      <c r="J2901">
        <v>0</v>
      </c>
    </row>
    <row r="2902" spans="1:10" x14ac:dyDescent="0.3">
      <c r="A2902" s="15">
        <v>45627</v>
      </c>
      <c r="B2902" t="s">
        <v>250</v>
      </c>
      <c r="C2902" t="s">
        <v>81</v>
      </c>
      <c r="D2902" t="s">
        <v>86</v>
      </c>
      <c r="E2902" t="s">
        <v>87</v>
      </c>
      <c r="F2902">
        <v>3300</v>
      </c>
      <c r="G2902" t="s">
        <v>331</v>
      </c>
      <c r="H2902" s="15">
        <v>45292</v>
      </c>
      <c r="I2902">
        <v>3300</v>
      </c>
      <c r="J2902">
        <v>0</v>
      </c>
    </row>
    <row r="2903" spans="1:10" x14ac:dyDescent="0.3">
      <c r="A2903" s="15">
        <v>45627</v>
      </c>
      <c r="B2903" t="s">
        <v>251</v>
      </c>
      <c r="C2903" t="s">
        <v>91</v>
      </c>
      <c r="D2903" t="s">
        <v>99</v>
      </c>
      <c r="E2903" t="s">
        <v>103</v>
      </c>
      <c r="F2903">
        <v>8800</v>
      </c>
      <c r="G2903" t="s">
        <v>332</v>
      </c>
      <c r="H2903" s="15">
        <v>45292</v>
      </c>
      <c r="I2903">
        <v>7700</v>
      </c>
      <c r="J2903">
        <v>1100</v>
      </c>
    </row>
    <row r="2904" spans="1:10" x14ac:dyDescent="0.3">
      <c r="A2904" s="15">
        <v>45627</v>
      </c>
      <c r="B2904" t="s">
        <v>252</v>
      </c>
      <c r="C2904" t="s">
        <v>81</v>
      </c>
      <c r="D2904" t="s">
        <v>99</v>
      </c>
      <c r="E2904" t="s">
        <v>92</v>
      </c>
      <c r="F2904">
        <v>3400</v>
      </c>
      <c r="G2904" t="s">
        <v>331</v>
      </c>
      <c r="H2904" s="15">
        <v>45292</v>
      </c>
      <c r="I2904">
        <v>3400</v>
      </c>
      <c r="J2904">
        <v>0</v>
      </c>
    </row>
    <row r="2905" spans="1:10" x14ac:dyDescent="0.3">
      <c r="A2905" s="15">
        <v>45627</v>
      </c>
      <c r="B2905" t="s">
        <v>253</v>
      </c>
      <c r="C2905" t="s">
        <v>81</v>
      </c>
      <c r="D2905" t="s">
        <v>96</v>
      </c>
      <c r="E2905" t="s">
        <v>89</v>
      </c>
      <c r="F2905">
        <v>2400</v>
      </c>
      <c r="G2905" t="s">
        <v>331</v>
      </c>
      <c r="H2905" s="15">
        <v>45292</v>
      </c>
      <c r="I2905">
        <v>2400</v>
      </c>
      <c r="J2905">
        <v>0</v>
      </c>
    </row>
    <row r="2906" spans="1:10" x14ac:dyDescent="0.3">
      <c r="A2906" s="15">
        <v>45627</v>
      </c>
      <c r="B2906" t="s">
        <v>254</v>
      </c>
      <c r="C2906" t="s">
        <v>110</v>
      </c>
      <c r="D2906" t="s">
        <v>86</v>
      </c>
      <c r="E2906" t="s">
        <v>103</v>
      </c>
      <c r="F2906">
        <v>56100</v>
      </c>
      <c r="G2906" t="s">
        <v>331</v>
      </c>
      <c r="H2906" s="15">
        <v>45292</v>
      </c>
      <c r="I2906">
        <v>56100</v>
      </c>
      <c r="J2906">
        <v>0</v>
      </c>
    </row>
    <row r="2907" spans="1:10" x14ac:dyDescent="0.3">
      <c r="A2907" s="15">
        <v>45627</v>
      </c>
      <c r="B2907" t="s">
        <v>255</v>
      </c>
      <c r="C2907" t="s">
        <v>91</v>
      </c>
      <c r="D2907" t="s">
        <v>86</v>
      </c>
      <c r="E2907" t="s">
        <v>89</v>
      </c>
      <c r="F2907">
        <v>9900</v>
      </c>
      <c r="G2907" t="s">
        <v>331</v>
      </c>
      <c r="H2907" s="15">
        <v>45292</v>
      </c>
      <c r="I2907">
        <v>9900</v>
      </c>
      <c r="J2907">
        <v>0</v>
      </c>
    </row>
    <row r="2908" spans="1:10" x14ac:dyDescent="0.3">
      <c r="A2908" s="15">
        <v>45627</v>
      </c>
      <c r="B2908" t="s">
        <v>256</v>
      </c>
      <c r="C2908" t="s">
        <v>81</v>
      </c>
      <c r="D2908" t="s">
        <v>82</v>
      </c>
      <c r="E2908" t="s">
        <v>103</v>
      </c>
      <c r="F2908">
        <v>2600</v>
      </c>
      <c r="G2908" t="s">
        <v>331</v>
      </c>
      <c r="H2908" s="15">
        <v>45292</v>
      </c>
      <c r="I2908">
        <v>2600</v>
      </c>
      <c r="J2908">
        <v>0</v>
      </c>
    </row>
    <row r="2909" spans="1:10" x14ac:dyDescent="0.3">
      <c r="A2909" s="15">
        <v>45627</v>
      </c>
      <c r="B2909" t="s">
        <v>257</v>
      </c>
      <c r="C2909" t="s">
        <v>91</v>
      </c>
      <c r="D2909" t="s">
        <v>96</v>
      </c>
      <c r="E2909" t="s">
        <v>87</v>
      </c>
      <c r="F2909">
        <v>8400</v>
      </c>
      <c r="G2909" t="s">
        <v>331</v>
      </c>
      <c r="H2909" s="15">
        <v>45292</v>
      </c>
      <c r="I2909">
        <v>8400</v>
      </c>
      <c r="J2909">
        <v>0</v>
      </c>
    </row>
    <row r="2910" spans="1:10" x14ac:dyDescent="0.3">
      <c r="A2910" s="15">
        <v>45627</v>
      </c>
      <c r="B2910" t="s">
        <v>258</v>
      </c>
      <c r="C2910" t="s">
        <v>125</v>
      </c>
      <c r="D2910" t="s">
        <v>86</v>
      </c>
      <c r="E2910" t="s">
        <v>83</v>
      </c>
      <c r="F2910">
        <v>96300</v>
      </c>
      <c r="G2910" t="s">
        <v>331</v>
      </c>
      <c r="H2910" s="15">
        <v>45292</v>
      </c>
      <c r="I2910">
        <v>96300</v>
      </c>
      <c r="J2910">
        <v>0</v>
      </c>
    </row>
    <row r="2911" spans="1:10" x14ac:dyDescent="0.3">
      <c r="A2911" s="15">
        <v>45627</v>
      </c>
      <c r="B2911" t="s">
        <v>259</v>
      </c>
      <c r="C2911" t="s">
        <v>81</v>
      </c>
      <c r="D2911" t="s">
        <v>86</v>
      </c>
      <c r="E2911" t="s">
        <v>89</v>
      </c>
      <c r="F2911">
        <v>1900</v>
      </c>
      <c r="G2911" t="s">
        <v>331</v>
      </c>
      <c r="H2911" s="15">
        <v>45292</v>
      </c>
      <c r="I2911">
        <v>1900</v>
      </c>
      <c r="J2911">
        <v>0</v>
      </c>
    </row>
    <row r="2912" spans="1:10" x14ac:dyDescent="0.3">
      <c r="A2912" s="15">
        <v>45627</v>
      </c>
      <c r="B2912" t="s">
        <v>260</v>
      </c>
      <c r="C2912" t="s">
        <v>81</v>
      </c>
      <c r="D2912" t="s">
        <v>86</v>
      </c>
      <c r="E2912" t="s">
        <v>97</v>
      </c>
      <c r="F2912">
        <v>2300</v>
      </c>
      <c r="G2912" t="s">
        <v>331</v>
      </c>
      <c r="H2912" s="15">
        <v>45292</v>
      </c>
      <c r="I2912">
        <v>2300</v>
      </c>
      <c r="J2912">
        <v>0</v>
      </c>
    </row>
    <row r="2913" spans="1:10" x14ac:dyDescent="0.3">
      <c r="A2913" s="15">
        <v>45627</v>
      </c>
      <c r="B2913" t="s">
        <v>262</v>
      </c>
      <c r="C2913" t="s">
        <v>91</v>
      </c>
      <c r="D2913" t="s">
        <v>82</v>
      </c>
      <c r="E2913" t="s">
        <v>92</v>
      </c>
      <c r="F2913">
        <v>9400</v>
      </c>
      <c r="G2913" t="s">
        <v>331</v>
      </c>
      <c r="H2913" s="15">
        <v>45292</v>
      </c>
      <c r="I2913">
        <v>9400</v>
      </c>
      <c r="J2913">
        <v>0</v>
      </c>
    </row>
    <row r="2914" spans="1:10" x14ac:dyDescent="0.3">
      <c r="A2914" s="15">
        <v>45627</v>
      </c>
      <c r="B2914" t="s">
        <v>264</v>
      </c>
      <c r="C2914" t="s">
        <v>110</v>
      </c>
      <c r="D2914" t="s">
        <v>86</v>
      </c>
      <c r="E2914" t="s">
        <v>97</v>
      </c>
      <c r="F2914">
        <v>31500</v>
      </c>
      <c r="G2914" t="s">
        <v>331</v>
      </c>
      <c r="H2914" s="15">
        <v>45292</v>
      </c>
      <c r="I2914">
        <v>31500</v>
      </c>
      <c r="J2914">
        <v>0</v>
      </c>
    </row>
    <row r="2915" spans="1:10" x14ac:dyDescent="0.3">
      <c r="A2915" s="15">
        <v>45627</v>
      </c>
      <c r="B2915" t="s">
        <v>265</v>
      </c>
      <c r="C2915" t="s">
        <v>125</v>
      </c>
      <c r="D2915" t="s">
        <v>86</v>
      </c>
      <c r="E2915" t="s">
        <v>101</v>
      </c>
      <c r="F2915">
        <v>92200</v>
      </c>
      <c r="G2915" t="s">
        <v>331</v>
      </c>
      <c r="H2915" s="15">
        <v>45292</v>
      </c>
      <c r="I2915">
        <v>92200</v>
      </c>
      <c r="J2915">
        <v>0</v>
      </c>
    </row>
    <row r="2916" spans="1:10" x14ac:dyDescent="0.3">
      <c r="A2916" s="15">
        <v>45627</v>
      </c>
      <c r="B2916" t="s">
        <v>266</v>
      </c>
      <c r="C2916" t="s">
        <v>81</v>
      </c>
      <c r="D2916" t="s">
        <v>82</v>
      </c>
      <c r="E2916" t="s">
        <v>83</v>
      </c>
      <c r="F2916">
        <v>2200</v>
      </c>
      <c r="G2916" t="s">
        <v>331</v>
      </c>
      <c r="H2916" s="15">
        <v>45292</v>
      </c>
      <c r="I2916">
        <v>2200</v>
      </c>
      <c r="J2916">
        <v>0</v>
      </c>
    </row>
    <row r="2917" spans="1:10" x14ac:dyDescent="0.3">
      <c r="A2917" s="15">
        <v>45627</v>
      </c>
      <c r="B2917" t="s">
        <v>267</v>
      </c>
      <c r="C2917" t="s">
        <v>91</v>
      </c>
      <c r="D2917" t="s">
        <v>82</v>
      </c>
      <c r="E2917" t="s">
        <v>97</v>
      </c>
      <c r="F2917">
        <v>6900</v>
      </c>
      <c r="G2917" t="s">
        <v>331</v>
      </c>
      <c r="H2917" s="15">
        <v>45292</v>
      </c>
      <c r="I2917">
        <v>6900</v>
      </c>
      <c r="J2917">
        <v>0</v>
      </c>
    </row>
    <row r="2918" spans="1:10" x14ac:dyDescent="0.3">
      <c r="A2918" s="15">
        <v>45627</v>
      </c>
      <c r="B2918" t="s">
        <v>272</v>
      </c>
      <c r="C2918" t="s">
        <v>125</v>
      </c>
      <c r="D2918" t="s">
        <v>96</v>
      </c>
      <c r="E2918" t="s">
        <v>103</v>
      </c>
      <c r="F2918">
        <v>101100</v>
      </c>
      <c r="G2918" t="s">
        <v>331</v>
      </c>
      <c r="H2918" s="15">
        <v>45292</v>
      </c>
      <c r="I2918">
        <v>101100</v>
      </c>
      <c r="J2918">
        <v>0</v>
      </c>
    </row>
    <row r="2919" spans="1:10" x14ac:dyDescent="0.3">
      <c r="A2919" s="15">
        <v>45627</v>
      </c>
      <c r="B2919" t="s">
        <v>273</v>
      </c>
      <c r="C2919" t="s">
        <v>81</v>
      </c>
      <c r="D2919" t="s">
        <v>82</v>
      </c>
      <c r="E2919" t="s">
        <v>101</v>
      </c>
      <c r="F2919">
        <v>3300</v>
      </c>
      <c r="G2919" t="s">
        <v>331</v>
      </c>
      <c r="H2919" s="15">
        <v>45292</v>
      </c>
      <c r="I2919">
        <v>3300</v>
      </c>
      <c r="J2919">
        <v>0</v>
      </c>
    </row>
    <row r="2920" spans="1:10" x14ac:dyDescent="0.3">
      <c r="A2920" s="15">
        <v>45627</v>
      </c>
      <c r="B2920" t="s">
        <v>274</v>
      </c>
      <c r="C2920" t="s">
        <v>91</v>
      </c>
      <c r="D2920" t="s">
        <v>99</v>
      </c>
      <c r="E2920" t="s">
        <v>87</v>
      </c>
      <c r="F2920">
        <v>11400</v>
      </c>
      <c r="G2920" t="s">
        <v>331</v>
      </c>
      <c r="H2920" s="15">
        <v>45292</v>
      </c>
      <c r="I2920">
        <v>11400</v>
      </c>
      <c r="J2920">
        <v>0</v>
      </c>
    </row>
    <row r="2921" spans="1:10" x14ac:dyDescent="0.3">
      <c r="A2921" s="15">
        <v>45627</v>
      </c>
      <c r="B2921" t="s">
        <v>276</v>
      </c>
      <c r="C2921" t="s">
        <v>81</v>
      </c>
      <c r="D2921" t="s">
        <v>82</v>
      </c>
      <c r="E2921" t="s">
        <v>103</v>
      </c>
      <c r="F2921">
        <v>3300</v>
      </c>
      <c r="G2921" t="s">
        <v>331</v>
      </c>
      <c r="H2921" s="15">
        <v>45292</v>
      </c>
      <c r="I2921">
        <v>3300</v>
      </c>
      <c r="J2921">
        <v>0</v>
      </c>
    </row>
    <row r="2922" spans="1:10" x14ac:dyDescent="0.3">
      <c r="A2922" s="15">
        <v>45627</v>
      </c>
      <c r="B2922" t="s">
        <v>277</v>
      </c>
      <c r="C2922" t="s">
        <v>91</v>
      </c>
      <c r="D2922" t="s">
        <v>86</v>
      </c>
      <c r="E2922" t="s">
        <v>97</v>
      </c>
      <c r="F2922">
        <v>8000</v>
      </c>
      <c r="G2922" t="s">
        <v>331</v>
      </c>
      <c r="H2922" s="15">
        <v>45292</v>
      </c>
      <c r="I2922">
        <v>8000</v>
      </c>
      <c r="J2922">
        <v>0</v>
      </c>
    </row>
    <row r="2923" spans="1:10" x14ac:dyDescent="0.3">
      <c r="A2923" s="15">
        <v>45627</v>
      </c>
      <c r="B2923" t="s">
        <v>278</v>
      </c>
      <c r="C2923" t="s">
        <v>81</v>
      </c>
      <c r="D2923" t="s">
        <v>82</v>
      </c>
      <c r="E2923" t="s">
        <v>92</v>
      </c>
      <c r="F2923">
        <v>1900</v>
      </c>
      <c r="G2923" t="s">
        <v>331</v>
      </c>
      <c r="H2923" s="15">
        <v>45292</v>
      </c>
      <c r="I2923">
        <v>1900</v>
      </c>
      <c r="J2923">
        <v>0</v>
      </c>
    </row>
    <row r="2924" spans="1:10" x14ac:dyDescent="0.3">
      <c r="A2924" s="15">
        <v>45627</v>
      </c>
      <c r="B2924" t="s">
        <v>279</v>
      </c>
      <c r="C2924" t="s">
        <v>91</v>
      </c>
      <c r="D2924" t="s">
        <v>99</v>
      </c>
      <c r="E2924" t="s">
        <v>89</v>
      </c>
      <c r="F2924">
        <v>9800</v>
      </c>
      <c r="G2924" t="s">
        <v>331</v>
      </c>
      <c r="H2924" s="15">
        <v>45292</v>
      </c>
      <c r="I2924">
        <v>9800</v>
      </c>
      <c r="J2924">
        <v>0</v>
      </c>
    </row>
    <row r="2925" spans="1:10" x14ac:dyDescent="0.3">
      <c r="A2925" s="15">
        <v>45627</v>
      </c>
      <c r="B2925" t="s">
        <v>280</v>
      </c>
      <c r="C2925" t="s">
        <v>91</v>
      </c>
      <c r="D2925" t="s">
        <v>96</v>
      </c>
      <c r="E2925" t="s">
        <v>83</v>
      </c>
      <c r="F2925">
        <v>6300</v>
      </c>
      <c r="G2925" t="s">
        <v>331</v>
      </c>
      <c r="H2925" s="15">
        <v>45292</v>
      </c>
      <c r="I2925">
        <v>6300</v>
      </c>
      <c r="J2925">
        <v>0</v>
      </c>
    </row>
    <row r="2926" spans="1:10" x14ac:dyDescent="0.3">
      <c r="A2926" s="15">
        <v>45627</v>
      </c>
      <c r="B2926" t="s">
        <v>281</v>
      </c>
      <c r="C2926" t="s">
        <v>110</v>
      </c>
      <c r="D2926" t="s">
        <v>86</v>
      </c>
      <c r="E2926" t="s">
        <v>92</v>
      </c>
      <c r="F2926">
        <v>52700</v>
      </c>
      <c r="G2926" t="s">
        <v>331</v>
      </c>
      <c r="H2926" s="15">
        <v>45292</v>
      </c>
      <c r="I2926">
        <v>52700</v>
      </c>
      <c r="J2926">
        <v>0</v>
      </c>
    </row>
    <row r="2927" spans="1:10" x14ac:dyDescent="0.3">
      <c r="A2927" s="15">
        <v>45627</v>
      </c>
      <c r="B2927" t="s">
        <v>282</v>
      </c>
      <c r="C2927" t="s">
        <v>91</v>
      </c>
      <c r="D2927" t="s">
        <v>86</v>
      </c>
      <c r="E2927" t="s">
        <v>92</v>
      </c>
      <c r="F2927">
        <v>7000</v>
      </c>
      <c r="G2927" t="s">
        <v>331</v>
      </c>
      <c r="H2927" s="15">
        <v>45292</v>
      </c>
      <c r="I2927">
        <v>7000</v>
      </c>
      <c r="J2927">
        <v>0</v>
      </c>
    </row>
    <row r="2928" spans="1:10" x14ac:dyDescent="0.3">
      <c r="A2928" s="15">
        <v>45627</v>
      </c>
      <c r="B2928" t="s">
        <v>283</v>
      </c>
      <c r="C2928" t="s">
        <v>110</v>
      </c>
      <c r="D2928" t="s">
        <v>82</v>
      </c>
      <c r="E2928" t="s">
        <v>87</v>
      </c>
      <c r="F2928">
        <v>34200</v>
      </c>
      <c r="G2928" t="s">
        <v>331</v>
      </c>
      <c r="H2928" s="15">
        <v>45292</v>
      </c>
      <c r="I2928">
        <v>34200</v>
      </c>
      <c r="J2928">
        <v>0</v>
      </c>
    </row>
    <row r="2929" spans="1:10" x14ac:dyDescent="0.3">
      <c r="A2929" s="15">
        <v>45627</v>
      </c>
      <c r="B2929" t="s">
        <v>284</v>
      </c>
      <c r="C2929" t="s">
        <v>81</v>
      </c>
      <c r="D2929" t="s">
        <v>82</v>
      </c>
      <c r="E2929" t="s">
        <v>101</v>
      </c>
      <c r="F2929">
        <v>2400</v>
      </c>
      <c r="G2929" t="s">
        <v>331</v>
      </c>
      <c r="H2929" s="15">
        <v>45292</v>
      </c>
      <c r="I2929">
        <v>2400</v>
      </c>
      <c r="J2929">
        <v>0</v>
      </c>
    </row>
    <row r="2930" spans="1:10" x14ac:dyDescent="0.3">
      <c r="A2930" s="15">
        <v>45627</v>
      </c>
      <c r="B2930" t="s">
        <v>285</v>
      </c>
      <c r="C2930" t="s">
        <v>91</v>
      </c>
      <c r="D2930" t="s">
        <v>82</v>
      </c>
      <c r="E2930" t="s">
        <v>83</v>
      </c>
      <c r="F2930">
        <v>10900</v>
      </c>
      <c r="G2930" t="s">
        <v>331</v>
      </c>
      <c r="H2930" s="15">
        <v>45292</v>
      </c>
      <c r="I2930">
        <v>10900</v>
      </c>
      <c r="J2930">
        <v>0</v>
      </c>
    </row>
    <row r="2931" spans="1:10" x14ac:dyDescent="0.3">
      <c r="A2931" s="15">
        <v>45627</v>
      </c>
      <c r="B2931" t="s">
        <v>286</v>
      </c>
      <c r="C2931" t="s">
        <v>125</v>
      </c>
      <c r="D2931" t="s">
        <v>86</v>
      </c>
      <c r="E2931" t="s">
        <v>92</v>
      </c>
      <c r="F2931">
        <v>92400</v>
      </c>
      <c r="G2931" t="s">
        <v>331</v>
      </c>
      <c r="H2931" s="15">
        <v>45292</v>
      </c>
      <c r="I2931">
        <v>92400</v>
      </c>
      <c r="J2931">
        <v>0</v>
      </c>
    </row>
    <row r="2932" spans="1:10" x14ac:dyDescent="0.3">
      <c r="A2932" s="15">
        <v>45627</v>
      </c>
      <c r="B2932" t="s">
        <v>287</v>
      </c>
      <c r="C2932" t="s">
        <v>81</v>
      </c>
      <c r="D2932" t="s">
        <v>99</v>
      </c>
      <c r="E2932" t="s">
        <v>87</v>
      </c>
      <c r="F2932">
        <v>2300</v>
      </c>
      <c r="G2932" t="s">
        <v>331</v>
      </c>
      <c r="H2932" s="15">
        <v>45292</v>
      </c>
      <c r="I2932">
        <v>2300</v>
      </c>
      <c r="J2932">
        <v>0</v>
      </c>
    </row>
    <row r="2933" spans="1:10" x14ac:dyDescent="0.3">
      <c r="A2933" s="15">
        <v>45627</v>
      </c>
      <c r="B2933" t="s">
        <v>288</v>
      </c>
      <c r="C2933" t="s">
        <v>81</v>
      </c>
      <c r="D2933" t="s">
        <v>99</v>
      </c>
      <c r="E2933" t="s">
        <v>97</v>
      </c>
      <c r="F2933">
        <v>2600</v>
      </c>
      <c r="G2933" t="s">
        <v>331</v>
      </c>
      <c r="H2933" s="15">
        <v>45292</v>
      </c>
      <c r="I2933">
        <v>2600</v>
      </c>
      <c r="J2933">
        <v>0</v>
      </c>
    </row>
    <row r="2934" spans="1:10" x14ac:dyDescent="0.3">
      <c r="A2934" s="15">
        <v>45627</v>
      </c>
      <c r="B2934" t="s">
        <v>289</v>
      </c>
      <c r="C2934" t="s">
        <v>91</v>
      </c>
      <c r="D2934" t="s">
        <v>86</v>
      </c>
      <c r="E2934" t="s">
        <v>101</v>
      </c>
      <c r="F2934">
        <v>9400</v>
      </c>
      <c r="G2934" t="s">
        <v>331</v>
      </c>
      <c r="H2934" s="15">
        <v>45292</v>
      </c>
      <c r="I2934">
        <v>9400</v>
      </c>
      <c r="J2934">
        <v>0</v>
      </c>
    </row>
    <row r="2935" spans="1:10" x14ac:dyDescent="0.3">
      <c r="A2935" s="15">
        <v>45627</v>
      </c>
      <c r="B2935" t="s">
        <v>290</v>
      </c>
      <c r="C2935" t="s">
        <v>81</v>
      </c>
      <c r="D2935" t="s">
        <v>82</v>
      </c>
      <c r="E2935" t="s">
        <v>103</v>
      </c>
      <c r="F2935">
        <v>2500</v>
      </c>
      <c r="G2935" t="s">
        <v>331</v>
      </c>
      <c r="H2935" s="15">
        <v>45292</v>
      </c>
      <c r="I2935">
        <v>2500</v>
      </c>
      <c r="J2935">
        <v>0</v>
      </c>
    </row>
    <row r="2936" spans="1:10" x14ac:dyDescent="0.3">
      <c r="A2936" s="15">
        <v>45627</v>
      </c>
      <c r="B2936" t="s">
        <v>291</v>
      </c>
      <c r="C2936" t="s">
        <v>81</v>
      </c>
      <c r="D2936" t="s">
        <v>82</v>
      </c>
      <c r="E2936" t="s">
        <v>83</v>
      </c>
      <c r="F2936">
        <v>3100</v>
      </c>
      <c r="G2936" t="s">
        <v>331</v>
      </c>
      <c r="H2936" s="15">
        <v>45292</v>
      </c>
      <c r="I2936">
        <v>3100</v>
      </c>
      <c r="J2936">
        <v>0</v>
      </c>
    </row>
    <row r="2937" spans="1:10" x14ac:dyDescent="0.3">
      <c r="A2937" s="15">
        <v>45627</v>
      </c>
      <c r="B2937" t="s">
        <v>292</v>
      </c>
      <c r="C2937" t="s">
        <v>91</v>
      </c>
      <c r="D2937" t="s">
        <v>86</v>
      </c>
      <c r="E2937" t="s">
        <v>89</v>
      </c>
      <c r="F2937">
        <v>8600</v>
      </c>
      <c r="G2937" t="s">
        <v>331</v>
      </c>
      <c r="H2937" s="15">
        <v>45292</v>
      </c>
      <c r="I2937">
        <v>8600</v>
      </c>
      <c r="J2937">
        <v>0</v>
      </c>
    </row>
    <row r="2938" spans="1:10" x14ac:dyDescent="0.3">
      <c r="A2938" s="15">
        <v>45627</v>
      </c>
      <c r="B2938" t="s">
        <v>293</v>
      </c>
      <c r="C2938" t="s">
        <v>81</v>
      </c>
      <c r="D2938" t="s">
        <v>86</v>
      </c>
      <c r="E2938" t="s">
        <v>103</v>
      </c>
      <c r="F2938">
        <v>2200</v>
      </c>
      <c r="G2938" t="s">
        <v>331</v>
      </c>
      <c r="H2938" s="15">
        <v>45292</v>
      </c>
      <c r="I2938">
        <v>2200</v>
      </c>
      <c r="J2938">
        <v>0</v>
      </c>
    </row>
    <row r="2939" spans="1:10" x14ac:dyDescent="0.3">
      <c r="A2939" s="15">
        <v>45627</v>
      </c>
      <c r="B2939" t="s">
        <v>294</v>
      </c>
      <c r="C2939" t="s">
        <v>91</v>
      </c>
      <c r="D2939" t="s">
        <v>82</v>
      </c>
      <c r="E2939" t="s">
        <v>97</v>
      </c>
      <c r="F2939">
        <v>10400</v>
      </c>
      <c r="G2939" t="s">
        <v>331</v>
      </c>
      <c r="H2939" s="15">
        <v>45292</v>
      </c>
      <c r="I2939">
        <v>10400</v>
      </c>
      <c r="J2939">
        <v>0</v>
      </c>
    </row>
    <row r="2940" spans="1:10" x14ac:dyDescent="0.3">
      <c r="A2940" s="15">
        <v>45627</v>
      </c>
      <c r="B2940" t="s">
        <v>295</v>
      </c>
      <c r="C2940" t="s">
        <v>81</v>
      </c>
      <c r="D2940" t="s">
        <v>82</v>
      </c>
      <c r="E2940" t="s">
        <v>103</v>
      </c>
      <c r="F2940">
        <v>2300</v>
      </c>
      <c r="G2940" t="s">
        <v>331</v>
      </c>
      <c r="H2940" s="15">
        <v>45292</v>
      </c>
      <c r="I2940">
        <v>2300</v>
      </c>
      <c r="J2940">
        <v>0</v>
      </c>
    </row>
    <row r="2941" spans="1:10" x14ac:dyDescent="0.3">
      <c r="A2941" s="15">
        <v>45627</v>
      </c>
      <c r="B2941" t="s">
        <v>297</v>
      </c>
      <c r="C2941" t="s">
        <v>91</v>
      </c>
      <c r="D2941" t="s">
        <v>86</v>
      </c>
      <c r="E2941" t="s">
        <v>103</v>
      </c>
      <c r="F2941">
        <v>9100</v>
      </c>
      <c r="G2941" t="s">
        <v>331</v>
      </c>
      <c r="H2941" s="15">
        <v>45292</v>
      </c>
      <c r="I2941">
        <v>9100</v>
      </c>
      <c r="J2941">
        <v>0</v>
      </c>
    </row>
    <row r="2942" spans="1:10" x14ac:dyDescent="0.3">
      <c r="A2942" s="15">
        <v>45627</v>
      </c>
      <c r="B2942" t="s">
        <v>298</v>
      </c>
      <c r="C2942" t="s">
        <v>81</v>
      </c>
      <c r="D2942" t="s">
        <v>86</v>
      </c>
      <c r="E2942" t="s">
        <v>89</v>
      </c>
      <c r="F2942">
        <v>2700</v>
      </c>
      <c r="G2942" t="s">
        <v>331</v>
      </c>
      <c r="H2942" s="15">
        <v>45292</v>
      </c>
      <c r="I2942">
        <v>2700</v>
      </c>
      <c r="J2942">
        <v>0</v>
      </c>
    </row>
    <row r="2943" spans="1:10" x14ac:dyDescent="0.3">
      <c r="A2943" s="15">
        <v>45627</v>
      </c>
      <c r="B2943" t="s">
        <v>299</v>
      </c>
      <c r="C2943" t="s">
        <v>81</v>
      </c>
      <c r="D2943" t="s">
        <v>99</v>
      </c>
      <c r="E2943" t="s">
        <v>103</v>
      </c>
      <c r="F2943">
        <v>2900</v>
      </c>
      <c r="G2943" t="s">
        <v>331</v>
      </c>
      <c r="H2943" s="15">
        <v>45292</v>
      </c>
      <c r="I2943">
        <v>2900</v>
      </c>
      <c r="J2943">
        <v>0</v>
      </c>
    </row>
    <row r="2944" spans="1:10" x14ac:dyDescent="0.3">
      <c r="A2944" s="15">
        <v>45627</v>
      </c>
      <c r="B2944" t="s">
        <v>300</v>
      </c>
      <c r="C2944" t="s">
        <v>91</v>
      </c>
      <c r="D2944" t="s">
        <v>82</v>
      </c>
      <c r="E2944" t="s">
        <v>89</v>
      </c>
      <c r="F2944">
        <v>11500</v>
      </c>
      <c r="G2944" t="s">
        <v>332</v>
      </c>
      <c r="H2944" s="15">
        <v>45292</v>
      </c>
      <c r="I2944">
        <v>10900</v>
      </c>
      <c r="J2944">
        <v>600</v>
      </c>
    </row>
    <row r="2945" spans="1:10" x14ac:dyDescent="0.3">
      <c r="A2945" s="15">
        <v>45627</v>
      </c>
      <c r="B2945" t="s">
        <v>303</v>
      </c>
      <c r="C2945" t="s">
        <v>81</v>
      </c>
      <c r="D2945" t="s">
        <v>82</v>
      </c>
      <c r="E2945" t="s">
        <v>83</v>
      </c>
      <c r="F2945">
        <v>1500</v>
      </c>
      <c r="G2945" t="s">
        <v>331</v>
      </c>
      <c r="H2945" s="15">
        <v>45292</v>
      </c>
      <c r="I2945">
        <v>1500</v>
      </c>
      <c r="J2945">
        <v>0</v>
      </c>
    </row>
    <row r="2946" spans="1:10" x14ac:dyDescent="0.3">
      <c r="A2946" s="15">
        <v>45627</v>
      </c>
      <c r="B2946" t="s">
        <v>304</v>
      </c>
      <c r="C2946" t="s">
        <v>81</v>
      </c>
      <c r="D2946" t="s">
        <v>86</v>
      </c>
      <c r="E2946" t="s">
        <v>92</v>
      </c>
      <c r="F2946">
        <v>2100</v>
      </c>
      <c r="G2946" t="s">
        <v>331</v>
      </c>
      <c r="H2946" s="15">
        <v>45292</v>
      </c>
      <c r="I2946">
        <v>2100</v>
      </c>
      <c r="J2946">
        <v>0</v>
      </c>
    </row>
    <row r="2947" spans="1:10" x14ac:dyDescent="0.3">
      <c r="A2947" s="15">
        <v>45627</v>
      </c>
      <c r="B2947" t="s">
        <v>306</v>
      </c>
      <c r="C2947" t="s">
        <v>91</v>
      </c>
      <c r="D2947" t="s">
        <v>82</v>
      </c>
      <c r="E2947" t="s">
        <v>87</v>
      </c>
      <c r="F2947">
        <v>11700</v>
      </c>
      <c r="G2947" t="s">
        <v>331</v>
      </c>
      <c r="H2947" s="15">
        <v>45292</v>
      </c>
      <c r="I2947">
        <v>11700</v>
      </c>
      <c r="J2947">
        <v>0</v>
      </c>
    </row>
    <row r="2948" spans="1:10" x14ac:dyDescent="0.3">
      <c r="A2948" s="15">
        <v>45627</v>
      </c>
      <c r="B2948" t="s">
        <v>307</v>
      </c>
      <c r="C2948" t="s">
        <v>81</v>
      </c>
      <c r="D2948" t="s">
        <v>86</v>
      </c>
      <c r="E2948" t="s">
        <v>97</v>
      </c>
      <c r="F2948">
        <v>2600</v>
      </c>
      <c r="G2948" t="s">
        <v>331</v>
      </c>
      <c r="H2948" s="15">
        <v>45292</v>
      </c>
      <c r="I2948">
        <v>2600</v>
      </c>
      <c r="J2948">
        <v>0</v>
      </c>
    </row>
    <row r="2949" spans="1:10" x14ac:dyDescent="0.3">
      <c r="A2949" s="15">
        <v>45627</v>
      </c>
      <c r="B2949" t="s">
        <v>308</v>
      </c>
      <c r="C2949" t="s">
        <v>91</v>
      </c>
      <c r="D2949" t="s">
        <v>86</v>
      </c>
      <c r="E2949" t="s">
        <v>92</v>
      </c>
      <c r="F2949">
        <v>8000</v>
      </c>
      <c r="G2949" t="s">
        <v>331</v>
      </c>
      <c r="H2949" s="15">
        <v>45292</v>
      </c>
      <c r="I2949">
        <v>8000</v>
      </c>
      <c r="J2949">
        <v>0</v>
      </c>
    </row>
    <row r="2950" spans="1:10" x14ac:dyDescent="0.3">
      <c r="A2950" s="15">
        <v>45627</v>
      </c>
      <c r="B2950" t="s">
        <v>309</v>
      </c>
      <c r="C2950" t="s">
        <v>91</v>
      </c>
      <c r="D2950" t="s">
        <v>82</v>
      </c>
      <c r="E2950" t="s">
        <v>87</v>
      </c>
      <c r="F2950">
        <v>10700</v>
      </c>
      <c r="G2950" t="s">
        <v>332</v>
      </c>
      <c r="H2950" s="15">
        <v>45292</v>
      </c>
      <c r="I2950">
        <v>9700</v>
      </c>
      <c r="J2950">
        <v>1000</v>
      </c>
    </row>
    <row r="2951" spans="1:10" x14ac:dyDescent="0.3">
      <c r="A2951" s="15">
        <v>45627</v>
      </c>
      <c r="B2951" t="s">
        <v>310</v>
      </c>
      <c r="C2951" t="s">
        <v>91</v>
      </c>
      <c r="D2951" t="s">
        <v>99</v>
      </c>
      <c r="E2951" t="s">
        <v>87</v>
      </c>
      <c r="F2951">
        <v>10000</v>
      </c>
      <c r="G2951" t="s">
        <v>331</v>
      </c>
      <c r="H2951" s="15">
        <v>45292</v>
      </c>
      <c r="I2951">
        <v>10000</v>
      </c>
      <c r="J2951">
        <v>0</v>
      </c>
    </row>
    <row r="2952" spans="1:10" x14ac:dyDescent="0.3">
      <c r="A2952" s="15">
        <v>45627</v>
      </c>
      <c r="B2952" t="s">
        <v>313</v>
      </c>
      <c r="C2952" t="s">
        <v>91</v>
      </c>
      <c r="D2952" t="s">
        <v>82</v>
      </c>
      <c r="E2952" t="s">
        <v>101</v>
      </c>
      <c r="F2952">
        <v>12700</v>
      </c>
      <c r="G2952" t="s">
        <v>331</v>
      </c>
      <c r="H2952" s="15">
        <v>45292</v>
      </c>
      <c r="I2952">
        <v>12700</v>
      </c>
      <c r="J2952">
        <v>0</v>
      </c>
    </row>
    <row r="2953" spans="1:10" x14ac:dyDescent="0.3">
      <c r="A2953" s="15">
        <v>45627</v>
      </c>
      <c r="B2953" t="s">
        <v>315</v>
      </c>
      <c r="C2953" t="s">
        <v>125</v>
      </c>
      <c r="D2953" t="s">
        <v>86</v>
      </c>
      <c r="E2953" t="s">
        <v>92</v>
      </c>
      <c r="F2953">
        <v>76200</v>
      </c>
      <c r="G2953" t="s">
        <v>331</v>
      </c>
      <c r="H2953" s="15">
        <v>45292</v>
      </c>
      <c r="I2953">
        <v>76200</v>
      </c>
      <c r="J2953">
        <v>0</v>
      </c>
    </row>
    <row r="2954" spans="1:10" x14ac:dyDescent="0.3">
      <c r="A2954" s="15">
        <v>45627</v>
      </c>
      <c r="B2954" t="s">
        <v>316</v>
      </c>
      <c r="C2954" t="s">
        <v>81</v>
      </c>
      <c r="D2954" t="s">
        <v>96</v>
      </c>
      <c r="E2954" t="s">
        <v>92</v>
      </c>
      <c r="F2954">
        <v>1800</v>
      </c>
      <c r="G2954" t="s">
        <v>331</v>
      </c>
      <c r="H2954" s="15">
        <v>45292</v>
      </c>
      <c r="I2954">
        <v>1800</v>
      </c>
      <c r="J2954">
        <v>0</v>
      </c>
    </row>
    <row r="2955" spans="1:10" x14ac:dyDescent="0.3">
      <c r="A2955" s="15">
        <v>45627</v>
      </c>
      <c r="B2955" t="s">
        <v>318</v>
      </c>
      <c r="C2955" t="s">
        <v>110</v>
      </c>
      <c r="D2955" t="s">
        <v>82</v>
      </c>
      <c r="E2955" t="s">
        <v>97</v>
      </c>
      <c r="F2955">
        <v>29600</v>
      </c>
      <c r="G2955" t="s">
        <v>331</v>
      </c>
      <c r="H2955" s="15">
        <v>45292</v>
      </c>
      <c r="I2955">
        <v>29600</v>
      </c>
      <c r="J2955">
        <v>0</v>
      </c>
    </row>
    <row r="2956" spans="1:10" x14ac:dyDescent="0.3">
      <c r="A2956" s="15">
        <v>45627</v>
      </c>
      <c r="B2956" t="s">
        <v>320</v>
      </c>
      <c r="C2956" t="s">
        <v>91</v>
      </c>
      <c r="D2956" t="s">
        <v>86</v>
      </c>
      <c r="E2956" t="s">
        <v>97</v>
      </c>
      <c r="F2956">
        <v>7700</v>
      </c>
      <c r="G2956" t="s">
        <v>331</v>
      </c>
      <c r="H2956" s="15">
        <v>45292</v>
      </c>
      <c r="I2956">
        <v>7700</v>
      </c>
      <c r="J2956">
        <v>0</v>
      </c>
    </row>
    <row r="2957" spans="1:10" x14ac:dyDescent="0.3">
      <c r="A2957" s="15">
        <v>45627</v>
      </c>
      <c r="B2957" t="s">
        <v>321</v>
      </c>
      <c r="C2957" t="s">
        <v>81</v>
      </c>
      <c r="D2957" t="s">
        <v>99</v>
      </c>
      <c r="E2957" t="s">
        <v>101</v>
      </c>
      <c r="F2957">
        <v>3300</v>
      </c>
      <c r="G2957" t="s">
        <v>331</v>
      </c>
      <c r="H2957" s="15">
        <v>45292</v>
      </c>
      <c r="I2957">
        <v>3300</v>
      </c>
      <c r="J2957">
        <v>0</v>
      </c>
    </row>
    <row r="2958" spans="1:10" x14ac:dyDescent="0.3">
      <c r="A2958" s="15">
        <v>45627</v>
      </c>
      <c r="B2958" t="s">
        <v>322</v>
      </c>
      <c r="C2958" t="s">
        <v>81</v>
      </c>
      <c r="D2958" t="s">
        <v>82</v>
      </c>
      <c r="E2958" t="s">
        <v>103</v>
      </c>
      <c r="F2958">
        <v>2000</v>
      </c>
      <c r="G2958" t="s">
        <v>331</v>
      </c>
      <c r="H2958" s="15">
        <v>45292</v>
      </c>
      <c r="I2958">
        <v>2000</v>
      </c>
      <c r="J2958">
        <v>0</v>
      </c>
    </row>
    <row r="2959" spans="1:10" x14ac:dyDescent="0.3">
      <c r="A2959" s="15">
        <v>45627</v>
      </c>
      <c r="B2959" t="s">
        <v>323</v>
      </c>
      <c r="C2959" t="s">
        <v>110</v>
      </c>
      <c r="D2959" t="s">
        <v>82</v>
      </c>
      <c r="E2959" t="s">
        <v>89</v>
      </c>
      <c r="F2959">
        <v>23400</v>
      </c>
      <c r="G2959" t="s">
        <v>331</v>
      </c>
      <c r="H2959" s="15">
        <v>45292</v>
      </c>
      <c r="I2959">
        <v>23400</v>
      </c>
      <c r="J2959">
        <v>0</v>
      </c>
    </row>
    <row r="2960" spans="1:10" x14ac:dyDescent="0.3">
      <c r="A2960" s="15">
        <v>45627</v>
      </c>
      <c r="B2960" t="s">
        <v>324</v>
      </c>
      <c r="C2960" t="s">
        <v>81</v>
      </c>
      <c r="D2960" t="s">
        <v>86</v>
      </c>
      <c r="E2960" t="s">
        <v>87</v>
      </c>
      <c r="F2960">
        <v>2700</v>
      </c>
      <c r="G2960" t="s">
        <v>331</v>
      </c>
      <c r="H2960" s="15">
        <v>45292</v>
      </c>
      <c r="I2960">
        <v>2700</v>
      </c>
      <c r="J2960">
        <v>0</v>
      </c>
    </row>
    <row r="2961" spans="1:10" x14ac:dyDescent="0.3">
      <c r="A2961" s="15">
        <v>45627</v>
      </c>
      <c r="B2961" t="s">
        <v>325</v>
      </c>
      <c r="C2961" t="s">
        <v>91</v>
      </c>
      <c r="D2961" t="s">
        <v>86</v>
      </c>
      <c r="E2961" t="s">
        <v>87</v>
      </c>
      <c r="F2961">
        <v>8800</v>
      </c>
      <c r="G2961" t="s">
        <v>331</v>
      </c>
      <c r="H2961" s="15">
        <v>45292</v>
      </c>
      <c r="I2961">
        <v>8800</v>
      </c>
      <c r="J2961">
        <v>0</v>
      </c>
    </row>
    <row r="2962" spans="1:10" x14ac:dyDescent="0.3">
      <c r="A2962" s="15">
        <v>45627</v>
      </c>
      <c r="B2962" t="s">
        <v>326</v>
      </c>
      <c r="C2962" t="s">
        <v>91</v>
      </c>
      <c r="D2962" t="s">
        <v>86</v>
      </c>
      <c r="E2962" t="s">
        <v>92</v>
      </c>
      <c r="F2962">
        <v>7900</v>
      </c>
      <c r="G2962" t="s">
        <v>331</v>
      </c>
      <c r="H2962" s="15">
        <v>45292</v>
      </c>
      <c r="I2962">
        <v>7900</v>
      </c>
      <c r="J2962">
        <v>0</v>
      </c>
    </row>
    <row r="2963" spans="1:10" x14ac:dyDescent="0.3">
      <c r="A2963" s="15">
        <v>45627</v>
      </c>
      <c r="B2963" t="s">
        <v>327</v>
      </c>
      <c r="C2963" t="s">
        <v>125</v>
      </c>
      <c r="D2963" t="s">
        <v>99</v>
      </c>
      <c r="E2963" t="s">
        <v>97</v>
      </c>
      <c r="F2963">
        <v>77500</v>
      </c>
      <c r="G2963" t="s">
        <v>331</v>
      </c>
      <c r="H2963" s="15">
        <v>45292</v>
      </c>
      <c r="I2963">
        <v>77500</v>
      </c>
      <c r="J2963">
        <v>0</v>
      </c>
    </row>
    <row r="2964" spans="1:10" x14ac:dyDescent="0.3">
      <c r="A2964" s="15">
        <v>45627</v>
      </c>
      <c r="B2964" t="s">
        <v>329</v>
      </c>
      <c r="C2964" t="s">
        <v>81</v>
      </c>
      <c r="D2964" t="s">
        <v>86</v>
      </c>
      <c r="E2964" t="s">
        <v>101</v>
      </c>
      <c r="F2964">
        <v>2200</v>
      </c>
      <c r="G2964" t="s">
        <v>331</v>
      </c>
      <c r="H2964" s="15">
        <v>45292</v>
      </c>
      <c r="I2964">
        <v>2200</v>
      </c>
      <c r="J2964">
        <v>0</v>
      </c>
    </row>
    <row r="2965" spans="1:10" x14ac:dyDescent="0.3">
      <c r="A2965" s="15">
        <v>45627</v>
      </c>
      <c r="B2965" t="s">
        <v>330</v>
      </c>
      <c r="C2965" t="s">
        <v>125</v>
      </c>
      <c r="D2965" t="s">
        <v>86</v>
      </c>
      <c r="E2965" t="s">
        <v>87</v>
      </c>
      <c r="F2965">
        <v>105400</v>
      </c>
      <c r="G2965" t="s">
        <v>331</v>
      </c>
      <c r="H2965" s="15">
        <v>45292</v>
      </c>
      <c r="I2965">
        <v>105400</v>
      </c>
      <c r="J2965">
        <v>0</v>
      </c>
    </row>
    <row r="2966" spans="1:10" x14ac:dyDescent="0.3">
      <c r="A2966" s="15">
        <v>45627</v>
      </c>
      <c r="B2966" t="s">
        <v>335</v>
      </c>
      <c r="C2966" t="s">
        <v>91</v>
      </c>
      <c r="D2966" t="s">
        <v>86</v>
      </c>
      <c r="E2966" t="s">
        <v>89</v>
      </c>
      <c r="F2966">
        <v>7300</v>
      </c>
      <c r="G2966" t="s">
        <v>331</v>
      </c>
      <c r="H2966" s="15">
        <v>45323</v>
      </c>
      <c r="I2966">
        <v>7300</v>
      </c>
      <c r="J2966">
        <v>0</v>
      </c>
    </row>
    <row r="2967" spans="1:10" x14ac:dyDescent="0.3">
      <c r="A2967" s="15">
        <v>45627</v>
      </c>
      <c r="B2967" t="s">
        <v>336</v>
      </c>
      <c r="C2967" t="s">
        <v>81</v>
      </c>
      <c r="D2967" t="s">
        <v>82</v>
      </c>
      <c r="E2967" t="s">
        <v>103</v>
      </c>
      <c r="F2967">
        <v>1500</v>
      </c>
      <c r="G2967" t="s">
        <v>331</v>
      </c>
      <c r="H2967" s="15">
        <v>45323</v>
      </c>
      <c r="I2967">
        <v>1500</v>
      </c>
      <c r="J2967">
        <v>0</v>
      </c>
    </row>
    <row r="2968" spans="1:10" x14ac:dyDescent="0.3">
      <c r="A2968" s="15">
        <v>45627</v>
      </c>
      <c r="B2968" t="s">
        <v>337</v>
      </c>
      <c r="C2968" t="s">
        <v>91</v>
      </c>
      <c r="D2968" t="s">
        <v>82</v>
      </c>
      <c r="E2968" t="s">
        <v>92</v>
      </c>
      <c r="F2968">
        <v>6200</v>
      </c>
      <c r="G2968" t="s">
        <v>331</v>
      </c>
      <c r="H2968" s="15">
        <v>45323</v>
      </c>
      <c r="I2968">
        <v>6200</v>
      </c>
      <c r="J2968">
        <v>0</v>
      </c>
    </row>
    <row r="2969" spans="1:10" x14ac:dyDescent="0.3">
      <c r="A2969" s="15">
        <v>45627</v>
      </c>
      <c r="B2969" t="s">
        <v>339</v>
      </c>
      <c r="C2969" t="s">
        <v>81</v>
      </c>
      <c r="D2969" t="s">
        <v>82</v>
      </c>
      <c r="E2969" t="s">
        <v>103</v>
      </c>
      <c r="F2969">
        <v>1600</v>
      </c>
      <c r="G2969" t="s">
        <v>331</v>
      </c>
      <c r="H2969" s="15">
        <v>45323</v>
      </c>
      <c r="I2969">
        <v>1600</v>
      </c>
      <c r="J2969">
        <v>0</v>
      </c>
    </row>
    <row r="2970" spans="1:10" x14ac:dyDescent="0.3">
      <c r="A2970" s="15">
        <v>45627</v>
      </c>
      <c r="B2970" t="s">
        <v>340</v>
      </c>
      <c r="C2970" t="s">
        <v>81</v>
      </c>
      <c r="D2970" t="s">
        <v>82</v>
      </c>
      <c r="E2970" t="s">
        <v>87</v>
      </c>
      <c r="F2970">
        <v>1800</v>
      </c>
      <c r="G2970" t="s">
        <v>331</v>
      </c>
      <c r="H2970" s="15">
        <v>45323</v>
      </c>
      <c r="I2970">
        <v>1800</v>
      </c>
      <c r="J2970">
        <v>0</v>
      </c>
    </row>
    <row r="2971" spans="1:10" x14ac:dyDescent="0.3">
      <c r="A2971" s="15">
        <v>45627</v>
      </c>
      <c r="B2971" t="s">
        <v>341</v>
      </c>
      <c r="C2971" t="s">
        <v>110</v>
      </c>
      <c r="D2971" t="s">
        <v>82</v>
      </c>
      <c r="E2971" t="s">
        <v>92</v>
      </c>
      <c r="F2971">
        <v>18800</v>
      </c>
      <c r="G2971" t="s">
        <v>331</v>
      </c>
      <c r="H2971" s="15">
        <v>45323</v>
      </c>
      <c r="I2971">
        <v>18800</v>
      </c>
      <c r="J2971">
        <v>0</v>
      </c>
    </row>
    <row r="2972" spans="1:10" x14ac:dyDescent="0.3">
      <c r="A2972" s="15">
        <v>45627</v>
      </c>
      <c r="B2972" t="s">
        <v>342</v>
      </c>
      <c r="C2972" t="s">
        <v>91</v>
      </c>
      <c r="D2972" t="s">
        <v>82</v>
      </c>
      <c r="E2972" t="s">
        <v>83</v>
      </c>
      <c r="F2972">
        <v>7100</v>
      </c>
      <c r="G2972" t="s">
        <v>331</v>
      </c>
      <c r="H2972" s="15">
        <v>45352</v>
      </c>
      <c r="I2972">
        <v>7100</v>
      </c>
      <c r="J2972">
        <v>0</v>
      </c>
    </row>
    <row r="2973" spans="1:10" x14ac:dyDescent="0.3">
      <c r="A2973" s="15">
        <v>45627</v>
      </c>
      <c r="B2973" t="s">
        <v>343</v>
      </c>
      <c r="C2973" t="s">
        <v>81</v>
      </c>
      <c r="D2973" t="s">
        <v>82</v>
      </c>
      <c r="E2973" t="s">
        <v>89</v>
      </c>
      <c r="F2973">
        <v>2500</v>
      </c>
      <c r="G2973" t="s">
        <v>331</v>
      </c>
      <c r="H2973" s="15">
        <v>45352</v>
      </c>
      <c r="I2973">
        <v>2500</v>
      </c>
      <c r="J2973">
        <v>0</v>
      </c>
    </row>
    <row r="2974" spans="1:10" x14ac:dyDescent="0.3">
      <c r="A2974" s="15">
        <v>45627</v>
      </c>
      <c r="B2974" t="s">
        <v>344</v>
      </c>
      <c r="C2974" t="s">
        <v>110</v>
      </c>
      <c r="D2974" t="s">
        <v>86</v>
      </c>
      <c r="E2974" t="s">
        <v>89</v>
      </c>
      <c r="F2974">
        <v>21100</v>
      </c>
      <c r="G2974" t="s">
        <v>331</v>
      </c>
      <c r="H2974" s="15">
        <v>45352</v>
      </c>
      <c r="I2974">
        <v>21100</v>
      </c>
      <c r="J2974">
        <v>0</v>
      </c>
    </row>
    <row r="2975" spans="1:10" x14ac:dyDescent="0.3">
      <c r="A2975" s="15">
        <v>45627</v>
      </c>
      <c r="B2975" t="s">
        <v>345</v>
      </c>
      <c r="C2975" t="s">
        <v>91</v>
      </c>
      <c r="D2975" t="s">
        <v>86</v>
      </c>
      <c r="E2975" t="s">
        <v>83</v>
      </c>
      <c r="F2975">
        <v>6900</v>
      </c>
      <c r="G2975" t="s">
        <v>331</v>
      </c>
      <c r="H2975" s="15">
        <v>45352</v>
      </c>
      <c r="I2975">
        <v>6900</v>
      </c>
      <c r="J2975">
        <v>0</v>
      </c>
    </row>
    <row r="2976" spans="1:10" x14ac:dyDescent="0.3">
      <c r="A2976" s="15">
        <v>45627</v>
      </c>
      <c r="B2976" t="s">
        <v>346</v>
      </c>
      <c r="C2976" t="s">
        <v>81</v>
      </c>
      <c r="D2976" t="s">
        <v>86</v>
      </c>
      <c r="E2976" t="s">
        <v>97</v>
      </c>
      <c r="F2976">
        <v>1700</v>
      </c>
      <c r="G2976" t="s">
        <v>331</v>
      </c>
      <c r="H2976" s="15">
        <v>45352</v>
      </c>
      <c r="I2976">
        <v>1700</v>
      </c>
      <c r="J2976">
        <v>0</v>
      </c>
    </row>
    <row r="2977" spans="1:10" x14ac:dyDescent="0.3">
      <c r="A2977" s="15">
        <v>45627</v>
      </c>
      <c r="B2977" t="s">
        <v>347</v>
      </c>
      <c r="C2977" t="s">
        <v>91</v>
      </c>
      <c r="D2977" t="s">
        <v>82</v>
      </c>
      <c r="E2977" t="s">
        <v>83</v>
      </c>
      <c r="F2977">
        <v>4700</v>
      </c>
      <c r="G2977" t="s">
        <v>331</v>
      </c>
      <c r="H2977" s="15">
        <v>45383</v>
      </c>
      <c r="I2977">
        <v>4700</v>
      </c>
      <c r="J2977">
        <v>0</v>
      </c>
    </row>
    <row r="2978" spans="1:10" x14ac:dyDescent="0.3">
      <c r="A2978" s="15">
        <v>45627</v>
      </c>
      <c r="B2978" t="s">
        <v>350</v>
      </c>
      <c r="C2978" t="s">
        <v>91</v>
      </c>
      <c r="D2978" t="s">
        <v>82</v>
      </c>
      <c r="E2978" t="s">
        <v>83</v>
      </c>
      <c r="F2978">
        <v>4800</v>
      </c>
      <c r="G2978" t="s">
        <v>331</v>
      </c>
      <c r="H2978" s="15">
        <v>45383</v>
      </c>
      <c r="I2978">
        <v>4800</v>
      </c>
      <c r="J2978">
        <v>0</v>
      </c>
    </row>
    <row r="2979" spans="1:10" x14ac:dyDescent="0.3">
      <c r="A2979" s="15">
        <v>45627</v>
      </c>
      <c r="B2979" t="s">
        <v>351</v>
      </c>
      <c r="C2979" t="s">
        <v>81</v>
      </c>
      <c r="D2979" t="s">
        <v>86</v>
      </c>
      <c r="E2979" t="s">
        <v>83</v>
      </c>
      <c r="F2979">
        <v>2300</v>
      </c>
      <c r="G2979" t="s">
        <v>331</v>
      </c>
      <c r="H2979" s="15">
        <v>45383</v>
      </c>
      <c r="I2979">
        <v>2300</v>
      </c>
      <c r="J2979">
        <v>0</v>
      </c>
    </row>
    <row r="2980" spans="1:10" x14ac:dyDescent="0.3">
      <c r="A2980" s="15">
        <v>45627</v>
      </c>
      <c r="B2980" t="s">
        <v>352</v>
      </c>
      <c r="C2980" t="s">
        <v>91</v>
      </c>
      <c r="D2980" t="s">
        <v>82</v>
      </c>
      <c r="E2980" t="s">
        <v>89</v>
      </c>
      <c r="F2980">
        <v>7100</v>
      </c>
      <c r="G2980" t="s">
        <v>332</v>
      </c>
      <c r="H2980" s="15">
        <v>45383</v>
      </c>
      <c r="I2980">
        <v>6600</v>
      </c>
      <c r="J2980">
        <v>500</v>
      </c>
    </row>
    <row r="2981" spans="1:10" x14ac:dyDescent="0.3">
      <c r="A2981" s="15">
        <v>45627</v>
      </c>
      <c r="B2981" t="s">
        <v>353</v>
      </c>
      <c r="C2981" t="s">
        <v>81</v>
      </c>
      <c r="D2981" t="s">
        <v>99</v>
      </c>
      <c r="E2981" t="s">
        <v>103</v>
      </c>
      <c r="F2981">
        <v>1200</v>
      </c>
      <c r="G2981" t="s">
        <v>331</v>
      </c>
      <c r="H2981" s="15">
        <v>45383</v>
      </c>
      <c r="I2981">
        <v>1200</v>
      </c>
      <c r="J2981">
        <v>0</v>
      </c>
    </row>
    <row r="2982" spans="1:10" x14ac:dyDescent="0.3">
      <c r="A2982" s="15">
        <v>45627</v>
      </c>
      <c r="B2982" t="s">
        <v>354</v>
      </c>
      <c r="C2982" t="s">
        <v>81</v>
      </c>
      <c r="D2982" t="s">
        <v>82</v>
      </c>
      <c r="E2982" t="s">
        <v>92</v>
      </c>
      <c r="F2982">
        <v>1800</v>
      </c>
      <c r="G2982" t="s">
        <v>331</v>
      </c>
      <c r="H2982" s="15">
        <v>45413</v>
      </c>
      <c r="I2982">
        <v>1800</v>
      </c>
      <c r="J2982">
        <v>0</v>
      </c>
    </row>
    <row r="2983" spans="1:10" x14ac:dyDescent="0.3">
      <c r="A2983" s="15">
        <v>45627</v>
      </c>
      <c r="B2983" t="s">
        <v>355</v>
      </c>
      <c r="C2983" t="s">
        <v>81</v>
      </c>
      <c r="D2983" t="s">
        <v>86</v>
      </c>
      <c r="E2983" t="s">
        <v>97</v>
      </c>
      <c r="F2983">
        <v>2200</v>
      </c>
      <c r="G2983" t="s">
        <v>331</v>
      </c>
      <c r="H2983" s="15">
        <v>45413</v>
      </c>
      <c r="I2983">
        <v>2200</v>
      </c>
      <c r="J2983">
        <v>0</v>
      </c>
    </row>
    <row r="2984" spans="1:10" x14ac:dyDescent="0.3">
      <c r="A2984" s="15">
        <v>45627</v>
      </c>
      <c r="B2984" t="s">
        <v>356</v>
      </c>
      <c r="C2984" t="s">
        <v>110</v>
      </c>
      <c r="D2984" t="s">
        <v>82</v>
      </c>
      <c r="E2984" t="s">
        <v>97</v>
      </c>
      <c r="F2984">
        <v>33000</v>
      </c>
      <c r="G2984" t="s">
        <v>331</v>
      </c>
      <c r="H2984" s="15">
        <v>45413</v>
      </c>
      <c r="I2984">
        <v>33000</v>
      </c>
      <c r="J2984">
        <v>0</v>
      </c>
    </row>
    <row r="2985" spans="1:10" x14ac:dyDescent="0.3">
      <c r="A2985" s="15">
        <v>45627</v>
      </c>
      <c r="B2985" t="s">
        <v>357</v>
      </c>
      <c r="C2985" t="s">
        <v>125</v>
      </c>
      <c r="D2985" t="s">
        <v>86</v>
      </c>
      <c r="E2985" t="s">
        <v>97</v>
      </c>
      <c r="F2985">
        <v>72100</v>
      </c>
      <c r="G2985" t="s">
        <v>331</v>
      </c>
      <c r="H2985" s="15">
        <v>45413</v>
      </c>
      <c r="I2985">
        <v>72100</v>
      </c>
      <c r="J2985">
        <v>0</v>
      </c>
    </row>
    <row r="2986" spans="1:10" x14ac:dyDescent="0.3">
      <c r="A2986" s="15">
        <v>45627</v>
      </c>
      <c r="B2986" t="s">
        <v>358</v>
      </c>
      <c r="C2986" t="s">
        <v>110</v>
      </c>
      <c r="D2986" t="s">
        <v>86</v>
      </c>
      <c r="E2986" t="s">
        <v>83</v>
      </c>
      <c r="F2986">
        <v>21800</v>
      </c>
      <c r="G2986" t="s">
        <v>331</v>
      </c>
      <c r="H2986" s="15">
        <v>45413</v>
      </c>
      <c r="I2986">
        <v>21800</v>
      </c>
      <c r="J2986">
        <v>0</v>
      </c>
    </row>
    <row r="2987" spans="1:10" x14ac:dyDescent="0.3">
      <c r="A2987" s="15">
        <v>45627</v>
      </c>
      <c r="B2987" t="s">
        <v>359</v>
      </c>
      <c r="C2987" t="s">
        <v>110</v>
      </c>
      <c r="D2987" t="s">
        <v>86</v>
      </c>
      <c r="E2987" t="s">
        <v>101</v>
      </c>
      <c r="F2987">
        <v>31400</v>
      </c>
      <c r="G2987" t="s">
        <v>331</v>
      </c>
      <c r="H2987" s="15">
        <v>45413</v>
      </c>
      <c r="I2987">
        <v>31400</v>
      </c>
      <c r="J2987">
        <v>0</v>
      </c>
    </row>
    <row r="2988" spans="1:10" x14ac:dyDescent="0.3">
      <c r="A2988" s="15">
        <v>45627</v>
      </c>
      <c r="B2988" t="s">
        <v>360</v>
      </c>
      <c r="C2988" t="s">
        <v>91</v>
      </c>
      <c r="D2988" t="s">
        <v>86</v>
      </c>
      <c r="E2988" t="s">
        <v>103</v>
      </c>
      <c r="F2988">
        <v>6300</v>
      </c>
      <c r="G2988" t="s">
        <v>332</v>
      </c>
      <c r="H2988" s="15">
        <v>45444</v>
      </c>
      <c r="I2988">
        <v>5700</v>
      </c>
      <c r="J2988">
        <v>600</v>
      </c>
    </row>
    <row r="2989" spans="1:10" x14ac:dyDescent="0.3">
      <c r="A2989" s="15">
        <v>45627</v>
      </c>
      <c r="B2989" t="s">
        <v>361</v>
      </c>
      <c r="C2989" t="s">
        <v>91</v>
      </c>
      <c r="D2989" t="s">
        <v>86</v>
      </c>
      <c r="E2989" t="s">
        <v>83</v>
      </c>
      <c r="F2989">
        <v>5700</v>
      </c>
      <c r="G2989" t="s">
        <v>331</v>
      </c>
      <c r="H2989" s="15">
        <v>45444</v>
      </c>
      <c r="I2989">
        <v>5700</v>
      </c>
      <c r="J2989">
        <v>0</v>
      </c>
    </row>
    <row r="2990" spans="1:10" x14ac:dyDescent="0.3">
      <c r="A2990" s="15">
        <v>45627</v>
      </c>
      <c r="B2990" t="s">
        <v>362</v>
      </c>
      <c r="C2990" t="s">
        <v>91</v>
      </c>
      <c r="D2990" t="s">
        <v>82</v>
      </c>
      <c r="E2990" t="s">
        <v>101</v>
      </c>
      <c r="F2990">
        <v>5400</v>
      </c>
      <c r="G2990" t="s">
        <v>331</v>
      </c>
      <c r="H2990" s="15">
        <v>45444</v>
      </c>
      <c r="I2990">
        <v>5400</v>
      </c>
      <c r="J2990">
        <v>0</v>
      </c>
    </row>
    <row r="2991" spans="1:10" x14ac:dyDescent="0.3">
      <c r="A2991" s="15">
        <v>45627</v>
      </c>
      <c r="B2991" t="s">
        <v>363</v>
      </c>
      <c r="C2991" t="s">
        <v>91</v>
      </c>
      <c r="D2991" t="s">
        <v>86</v>
      </c>
      <c r="E2991" t="s">
        <v>83</v>
      </c>
      <c r="F2991">
        <v>4400</v>
      </c>
      <c r="G2991" t="s">
        <v>331</v>
      </c>
      <c r="H2991" s="15">
        <v>45444</v>
      </c>
      <c r="I2991">
        <v>4400</v>
      </c>
      <c r="J2991">
        <v>0</v>
      </c>
    </row>
    <row r="2992" spans="1:10" x14ac:dyDescent="0.3">
      <c r="A2992" s="15">
        <v>45627</v>
      </c>
      <c r="B2992" t="s">
        <v>364</v>
      </c>
      <c r="C2992" t="s">
        <v>91</v>
      </c>
      <c r="D2992" t="s">
        <v>82</v>
      </c>
      <c r="E2992" t="s">
        <v>101</v>
      </c>
      <c r="F2992">
        <v>6700</v>
      </c>
      <c r="G2992" t="s">
        <v>331</v>
      </c>
      <c r="H2992" s="15">
        <v>45444</v>
      </c>
      <c r="I2992">
        <v>6700</v>
      </c>
      <c r="J2992">
        <v>0</v>
      </c>
    </row>
    <row r="2993" spans="1:10" x14ac:dyDescent="0.3">
      <c r="A2993" s="15">
        <v>45627</v>
      </c>
      <c r="B2993" t="s">
        <v>366</v>
      </c>
      <c r="C2993" t="s">
        <v>81</v>
      </c>
      <c r="D2993" t="s">
        <v>99</v>
      </c>
      <c r="E2993" t="s">
        <v>92</v>
      </c>
      <c r="F2993">
        <v>1600</v>
      </c>
      <c r="G2993" t="s">
        <v>331</v>
      </c>
      <c r="H2993" s="15">
        <v>45474</v>
      </c>
      <c r="I2993">
        <v>1600</v>
      </c>
      <c r="J2993">
        <v>0</v>
      </c>
    </row>
    <row r="2994" spans="1:10" x14ac:dyDescent="0.3">
      <c r="A2994" s="15">
        <v>45627</v>
      </c>
      <c r="B2994" t="s">
        <v>367</v>
      </c>
      <c r="C2994" t="s">
        <v>91</v>
      </c>
      <c r="D2994" t="s">
        <v>82</v>
      </c>
      <c r="E2994" t="s">
        <v>92</v>
      </c>
      <c r="F2994">
        <v>5800</v>
      </c>
      <c r="G2994" t="s">
        <v>331</v>
      </c>
      <c r="H2994" s="15">
        <v>45474</v>
      </c>
      <c r="I2994">
        <v>5800</v>
      </c>
      <c r="J2994">
        <v>0</v>
      </c>
    </row>
    <row r="2995" spans="1:10" x14ac:dyDescent="0.3">
      <c r="A2995" s="15">
        <v>45627</v>
      </c>
      <c r="B2995" t="s">
        <v>368</v>
      </c>
      <c r="C2995" t="s">
        <v>81</v>
      </c>
      <c r="D2995" t="s">
        <v>86</v>
      </c>
      <c r="E2995" t="s">
        <v>89</v>
      </c>
      <c r="F2995">
        <v>1400</v>
      </c>
      <c r="G2995" t="s">
        <v>331</v>
      </c>
      <c r="H2995" s="15">
        <v>45474</v>
      </c>
      <c r="I2995">
        <v>1400</v>
      </c>
      <c r="J2995">
        <v>0</v>
      </c>
    </row>
    <row r="2996" spans="1:10" x14ac:dyDescent="0.3">
      <c r="A2996" s="15">
        <v>45627</v>
      </c>
      <c r="B2996" t="s">
        <v>369</v>
      </c>
      <c r="C2996" t="s">
        <v>81</v>
      </c>
      <c r="D2996" t="s">
        <v>86</v>
      </c>
      <c r="E2996" t="s">
        <v>83</v>
      </c>
      <c r="F2996">
        <v>2000</v>
      </c>
      <c r="G2996" t="s">
        <v>331</v>
      </c>
      <c r="H2996" s="15">
        <v>45474</v>
      </c>
      <c r="I2996">
        <v>2000</v>
      </c>
      <c r="J2996">
        <v>0</v>
      </c>
    </row>
    <row r="2997" spans="1:10" x14ac:dyDescent="0.3">
      <c r="A2997" s="15">
        <v>45627</v>
      </c>
      <c r="B2997" t="s">
        <v>370</v>
      </c>
      <c r="C2997" t="s">
        <v>81</v>
      </c>
      <c r="D2997" t="s">
        <v>99</v>
      </c>
      <c r="E2997" t="s">
        <v>87</v>
      </c>
      <c r="F2997">
        <v>2100</v>
      </c>
      <c r="G2997" t="s">
        <v>331</v>
      </c>
      <c r="H2997" s="15">
        <v>45474</v>
      </c>
      <c r="I2997">
        <v>2100</v>
      </c>
      <c r="J2997">
        <v>0</v>
      </c>
    </row>
    <row r="2998" spans="1:10" x14ac:dyDescent="0.3">
      <c r="A2998" s="15">
        <v>45627</v>
      </c>
      <c r="B2998" t="s">
        <v>372</v>
      </c>
      <c r="C2998" t="s">
        <v>81</v>
      </c>
      <c r="D2998" t="s">
        <v>86</v>
      </c>
      <c r="E2998" t="s">
        <v>83</v>
      </c>
      <c r="F2998">
        <v>1500</v>
      </c>
      <c r="G2998" t="s">
        <v>331</v>
      </c>
      <c r="H2998" s="15">
        <v>45505</v>
      </c>
      <c r="I2998">
        <v>1500</v>
      </c>
      <c r="J2998">
        <v>0</v>
      </c>
    </row>
    <row r="2999" spans="1:10" x14ac:dyDescent="0.3">
      <c r="A2999" s="15">
        <v>45627</v>
      </c>
      <c r="B2999" t="s">
        <v>373</v>
      </c>
      <c r="C2999" t="s">
        <v>91</v>
      </c>
      <c r="D2999" t="s">
        <v>99</v>
      </c>
      <c r="E2999" t="s">
        <v>101</v>
      </c>
      <c r="F2999">
        <v>5200</v>
      </c>
      <c r="G2999" t="s">
        <v>331</v>
      </c>
      <c r="H2999" s="15">
        <v>45505</v>
      </c>
      <c r="I2999">
        <v>5200</v>
      </c>
      <c r="J2999">
        <v>0</v>
      </c>
    </row>
    <row r="3000" spans="1:10" x14ac:dyDescent="0.3">
      <c r="A3000" s="15">
        <v>45627</v>
      </c>
      <c r="B3000" t="s">
        <v>374</v>
      </c>
      <c r="C3000" t="s">
        <v>91</v>
      </c>
      <c r="D3000" t="s">
        <v>99</v>
      </c>
      <c r="E3000" t="s">
        <v>87</v>
      </c>
      <c r="F3000">
        <v>5000</v>
      </c>
      <c r="G3000" t="s">
        <v>331</v>
      </c>
      <c r="H3000" s="15">
        <v>45505</v>
      </c>
      <c r="I3000">
        <v>5000</v>
      </c>
      <c r="J3000">
        <v>0</v>
      </c>
    </row>
    <row r="3001" spans="1:10" x14ac:dyDescent="0.3">
      <c r="A3001" s="15">
        <v>45627</v>
      </c>
      <c r="B3001" t="s">
        <v>376</v>
      </c>
      <c r="C3001" t="s">
        <v>110</v>
      </c>
      <c r="D3001" t="s">
        <v>86</v>
      </c>
      <c r="E3001" t="s">
        <v>103</v>
      </c>
      <c r="F3001">
        <v>22900</v>
      </c>
      <c r="G3001" t="s">
        <v>331</v>
      </c>
      <c r="H3001" s="15">
        <v>45505</v>
      </c>
      <c r="I3001">
        <v>22900</v>
      </c>
      <c r="J3001">
        <v>0</v>
      </c>
    </row>
    <row r="3002" spans="1:10" x14ac:dyDescent="0.3">
      <c r="A3002" s="15">
        <v>45627</v>
      </c>
      <c r="B3002" t="s">
        <v>377</v>
      </c>
      <c r="C3002" t="s">
        <v>81</v>
      </c>
      <c r="D3002" t="s">
        <v>99</v>
      </c>
      <c r="E3002" t="s">
        <v>92</v>
      </c>
      <c r="F3002">
        <v>2300</v>
      </c>
      <c r="G3002" t="s">
        <v>331</v>
      </c>
      <c r="H3002" s="15">
        <v>45536</v>
      </c>
      <c r="I3002">
        <v>2300</v>
      </c>
      <c r="J3002">
        <v>0</v>
      </c>
    </row>
    <row r="3003" spans="1:10" x14ac:dyDescent="0.3">
      <c r="A3003" s="15">
        <v>45627</v>
      </c>
      <c r="B3003" t="s">
        <v>378</v>
      </c>
      <c r="C3003" t="s">
        <v>81</v>
      </c>
      <c r="D3003" t="s">
        <v>82</v>
      </c>
      <c r="E3003" t="s">
        <v>92</v>
      </c>
      <c r="F3003">
        <v>2300</v>
      </c>
      <c r="G3003" t="s">
        <v>331</v>
      </c>
      <c r="H3003" s="15">
        <v>45536</v>
      </c>
      <c r="I3003">
        <v>2300</v>
      </c>
      <c r="J3003">
        <v>0</v>
      </c>
    </row>
    <row r="3004" spans="1:10" x14ac:dyDescent="0.3">
      <c r="A3004" s="15">
        <v>45627</v>
      </c>
      <c r="B3004" t="s">
        <v>379</v>
      </c>
      <c r="C3004" t="s">
        <v>81</v>
      </c>
      <c r="D3004" t="s">
        <v>99</v>
      </c>
      <c r="E3004" t="s">
        <v>101</v>
      </c>
      <c r="F3004">
        <v>2600</v>
      </c>
      <c r="G3004" t="s">
        <v>331</v>
      </c>
      <c r="H3004" s="15">
        <v>45536</v>
      </c>
      <c r="I3004">
        <v>2600</v>
      </c>
      <c r="J3004">
        <v>0</v>
      </c>
    </row>
    <row r="3005" spans="1:10" x14ac:dyDescent="0.3">
      <c r="A3005" s="15">
        <v>45627</v>
      </c>
      <c r="B3005" t="s">
        <v>380</v>
      </c>
      <c r="C3005" t="s">
        <v>81</v>
      </c>
      <c r="D3005" t="s">
        <v>82</v>
      </c>
      <c r="E3005" t="s">
        <v>101</v>
      </c>
      <c r="F3005">
        <v>2100</v>
      </c>
      <c r="G3005" t="s">
        <v>331</v>
      </c>
      <c r="H3005" s="15">
        <v>45536</v>
      </c>
      <c r="I3005">
        <v>2100</v>
      </c>
      <c r="J3005">
        <v>0</v>
      </c>
    </row>
    <row r="3006" spans="1:10" x14ac:dyDescent="0.3">
      <c r="A3006" s="15">
        <v>45627</v>
      </c>
      <c r="B3006" t="s">
        <v>381</v>
      </c>
      <c r="C3006" t="s">
        <v>91</v>
      </c>
      <c r="D3006" t="s">
        <v>86</v>
      </c>
      <c r="E3006" t="s">
        <v>92</v>
      </c>
      <c r="F3006">
        <v>4600</v>
      </c>
      <c r="G3006" t="s">
        <v>331</v>
      </c>
      <c r="H3006" s="15">
        <v>45536</v>
      </c>
      <c r="I3006">
        <v>4600</v>
      </c>
      <c r="J3006">
        <v>0</v>
      </c>
    </row>
    <row r="3007" spans="1:10" x14ac:dyDescent="0.3">
      <c r="A3007" s="15">
        <v>45627</v>
      </c>
      <c r="B3007" t="s">
        <v>382</v>
      </c>
      <c r="C3007" t="s">
        <v>81</v>
      </c>
      <c r="D3007" t="s">
        <v>96</v>
      </c>
      <c r="E3007" t="s">
        <v>101</v>
      </c>
      <c r="F3007">
        <v>2100</v>
      </c>
      <c r="G3007" t="s">
        <v>331</v>
      </c>
      <c r="H3007" s="15">
        <v>45536</v>
      </c>
      <c r="I3007">
        <v>2100</v>
      </c>
      <c r="J3007">
        <v>0</v>
      </c>
    </row>
    <row r="3008" spans="1:10" x14ac:dyDescent="0.3">
      <c r="A3008" s="15">
        <v>45627</v>
      </c>
      <c r="B3008" t="s">
        <v>383</v>
      </c>
      <c r="C3008" t="s">
        <v>81</v>
      </c>
      <c r="D3008" t="s">
        <v>82</v>
      </c>
      <c r="E3008" t="s">
        <v>87</v>
      </c>
      <c r="F3008">
        <v>1800</v>
      </c>
      <c r="G3008" t="s">
        <v>331</v>
      </c>
      <c r="H3008" s="15">
        <v>45536</v>
      </c>
      <c r="I3008">
        <v>1800</v>
      </c>
      <c r="J3008">
        <v>0</v>
      </c>
    </row>
    <row r="3009" spans="1:10" x14ac:dyDescent="0.3">
      <c r="A3009" s="15">
        <v>45627</v>
      </c>
      <c r="B3009" t="s">
        <v>384</v>
      </c>
      <c r="C3009" t="s">
        <v>91</v>
      </c>
      <c r="D3009" t="s">
        <v>82</v>
      </c>
      <c r="E3009" t="s">
        <v>103</v>
      </c>
      <c r="F3009">
        <v>5000</v>
      </c>
      <c r="G3009" t="s">
        <v>331</v>
      </c>
      <c r="H3009" s="15">
        <v>45566</v>
      </c>
      <c r="I3009">
        <v>5000</v>
      </c>
      <c r="J3009">
        <v>0</v>
      </c>
    </row>
    <row r="3010" spans="1:10" x14ac:dyDescent="0.3">
      <c r="A3010" s="15">
        <v>45627</v>
      </c>
      <c r="B3010" t="s">
        <v>385</v>
      </c>
      <c r="C3010" t="s">
        <v>91</v>
      </c>
      <c r="D3010" t="s">
        <v>99</v>
      </c>
      <c r="E3010" t="s">
        <v>83</v>
      </c>
      <c r="F3010">
        <v>8300</v>
      </c>
      <c r="G3010" t="s">
        <v>331</v>
      </c>
      <c r="H3010" s="15">
        <v>45566</v>
      </c>
      <c r="I3010">
        <v>8300</v>
      </c>
      <c r="J3010">
        <v>0</v>
      </c>
    </row>
    <row r="3011" spans="1:10" x14ac:dyDescent="0.3">
      <c r="A3011" s="15">
        <v>45627</v>
      </c>
      <c r="B3011" t="s">
        <v>386</v>
      </c>
      <c r="C3011" t="s">
        <v>81</v>
      </c>
      <c r="D3011" t="s">
        <v>82</v>
      </c>
      <c r="E3011" t="s">
        <v>103</v>
      </c>
      <c r="F3011">
        <v>2200</v>
      </c>
      <c r="G3011" t="s">
        <v>331</v>
      </c>
      <c r="H3011" s="15">
        <v>45566</v>
      </c>
      <c r="I3011">
        <v>2200</v>
      </c>
      <c r="J3011">
        <v>0</v>
      </c>
    </row>
    <row r="3012" spans="1:10" x14ac:dyDescent="0.3">
      <c r="A3012" s="15">
        <v>45627</v>
      </c>
      <c r="B3012" t="s">
        <v>387</v>
      </c>
      <c r="C3012" t="s">
        <v>81</v>
      </c>
      <c r="D3012" t="s">
        <v>86</v>
      </c>
      <c r="E3012" t="s">
        <v>92</v>
      </c>
      <c r="F3012">
        <v>1700</v>
      </c>
      <c r="G3012" t="s">
        <v>331</v>
      </c>
      <c r="H3012" s="15">
        <v>45566</v>
      </c>
      <c r="I3012">
        <v>1700</v>
      </c>
      <c r="J3012">
        <v>0</v>
      </c>
    </row>
    <row r="3013" spans="1:10" x14ac:dyDescent="0.3">
      <c r="A3013" s="15">
        <v>45627</v>
      </c>
      <c r="B3013" t="s">
        <v>388</v>
      </c>
      <c r="C3013" t="s">
        <v>81</v>
      </c>
      <c r="D3013" t="s">
        <v>99</v>
      </c>
      <c r="E3013" t="s">
        <v>103</v>
      </c>
      <c r="F3013">
        <v>1700</v>
      </c>
      <c r="G3013" t="s">
        <v>331</v>
      </c>
      <c r="H3013" s="15">
        <v>45566</v>
      </c>
      <c r="I3013">
        <v>1700</v>
      </c>
      <c r="J3013">
        <v>0</v>
      </c>
    </row>
    <row r="3014" spans="1:10" x14ac:dyDescent="0.3">
      <c r="A3014" s="15">
        <v>45627</v>
      </c>
      <c r="B3014" t="s">
        <v>389</v>
      </c>
      <c r="C3014" t="s">
        <v>91</v>
      </c>
      <c r="D3014" t="s">
        <v>82</v>
      </c>
      <c r="E3014" t="s">
        <v>101</v>
      </c>
      <c r="F3014">
        <v>7300</v>
      </c>
      <c r="G3014" t="s">
        <v>331</v>
      </c>
      <c r="H3014" s="15">
        <v>45566</v>
      </c>
      <c r="I3014">
        <v>7300</v>
      </c>
      <c r="J3014">
        <v>0</v>
      </c>
    </row>
    <row r="3015" spans="1:10" x14ac:dyDescent="0.3">
      <c r="A3015" s="15">
        <v>45627</v>
      </c>
      <c r="B3015" t="s">
        <v>390</v>
      </c>
      <c r="C3015" t="s">
        <v>91</v>
      </c>
      <c r="D3015" t="s">
        <v>82</v>
      </c>
      <c r="E3015" t="s">
        <v>89</v>
      </c>
      <c r="F3015">
        <v>6200</v>
      </c>
      <c r="G3015" t="s">
        <v>331</v>
      </c>
      <c r="H3015" s="15">
        <v>45566</v>
      </c>
      <c r="I3015">
        <v>6200</v>
      </c>
      <c r="J3015">
        <v>0</v>
      </c>
    </row>
    <row r="3016" spans="1:10" x14ac:dyDescent="0.3">
      <c r="A3016" s="15">
        <v>45627</v>
      </c>
      <c r="B3016" t="s">
        <v>391</v>
      </c>
      <c r="C3016" t="s">
        <v>91</v>
      </c>
      <c r="D3016" t="s">
        <v>82</v>
      </c>
      <c r="E3016" t="s">
        <v>92</v>
      </c>
      <c r="F3016">
        <v>8100</v>
      </c>
      <c r="G3016" t="s">
        <v>331</v>
      </c>
      <c r="H3016" s="15">
        <v>45597</v>
      </c>
      <c r="I3016">
        <v>8100</v>
      </c>
      <c r="J3016">
        <v>0</v>
      </c>
    </row>
    <row r="3017" spans="1:10" x14ac:dyDescent="0.3">
      <c r="A3017" s="15">
        <v>45627</v>
      </c>
      <c r="B3017" t="s">
        <v>392</v>
      </c>
      <c r="C3017" t="s">
        <v>91</v>
      </c>
      <c r="D3017" t="s">
        <v>86</v>
      </c>
      <c r="E3017" t="s">
        <v>97</v>
      </c>
      <c r="F3017">
        <v>8800</v>
      </c>
      <c r="G3017" t="s">
        <v>331</v>
      </c>
      <c r="H3017" s="15">
        <v>45597</v>
      </c>
      <c r="I3017">
        <v>8800</v>
      </c>
      <c r="J3017">
        <v>0</v>
      </c>
    </row>
    <row r="3018" spans="1:10" x14ac:dyDescent="0.3">
      <c r="A3018" s="15">
        <v>45627</v>
      </c>
      <c r="B3018" t="s">
        <v>393</v>
      </c>
      <c r="C3018" t="s">
        <v>81</v>
      </c>
      <c r="D3018" t="s">
        <v>82</v>
      </c>
      <c r="E3018" t="s">
        <v>92</v>
      </c>
      <c r="F3018">
        <v>2100</v>
      </c>
      <c r="G3018" t="s">
        <v>331</v>
      </c>
      <c r="H3018" s="15">
        <v>45597</v>
      </c>
      <c r="I3018">
        <v>2100</v>
      </c>
      <c r="J3018">
        <v>0</v>
      </c>
    </row>
    <row r="3019" spans="1:10" x14ac:dyDescent="0.3">
      <c r="A3019" s="15">
        <v>45627</v>
      </c>
      <c r="B3019" t="s">
        <v>394</v>
      </c>
      <c r="C3019" t="s">
        <v>81</v>
      </c>
      <c r="D3019" t="s">
        <v>99</v>
      </c>
      <c r="E3019" t="s">
        <v>87</v>
      </c>
      <c r="F3019">
        <v>1400</v>
      </c>
      <c r="G3019" t="s">
        <v>331</v>
      </c>
      <c r="H3019" s="15">
        <v>45597</v>
      </c>
      <c r="I3019">
        <v>1400</v>
      </c>
      <c r="J3019">
        <v>0</v>
      </c>
    </row>
    <row r="3020" spans="1:10" x14ac:dyDescent="0.3">
      <c r="A3020" s="15">
        <v>45627</v>
      </c>
      <c r="B3020" t="s">
        <v>395</v>
      </c>
      <c r="C3020" t="s">
        <v>81</v>
      </c>
      <c r="D3020" t="s">
        <v>82</v>
      </c>
      <c r="E3020" t="s">
        <v>97</v>
      </c>
      <c r="F3020">
        <v>2200</v>
      </c>
      <c r="G3020" t="s">
        <v>84</v>
      </c>
      <c r="H3020" s="15">
        <v>45627</v>
      </c>
      <c r="I3020">
        <v>0</v>
      </c>
      <c r="J3020">
        <v>2200</v>
      </c>
    </row>
    <row r="3021" spans="1:10" x14ac:dyDescent="0.3">
      <c r="A3021" s="15">
        <v>45627</v>
      </c>
      <c r="B3021" t="s">
        <v>396</v>
      </c>
      <c r="C3021" t="s">
        <v>91</v>
      </c>
      <c r="D3021" t="s">
        <v>82</v>
      </c>
      <c r="E3021" t="s">
        <v>92</v>
      </c>
      <c r="F3021">
        <v>8800</v>
      </c>
      <c r="G3021" t="s">
        <v>84</v>
      </c>
      <c r="H3021" s="15">
        <v>45627</v>
      </c>
      <c r="I3021">
        <v>0</v>
      </c>
      <c r="J3021">
        <v>8800</v>
      </c>
    </row>
    <row r="3022" spans="1:10" x14ac:dyDescent="0.3">
      <c r="A3022" s="15">
        <v>45627</v>
      </c>
      <c r="B3022" t="s">
        <v>397</v>
      </c>
      <c r="C3022" t="s">
        <v>91</v>
      </c>
      <c r="D3022" t="s">
        <v>82</v>
      </c>
      <c r="E3022" t="s">
        <v>83</v>
      </c>
      <c r="F3022">
        <v>5400</v>
      </c>
      <c r="G3022" t="s">
        <v>84</v>
      </c>
      <c r="H3022" s="15">
        <v>45627</v>
      </c>
      <c r="I3022">
        <v>0</v>
      </c>
      <c r="J3022">
        <v>5400</v>
      </c>
    </row>
    <row r="3023" spans="1:10" x14ac:dyDescent="0.3">
      <c r="A3023" s="15">
        <v>45627</v>
      </c>
      <c r="B3023" t="s">
        <v>398</v>
      </c>
      <c r="C3023" t="s">
        <v>81</v>
      </c>
      <c r="D3023" t="s">
        <v>86</v>
      </c>
      <c r="E3023" t="s">
        <v>92</v>
      </c>
      <c r="F3023">
        <v>1400</v>
      </c>
      <c r="G3023" t="s">
        <v>84</v>
      </c>
      <c r="H3023" s="15">
        <v>45627</v>
      </c>
      <c r="I3023">
        <v>0</v>
      </c>
      <c r="J3023">
        <v>1400</v>
      </c>
    </row>
    <row r="3024" spans="1:10" x14ac:dyDescent="0.3">
      <c r="A3024" s="15">
        <v>45627</v>
      </c>
      <c r="B3024" t="s">
        <v>399</v>
      </c>
      <c r="C3024" t="s">
        <v>110</v>
      </c>
      <c r="D3024" t="s">
        <v>82</v>
      </c>
      <c r="E3024" t="s">
        <v>101</v>
      </c>
      <c r="F3024">
        <v>17400</v>
      </c>
      <c r="G3024" t="s">
        <v>84</v>
      </c>
      <c r="H3024" s="15">
        <v>45627</v>
      </c>
      <c r="I3024">
        <v>0</v>
      </c>
      <c r="J3024">
        <v>17400</v>
      </c>
    </row>
    <row r="3025" spans="1:10" x14ac:dyDescent="0.3">
      <c r="A3025" s="15">
        <v>45627</v>
      </c>
      <c r="B3025" t="s">
        <v>400</v>
      </c>
      <c r="C3025" t="s">
        <v>91</v>
      </c>
      <c r="D3025" t="s">
        <v>82</v>
      </c>
      <c r="E3025" t="s">
        <v>103</v>
      </c>
      <c r="F3025">
        <v>4400</v>
      </c>
      <c r="G3025" t="s">
        <v>84</v>
      </c>
      <c r="H3025" s="15">
        <v>45627</v>
      </c>
      <c r="I3025">
        <v>0</v>
      </c>
      <c r="J3025">
        <v>4400</v>
      </c>
    </row>
    <row r="3026" spans="1:10" x14ac:dyDescent="0.3">
      <c r="A3026" s="15">
        <v>45658</v>
      </c>
      <c r="B3026" t="s">
        <v>80</v>
      </c>
      <c r="C3026" t="s">
        <v>81</v>
      </c>
      <c r="D3026" t="s">
        <v>82</v>
      </c>
      <c r="E3026" t="s">
        <v>83</v>
      </c>
      <c r="F3026">
        <v>1900</v>
      </c>
      <c r="G3026" t="s">
        <v>331</v>
      </c>
      <c r="H3026" s="15">
        <v>45292</v>
      </c>
      <c r="I3026">
        <v>1900</v>
      </c>
      <c r="J3026">
        <v>0</v>
      </c>
    </row>
    <row r="3027" spans="1:10" x14ac:dyDescent="0.3">
      <c r="A3027" s="15">
        <v>45658</v>
      </c>
      <c r="B3027" t="s">
        <v>85</v>
      </c>
      <c r="C3027" t="s">
        <v>81</v>
      </c>
      <c r="D3027" t="s">
        <v>86</v>
      </c>
      <c r="E3027" t="s">
        <v>87</v>
      </c>
      <c r="F3027">
        <v>3200</v>
      </c>
      <c r="G3027" t="s">
        <v>331</v>
      </c>
      <c r="H3027" s="15">
        <v>45292</v>
      </c>
      <c r="I3027">
        <v>3200</v>
      </c>
      <c r="J3027">
        <v>0</v>
      </c>
    </row>
    <row r="3028" spans="1:10" x14ac:dyDescent="0.3">
      <c r="A3028" s="15">
        <v>45658</v>
      </c>
      <c r="B3028" t="s">
        <v>88</v>
      </c>
      <c r="C3028" t="s">
        <v>81</v>
      </c>
      <c r="D3028" t="s">
        <v>86</v>
      </c>
      <c r="E3028" t="s">
        <v>89</v>
      </c>
      <c r="F3028">
        <v>2800</v>
      </c>
      <c r="G3028" t="s">
        <v>332</v>
      </c>
      <c r="H3028" s="15">
        <v>45292</v>
      </c>
      <c r="I3028">
        <v>2500</v>
      </c>
      <c r="J3028">
        <v>300</v>
      </c>
    </row>
    <row r="3029" spans="1:10" x14ac:dyDescent="0.3">
      <c r="A3029" s="15">
        <v>45658</v>
      </c>
      <c r="B3029" t="s">
        <v>90</v>
      </c>
      <c r="C3029" t="s">
        <v>91</v>
      </c>
      <c r="D3029" t="s">
        <v>82</v>
      </c>
      <c r="E3029" t="s">
        <v>92</v>
      </c>
      <c r="F3029">
        <v>8300</v>
      </c>
      <c r="G3029" t="s">
        <v>331</v>
      </c>
      <c r="H3029" s="15">
        <v>45292</v>
      </c>
      <c r="I3029">
        <v>8300</v>
      </c>
      <c r="J3029">
        <v>0</v>
      </c>
    </row>
    <row r="3030" spans="1:10" x14ac:dyDescent="0.3">
      <c r="A3030" s="15">
        <v>45658</v>
      </c>
      <c r="B3030" t="s">
        <v>93</v>
      </c>
      <c r="C3030" t="s">
        <v>81</v>
      </c>
      <c r="D3030" t="s">
        <v>86</v>
      </c>
      <c r="E3030" t="s">
        <v>83</v>
      </c>
      <c r="F3030">
        <v>2300</v>
      </c>
      <c r="G3030" t="s">
        <v>332</v>
      </c>
      <c r="H3030" s="15">
        <v>45292</v>
      </c>
      <c r="I3030">
        <v>2200</v>
      </c>
      <c r="J3030">
        <v>100</v>
      </c>
    </row>
    <row r="3031" spans="1:10" x14ac:dyDescent="0.3">
      <c r="A3031" s="15">
        <v>45658</v>
      </c>
      <c r="B3031" t="s">
        <v>94</v>
      </c>
      <c r="C3031" t="s">
        <v>91</v>
      </c>
      <c r="D3031" t="s">
        <v>86</v>
      </c>
      <c r="E3031" t="s">
        <v>83</v>
      </c>
      <c r="F3031">
        <v>8500</v>
      </c>
      <c r="G3031" t="s">
        <v>331</v>
      </c>
      <c r="H3031" s="15">
        <v>45292</v>
      </c>
      <c r="I3031">
        <v>8500</v>
      </c>
      <c r="J3031">
        <v>0</v>
      </c>
    </row>
    <row r="3032" spans="1:10" x14ac:dyDescent="0.3">
      <c r="A3032" s="15">
        <v>45658</v>
      </c>
      <c r="B3032" t="s">
        <v>95</v>
      </c>
      <c r="C3032" t="s">
        <v>81</v>
      </c>
      <c r="D3032" t="s">
        <v>96</v>
      </c>
      <c r="E3032" t="s">
        <v>97</v>
      </c>
      <c r="F3032">
        <v>3100</v>
      </c>
      <c r="G3032" t="s">
        <v>331</v>
      </c>
      <c r="H3032" s="15">
        <v>45292</v>
      </c>
      <c r="I3032">
        <v>3100</v>
      </c>
      <c r="J3032">
        <v>0</v>
      </c>
    </row>
    <row r="3033" spans="1:10" x14ac:dyDescent="0.3">
      <c r="A3033" s="15">
        <v>45658</v>
      </c>
      <c r="B3033" t="s">
        <v>98</v>
      </c>
      <c r="C3033" t="s">
        <v>81</v>
      </c>
      <c r="D3033" t="s">
        <v>99</v>
      </c>
      <c r="E3033" t="s">
        <v>92</v>
      </c>
      <c r="F3033">
        <v>2300</v>
      </c>
      <c r="G3033" t="s">
        <v>331</v>
      </c>
      <c r="H3033" s="15">
        <v>45292</v>
      </c>
      <c r="I3033">
        <v>2300</v>
      </c>
      <c r="J3033">
        <v>0</v>
      </c>
    </row>
    <row r="3034" spans="1:10" x14ac:dyDescent="0.3">
      <c r="A3034" s="15">
        <v>45658</v>
      </c>
      <c r="B3034" t="s">
        <v>100</v>
      </c>
      <c r="C3034" t="s">
        <v>81</v>
      </c>
      <c r="D3034" t="s">
        <v>86</v>
      </c>
      <c r="E3034" t="s">
        <v>101</v>
      </c>
      <c r="F3034">
        <v>1800</v>
      </c>
      <c r="G3034" t="s">
        <v>331</v>
      </c>
      <c r="H3034" s="15">
        <v>45292</v>
      </c>
      <c r="I3034">
        <v>1800</v>
      </c>
      <c r="J3034">
        <v>0</v>
      </c>
    </row>
    <row r="3035" spans="1:10" x14ac:dyDescent="0.3">
      <c r="A3035" s="15">
        <v>45658</v>
      </c>
      <c r="B3035" t="s">
        <v>102</v>
      </c>
      <c r="C3035" t="s">
        <v>81</v>
      </c>
      <c r="D3035" t="s">
        <v>99</v>
      </c>
      <c r="E3035" t="s">
        <v>103</v>
      </c>
      <c r="F3035">
        <v>3300</v>
      </c>
      <c r="G3035" t="s">
        <v>331</v>
      </c>
      <c r="H3035" s="15">
        <v>45292</v>
      </c>
      <c r="I3035">
        <v>3300</v>
      </c>
      <c r="J3035">
        <v>0</v>
      </c>
    </row>
    <row r="3036" spans="1:10" x14ac:dyDescent="0.3">
      <c r="A3036" s="15">
        <v>45658</v>
      </c>
      <c r="B3036" t="s">
        <v>104</v>
      </c>
      <c r="C3036" t="s">
        <v>91</v>
      </c>
      <c r="D3036" t="s">
        <v>99</v>
      </c>
      <c r="E3036" t="s">
        <v>87</v>
      </c>
      <c r="F3036">
        <v>7000</v>
      </c>
      <c r="G3036" t="s">
        <v>331</v>
      </c>
      <c r="H3036" s="15">
        <v>45292</v>
      </c>
      <c r="I3036">
        <v>7000</v>
      </c>
      <c r="J3036">
        <v>0</v>
      </c>
    </row>
    <row r="3037" spans="1:10" x14ac:dyDescent="0.3">
      <c r="A3037" s="15">
        <v>45658</v>
      </c>
      <c r="B3037" t="s">
        <v>105</v>
      </c>
      <c r="C3037" t="s">
        <v>91</v>
      </c>
      <c r="D3037" t="s">
        <v>86</v>
      </c>
      <c r="E3037" t="s">
        <v>89</v>
      </c>
      <c r="F3037">
        <v>12900</v>
      </c>
      <c r="G3037" t="s">
        <v>332</v>
      </c>
      <c r="H3037" s="15">
        <v>45292</v>
      </c>
      <c r="I3037">
        <v>11400</v>
      </c>
      <c r="J3037">
        <v>1500</v>
      </c>
    </row>
    <row r="3038" spans="1:10" x14ac:dyDescent="0.3">
      <c r="A3038" s="15">
        <v>45658</v>
      </c>
      <c r="B3038" t="s">
        <v>106</v>
      </c>
      <c r="C3038" t="s">
        <v>81</v>
      </c>
      <c r="D3038" t="s">
        <v>99</v>
      </c>
      <c r="E3038" t="s">
        <v>92</v>
      </c>
      <c r="F3038">
        <v>2700</v>
      </c>
      <c r="G3038" t="s">
        <v>331</v>
      </c>
      <c r="H3038" s="15">
        <v>45292</v>
      </c>
      <c r="I3038">
        <v>2700</v>
      </c>
      <c r="J3038">
        <v>0</v>
      </c>
    </row>
    <row r="3039" spans="1:10" x14ac:dyDescent="0.3">
      <c r="A3039" s="15">
        <v>45658</v>
      </c>
      <c r="B3039" t="s">
        <v>109</v>
      </c>
      <c r="C3039" t="s">
        <v>110</v>
      </c>
      <c r="D3039" t="s">
        <v>82</v>
      </c>
      <c r="E3039" t="s">
        <v>103</v>
      </c>
      <c r="F3039">
        <v>32700</v>
      </c>
      <c r="G3039" t="s">
        <v>331</v>
      </c>
      <c r="H3039" s="15">
        <v>45292</v>
      </c>
      <c r="I3039">
        <v>32700</v>
      </c>
      <c r="J3039">
        <v>0</v>
      </c>
    </row>
    <row r="3040" spans="1:10" x14ac:dyDescent="0.3">
      <c r="A3040" s="15">
        <v>45658</v>
      </c>
      <c r="B3040" t="s">
        <v>111</v>
      </c>
      <c r="C3040" t="s">
        <v>91</v>
      </c>
      <c r="D3040" t="s">
        <v>82</v>
      </c>
      <c r="E3040" t="s">
        <v>83</v>
      </c>
      <c r="F3040">
        <v>8800</v>
      </c>
      <c r="G3040" t="s">
        <v>331</v>
      </c>
      <c r="H3040" s="15">
        <v>45292</v>
      </c>
      <c r="I3040">
        <v>8800</v>
      </c>
      <c r="J3040">
        <v>0</v>
      </c>
    </row>
    <row r="3041" spans="1:10" x14ac:dyDescent="0.3">
      <c r="A3041" s="15">
        <v>45658</v>
      </c>
      <c r="B3041" t="s">
        <v>112</v>
      </c>
      <c r="C3041" t="s">
        <v>91</v>
      </c>
      <c r="D3041" t="s">
        <v>82</v>
      </c>
      <c r="E3041" t="s">
        <v>92</v>
      </c>
      <c r="F3041">
        <v>8600</v>
      </c>
      <c r="G3041" t="s">
        <v>331</v>
      </c>
      <c r="H3041" s="15">
        <v>45292</v>
      </c>
      <c r="I3041">
        <v>8600</v>
      </c>
      <c r="J3041">
        <v>0</v>
      </c>
    </row>
    <row r="3042" spans="1:10" x14ac:dyDescent="0.3">
      <c r="A3042" s="15">
        <v>45658</v>
      </c>
      <c r="B3042" t="s">
        <v>113</v>
      </c>
      <c r="C3042" t="s">
        <v>81</v>
      </c>
      <c r="D3042" t="s">
        <v>96</v>
      </c>
      <c r="E3042" t="s">
        <v>89</v>
      </c>
      <c r="F3042">
        <v>2500</v>
      </c>
      <c r="G3042" t="s">
        <v>331</v>
      </c>
      <c r="H3042" s="15">
        <v>45292</v>
      </c>
      <c r="I3042">
        <v>2500</v>
      </c>
      <c r="J3042">
        <v>0</v>
      </c>
    </row>
    <row r="3043" spans="1:10" x14ac:dyDescent="0.3">
      <c r="A3043" s="15">
        <v>45658</v>
      </c>
      <c r="B3043" t="s">
        <v>114</v>
      </c>
      <c r="C3043" t="s">
        <v>110</v>
      </c>
      <c r="D3043" t="s">
        <v>99</v>
      </c>
      <c r="E3043" t="s">
        <v>97</v>
      </c>
      <c r="F3043">
        <v>41600</v>
      </c>
      <c r="G3043" t="s">
        <v>331</v>
      </c>
      <c r="H3043" s="15">
        <v>45292</v>
      </c>
      <c r="I3043">
        <v>41600</v>
      </c>
      <c r="J3043">
        <v>0</v>
      </c>
    </row>
    <row r="3044" spans="1:10" x14ac:dyDescent="0.3">
      <c r="A3044" s="15">
        <v>45658</v>
      </c>
      <c r="B3044" t="s">
        <v>115</v>
      </c>
      <c r="C3044" t="s">
        <v>81</v>
      </c>
      <c r="D3044" t="s">
        <v>82</v>
      </c>
      <c r="E3044" t="s">
        <v>101</v>
      </c>
      <c r="F3044">
        <v>2600</v>
      </c>
      <c r="G3044" t="s">
        <v>331</v>
      </c>
      <c r="H3044" s="15">
        <v>45292</v>
      </c>
      <c r="I3044">
        <v>2600</v>
      </c>
      <c r="J3044">
        <v>0</v>
      </c>
    </row>
    <row r="3045" spans="1:10" x14ac:dyDescent="0.3">
      <c r="A3045" s="15">
        <v>45658</v>
      </c>
      <c r="B3045" t="s">
        <v>116</v>
      </c>
      <c r="C3045" t="s">
        <v>81</v>
      </c>
      <c r="D3045" t="s">
        <v>86</v>
      </c>
      <c r="E3045" t="s">
        <v>87</v>
      </c>
      <c r="F3045">
        <v>2900</v>
      </c>
      <c r="G3045" t="s">
        <v>331</v>
      </c>
      <c r="H3045" s="15">
        <v>45292</v>
      </c>
      <c r="I3045">
        <v>2900</v>
      </c>
      <c r="J3045">
        <v>0</v>
      </c>
    </row>
    <row r="3046" spans="1:10" x14ac:dyDescent="0.3">
      <c r="A3046" s="15">
        <v>45658</v>
      </c>
      <c r="B3046" t="s">
        <v>117</v>
      </c>
      <c r="C3046" t="s">
        <v>81</v>
      </c>
      <c r="D3046" t="s">
        <v>86</v>
      </c>
      <c r="E3046" t="s">
        <v>103</v>
      </c>
      <c r="F3046">
        <v>2500</v>
      </c>
      <c r="G3046" t="s">
        <v>331</v>
      </c>
      <c r="H3046" s="15">
        <v>45292</v>
      </c>
      <c r="I3046">
        <v>2500</v>
      </c>
      <c r="J3046">
        <v>0</v>
      </c>
    </row>
    <row r="3047" spans="1:10" x14ac:dyDescent="0.3">
      <c r="A3047" s="15">
        <v>45658</v>
      </c>
      <c r="B3047" t="s">
        <v>118</v>
      </c>
      <c r="C3047" t="s">
        <v>81</v>
      </c>
      <c r="D3047" t="s">
        <v>82</v>
      </c>
      <c r="E3047" t="s">
        <v>103</v>
      </c>
      <c r="F3047">
        <v>0</v>
      </c>
      <c r="G3047" t="s">
        <v>333</v>
      </c>
      <c r="H3047" s="15">
        <v>45292</v>
      </c>
      <c r="I3047">
        <v>2900</v>
      </c>
      <c r="J3047">
        <v>-2900</v>
      </c>
    </row>
    <row r="3048" spans="1:10" x14ac:dyDescent="0.3">
      <c r="A3048" s="15">
        <v>45658</v>
      </c>
      <c r="B3048" t="s">
        <v>119</v>
      </c>
      <c r="C3048" t="s">
        <v>91</v>
      </c>
      <c r="D3048" t="s">
        <v>96</v>
      </c>
      <c r="E3048" t="s">
        <v>89</v>
      </c>
      <c r="F3048">
        <v>12800</v>
      </c>
      <c r="G3048" t="s">
        <v>331</v>
      </c>
      <c r="H3048" s="15">
        <v>45292</v>
      </c>
      <c r="I3048">
        <v>12800</v>
      </c>
      <c r="J3048">
        <v>0</v>
      </c>
    </row>
    <row r="3049" spans="1:10" x14ac:dyDescent="0.3">
      <c r="A3049" s="15">
        <v>45658</v>
      </c>
      <c r="B3049" t="s">
        <v>120</v>
      </c>
      <c r="C3049" t="s">
        <v>81</v>
      </c>
      <c r="D3049" t="s">
        <v>86</v>
      </c>
      <c r="E3049" t="s">
        <v>101</v>
      </c>
      <c r="F3049">
        <v>2200</v>
      </c>
      <c r="G3049" t="s">
        <v>331</v>
      </c>
      <c r="H3049" s="15">
        <v>45292</v>
      </c>
      <c r="I3049">
        <v>2200</v>
      </c>
      <c r="J3049">
        <v>0</v>
      </c>
    </row>
    <row r="3050" spans="1:10" x14ac:dyDescent="0.3">
      <c r="A3050" s="15">
        <v>45658</v>
      </c>
      <c r="B3050" t="s">
        <v>123</v>
      </c>
      <c r="C3050" t="s">
        <v>81</v>
      </c>
      <c r="D3050" t="s">
        <v>82</v>
      </c>
      <c r="E3050" t="s">
        <v>92</v>
      </c>
      <c r="F3050">
        <v>2200</v>
      </c>
      <c r="G3050" t="s">
        <v>331</v>
      </c>
      <c r="H3050" s="15">
        <v>45292</v>
      </c>
      <c r="I3050">
        <v>2200</v>
      </c>
      <c r="J3050">
        <v>0</v>
      </c>
    </row>
    <row r="3051" spans="1:10" x14ac:dyDescent="0.3">
      <c r="A3051" s="15">
        <v>45658</v>
      </c>
      <c r="B3051" t="s">
        <v>124</v>
      </c>
      <c r="C3051" t="s">
        <v>125</v>
      </c>
      <c r="D3051" t="s">
        <v>82</v>
      </c>
      <c r="E3051" t="s">
        <v>97</v>
      </c>
      <c r="F3051">
        <v>67900</v>
      </c>
      <c r="G3051" t="s">
        <v>331</v>
      </c>
      <c r="H3051" s="15">
        <v>45292</v>
      </c>
      <c r="I3051">
        <v>67900</v>
      </c>
      <c r="J3051">
        <v>0</v>
      </c>
    </row>
    <row r="3052" spans="1:10" x14ac:dyDescent="0.3">
      <c r="A3052" s="15">
        <v>45658</v>
      </c>
      <c r="B3052" t="s">
        <v>126</v>
      </c>
      <c r="C3052" t="s">
        <v>91</v>
      </c>
      <c r="D3052" t="s">
        <v>82</v>
      </c>
      <c r="E3052" t="s">
        <v>83</v>
      </c>
      <c r="F3052">
        <v>8800</v>
      </c>
      <c r="G3052" t="s">
        <v>331</v>
      </c>
      <c r="H3052" s="15">
        <v>45292</v>
      </c>
      <c r="I3052">
        <v>8800</v>
      </c>
      <c r="J3052">
        <v>0</v>
      </c>
    </row>
    <row r="3053" spans="1:10" x14ac:dyDescent="0.3">
      <c r="A3053" s="15">
        <v>45658</v>
      </c>
      <c r="B3053" t="s">
        <v>127</v>
      </c>
      <c r="C3053" t="s">
        <v>81</v>
      </c>
      <c r="D3053" t="s">
        <v>82</v>
      </c>
      <c r="E3053" t="s">
        <v>101</v>
      </c>
      <c r="F3053">
        <v>2100</v>
      </c>
      <c r="G3053" t="s">
        <v>331</v>
      </c>
      <c r="H3053" s="15">
        <v>45292</v>
      </c>
      <c r="I3053">
        <v>2100</v>
      </c>
      <c r="J3053">
        <v>0</v>
      </c>
    </row>
    <row r="3054" spans="1:10" x14ac:dyDescent="0.3">
      <c r="A3054" s="15">
        <v>45658</v>
      </c>
      <c r="B3054" t="s">
        <v>128</v>
      </c>
      <c r="C3054" t="s">
        <v>81</v>
      </c>
      <c r="D3054" t="s">
        <v>82</v>
      </c>
      <c r="E3054" t="s">
        <v>92</v>
      </c>
      <c r="F3054">
        <v>1700</v>
      </c>
      <c r="G3054" t="s">
        <v>331</v>
      </c>
      <c r="H3054" s="15">
        <v>45292</v>
      </c>
      <c r="I3054">
        <v>1700</v>
      </c>
      <c r="J3054">
        <v>0</v>
      </c>
    </row>
    <row r="3055" spans="1:10" x14ac:dyDescent="0.3">
      <c r="A3055" s="15">
        <v>45658</v>
      </c>
      <c r="B3055" t="s">
        <v>129</v>
      </c>
      <c r="C3055" t="s">
        <v>110</v>
      </c>
      <c r="D3055" t="s">
        <v>86</v>
      </c>
      <c r="E3055" t="s">
        <v>92</v>
      </c>
      <c r="F3055">
        <v>34200</v>
      </c>
      <c r="G3055" t="s">
        <v>331</v>
      </c>
      <c r="H3055" s="15">
        <v>45292</v>
      </c>
      <c r="I3055">
        <v>34200</v>
      </c>
      <c r="J3055">
        <v>0</v>
      </c>
    </row>
    <row r="3056" spans="1:10" x14ac:dyDescent="0.3">
      <c r="A3056" s="15">
        <v>45658</v>
      </c>
      <c r="B3056" t="s">
        <v>131</v>
      </c>
      <c r="C3056" t="s">
        <v>81</v>
      </c>
      <c r="D3056" t="s">
        <v>86</v>
      </c>
      <c r="E3056" t="s">
        <v>101</v>
      </c>
      <c r="F3056">
        <v>2100</v>
      </c>
      <c r="G3056" t="s">
        <v>331</v>
      </c>
      <c r="H3056" s="15">
        <v>45292</v>
      </c>
      <c r="I3056">
        <v>2100</v>
      </c>
      <c r="J3056">
        <v>0</v>
      </c>
    </row>
    <row r="3057" spans="1:10" x14ac:dyDescent="0.3">
      <c r="A3057" s="15">
        <v>45658</v>
      </c>
      <c r="B3057" t="s">
        <v>133</v>
      </c>
      <c r="C3057" t="s">
        <v>81</v>
      </c>
      <c r="D3057" t="s">
        <v>96</v>
      </c>
      <c r="E3057" t="s">
        <v>87</v>
      </c>
      <c r="F3057">
        <v>2700</v>
      </c>
      <c r="G3057" t="s">
        <v>331</v>
      </c>
      <c r="H3057" s="15">
        <v>45292</v>
      </c>
      <c r="I3057">
        <v>2700</v>
      </c>
      <c r="J3057">
        <v>0</v>
      </c>
    </row>
    <row r="3058" spans="1:10" x14ac:dyDescent="0.3">
      <c r="A3058" s="15">
        <v>45658</v>
      </c>
      <c r="B3058" t="s">
        <v>134</v>
      </c>
      <c r="C3058" t="s">
        <v>81</v>
      </c>
      <c r="D3058" t="s">
        <v>82</v>
      </c>
      <c r="E3058" t="s">
        <v>92</v>
      </c>
      <c r="F3058">
        <v>2900</v>
      </c>
      <c r="G3058" t="s">
        <v>331</v>
      </c>
      <c r="H3058" s="15">
        <v>45292</v>
      </c>
      <c r="I3058">
        <v>2900</v>
      </c>
      <c r="J3058">
        <v>0</v>
      </c>
    </row>
    <row r="3059" spans="1:10" x14ac:dyDescent="0.3">
      <c r="A3059" s="15">
        <v>45658</v>
      </c>
      <c r="B3059" t="s">
        <v>135</v>
      </c>
      <c r="C3059" t="s">
        <v>81</v>
      </c>
      <c r="D3059" t="s">
        <v>82</v>
      </c>
      <c r="E3059" t="s">
        <v>103</v>
      </c>
      <c r="F3059">
        <v>2800</v>
      </c>
      <c r="G3059" t="s">
        <v>331</v>
      </c>
      <c r="H3059" s="15">
        <v>45292</v>
      </c>
      <c r="I3059">
        <v>2800</v>
      </c>
      <c r="J3059">
        <v>0</v>
      </c>
    </row>
    <row r="3060" spans="1:10" x14ac:dyDescent="0.3">
      <c r="A3060" s="15">
        <v>45658</v>
      </c>
      <c r="B3060" t="s">
        <v>136</v>
      </c>
      <c r="C3060" t="s">
        <v>81</v>
      </c>
      <c r="D3060" t="s">
        <v>82</v>
      </c>
      <c r="E3060" t="s">
        <v>101</v>
      </c>
      <c r="F3060">
        <v>2900</v>
      </c>
      <c r="G3060" t="s">
        <v>331</v>
      </c>
      <c r="H3060" s="15">
        <v>45292</v>
      </c>
      <c r="I3060">
        <v>2900</v>
      </c>
      <c r="J3060">
        <v>0</v>
      </c>
    </row>
    <row r="3061" spans="1:10" x14ac:dyDescent="0.3">
      <c r="A3061" s="15">
        <v>45658</v>
      </c>
      <c r="B3061" t="s">
        <v>137</v>
      </c>
      <c r="C3061" t="s">
        <v>81</v>
      </c>
      <c r="D3061" t="s">
        <v>82</v>
      </c>
      <c r="E3061" t="s">
        <v>89</v>
      </c>
      <c r="F3061">
        <v>0</v>
      </c>
      <c r="G3061" t="s">
        <v>333</v>
      </c>
      <c r="H3061" s="15">
        <v>45292</v>
      </c>
      <c r="I3061">
        <v>1800</v>
      </c>
      <c r="J3061">
        <v>-1800</v>
      </c>
    </row>
    <row r="3062" spans="1:10" x14ac:dyDescent="0.3">
      <c r="A3062" s="15">
        <v>45658</v>
      </c>
      <c r="B3062" t="s">
        <v>138</v>
      </c>
      <c r="C3062" t="s">
        <v>81</v>
      </c>
      <c r="D3062" t="s">
        <v>86</v>
      </c>
      <c r="E3062" t="s">
        <v>97</v>
      </c>
      <c r="F3062">
        <v>3300</v>
      </c>
      <c r="G3062" t="s">
        <v>331</v>
      </c>
      <c r="H3062" s="15">
        <v>45292</v>
      </c>
      <c r="I3062">
        <v>3300</v>
      </c>
      <c r="J3062">
        <v>0</v>
      </c>
    </row>
    <row r="3063" spans="1:10" x14ac:dyDescent="0.3">
      <c r="A3063" s="15">
        <v>45658</v>
      </c>
      <c r="B3063" t="s">
        <v>139</v>
      </c>
      <c r="C3063" t="s">
        <v>91</v>
      </c>
      <c r="D3063" t="s">
        <v>82</v>
      </c>
      <c r="E3063" t="s">
        <v>103</v>
      </c>
      <c r="F3063">
        <v>6800</v>
      </c>
      <c r="G3063" t="s">
        <v>331</v>
      </c>
      <c r="H3063" s="15">
        <v>45292</v>
      </c>
      <c r="I3063">
        <v>6800</v>
      </c>
      <c r="J3063">
        <v>0</v>
      </c>
    </row>
    <row r="3064" spans="1:10" x14ac:dyDescent="0.3">
      <c r="A3064" s="15">
        <v>45658</v>
      </c>
      <c r="B3064" t="s">
        <v>141</v>
      </c>
      <c r="C3064" t="s">
        <v>125</v>
      </c>
      <c r="D3064" t="s">
        <v>99</v>
      </c>
      <c r="E3064" t="s">
        <v>103</v>
      </c>
      <c r="F3064">
        <v>117900</v>
      </c>
      <c r="G3064" t="s">
        <v>331</v>
      </c>
      <c r="H3064" s="15">
        <v>45292</v>
      </c>
      <c r="I3064">
        <v>117900</v>
      </c>
      <c r="J3064">
        <v>0</v>
      </c>
    </row>
    <row r="3065" spans="1:10" x14ac:dyDescent="0.3">
      <c r="A3065" s="15">
        <v>45658</v>
      </c>
      <c r="B3065" t="s">
        <v>142</v>
      </c>
      <c r="C3065" t="s">
        <v>125</v>
      </c>
      <c r="D3065" t="s">
        <v>82</v>
      </c>
      <c r="E3065" t="s">
        <v>92</v>
      </c>
      <c r="F3065">
        <v>93300</v>
      </c>
      <c r="G3065" t="s">
        <v>331</v>
      </c>
      <c r="H3065" s="15">
        <v>45292</v>
      </c>
      <c r="I3065">
        <v>93300</v>
      </c>
      <c r="J3065">
        <v>0</v>
      </c>
    </row>
    <row r="3066" spans="1:10" x14ac:dyDescent="0.3">
      <c r="A3066" s="15">
        <v>45658</v>
      </c>
      <c r="B3066" t="s">
        <v>143</v>
      </c>
      <c r="C3066" t="s">
        <v>91</v>
      </c>
      <c r="D3066" t="s">
        <v>99</v>
      </c>
      <c r="E3066" t="s">
        <v>103</v>
      </c>
      <c r="F3066">
        <v>8000</v>
      </c>
      <c r="G3066" t="s">
        <v>331</v>
      </c>
      <c r="H3066" s="15">
        <v>45292</v>
      </c>
      <c r="I3066">
        <v>8000</v>
      </c>
      <c r="J3066">
        <v>0</v>
      </c>
    </row>
    <row r="3067" spans="1:10" x14ac:dyDescent="0.3">
      <c r="A3067" s="15">
        <v>45658</v>
      </c>
      <c r="B3067" t="s">
        <v>144</v>
      </c>
      <c r="C3067" t="s">
        <v>81</v>
      </c>
      <c r="D3067" t="s">
        <v>82</v>
      </c>
      <c r="E3067" t="s">
        <v>92</v>
      </c>
      <c r="F3067">
        <v>2400</v>
      </c>
      <c r="G3067" t="s">
        <v>331</v>
      </c>
      <c r="H3067" s="15">
        <v>45292</v>
      </c>
      <c r="I3067">
        <v>2400</v>
      </c>
      <c r="J3067">
        <v>0</v>
      </c>
    </row>
    <row r="3068" spans="1:10" x14ac:dyDescent="0.3">
      <c r="A3068" s="15">
        <v>45658</v>
      </c>
      <c r="B3068" t="s">
        <v>145</v>
      </c>
      <c r="C3068" t="s">
        <v>91</v>
      </c>
      <c r="D3068" t="s">
        <v>82</v>
      </c>
      <c r="E3068" t="s">
        <v>87</v>
      </c>
      <c r="F3068">
        <v>8200</v>
      </c>
      <c r="G3068" t="s">
        <v>331</v>
      </c>
      <c r="H3068" s="15">
        <v>45292</v>
      </c>
      <c r="I3068">
        <v>8200</v>
      </c>
      <c r="J3068">
        <v>0</v>
      </c>
    </row>
    <row r="3069" spans="1:10" x14ac:dyDescent="0.3">
      <c r="A3069" s="15">
        <v>45658</v>
      </c>
      <c r="B3069" t="s">
        <v>146</v>
      </c>
      <c r="C3069" t="s">
        <v>91</v>
      </c>
      <c r="D3069" t="s">
        <v>86</v>
      </c>
      <c r="E3069" t="s">
        <v>87</v>
      </c>
      <c r="F3069">
        <v>9200</v>
      </c>
      <c r="G3069" t="s">
        <v>331</v>
      </c>
      <c r="H3069" s="15">
        <v>45292</v>
      </c>
      <c r="I3069">
        <v>9200</v>
      </c>
      <c r="J3069">
        <v>0</v>
      </c>
    </row>
    <row r="3070" spans="1:10" x14ac:dyDescent="0.3">
      <c r="A3070" s="15">
        <v>45658</v>
      </c>
      <c r="B3070" t="s">
        <v>148</v>
      </c>
      <c r="C3070" t="s">
        <v>110</v>
      </c>
      <c r="D3070" t="s">
        <v>86</v>
      </c>
      <c r="E3070" t="s">
        <v>89</v>
      </c>
      <c r="F3070">
        <v>25100</v>
      </c>
      <c r="G3070" t="s">
        <v>331</v>
      </c>
      <c r="H3070" s="15">
        <v>45292</v>
      </c>
      <c r="I3070">
        <v>25100</v>
      </c>
      <c r="J3070">
        <v>0</v>
      </c>
    </row>
    <row r="3071" spans="1:10" x14ac:dyDescent="0.3">
      <c r="A3071" s="15">
        <v>45658</v>
      </c>
      <c r="B3071" t="s">
        <v>149</v>
      </c>
      <c r="C3071" t="s">
        <v>110</v>
      </c>
      <c r="D3071" t="s">
        <v>82</v>
      </c>
      <c r="E3071" t="s">
        <v>103</v>
      </c>
      <c r="F3071">
        <v>31000</v>
      </c>
      <c r="G3071" t="s">
        <v>331</v>
      </c>
      <c r="H3071" s="15">
        <v>45292</v>
      </c>
      <c r="I3071">
        <v>31000</v>
      </c>
      <c r="J3071">
        <v>0</v>
      </c>
    </row>
    <row r="3072" spans="1:10" x14ac:dyDescent="0.3">
      <c r="A3072" s="15">
        <v>45658</v>
      </c>
      <c r="B3072" t="s">
        <v>150</v>
      </c>
      <c r="C3072" t="s">
        <v>91</v>
      </c>
      <c r="D3072" t="s">
        <v>99</v>
      </c>
      <c r="E3072" t="s">
        <v>101</v>
      </c>
      <c r="F3072">
        <v>8700</v>
      </c>
      <c r="G3072" t="s">
        <v>331</v>
      </c>
      <c r="H3072" s="15">
        <v>45292</v>
      </c>
      <c r="I3072">
        <v>8700</v>
      </c>
      <c r="J3072">
        <v>0</v>
      </c>
    </row>
    <row r="3073" spans="1:10" x14ac:dyDescent="0.3">
      <c r="A3073" s="15">
        <v>45658</v>
      </c>
      <c r="B3073" t="s">
        <v>151</v>
      </c>
      <c r="C3073" t="s">
        <v>91</v>
      </c>
      <c r="D3073" t="s">
        <v>82</v>
      </c>
      <c r="E3073" t="s">
        <v>97</v>
      </c>
      <c r="F3073">
        <v>6800</v>
      </c>
      <c r="G3073" t="s">
        <v>331</v>
      </c>
      <c r="H3073" s="15">
        <v>45292</v>
      </c>
      <c r="I3073">
        <v>6800</v>
      </c>
      <c r="J3073">
        <v>0</v>
      </c>
    </row>
    <row r="3074" spans="1:10" x14ac:dyDescent="0.3">
      <c r="A3074" s="15">
        <v>45658</v>
      </c>
      <c r="B3074" t="s">
        <v>152</v>
      </c>
      <c r="C3074" t="s">
        <v>81</v>
      </c>
      <c r="D3074" t="s">
        <v>99</v>
      </c>
      <c r="E3074" t="s">
        <v>87</v>
      </c>
      <c r="F3074">
        <v>3100</v>
      </c>
      <c r="G3074" t="s">
        <v>331</v>
      </c>
      <c r="H3074" s="15">
        <v>45292</v>
      </c>
      <c r="I3074">
        <v>3100</v>
      </c>
      <c r="J3074">
        <v>0</v>
      </c>
    </row>
    <row r="3075" spans="1:10" x14ac:dyDescent="0.3">
      <c r="A3075" s="15">
        <v>45658</v>
      </c>
      <c r="B3075" t="s">
        <v>153</v>
      </c>
      <c r="C3075" t="s">
        <v>110</v>
      </c>
      <c r="D3075" t="s">
        <v>99</v>
      </c>
      <c r="E3075" t="s">
        <v>87</v>
      </c>
      <c r="F3075">
        <v>31500</v>
      </c>
      <c r="G3075" t="s">
        <v>331</v>
      </c>
      <c r="H3075" s="15">
        <v>45292</v>
      </c>
      <c r="I3075">
        <v>31500</v>
      </c>
      <c r="J3075">
        <v>0</v>
      </c>
    </row>
    <row r="3076" spans="1:10" x14ac:dyDescent="0.3">
      <c r="A3076" s="15">
        <v>45658</v>
      </c>
      <c r="B3076" t="s">
        <v>154</v>
      </c>
      <c r="C3076" t="s">
        <v>91</v>
      </c>
      <c r="D3076" t="s">
        <v>86</v>
      </c>
      <c r="E3076" t="s">
        <v>103</v>
      </c>
      <c r="F3076">
        <v>8800</v>
      </c>
      <c r="G3076" t="s">
        <v>331</v>
      </c>
      <c r="H3076" s="15">
        <v>45292</v>
      </c>
      <c r="I3076">
        <v>8800</v>
      </c>
      <c r="J3076">
        <v>0</v>
      </c>
    </row>
    <row r="3077" spans="1:10" x14ac:dyDescent="0.3">
      <c r="A3077" s="15">
        <v>45658</v>
      </c>
      <c r="B3077" t="s">
        <v>155</v>
      </c>
      <c r="C3077" t="s">
        <v>91</v>
      </c>
      <c r="D3077" t="s">
        <v>82</v>
      </c>
      <c r="E3077" t="s">
        <v>92</v>
      </c>
      <c r="F3077">
        <v>7100</v>
      </c>
      <c r="G3077" t="s">
        <v>331</v>
      </c>
      <c r="H3077" s="15">
        <v>45292</v>
      </c>
      <c r="I3077">
        <v>7100</v>
      </c>
      <c r="J3077">
        <v>0</v>
      </c>
    </row>
    <row r="3078" spans="1:10" x14ac:dyDescent="0.3">
      <c r="A3078" s="15">
        <v>45658</v>
      </c>
      <c r="B3078" t="s">
        <v>156</v>
      </c>
      <c r="C3078" t="s">
        <v>81</v>
      </c>
      <c r="D3078" t="s">
        <v>86</v>
      </c>
      <c r="E3078" t="s">
        <v>101</v>
      </c>
      <c r="F3078">
        <v>2300</v>
      </c>
      <c r="G3078" t="s">
        <v>331</v>
      </c>
      <c r="H3078" s="15">
        <v>45292</v>
      </c>
      <c r="I3078">
        <v>2300</v>
      </c>
      <c r="J3078">
        <v>0</v>
      </c>
    </row>
    <row r="3079" spans="1:10" x14ac:dyDescent="0.3">
      <c r="A3079" s="15">
        <v>45658</v>
      </c>
      <c r="B3079" t="s">
        <v>157</v>
      </c>
      <c r="C3079" t="s">
        <v>81</v>
      </c>
      <c r="D3079" t="s">
        <v>82</v>
      </c>
      <c r="E3079" t="s">
        <v>92</v>
      </c>
      <c r="F3079">
        <v>1800</v>
      </c>
      <c r="G3079" t="s">
        <v>331</v>
      </c>
      <c r="H3079" s="15">
        <v>45292</v>
      </c>
      <c r="I3079">
        <v>1800</v>
      </c>
      <c r="J3079">
        <v>0</v>
      </c>
    </row>
    <row r="3080" spans="1:10" x14ac:dyDescent="0.3">
      <c r="A3080" s="15">
        <v>45658</v>
      </c>
      <c r="B3080" t="s">
        <v>158</v>
      </c>
      <c r="C3080" t="s">
        <v>91</v>
      </c>
      <c r="D3080" t="s">
        <v>96</v>
      </c>
      <c r="E3080" t="s">
        <v>83</v>
      </c>
      <c r="F3080">
        <v>12600</v>
      </c>
      <c r="G3080" t="s">
        <v>331</v>
      </c>
      <c r="H3080" s="15">
        <v>45292</v>
      </c>
      <c r="I3080">
        <v>12600</v>
      </c>
      <c r="J3080">
        <v>0</v>
      </c>
    </row>
    <row r="3081" spans="1:10" x14ac:dyDescent="0.3">
      <c r="A3081" s="15">
        <v>45658</v>
      </c>
      <c r="B3081" t="s">
        <v>159</v>
      </c>
      <c r="C3081" t="s">
        <v>81</v>
      </c>
      <c r="D3081" t="s">
        <v>86</v>
      </c>
      <c r="E3081" t="s">
        <v>87</v>
      </c>
      <c r="F3081">
        <v>2400</v>
      </c>
      <c r="G3081" t="s">
        <v>331</v>
      </c>
      <c r="H3081" s="15">
        <v>45292</v>
      </c>
      <c r="I3081">
        <v>2400</v>
      </c>
      <c r="J3081">
        <v>0</v>
      </c>
    </row>
    <row r="3082" spans="1:10" x14ac:dyDescent="0.3">
      <c r="A3082" s="15">
        <v>45658</v>
      </c>
      <c r="B3082" t="s">
        <v>161</v>
      </c>
      <c r="C3082" t="s">
        <v>91</v>
      </c>
      <c r="D3082" t="s">
        <v>99</v>
      </c>
      <c r="E3082" t="s">
        <v>83</v>
      </c>
      <c r="F3082">
        <v>10700</v>
      </c>
      <c r="G3082" t="s">
        <v>331</v>
      </c>
      <c r="H3082" s="15">
        <v>45292</v>
      </c>
      <c r="I3082">
        <v>10700</v>
      </c>
      <c r="J3082">
        <v>0</v>
      </c>
    </row>
    <row r="3083" spans="1:10" x14ac:dyDescent="0.3">
      <c r="A3083" s="15">
        <v>45658</v>
      </c>
      <c r="B3083" t="s">
        <v>162</v>
      </c>
      <c r="C3083" t="s">
        <v>91</v>
      </c>
      <c r="D3083" t="s">
        <v>82</v>
      </c>
      <c r="E3083" t="s">
        <v>103</v>
      </c>
      <c r="F3083">
        <v>12700</v>
      </c>
      <c r="G3083" t="s">
        <v>331</v>
      </c>
      <c r="H3083" s="15">
        <v>45292</v>
      </c>
      <c r="I3083">
        <v>12700</v>
      </c>
      <c r="J3083">
        <v>0</v>
      </c>
    </row>
    <row r="3084" spans="1:10" x14ac:dyDescent="0.3">
      <c r="A3084" s="15">
        <v>45658</v>
      </c>
      <c r="B3084" t="s">
        <v>164</v>
      </c>
      <c r="C3084" t="s">
        <v>81</v>
      </c>
      <c r="D3084" t="s">
        <v>99</v>
      </c>
      <c r="E3084" t="s">
        <v>89</v>
      </c>
      <c r="F3084">
        <v>2800</v>
      </c>
      <c r="G3084" t="s">
        <v>332</v>
      </c>
      <c r="H3084" s="15">
        <v>45292</v>
      </c>
      <c r="I3084">
        <v>2500</v>
      </c>
      <c r="J3084">
        <v>300</v>
      </c>
    </row>
    <row r="3085" spans="1:10" x14ac:dyDescent="0.3">
      <c r="A3085" s="15">
        <v>45658</v>
      </c>
      <c r="B3085" t="s">
        <v>165</v>
      </c>
      <c r="C3085" t="s">
        <v>81</v>
      </c>
      <c r="D3085" t="s">
        <v>82</v>
      </c>
      <c r="E3085" t="s">
        <v>97</v>
      </c>
      <c r="F3085">
        <v>2700</v>
      </c>
      <c r="G3085" t="s">
        <v>331</v>
      </c>
      <c r="H3085" s="15">
        <v>45292</v>
      </c>
      <c r="I3085">
        <v>2700</v>
      </c>
      <c r="J3085">
        <v>0</v>
      </c>
    </row>
    <row r="3086" spans="1:10" x14ac:dyDescent="0.3">
      <c r="A3086" s="15">
        <v>45658</v>
      </c>
      <c r="B3086" t="s">
        <v>166</v>
      </c>
      <c r="C3086" t="s">
        <v>81</v>
      </c>
      <c r="D3086" t="s">
        <v>99</v>
      </c>
      <c r="E3086" t="s">
        <v>103</v>
      </c>
      <c r="F3086">
        <v>2600</v>
      </c>
      <c r="G3086" t="s">
        <v>331</v>
      </c>
      <c r="H3086" s="15">
        <v>45292</v>
      </c>
      <c r="I3086">
        <v>2600</v>
      </c>
      <c r="J3086">
        <v>0</v>
      </c>
    </row>
    <row r="3087" spans="1:10" x14ac:dyDescent="0.3">
      <c r="A3087" s="15">
        <v>45658</v>
      </c>
      <c r="B3087" t="s">
        <v>167</v>
      </c>
      <c r="C3087" t="s">
        <v>81</v>
      </c>
      <c r="D3087" t="s">
        <v>82</v>
      </c>
      <c r="E3087" t="s">
        <v>97</v>
      </c>
      <c r="F3087">
        <v>2100</v>
      </c>
      <c r="G3087" t="s">
        <v>331</v>
      </c>
      <c r="H3087" s="15">
        <v>45292</v>
      </c>
      <c r="I3087">
        <v>2100</v>
      </c>
      <c r="J3087">
        <v>0</v>
      </c>
    </row>
    <row r="3088" spans="1:10" x14ac:dyDescent="0.3">
      <c r="A3088" s="15">
        <v>45658</v>
      </c>
      <c r="B3088" t="s">
        <v>168</v>
      </c>
      <c r="C3088" t="s">
        <v>91</v>
      </c>
      <c r="D3088" t="s">
        <v>86</v>
      </c>
      <c r="E3088" t="s">
        <v>103</v>
      </c>
      <c r="F3088">
        <v>12300</v>
      </c>
      <c r="G3088" t="s">
        <v>331</v>
      </c>
      <c r="H3088" s="15">
        <v>45292</v>
      </c>
      <c r="I3088">
        <v>12300</v>
      </c>
      <c r="J3088">
        <v>0</v>
      </c>
    </row>
    <row r="3089" spans="1:10" x14ac:dyDescent="0.3">
      <c r="A3089" s="15">
        <v>45658</v>
      </c>
      <c r="B3089" t="s">
        <v>169</v>
      </c>
      <c r="C3089" t="s">
        <v>81</v>
      </c>
      <c r="D3089" t="s">
        <v>86</v>
      </c>
      <c r="E3089" t="s">
        <v>103</v>
      </c>
      <c r="F3089">
        <v>2000</v>
      </c>
      <c r="G3089" t="s">
        <v>331</v>
      </c>
      <c r="H3089" s="15">
        <v>45292</v>
      </c>
      <c r="I3089">
        <v>2000</v>
      </c>
      <c r="J3089">
        <v>0</v>
      </c>
    </row>
    <row r="3090" spans="1:10" x14ac:dyDescent="0.3">
      <c r="A3090" s="15">
        <v>45658</v>
      </c>
      <c r="B3090" t="s">
        <v>170</v>
      </c>
      <c r="C3090" t="s">
        <v>91</v>
      </c>
      <c r="D3090" t="s">
        <v>99</v>
      </c>
      <c r="E3090" t="s">
        <v>83</v>
      </c>
      <c r="F3090">
        <v>6500</v>
      </c>
      <c r="G3090" t="s">
        <v>331</v>
      </c>
      <c r="H3090" s="15">
        <v>45292</v>
      </c>
      <c r="I3090">
        <v>6500</v>
      </c>
      <c r="J3090">
        <v>0</v>
      </c>
    </row>
    <row r="3091" spans="1:10" x14ac:dyDescent="0.3">
      <c r="A3091" s="15">
        <v>45658</v>
      </c>
      <c r="B3091" t="s">
        <v>171</v>
      </c>
      <c r="C3091" t="s">
        <v>81</v>
      </c>
      <c r="D3091" t="s">
        <v>99</v>
      </c>
      <c r="E3091" t="s">
        <v>97</v>
      </c>
      <c r="F3091">
        <v>1700</v>
      </c>
      <c r="G3091" t="s">
        <v>331</v>
      </c>
      <c r="H3091" s="15">
        <v>45292</v>
      </c>
      <c r="I3091">
        <v>1700</v>
      </c>
      <c r="J3091">
        <v>0</v>
      </c>
    </row>
    <row r="3092" spans="1:10" x14ac:dyDescent="0.3">
      <c r="A3092" s="15">
        <v>45658</v>
      </c>
      <c r="B3092" t="s">
        <v>174</v>
      </c>
      <c r="C3092" t="s">
        <v>81</v>
      </c>
      <c r="D3092" t="s">
        <v>82</v>
      </c>
      <c r="E3092" t="s">
        <v>92</v>
      </c>
      <c r="F3092">
        <v>2400</v>
      </c>
      <c r="G3092" t="s">
        <v>331</v>
      </c>
      <c r="H3092" s="15">
        <v>45292</v>
      </c>
      <c r="I3092">
        <v>2400</v>
      </c>
      <c r="J3092">
        <v>0</v>
      </c>
    </row>
    <row r="3093" spans="1:10" x14ac:dyDescent="0.3">
      <c r="A3093" s="15">
        <v>45658</v>
      </c>
      <c r="B3093" t="s">
        <v>175</v>
      </c>
      <c r="C3093" t="s">
        <v>91</v>
      </c>
      <c r="D3093" t="s">
        <v>96</v>
      </c>
      <c r="E3093" t="s">
        <v>83</v>
      </c>
      <c r="F3093">
        <v>8800</v>
      </c>
      <c r="G3093" t="s">
        <v>331</v>
      </c>
      <c r="H3093" s="15">
        <v>45292</v>
      </c>
      <c r="I3093">
        <v>8800</v>
      </c>
      <c r="J3093">
        <v>0</v>
      </c>
    </row>
    <row r="3094" spans="1:10" x14ac:dyDescent="0.3">
      <c r="A3094" s="15">
        <v>45658</v>
      </c>
      <c r="B3094" t="s">
        <v>176</v>
      </c>
      <c r="C3094" t="s">
        <v>81</v>
      </c>
      <c r="D3094" t="s">
        <v>99</v>
      </c>
      <c r="E3094" t="s">
        <v>92</v>
      </c>
      <c r="F3094">
        <v>2900</v>
      </c>
      <c r="G3094" t="s">
        <v>331</v>
      </c>
      <c r="H3094" s="15">
        <v>45292</v>
      </c>
      <c r="I3094">
        <v>2900</v>
      </c>
      <c r="J3094">
        <v>0</v>
      </c>
    </row>
    <row r="3095" spans="1:10" x14ac:dyDescent="0.3">
      <c r="A3095" s="15">
        <v>45658</v>
      </c>
      <c r="B3095" t="s">
        <v>177</v>
      </c>
      <c r="C3095" t="s">
        <v>81</v>
      </c>
      <c r="D3095" t="s">
        <v>96</v>
      </c>
      <c r="E3095" t="s">
        <v>83</v>
      </c>
      <c r="F3095">
        <v>2900</v>
      </c>
      <c r="G3095" t="s">
        <v>331</v>
      </c>
      <c r="H3095" s="15">
        <v>45292</v>
      </c>
      <c r="I3095">
        <v>2900</v>
      </c>
      <c r="J3095">
        <v>0</v>
      </c>
    </row>
    <row r="3096" spans="1:10" x14ac:dyDescent="0.3">
      <c r="A3096" s="15">
        <v>45658</v>
      </c>
      <c r="B3096" t="s">
        <v>178</v>
      </c>
      <c r="C3096" t="s">
        <v>91</v>
      </c>
      <c r="D3096" t="s">
        <v>82</v>
      </c>
      <c r="E3096" t="s">
        <v>89</v>
      </c>
      <c r="F3096">
        <v>8400</v>
      </c>
      <c r="G3096" t="s">
        <v>331</v>
      </c>
      <c r="H3096" s="15">
        <v>45292</v>
      </c>
      <c r="I3096">
        <v>8400</v>
      </c>
      <c r="J3096">
        <v>0</v>
      </c>
    </row>
    <row r="3097" spans="1:10" x14ac:dyDescent="0.3">
      <c r="A3097" s="15">
        <v>45658</v>
      </c>
      <c r="B3097" t="s">
        <v>179</v>
      </c>
      <c r="C3097" t="s">
        <v>110</v>
      </c>
      <c r="D3097" t="s">
        <v>86</v>
      </c>
      <c r="E3097" t="s">
        <v>87</v>
      </c>
      <c r="F3097">
        <v>30000</v>
      </c>
      <c r="G3097" t="s">
        <v>331</v>
      </c>
      <c r="H3097" s="15">
        <v>45292</v>
      </c>
      <c r="I3097">
        <v>30000</v>
      </c>
      <c r="J3097">
        <v>0</v>
      </c>
    </row>
    <row r="3098" spans="1:10" x14ac:dyDescent="0.3">
      <c r="A3098" s="15">
        <v>45658</v>
      </c>
      <c r="B3098" t="s">
        <v>180</v>
      </c>
      <c r="C3098" t="s">
        <v>91</v>
      </c>
      <c r="D3098" t="s">
        <v>86</v>
      </c>
      <c r="E3098" t="s">
        <v>83</v>
      </c>
      <c r="F3098">
        <v>8500</v>
      </c>
      <c r="G3098" t="s">
        <v>331</v>
      </c>
      <c r="H3098" s="15">
        <v>45292</v>
      </c>
      <c r="I3098">
        <v>8500</v>
      </c>
      <c r="J3098">
        <v>0</v>
      </c>
    </row>
    <row r="3099" spans="1:10" x14ac:dyDescent="0.3">
      <c r="A3099" s="15">
        <v>45658</v>
      </c>
      <c r="B3099" t="s">
        <v>181</v>
      </c>
      <c r="C3099" t="s">
        <v>91</v>
      </c>
      <c r="D3099" t="s">
        <v>82</v>
      </c>
      <c r="E3099" t="s">
        <v>97</v>
      </c>
      <c r="F3099">
        <v>10100</v>
      </c>
      <c r="G3099" t="s">
        <v>331</v>
      </c>
      <c r="H3099" s="15">
        <v>45292</v>
      </c>
      <c r="I3099">
        <v>10100</v>
      </c>
      <c r="J3099">
        <v>0</v>
      </c>
    </row>
    <row r="3100" spans="1:10" x14ac:dyDescent="0.3">
      <c r="A3100" s="15">
        <v>45658</v>
      </c>
      <c r="B3100" t="s">
        <v>182</v>
      </c>
      <c r="C3100" t="s">
        <v>125</v>
      </c>
      <c r="D3100" t="s">
        <v>82</v>
      </c>
      <c r="E3100" t="s">
        <v>92</v>
      </c>
      <c r="F3100">
        <v>93100</v>
      </c>
      <c r="G3100" t="s">
        <v>331</v>
      </c>
      <c r="H3100" s="15">
        <v>45292</v>
      </c>
      <c r="I3100">
        <v>93100</v>
      </c>
      <c r="J3100">
        <v>0</v>
      </c>
    </row>
    <row r="3101" spans="1:10" x14ac:dyDescent="0.3">
      <c r="A3101" s="15">
        <v>45658</v>
      </c>
      <c r="B3101" t="s">
        <v>183</v>
      </c>
      <c r="C3101" t="s">
        <v>91</v>
      </c>
      <c r="D3101" t="s">
        <v>96</v>
      </c>
      <c r="E3101" t="s">
        <v>92</v>
      </c>
      <c r="F3101">
        <v>9500</v>
      </c>
      <c r="G3101" t="s">
        <v>331</v>
      </c>
      <c r="H3101" s="15">
        <v>45292</v>
      </c>
      <c r="I3101">
        <v>9500</v>
      </c>
      <c r="J3101">
        <v>0</v>
      </c>
    </row>
    <row r="3102" spans="1:10" x14ac:dyDescent="0.3">
      <c r="A3102" s="15">
        <v>45658</v>
      </c>
      <c r="B3102" t="s">
        <v>184</v>
      </c>
      <c r="C3102" t="s">
        <v>81</v>
      </c>
      <c r="D3102" t="s">
        <v>82</v>
      </c>
      <c r="E3102" t="s">
        <v>83</v>
      </c>
      <c r="F3102">
        <v>2600</v>
      </c>
      <c r="G3102" t="s">
        <v>331</v>
      </c>
      <c r="H3102" s="15">
        <v>45292</v>
      </c>
      <c r="I3102">
        <v>2600</v>
      </c>
      <c r="J3102">
        <v>0</v>
      </c>
    </row>
    <row r="3103" spans="1:10" x14ac:dyDescent="0.3">
      <c r="A3103" s="15">
        <v>45658</v>
      </c>
      <c r="B3103" t="s">
        <v>185</v>
      </c>
      <c r="C3103" t="s">
        <v>81</v>
      </c>
      <c r="D3103" t="s">
        <v>96</v>
      </c>
      <c r="E3103" t="s">
        <v>97</v>
      </c>
      <c r="F3103">
        <v>2000</v>
      </c>
      <c r="G3103" t="s">
        <v>331</v>
      </c>
      <c r="H3103" s="15">
        <v>45292</v>
      </c>
      <c r="I3103">
        <v>2000</v>
      </c>
      <c r="J3103">
        <v>0</v>
      </c>
    </row>
    <row r="3104" spans="1:10" x14ac:dyDescent="0.3">
      <c r="A3104" s="15">
        <v>45658</v>
      </c>
      <c r="B3104" t="s">
        <v>186</v>
      </c>
      <c r="C3104" t="s">
        <v>91</v>
      </c>
      <c r="D3104" t="s">
        <v>82</v>
      </c>
      <c r="E3104" t="s">
        <v>103</v>
      </c>
      <c r="F3104">
        <v>13900</v>
      </c>
      <c r="G3104" t="s">
        <v>331</v>
      </c>
      <c r="H3104" s="15">
        <v>45292</v>
      </c>
      <c r="I3104">
        <v>13900</v>
      </c>
      <c r="J3104">
        <v>0</v>
      </c>
    </row>
    <row r="3105" spans="1:10" x14ac:dyDescent="0.3">
      <c r="A3105" s="15">
        <v>45658</v>
      </c>
      <c r="B3105" t="s">
        <v>187</v>
      </c>
      <c r="C3105" t="s">
        <v>110</v>
      </c>
      <c r="D3105" t="s">
        <v>86</v>
      </c>
      <c r="E3105" t="s">
        <v>97</v>
      </c>
      <c r="F3105">
        <v>26700</v>
      </c>
      <c r="G3105" t="s">
        <v>331</v>
      </c>
      <c r="H3105" s="15">
        <v>45292</v>
      </c>
      <c r="I3105">
        <v>26700</v>
      </c>
      <c r="J3105">
        <v>0</v>
      </c>
    </row>
    <row r="3106" spans="1:10" x14ac:dyDescent="0.3">
      <c r="A3106" s="15">
        <v>45658</v>
      </c>
      <c r="B3106" t="s">
        <v>188</v>
      </c>
      <c r="C3106" t="s">
        <v>91</v>
      </c>
      <c r="D3106" t="s">
        <v>82</v>
      </c>
      <c r="E3106" t="s">
        <v>92</v>
      </c>
      <c r="F3106">
        <v>9900</v>
      </c>
      <c r="G3106" t="s">
        <v>334</v>
      </c>
      <c r="H3106" s="15">
        <v>45292</v>
      </c>
      <c r="I3106">
        <v>12000</v>
      </c>
      <c r="J3106">
        <v>-2100</v>
      </c>
    </row>
    <row r="3107" spans="1:10" x14ac:dyDescent="0.3">
      <c r="A3107" s="15">
        <v>45658</v>
      </c>
      <c r="B3107" t="s">
        <v>189</v>
      </c>
      <c r="C3107" t="s">
        <v>81</v>
      </c>
      <c r="D3107" t="s">
        <v>86</v>
      </c>
      <c r="E3107" t="s">
        <v>103</v>
      </c>
      <c r="F3107">
        <v>2000</v>
      </c>
      <c r="G3107" t="s">
        <v>331</v>
      </c>
      <c r="H3107" s="15">
        <v>45292</v>
      </c>
      <c r="I3107">
        <v>2000</v>
      </c>
      <c r="J3107">
        <v>0</v>
      </c>
    </row>
    <row r="3108" spans="1:10" x14ac:dyDescent="0.3">
      <c r="A3108" s="15">
        <v>45658</v>
      </c>
      <c r="B3108" t="s">
        <v>190</v>
      </c>
      <c r="C3108" t="s">
        <v>81</v>
      </c>
      <c r="D3108" t="s">
        <v>99</v>
      </c>
      <c r="E3108" t="s">
        <v>89</v>
      </c>
      <c r="F3108">
        <v>2000</v>
      </c>
      <c r="G3108" t="s">
        <v>331</v>
      </c>
      <c r="H3108" s="15">
        <v>45292</v>
      </c>
      <c r="I3108">
        <v>2000</v>
      </c>
      <c r="J3108">
        <v>0</v>
      </c>
    </row>
    <row r="3109" spans="1:10" x14ac:dyDescent="0.3">
      <c r="A3109" s="15">
        <v>45658</v>
      </c>
      <c r="B3109" t="s">
        <v>191</v>
      </c>
      <c r="C3109" t="s">
        <v>91</v>
      </c>
      <c r="D3109" t="s">
        <v>86</v>
      </c>
      <c r="E3109" t="s">
        <v>87</v>
      </c>
      <c r="F3109">
        <v>6900</v>
      </c>
      <c r="G3109" t="s">
        <v>331</v>
      </c>
      <c r="H3109" s="15">
        <v>45292</v>
      </c>
      <c r="I3109">
        <v>6900</v>
      </c>
      <c r="J3109">
        <v>0</v>
      </c>
    </row>
    <row r="3110" spans="1:10" x14ac:dyDescent="0.3">
      <c r="A3110" s="15">
        <v>45658</v>
      </c>
      <c r="B3110" t="s">
        <v>192</v>
      </c>
      <c r="C3110" t="s">
        <v>81</v>
      </c>
      <c r="D3110" t="s">
        <v>82</v>
      </c>
      <c r="E3110" t="s">
        <v>97</v>
      </c>
      <c r="F3110">
        <v>2700</v>
      </c>
      <c r="G3110" t="s">
        <v>331</v>
      </c>
      <c r="H3110" s="15">
        <v>45292</v>
      </c>
      <c r="I3110">
        <v>2700</v>
      </c>
      <c r="J3110">
        <v>0</v>
      </c>
    </row>
    <row r="3111" spans="1:10" x14ac:dyDescent="0.3">
      <c r="A3111" s="15">
        <v>45658</v>
      </c>
      <c r="B3111" t="s">
        <v>193</v>
      </c>
      <c r="C3111" t="s">
        <v>81</v>
      </c>
      <c r="D3111" t="s">
        <v>82</v>
      </c>
      <c r="E3111" t="s">
        <v>87</v>
      </c>
      <c r="F3111">
        <v>3200</v>
      </c>
      <c r="G3111" t="s">
        <v>331</v>
      </c>
      <c r="H3111" s="15">
        <v>45292</v>
      </c>
      <c r="I3111">
        <v>3200</v>
      </c>
      <c r="J3111">
        <v>0</v>
      </c>
    </row>
    <row r="3112" spans="1:10" x14ac:dyDescent="0.3">
      <c r="A3112" s="15">
        <v>45658</v>
      </c>
      <c r="B3112" t="s">
        <v>194</v>
      </c>
      <c r="C3112" t="s">
        <v>91</v>
      </c>
      <c r="D3112" t="s">
        <v>82</v>
      </c>
      <c r="E3112" t="s">
        <v>101</v>
      </c>
      <c r="F3112">
        <v>10400</v>
      </c>
      <c r="G3112" t="s">
        <v>331</v>
      </c>
      <c r="H3112" s="15">
        <v>45292</v>
      </c>
      <c r="I3112">
        <v>10400</v>
      </c>
      <c r="J3112">
        <v>0</v>
      </c>
    </row>
    <row r="3113" spans="1:10" x14ac:dyDescent="0.3">
      <c r="A3113" s="15">
        <v>45658</v>
      </c>
      <c r="B3113" t="s">
        <v>195</v>
      </c>
      <c r="C3113" t="s">
        <v>91</v>
      </c>
      <c r="D3113" t="s">
        <v>86</v>
      </c>
      <c r="E3113" t="s">
        <v>97</v>
      </c>
      <c r="F3113">
        <v>6800</v>
      </c>
      <c r="G3113" t="s">
        <v>331</v>
      </c>
      <c r="H3113" s="15">
        <v>45292</v>
      </c>
      <c r="I3113">
        <v>6800</v>
      </c>
      <c r="J3113">
        <v>0</v>
      </c>
    </row>
    <row r="3114" spans="1:10" x14ac:dyDescent="0.3">
      <c r="A3114" s="15">
        <v>45658</v>
      </c>
      <c r="B3114" t="s">
        <v>196</v>
      </c>
      <c r="C3114" t="s">
        <v>81</v>
      </c>
      <c r="D3114" t="s">
        <v>86</v>
      </c>
      <c r="E3114" t="s">
        <v>87</v>
      </c>
      <c r="F3114">
        <v>2600</v>
      </c>
      <c r="G3114" t="s">
        <v>331</v>
      </c>
      <c r="H3114" s="15">
        <v>45292</v>
      </c>
      <c r="I3114">
        <v>2600</v>
      </c>
      <c r="J3114">
        <v>0</v>
      </c>
    </row>
    <row r="3115" spans="1:10" x14ac:dyDescent="0.3">
      <c r="A3115" s="15">
        <v>45658</v>
      </c>
      <c r="B3115" t="s">
        <v>197</v>
      </c>
      <c r="C3115" t="s">
        <v>91</v>
      </c>
      <c r="D3115" t="s">
        <v>82</v>
      </c>
      <c r="E3115" t="s">
        <v>89</v>
      </c>
      <c r="F3115">
        <v>10400</v>
      </c>
      <c r="G3115" t="s">
        <v>331</v>
      </c>
      <c r="H3115" s="15">
        <v>45292</v>
      </c>
      <c r="I3115">
        <v>10400</v>
      </c>
      <c r="J3115">
        <v>0</v>
      </c>
    </row>
    <row r="3116" spans="1:10" x14ac:dyDescent="0.3">
      <c r="A3116" s="15">
        <v>45658</v>
      </c>
      <c r="B3116" t="s">
        <v>198</v>
      </c>
      <c r="C3116" t="s">
        <v>81</v>
      </c>
      <c r="D3116" t="s">
        <v>82</v>
      </c>
      <c r="E3116" t="s">
        <v>89</v>
      </c>
      <c r="F3116">
        <v>2900</v>
      </c>
      <c r="G3116" t="s">
        <v>331</v>
      </c>
      <c r="H3116" s="15">
        <v>45292</v>
      </c>
      <c r="I3116">
        <v>2900</v>
      </c>
      <c r="J3116">
        <v>0</v>
      </c>
    </row>
    <row r="3117" spans="1:10" x14ac:dyDescent="0.3">
      <c r="A3117" s="15">
        <v>45658</v>
      </c>
      <c r="B3117" t="s">
        <v>199</v>
      </c>
      <c r="C3117" t="s">
        <v>81</v>
      </c>
      <c r="D3117" t="s">
        <v>86</v>
      </c>
      <c r="E3117" t="s">
        <v>89</v>
      </c>
      <c r="F3117">
        <v>2200</v>
      </c>
      <c r="G3117" t="s">
        <v>331</v>
      </c>
      <c r="H3117" s="15">
        <v>45292</v>
      </c>
      <c r="I3117">
        <v>2200</v>
      </c>
      <c r="J3117">
        <v>0</v>
      </c>
    </row>
    <row r="3118" spans="1:10" x14ac:dyDescent="0.3">
      <c r="A3118" s="15">
        <v>45658</v>
      </c>
      <c r="B3118" t="s">
        <v>200</v>
      </c>
      <c r="C3118" t="s">
        <v>91</v>
      </c>
      <c r="D3118" t="s">
        <v>86</v>
      </c>
      <c r="E3118" t="s">
        <v>92</v>
      </c>
      <c r="F3118">
        <v>8800</v>
      </c>
      <c r="G3118" t="s">
        <v>331</v>
      </c>
      <c r="H3118" s="15">
        <v>45292</v>
      </c>
      <c r="I3118">
        <v>8800</v>
      </c>
      <c r="J3118">
        <v>0</v>
      </c>
    </row>
    <row r="3119" spans="1:10" x14ac:dyDescent="0.3">
      <c r="A3119" s="15">
        <v>45658</v>
      </c>
      <c r="B3119" t="s">
        <v>201</v>
      </c>
      <c r="C3119" t="s">
        <v>81</v>
      </c>
      <c r="D3119" t="s">
        <v>86</v>
      </c>
      <c r="E3119" t="s">
        <v>83</v>
      </c>
      <c r="F3119">
        <v>1800</v>
      </c>
      <c r="G3119" t="s">
        <v>331</v>
      </c>
      <c r="H3119" s="15">
        <v>45292</v>
      </c>
      <c r="I3119">
        <v>1800</v>
      </c>
      <c r="J3119">
        <v>0</v>
      </c>
    </row>
    <row r="3120" spans="1:10" x14ac:dyDescent="0.3">
      <c r="A3120" s="15">
        <v>45658</v>
      </c>
      <c r="B3120" t="s">
        <v>202</v>
      </c>
      <c r="C3120" t="s">
        <v>91</v>
      </c>
      <c r="D3120" t="s">
        <v>82</v>
      </c>
      <c r="E3120" t="s">
        <v>92</v>
      </c>
      <c r="F3120">
        <v>11000</v>
      </c>
      <c r="G3120" t="s">
        <v>331</v>
      </c>
      <c r="H3120" s="15">
        <v>45292</v>
      </c>
      <c r="I3120">
        <v>11000</v>
      </c>
      <c r="J3120">
        <v>0</v>
      </c>
    </row>
    <row r="3121" spans="1:10" x14ac:dyDescent="0.3">
      <c r="A3121" s="15">
        <v>45658</v>
      </c>
      <c r="B3121" t="s">
        <v>203</v>
      </c>
      <c r="C3121" t="s">
        <v>110</v>
      </c>
      <c r="D3121" t="s">
        <v>86</v>
      </c>
      <c r="E3121" t="s">
        <v>92</v>
      </c>
      <c r="F3121">
        <v>26300</v>
      </c>
      <c r="G3121" t="s">
        <v>331</v>
      </c>
      <c r="H3121" s="15">
        <v>45292</v>
      </c>
      <c r="I3121">
        <v>26300</v>
      </c>
      <c r="J3121">
        <v>0</v>
      </c>
    </row>
    <row r="3122" spans="1:10" x14ac:dyDescent="0.3">
      <c r="A3122" s="15">
        <v>45658</v>
      </c>
      <c r="B3122" t="s">
        <v>204</v>
      </c>
      <c r="C3122" t="s">
        <v>81</v>
      </c>
      <c r="D3122" t="s">
        <v>82</v>
      </c>
      <c r="E3122" t="s">
        <v>87</v>
      </c>
      <c r="F3122">
        <v>2200</v>
      </c>
      <c r="G3122" t="s">
        <v>331</v>
      </c>
      <c r="H3122" s="15">
        <v>45292</v>
      </c>
      <c r="I3122">
        <v>2200</v>
      </c>
      <c r="J3122">
        <v>0</v>
      </c>
    </row>
    <row r="3123" spans="1:10" x14ac:dyDescent="0.3">
      <c r="A3123" s="15">
        <v>45658</v>
      </c>
      <c r="B3123" t="s">
        <v>205</v>
      </c>
      <c r="C3123" t="s">
        <v>91</v>
      </c>
      <c r="D3123" t="s">
        <v>86</v>
      </c>
      <c r="E3123" t="s">
        <v>103</v>
      </c>
      <c r="F3123">
        <v>10600</v>
      </c>
      <c r="G3123" t="s">
        <v>331</v>
      </c>
      <c r="H3123" s="15">
        <v>45292</v>
      </c>
      <c r="I3123">
        <v>10600</v>
      </c>
      <c r="J3123">
        <v>0</v>
      </c>
    </row>
    <row r="3124" spans="1:10" x14ac:dyDescent="0.3">
      <c r="A3124" s="15">
        <v>45658</v>
      </c>
      <c r="B3124" t="s">
        <v>206</v>
      </c>
      <c r="C3124" t="s">
        <v>81</v>
      </c>
      <c r="D3124" t="s">
        <v>86</v>
      </c>
      <c r="E3124" t="s">
        <v>89</v>
      </c>
      <c r="F3124">
        <v>3000</v>
      </c>
      <c r="G3124" t="s">
        <v>331</v>
      </c>
      <c r="H3124" s="15">
        <v>45292</v>
      </c>
      <c r="I3124">
        <v>3000</v>
      </c>
      <c r="J3124">
        <v>0</v>
      </c>
    </row>
    <row r="3125" spans="1:10" x14ac:dyDescent="0.3">
      <c r="A3125" s="15">
        <v>45658</v>
      </c>
      <c r="B3125" t="s">
        <v>207</v>
      </c>
      <c r="C3125" t="s">
        <v>81</v>
      </c>
      <c r="D3125" t="s">
        <v>82</v>
      </c>
      <c r="E3125" t="s">
        <v>89</v>
      </c>
      <c r="F3125">
        <v>4100</v>
      </c>
      <c r="G3125" t="s">
        <v>331</v>
      </c>
      <c r="H3125" s="15">
        <v>45292</v>
      </c>
      <c r="I3125">
        <v>4100</v>
      </c>
      <c r="J3125">
        <v>0</v>
      </c>
    </row>
    <row r="3126" spans="1:10" x14ac:dyDescent="0.3">
      <c r="A3126" s="15">
        <v>45658</v>
      </c>
      <c r="B3126" t="s">
        <v>208</v>
      </c>
      <c r="C3126" t="s">
        <v>91</v>
      </c>
      <c r="D3126" t="s">
        <v>99</v>
      </c>
      <c r="E3126" t="s">
        <v>89</v>
      </c>
      <c r="F3126">
        <v>7300</v>
      </c>
      <c r="G3126" t="s">
        <v>331</v>
      </c>
      <c r="H3126" s="15">
        <v>45292</v>
      </c>
      <c r="I3126">
        <v>7300</v>
      </c>
      <c r="J3126">
        <v>0</v>
      </c>
    </row>
    <row r="3127" spans="1:10" x14ac:dyDescent="0.3">
      <c r="A3127" s="15">
        <v>45658</v>
      </c>
      <c r="B3127" t="s">
        <v>209</v>
      </c>
      <c r="C3127" t="s">
        <v>81</v>
      </c>
      <c r="D3127" t="s">
        <v>86</v>
      </c>
      <c r="E3127" t="s">
        <v>83</v>
      </c>
      <c r="F3127">
        <v>3100</v>
      </c>
      <c r="G3127" t="s">
        <v>331</v>
      </c>
      <c r="H3127" s="15">
        <v>45292</v>
      </c>
      <c r="I3127">
        <v>3100</v>
      </c>
      <c r="J3127">
        <v>0</v>
      </c>
    </row>
    <row r="3128" spans="1:10" x14ac:dyDescent="0.3">
      <c r="A3128" s="15">
        <v>45658</v>
      </c>
      <c r="B3128" t="s">
        <v>210</v>
      </c>
      <c r="C3128" t="s">
        <v>125</v>
      </c>
      <c r="D3128" t="s">
        <v>96</v>
      </c>
      <c r="E3128" t="s">
        <v>89</v>
      </c>
      <c r="F3128">
        <v>90300</v>
      </c>
      <c r="G3128" t="s">
        <v>331</v>
      </c>
      <c r="H3128" s="15">
        <v>45292</v>
      </c>
      <c r="I3128">
        <v>90300</v>
      </c>
      <c r="J3128">
        <v>0</v>
      </c>
    </row>
    <row r="3129" spans="1:10" x14ac:dyDescent="0.3">
      <c r="A3129" s="15">
        <v>45658</v>
      </c>
      <c r="B3129" t="s">
        <v>211</v>
      </c>
      <c r="C3129" t="s">
        <v>110</v>
      </c>
      <c r="D3129" t="s">
        <v>82</v>
      </c>
      <c r="E3129" t="s">
        <v>92</v>
      </c>
      <c r="F3129">
        <v>28900</v>
      </c>
      <c r="G3129" t="s">
        <v>331</v>
      </c>
      <c r="H3129" s="15">
        <v>45292</v>
      </c>
      <c r="I3129">
        <v>28900</v>
      </c>
      <c r="J3129">
        <v>0</v>
      </c>
    </row>
    <row r="3130" spans="1:10" x14ac:dyDescent="0.3">
      <c r="A3130" s="15">
        <v>45658</v>
      </c>
      <c r="B3130" t="s">
        <v>213</v>
      </c>
      <c r="C3130" t="s">
        <v>81</v>
      </c>
      <c r="D3130" t="s">
        <v>82</v>
      </c>
      <c r="E3130" t="s">
        <v>97</v>
      </c>
      <c r="F3130">
        <v>3300</v>
      </c>
      <c r="G3130" t="s">
        <v>331</v>
      </c>
      <c r="H3130" s="15">
        <v>45292</v>
      </c>
      <c r="I3130">
        <v>3300</v>
      </c>
      <c r="J3130">
        <v>0</v>
      </c>
    </row>
    <row r="3131" spans="1:10" x14ac:dyDescent="0.3">
      <c r="A3131" s="15">
        <v>45658</v>
      </c>
      <c r="B3131" t="s">
        <v>214</v>
      </c>
      <c r="C3131" t="s">
        <v>91</v>
      </c>
      <c r="D3131" t="s">
        <v>82</v>
      </c>
      <c r="E3131" t="s">
        <v>89</v>
      </c>
      <c r="F3131">
        <v>8700</v>
      </c>
      <c r="G3131" t="s">
        <v>331</v>
      </c>
      <c r="H3131" s="15">
        <v>45292</v>
      </c>
      <c r="I3131">
        <v>8700</v>
      </c>
      <c r="J3131">
        <v>0</v>
      </c>
    </row>
    <row r="3132" spans="1:10" x14ac:dyDescent="0.3">
      <c r="A3132" s="15">
        <v>45658</v>
      </c>
      <c r="B3132" t="s">
        <v>215</v>
      </c>
      <c r="C3132" t="s">
        <v>110</v>
      </c>
      <c r="D3132" t="s">
        <v>99</v>
      </c>
      <c r="E3132" t="s">
        <v>89</v>
      </c>
      <c r="F3132">
        <v>0</v>
      </c>
      <c r="G3132" t="s">
        <v>333</v>
      </c>
      <c r="H3132" s="15">
        <v>45292</v>
      </c>
      <c r="I3132">
        <v>42900</v>
      </c>
      <c r="J3132">
        <v>-42900</v>
      </c>
    </row>
    <row r="3133" spans="1:10" x14ac:dyDescent="0.3">
      <c r="A3133" s="15">
        <v>45658</v>
      </c>
      <c r="B3133" t="s">
        <v>216</v>
      </c>
      <c r="C3133" t="s">
        <v>81</v>
      </c>
      <c r="D3133" t="s">
        <v>82</v>
      </c>
      <c r="E3133" t="s">
        <v>97</v>
      </c>
      <c r="F3133">
        <v>3500</v>
      </c>
      <c r="G3133" t="s">
        <v>331</v>
      </c>
      <c r="H3133" s="15">
        <v>45292</v>
      </c>
      <c r="I3133">
        <v>3500</v>
      </c>
      <c r="J3133">
        <v>0</v>
      </c>
    </row>
    <row r="3134" spans="1:10" x14ac:dyDescent="0.3">
      <c r="A3134" s="15">
        <v>45658</v>
      </c>
      <c r="B3134" t="s">
        <v>217</v>
      </c>
      <c r="C3134" t="s">
        <v>91</v>
      </c>
      <c r="D3134" t="s">
        <v>82</v>
      </c>
      <c r="E3134" t="s">
        <v>97</v>
      </c>
      <c r="F3134">
        <v>9000</v>
      </c>
      <c r="G3134" t="s">
        <v>331</v>
      </c>
      <c r="H3134" s="15">
        <v>45292</v>
      </c>
      <c r="I3134">
        <v>9000</v>
      </c>
      <c r="J3134">
        <v>0</v>
      </c>
    </row>
    <row r="3135" spans="1:10" x14ac:dyDescent="0.3">
      <c r="A3135" s="15">
        <v>45658</v>
      </c>
      <c r="B3135" t="s">
        <v>218</v>
      </c>
      <c r="C3135" t="s">
        <v>110</v>
      </c>
      <c r="D3135" t="s">
        <v>99</v>
      </c>
      <c r="E3135" t="s">
        <v>92</v>
      </c>
      <c r="F3135">
        <v>29900</v>
      </c>
      <c r="G3135" t="s">
        <v>331</v>
      </c>
      <c r="H3135" s="15">
        <v>45292</v>
      </c>
      <c r="I3135">
        <v>29900</v>
      </c>
      <c r="J3135">
        <v>0</v>
      </c>
    </row>
    <row r="3136" spans="1:10" x14ac:dyDescent="0.3">
      <c r="A3136" s="15">
        <v>45658</v>
      </c>
      <c r="B3136" t="s">
        <v>219</v>
      </c>
      <c r="C3136" t="s">
        <v>81</v>
      </c>
      <c r="D3136" t="s">
        <v>99</v>
      </c>
      <c r="E3136" t="s">
        <v>89</v>
      </c>
      <c r="F3136">
        <v>2500</v>
      </c>
      <c r="G3136" t="s">
        <v>331</v>
      </c>
      <c r="H3136" s="15">
        <v>45292</v>
      </c>
      <c r="I3136">
        <v>2500</v>
      </c>
      <c r="J3136">
        <v>0</v>
      </c>
    </row>
    <row r="3137" spans="1:10" x14ac:dyDescent="0.3">
      <c r="A3137" s="15">
        <v>45658</v>
      </c>
      <c r="B3137" t="s">
        <v>220</v>
      </c>
      <c r="C3137" t="s">
        <v>110</v>
      </c>
      <c r="D3137" t="s">
        <v>82</v>
      </c>
      <c r="E3137" t="s">
        <v>89</v>
      </c>
      <c r="F3137">
        <v>30800</v>
      </c>
      <c r="G3137" t="s">
        <v>331</v>
      </c>
      <c r="H3137" s="15">
        <v>45292</v>
      </c>
      <c r="I3137">
        <v>30800</v>
      </c>
      <c r="J3137">
        <v>0</v>
      </c>
    </row>
    <row r="3138" spans="1:10" x14ac:dyDescent="0.3">
      <c r="A3138" s="15">
        <v>45658</v>
      </c>
      <c r="B3138" t="s">
        <v>221</v>
      </c>
      <c r="C3138" t="s">
        <v>91</v>
      </c>
      <c r="D3138" t="s">
        <v>96</v>
      </c>
      <c r="E3138" t="s">
        <v>83</v>
      </c>
      <c r="F3138">
        <v>9100</v>
      </c>
      <c r="G3138" t="s">
        <v>331</v>
      </c>
      <c r="H3138" s="15">
        <v>45292</v>
      </c>
      <c r="I3138">
        <v>9100</v>
      </c>
      <c r="J3138">
        <v>0</v>
      </c>
    </row>
    <row r="3139" spans="1:10" x14ac:dyDescent="0.3">
      <c r="A3139" s="15">
        <v>45658</v>
      </c>
      <c r="B3139" t="s">
        <v>223</v>
      </c>
      <c r="C3139" t="s">
        <v>81</v>
      </c>
      <c r="D3139" t="s">
        <v>99</v>
      </c>
      <c r="E3139" t="s">
        <v>87</v>
      </c>
      <c r="F3139">
        <v>2100</v>
      </c>
      <c r="G3139" t="s">
        <v>331</v>
      </c>
      <c r="H3139" s="15">
        <v>45292</v>
      </c>
      <c r="I3139">
        <v>2100</v>
      </c>
      <c r="J3139">
        <v>0</v>
      </c>
    </row>
    <row r="3140" spans="1:10" x14ac:dyDescent="0.3">
      <c r="A3140" s="15">
        <v>45658</v>
      </c>
      <c r="B3140" t="s">
        <v>224</v>
      </c>
      <c r="C3140" t="s">
        <v>91</v>
      </c>
      <c r="D3140" t="s">
        <v>82</v>
      </c>
      <c r="E3140" t="s">
        <v>101</v>
      </c>
      <c r="F3140">
        <v>10300</v>
      </c>
      <c r="G3140" t="s">
        <v>331</v>
      </c>
      <c r="H3140" s="15">
        <v>45292</v>
      </c>
      <c r="I3140">
        <v>10300</v>
      </c>
      <c r="J3140">
        <v>0</v>
      </c>
    </row>
    <row r="3141" spans="1:10" x14ac:dyDescent="0.3">
      <c r="A3141" s="15">
        <v>45658</v>
      </c>
      <c r="B3141" t="s">
        <v>225</v>
      </c>
      <c r="C3141" t="s">
        <v>110</v>
      </c>
      <c r="D3141" t="s">
        <v>99</v>
      </c>
      <c r="E3141" t="s">
        <v>103</v>
      </c>
      <c r="F3141">
        <v>42200</v>
      </c>
      <c r="G3141" t="s">
        <v>331</v>
      </c>
      <c r="H3141" s="15">
        <v>45292</v>
      </c>
      <c r="I3141">
        <v>42200</v>
      </c>
      <c r="J3141">
        <v>0</v>
      </c>
    </row>
    <row r="3142" spans="1:10" x14ac:dyDescent="0.3">
      <c r="A3142" s="15">
        <v>45658</v>
      </c>
      <c r="B3142" t="s">
        <v>226</v>
      </c>
      <c r="C3142" t="s">
        <v>91</v>
      </c>
      <c r="D3142" t="s">
        <v>82</v>
      </c>
      <c r="E3142" t="s">
        <v>103</v>
      </c>
      <c r="F3142">
        <v>6300</v>
      </c>
      <c r="G3142" t="s">
        <v>331</v>
      </c>
      <c r="H3142" s="15">
        <v>45292</v>
      </c>
      <c r="I3142">
        <v>6300</v>
      </c>
      <c r="J3142">
        <v>0</v>
      </c>
    </row>
    <row r="3143" spans="1:10" x14ac:dyDescent="0.3">
      <c r="A3143" s="15">
        <v>45658</v>
      </c>
      <c r="B3143" t="s">
        <v>227</v>
      </c>
      <c r="C3143" t="s">
        <v>110</v>
      </c>
      <c r="D3143" t="s">
        <v>86</v>
      </c>
      <c r="E3143" t="s">
        <v>87</v>
      </c>
      <c r="F3143">
        <v>25900</v>
      </c>
      <c r="G3143" t="s">
        <v>331</v>
      </c>
      <c r="H3143" s="15">
        <v>45292</v>
      </c>
      <c r="I3143">
        <v>25900</v>
      </c>
      <c r="J3143">
        <v>0</v>
      </c>
    </row>
    <row r="3144" spans="1:10" x14ac:dyDescent="0.3">
      <c r="A3144" s="15">
        <v>45658</v>
      </c>
      <c r="B3144" t="s">
        <v>228</v>
      </c>
      <c r="C3144" t="s">
        <v>91</v>
      </c>
      <c r="D3144" t="s">
        <v>96</v>
      </c>
      <c r="E3144" t="s">
        <v>89</v>
      </c>
      <c r="F3144">
        <v>12000</v>
      </c>
      <c r="G3144" t="s">
        <v>331</v>
      </c>
      <c r="H3144" s="15">
        <v>45292</v>
      </c>
      <c r="I3144">
        <v>12000</v>
      </c>
      <c r="J3144">
        <v>0</v>
      </c>
    </row>
    <row r="3145" spans="1:10" x14ac:dyDescent="0.3">
      <c r="A3145" s="15">
        <v>45658</v>
      </c>
      <c r="B3145" t="s">
        <v>229</v>
      </c>
      <c r="C3145" t="s">
        <v>81</v>
      </c>
      <c r="D3145" t="s">
        <v>82</v>
      </c>
      <c r="E3145" t="s">
        <v>83</v>
      </c>
      <c r="F3145">
        <v>3000</v>
      </c>
      <c r="G3145" t="s">
        <v>331</v>
      </c>
      <c r="H3145" s="15">
        <v>45292</v>
      </c>
      <c r="I3145">
        <v>3000</v>
      </c>
      <c r="J3145">
        <v>0</v>
      </c>
    </row>
    <row r="3146" spans="1:10" x14ac:dyDescent="0.3">
      <c r="A3146" s="15">
        <v>45658</v>
      </c>
      <c r="B3146" t="s">
        <v>230</v>
      </c>
      <c r="C3146" t="s">
        <v>81</v>
      </c>
      <c r="D3146" t="s">
        <v>86</v>
      </c>
      <c r="E3146" t="s">
        <v>101</v>
      </c>
      <c r="F3146">
        <v>3400</v>
      </c>
      <c r="G3146" t="s">
        <v>331</v>
      </c>
      <c r="H3146" s="15">
        <v>45292</v>
      </c>
      <c r="I3146">
        <v>3400</v>
      </c>
      <c r="J3146">
        <v>0</v>
      </c>
    </row>
    <row r="3147" spans="1:10" x14ac:dyDescent="0.3">
      <c r="A3147" s="15">
        <v>45658</v>
      </c>
      <c r="B3147" t="s">
        <v>231</v>
      </c>
      <c r="C3147" t="s">
        <v>91</v>
      </c>
      <c r="D3147" t="s">
        <v>82</v>
      </c>
      <c r="E3147" t="s">
        <v>92</v>
      </c>
      <c r="F3147">
        <v>6900</v>
      </c>
      <c r="G3147" t="s">
        <v>331</v>
      </c>
      <c r="H3147" s="15">
        <v>45292</v>
      </c>
      <c r="I3147">
        <v>6900</v>
      </c>
      <c r="J3147">
        <v>0</v>
      </c>
    </row>
    <row r="3148" spans="1:10" x14ac:dyDescent="0.3">
      <c r="A3148" s="15">
        <v>45658</v>
      </c>
      <c r="B3148" t="s">
        <v>232</v>
      </c>
      <c r="C3148" t="s">
        <v>125</v>
      </c>
      <c r="D3148" t="s">
        <v>86</v>
      </c>
      <c r="E3148" t="s">
        <v>83</v>
      </c>
      <c r="F3148">
        <v>121100</v>
      </c>
      <c r="G3148" t="s">
        <v>331</v>
      </c>
      <c r="H3148" s="15">
        <v>45292</v>
      </c>
      <c r="I3148">
        <v>121100</v>
      </c>
      <c r="J3148">
        <v>0</v>
      </c>
    </row>
    <row r="3149" spans="1:10" x14ac:dyDescent="0.3">
      <c r="A3149" s="15">
        <v>45658</v>
      </c>
      <c r="B3149" t="s">
        <v>233</v>
      </c>
      <c r="C3149" t="s">
        <v>81</v>
      </c>
      <c r="D3149" t="s">
        <v>82</v>
      </c>
      <c r="E3149" t="s">
        <v>87</v>
      </c>
      <c r="F3149">
        <v>3300</v>
      </c>
      <c r="G3149" t="s">
        <v>331</v>
      </c>
      <c r="H3149" s="15">
        <v>45292</v>
      </c>
      <c r="I3149">
        <v>3300</v>
      </c>
      <c r="J3149">
        <v>0</v>
      </c>
    </row>
    <row r="3150" spans="1:10" x14ac:dyDescent="0.3">
      <c r="A3150" s="15">
        <v>45658</v>
      </c>
      <c r="B3150" t="s">
        <v>234</v>
      </c>
      <c r="C3150" t="s">
        <v>110</v>
      </c>
      <c r="D3150" t="s">
        <v>82</v>
      </c>
      <c r="E3150" t="s">
        <v>103</v>
      </c>
      <c r="F3150">
        <v>41200</v>
      </c>
      <c r="G3150" t="s">
        <v>331</v>
      </c>
      <c r="H3150" s="15">
        <v>45292</v>
      </c>
      <c r="I3150">
        <v>41200</v>
      </c>
      <c r="J3150">
        <v>0</v>
      </c>
    </row>
    <row r="3151" spans="1:10" x14ac:dyDescent="0.3">
      <c r="A3151" s="15">
        <v>45658</v>
      </c>
      <c r="B3151" t="s">
        <v>235</v>
      </c>
      <c r="C3151" t="s">
        <v>91</v>
      </c>
      <c r="D3151" t="s">
        <v>96</v>
      </c>
      <c r="E3151" t="s">
        <v>103</v>
      </c>
      <c r="F3151">
        <v>10500</v>
      </c>
      <c r="G3151" t="s">
        <v>331</v>
      </c>
      <c r="H3151" s="15">
        <v>45292</v>
      </c>
      <c r="I3151">
        <v>10500</v>
      </c>
      <c r="J3151">
        <v>0</v>
      </c>
    </row>
    <row r="3152" spans="1:10" x14ac:dyDescent="0.3">
      <c r="A3152" s="15">
        <v>45658</v>
      </c>
      <c r="B3152" t="s">
        <v>236</v>
      </c>
      <c r="C3152" t="s">
        <v>110</v>
      </c>
      <c r="D3152" t="s">
        <v>82</v>
      </c>
      <c r="E3152" t="s">
        <v>97</v>
      </c>
      <c r="F3152">
        <v>27200</v>
      </c>
      <c r="G3152" t="s">
        <v>331</v>
      </c>
      <c r="H3152" s="15">
        <v>45292</v>
      </c>
      <c r="I3152">
        <v>27200</v>
      </c>
      <c r="J3152">
        <v>0</v>
      </c>
    </row>
    <row r="3153" spans="1:10" x14ac:dyDescent="0.3">
      <c r="A3153" s="15">
        <v>45658</v>
      </c>
      <c r="B3153" t="s">
        <v>237</v>
      </c>
      <c r="C3153" t="s">
        <v>91</v>
      </c>
      <c r="D3153" t="s">
        <v>82</v>
      </c>
      <c r="E3153" t="s">
        <v>83</v>
      </c>
      <c r="F3153">
        <v>8100</v>
      </c>
      <c r="G3153" t="s">
        <v>331</v>
      </c>
      <c r="H3153" s="15">
        <v>45292</v>
      </c>
      <c r="I3153">
        <v>8100</v>
      </c>
      <c r="J3153">
        <v>0</v>
      </c>
    </row>
    <row r="3154" spans="1:10" x14ac:dyDescent="0.3">
      <c r="A3154" s="15">
        <v>45658</v>
      </c>
      <c r="B3154" t="s">
        <v>238</v>
      </c>
      <c r="C3154" t="s">
        <v>81</v>
      </c>
      <c r="D3154" t="s">
        <v>99</v>
      </c>
      <c r="E3154" t="s">
        <v>97</v>
      </c>
      <c r="F3154">
        <v>2600</v>
      </c>
      <c r="G3154" t="s">
        <v>331</v>
      </c>
      <c r="H3154" s="15">
        <v>45292</v>
      </c>
      <c r="I3154">
        <v>2600</v>
      </c>
      <c r="J3154">
        <v>0</v>
      </c>
    </row>
    <row r="3155" spans="1:10" x14ac:dyDescent="0.3">
      <c r="A3155" s="15">
        <v>45658</v>
      </c>
      <c r="B3155" t="s">
        <v>239</v>
      </c>
      <c r="C3155" t="s">
        <v>81</v>
      </c>
      <c r="D3155" t="s">
        <v>82</v>
      </c>
      <c r="E3155" t="s">
        <v>103</v>
      </c>
      <c r="F3155">
        <v>2500</v>
      </c>
      <c r="G3155" t="s">
        <v>331</v>
      </c>
      <c r="H3155" s="15">
        <v>45292</v>
      </c>
      <c r="I3155">
        <v>2500</v>
      </c>
      <c r="J3155">
        <v>0</v>
      </c>
    </row>
    <row r="3156" spans="1:10" x14ac:dyDescent="0.3">
      <c r="A3156" s="15">
        <v>45658</v>
      </c>
      <c r="B3156" t="s">
        <v>240</v>
      </c>
      <c r="C3156" t="s">
        <v>81</v>
      </c>
      <c r="D3156" t="s">
        <v>99</v>
      </c>
      <c r="E3156" t="s">
        <v>103</v>
      </c>
      <c r="F3156">
        <v>2500</v>
      </c>
      <c r="G3156" t="s">
        <v>334</v>
      </c>
      <c r="H3156" s="15">
        <v>45292</v>
      </c>
      <c r="I3156">
        <v>3000</v>
      </c>
      <c r="J3156">
        <v>-500</v>
      </c>
    </row>
    <row r="3157" spans="1:10" x14ac:dyDescent="0.3">
      <c r="A3157" s="15">
        <v>45658</v>
      </c>
      <c r="B3157" t="s">
        <v>241</v>
      </c>
      <c r="C3157" t="s">
        <v>91</v>
      </c>
      <c r="D3157" t="s">
        <v>96</v>
      </c>
      <c r="E3157" t="s">
        <v>87</v>
      </c>
      <c r="F3157">
        <v>12100</v>
      </c>
      <c r="G3157" t="s">
        <v>331</v>
      </c>
      <c r="H3157" s="15">
        <v>45292</v>
      </c>
      <c r="I3157">
        <v>12100</v>
      </c>
      <c r="J3157">
        <v>0</v>
      </c>
    </row>
    <row r="3158" spans="1:10" x14ac:dyDescent="0.3">
      <c r="A3158" s="15">
        <v>45658</v>
      </c>
      <c r="B3158" t="s">
        <v>242</v>
      </c>
      <c r="C3158" t="s">
        <v>110</v>
      </c>
      <c r="D3158" t="s">
        <v>99</v>
      </c>
      <c r="E3158" t="s">
        <v>101</v>
      </c>
      <c r="F3158">
        <v>34800</v>
      </c>
      <c r="G3158" t="s">
        <v>331</v>
      </c>
      <c r="H3158" s="15">
        <v>45292</v>
      </c>
      <c r="I3158">
        <v>34800</v>
      </c>
      <c r="J3158">
        <v>0</v>
      </c>
    </row>
    <row r="3159" spans="1:10" x14ac:dyDescent="0.3">
      <c r="A3159" s="15">
        <v>45658</v>
      </c>
      <c r="B3159" t="s">
        <v>244</v>
      </c>
      <c r="C3159" t="s">
        <v>91</v>
      </c>
      <c r="D3159" t="s">
        <v>82</v>
      </c>
      <c r="E3159" t="s">
        <v>92</v>
      </c>
      <c r="F3159">
        <v>7800</v>
      </c>
      <c r="G3159" t="s">
        <v>331</v>
      </c>
      <c r="H3159" s="15">
        <v>45292</v>
      </c>
      <c r="I3159">
        <v>7800</v>
      </c>
      <c r="J3159">
        <v>0</v>
      </c>
    </row>
    <row r="3160" spans="1:10" x14ac:dyDescent="0.3">
      <c r="A3160" s="15">
        <v>45658</v>
      </c>
      <c r="B3160" t="s">
        <v>245</v>
      </c>
      <c r="C3160" t="s">
        <v>81</v>
      </c>
      <c r="D3160" t="s">
        <v>99</v>
      </c>
      <c r="E3160" t="s">
        <v>97</v>
      </c>
      <c r="F3160">
        <v>2600</v>
      </c>
      <c r="G3160" t="s">
        <v>331</v>
      </c>
      <c r="H3160" s="15">
        <v>45292</v>
      </c>
      <c r="I3160">
        <v>2600</v>
      </c>
      <c r="J3160">
        <v>0</v>
      </c>
    </row>
    <row r="3161" spans="1:10" x14ac:dyDescent="0.3">
      <c r="A3161" s="15">
        <v>45658</v>
      </c>
      <c r="B3161" t="s">
        <v>246</v>
      </c>
      <c r="C3161" t="s">
        <v>91</v>
      </c>
      <c r="D3161" t="s">
        <v>86</v>
      </c>
      <c r="E3161" t="s">
        <v>103</v>
      </c>
      <c r="F3161">
        <v>10100</v>
      </c>
      <c r="G3161" t="s">
        <v>331</v>
      </c>
      <c r="H3161" s="15">
        <v>45292</v>
      </c>
      <c r="I3161">
        <v>10100</v>
      </c>
      <c r="J3161">
        <v>0</v>
      </c>
    </row>
    <row r="3162" spans="1:10" x14ac:dyDescent="0.3">
      <c r="A3162" s="15">
        <v>45658</v>
      </c>
      <c r="B3162" t="s">
        <v>247</v>
      </c>
      <c r="C3162" t="s">
        <v>91</v>
      </c>
      <c r="D3162" t="s">
        <v>86</v>
      </c>
      <c r="E3162" t="s">
        <v>89</v>
      </c>
      <c r="F3162">
        <v>9100</v>
      </c>
      <c r="G3162" t="s">
        <v>331</v>
      </c>
      <c r="H3162" s="15">
        <v>45292</v>
      </c>
      <c r="I3162">
        <v>9100</v>
      </c>
      <c r="J3162">
        <v>0</v>
      </c>
    </row>
    <row r="3163" spans="1:10" x14ac:dyDescent="0.3">
      <c r="A3163" s="15">
        <v>45658</v>
      </c>
      <c r="B3163" t="s">
        <v>248</v>
      </c>
      <c r="C3163" t="s">
        <v>81</v>
      </c>
      <c r="D3163" t="s">
        <v>82</v>
      </c>
      <c r="E3163" t="s">
        <v>103</v>
      </c>
      <c r="F3163">
        <v>2100</v>
      </c>
      <c r="G3163" t="s">
        <v>331</v>
      </c>
      <c r="H3163" s="15">
        <v>45292</v>
      </c>
      <c r="I3163">
        <v>2100</v>
      </c>
      <c r="J3163">
        <v>0</v>
      </c>
    </row>
    <row r="3164" spans="1:10" x14ac:dyDescent="0.3">
      <c r="A3164" s="15">
        <v>45658</v>
      </c>
      <c r="B3164" t="s">
        <v>250</v>
      </c>
      <c r="C3164" t="s">
        <v>81</v>
      </c>
      <c r="D3164" t="s">
        <v>86</v>
      </c>
      <c r="E3164" t="s">
        <v>87</v>
      </c>
      <c r="F3164">
        <v>3300</v>
      </c>
      <c r="G3164" t="s">
        <v>331</v>
      </c>
      <c r="H3164" s="15">
        <v>45292</v>
      </c>
      <c r="I3164">
        <v>3300</v>
      </c>
      <c r="J3164">
        <v>0</v>
      </c>
    </row>
    <row r="3165" spans="1:10" x14ac:dyDescent="0.3">
      <c r="A3165" s="15">
        <v>45658</v>
      </c>
      <c r="B3165" t="s">
        <v>251</v>
      </c>
      <c r="C3165" t="s">
        <v>91</v>
      </c>
      <c r="D3165" t="s">
        <v>99</v>
      </c>
      <c r="E3165" t="s">
        <v>103</v>
      </c>
      <c r="F3165">
        <v>8800</v>
      </c>
      <c r="G3165" t="s">
        <v>331</v>
      </c>
      <c r="H3165" s="15">
        <v>45292</v>
      </c>
      <c r="I3165">
        <v>8800</v>
      </c>
      <c r="J3165">
        <v>0</v>
      </c>
    </row>
    <row r="3166" spans="1:10" x14ac:dyDescent="0.3">
      <c r="A3166" s="15">
        <v>45658</v>
      </c>
      <c r="B3166" t="s">
        <v>252</v>
      </c>
      <c r="C3166" t="s">
        <v>81</v>
      </c>
      <c r="D3166" t="s">
        <v>99</v>
      </c>
      <c r="E3166" t="s">
        <v>92</v>
      </c>
      <c r="F3166">
        <v>3400</v>
      </c>
      <c r="G3166" t="s">
        <v>331</v>
      </c>
      <c r="H3166" s="15">
        <v>45292</v>
      </c>
      <c r="I3166">
        <v>3400</v>
      </c>
      <c r="J3166">
        <v>0</v>
      </c>
    </row>
    <row r="3167" spans="1:10" x14ac:dyDescent="0.3">
      <c r="A3167" s="15">
        <v>45658</v>
      </c>
      <c r="B3167" t="s">
        <v>253</v>
      </c>
      <c r="C3167" t="s">
        <v>81</v>
      </c>
      <c r="D3167" t="s">
        <v>96</v>
      </c>
      <c r="E3167" t="s">
        <v>89</v>
      </c>
      <c r="F3167">
        <v>2400</v>
      </c>
      <c r="G3167" t="s">
        <v>331</v>
      </c>
      <c r="H3167" s="15">
        <v>45292</v>
      </c>
      <c r="I3167">
        <v>2400</v>
      </c>
      <c r="J3167">
        <v>0</v>
      </c>
    </row>
    <row r="3168" spans="1:10" x14ac:dyDescent="0.3">
      <c r="A3168" s="15">
        <v>45658</v>
      </c>
      <c r="B3168" t="s">
        <v>254</v>
      </c>
      <c r="C3168" t="s">
        <v>110</v>
      </c>
      <c r="D3168" t="s">
        <v>86</v>
      </c>
      <c r="E3168" t="s">
        <v>103</v>
      </c>
      <c r="F3168">
        <v>56100</v>
      </c>
      <c r="G3168" t="s">
        <v>331</v>
      </c>
      <c r="H3168" s="15">
        <v>45292</v>
      </c>
      <c r="I3168">
        <v>56100</v>
      </c>
      <c r="J3168">
        <v>0</v>
      </c>
    </row>
    <row r="3169" spans="1:10" x14ac:dyDescent="0.3">
      <c r="A3169" s="15">
        <v>45658</v>
      </c>
      <c r="B3169" t="s">
        <v>255</v>
      </c>
      <c r="C3169" t="s">
        <v>91</v>
      </c>
      <c r="D3169" t="s">
        <v>86</v>
      </c>
      <c r="E3169" t="s">
        <v>89</v>
      </c>
      <c r="F3169">
        <v>9900</v>
      </c>
      <c r="G3169" t="s">
        <v>331</v>
      </c>
      <c r="H3169" s="15">
        <v>45292</v>
      </c>
      <c r="I3169">
        <v>9900</v>
      </c>
      <c r="J3169">
        <v>0</v>
      </c>
    </row>
    <row r="3170" spans="1:10" x14ac:dyDescent="0.3">
      <c r="A3170" s="15">
        <v>45658</v>
      </c>
      <c r="B3170" t="s">
        <v>256</v>
      </c>
      <c r="C3170" t="s">
        <v>81</v>
      </c>
      <c r="D3170" t="s">
        <v>82</v>
      </c>
      <c r="E3170" t="s">
        <v>103</v>
      </c>
      <c r="F3170">
        <v>2100</v>
      </c>
      <c r="G3170" t="s">
        <v>334</v>
      </c>
      <c r="H3170" s="15">
        <v>45292</v>
      </c>
      <c r="I3170">
        <v>2600</v>
      </c>
      <c r="J3170">
        <v>-500</v>
      </c>
    </row>
    <row r="3171" spans="1:10" x14ac:dyDescent="0.3">
      <c r="A3171" s="15">
        <v>45658</v>
      </c>
      <c r="B3171" t="s">
        <v>257</v>
      </c>
      <c r="C3171" t="s">
        <v>91</v>
      </c>
      <c r="D3171" t="s">
        <v>96</v>
      </c>
      <c r="E3171" t="s">
        <v>87</v>
      </c>
      <c r="F3171">
        <v>8400</v>
      </c>
      <c r="G3171" t="s">
        <v>331</v>
      </c>
      <c r="H3171" s="15">
        <v>45292</v>
      </c>
      <c r="I3171">
        <v>8400</v>
      </c>
      <c r="J3171">
        <v>0</v>
      </c>
    </row>
    <row r="3172" spans="1:10" x14ac:dyDescent="0.3">
      <c r="A3172" s="15">
        <v>45658</v>
      </c>
      <c r="B3172" t="s">
        <v>258</v>
      </c>
      <c r="C3172" t="s">
        <v>125</v>
      </c>
      <c r="D3172" t="s">
        <v>86</v>
      </c>
      <c r="E3172" t="s">
        <v>83</v>
      </c>
      <c r="F3172">
        <v>96300</v>
      </c>
      <c r="G3172" t="s">
        <v>331</v>
      </c>
      <c r="H3172" s="15">
        <v>45292</v>
      </c>
      <c r="I3172">
        <v>96300</v>
      </c>
      <c r="J3172">
        <v>0</v>
      </c>
    </row>
    <row r="3173" spans="1:10" x14ac:dyDescent="0.3">
      <c r="A3173" s="15">
        <v>45658</v>
      </c>
      <c r="B3173" t="s">
        <v>259</v>
      </c>
      <c r="C3173" t="s">
        <v>81</v>
      </c>
      <c r="D3173" t="s">
        <v>86</v>
      </c>
      <c r="E3173" t="s">
        <v>89</v>
      </c>
      <c r="F3173">
        <v>1900</v>
      </c>
      <c r="G3173" t="s">
        <v>331</v>
      </c>
      <c r="H3173" s="15">
        <v>45292</v>
      </c>
      <c r="I3173">
        <v>1900</v>
      </c>
      <c r="J3173">
        <v>0</v>
      </c>
    </row>
    <row r="3174" spans="1:10" x14ac:dyDescent="0.3">
      <c r="A3174" s="15">
        <v>45658</v>
      </c>
      <c r="B3174" t="s">
        <v>260</v>
      </c>
      <c r="C3174" t="s">
        <v>81</v>
      </c>
      <c r="D3174" t="s">
        <v>86</v>
      </c>
      <c r="E3174" t="s">
        <v>97</v>
      </c>
      <c r="F3174">
        <v>2000</v>
      </c>
      <c r="G3174" t="s">
        <v>334</v>
      </c>
      <c r="H3174" s="15">
        <v>45292</v>
      </c>
      <c r="I3174">
        <v>2300</v>
      </c>
      <c r="J3174">
        <v>-300</v>
      </c>
    </row>
    <row r="3175" spans="1:10" x14ac:dyDescent="0.3">
      <c r="A3175" s="15">
        <v>45658</v>
      </c>
      <c r="B3175" t="s">
        <v>262</v>
      </c>
      <c r="C3175" t="s">
        <v>91</v>
      </c>
      <c r="D3175" t="s">
        <v>82</v>
      </c>
      <c r="E3175" t="s">
        <v>92</v>
      </c>
      <c r="F3175">
        <v>9400</v>
      </c>
      <c r="G3175" t="s">
        <v>331</v>
      </c>
      <c r="H3175" s="15">
        <v>45292</v>
      </c>
      <c r="I3175">
        <v>9400</v>
      </c>
      <c r="J3175">
        <v>0</v>
      </c>
    </row>
    <row r="3176" spans="1:10" x14ac:dyDescent="0.3">
      <c r="A3176" s="15">
        <v>45658</v>
      </c>
      <c r="B3176" t="s">
        <v>264</v>
      </c>
      <c r="C3176" t="s">
        <v>110</v>
      </c>
      <c r="D3176" t="s">
        <v>86</v>
      </c>
      <c r="E3176" t="s">
        <v>97</v>
      </c>
      <c r="F3176">
        <v>31500</v>
      </c>
      <c r="G3176" t="s">
        <v>331</v>
      </c>
      <c r="H3176" s="15">
        <v>45292</v>
      </c>
      <c r="I3176">
        <v>31500</v>
      </c>
      <c r="J3176">
        <v>0</v>
      </c>
    </row>
    <row r="3177" spans="1:10" x14ac:dyDescent="0.3">
      <c r="A3177" s="15">
        <v>45658</v>
      </c>
      <c r="B3177" t="s">
        <v>265</v>
      </c>
      <c r="C3177" t="s">
        <v>125</v>
      </c>
      <c r="D3177" t="s">
        <v>86</v>
      </c>
      <c r="E3177" t="s">
        <v>101</v>
      </c>
      <c r="F3177">
        <v>92200</v>
      </c>
      <c r="G3177" t="s">
        <v>331</v>
      </c>
      <c r="H3177" s="15">
        <v>45292</v>
      </c>
      <c r="I3177">
        <v>92200</v>
      </c>
      <c r="J3177">
        <v>0</v>
      </c>
    </row>
    <row r="3178" spans="1:10" x14ac:dyDescent="0.3">
      <c r="A3178" s="15">
        <v>45658</v>
      </c>
      <c r="B3178" t="s">
        <v>266</v>
      </c>
      <c r="C3178" t="s">
        <v>81</v>
      </c>
      <c r="D3178" t="s">
        <v>82</v>
      </c>
      <c r="E3178" t="s">
        <v>83</v>
      </c>
      <c r="F3178">
        <v>2200</v>
      </c>
      <c r="G3178" t="s">
        <v>331</v>
      </c>
      <c r="H3178" s="15">
        <v>45292</v>
      </c>
      <c r="I3178">
        <v>2200</v>
      </c>
      <c r="J3178">
        <v>0</v>
      </c>
    </row>
    <row r="3179" spans="1:10" x14ac:dyDescent="0.3">
      <c r="A3179" s="15">
        <v>45658</v>
      </c>
      <c r="B3179" t="s">
        <v>267</v>
      </c>
      <c r="C3179" t="s">
        <v>91</v>
      </c>
      <c r="D3179" t="s">
        <v>82</v>
      </c>
      <c r="E3179" t="s">
        <v>97</v>
      </c>
      <c r="F3179">
        <v>6900</v>
      </c>
      <c r="G3179" t="s">
        <v>331</v>
      </c>
      <c r="H3179" s="15">
        <v>45292</v>
      </c>
      <c r="I3179">
        <v>6900</v>
      </c>
      <c r="J3179">
        <v>0</v>
      </c>
    </row>
    <row r="3180" spans="1:10" x14ac:dyDescent="0.3">
      <c r="A3180" s="15">
        <v>45658</v>
      </c>
      <c r="B3180" t="s">
        <v>272</v>
      </c>
      <c r="C3180" t="s">
        <v>125</v>
      </c>
      <c r="D3180" t="s">
        <v>96</v>
      </c>
      <c r="E3180" t="s">
        <v>103</v>
      </c>
      <c r="F3180">
        <v>101100</v>
      </c>
      <c r="G3180" t="s">
        <v>331</v>
      </c>
      <c r="H3180" s="15">
        <v>45292</v>
      </c>
      <c r="I3180">
        <v>101100</v>
      </c>
      <c r="J3180">
        <v>0</v>
      </c>
    </row>
    <row r="3181" spans="1:10" x14ac:dyDescent="0.3">
      <c r="A3181" s="15">
        <v>45658</v>
      </c>
      <c r="B3181" t="s">
        <v>273</v>
      </c>
      <c r="C3181" t="s">
        <v>81</v>
      </c>
      <c r="D3181" t="s">
        <v>82</v>
      </c>
      <c r="E3181" t="s">
        <v>101</v>
      </c>
      <c r="F3181">
        <v>3300</v>
      </c>
      <c r="G3181" t="s">
        <v>331</v>
      </c>
      <c r="H3181" s="15">
        <v>45292</v>
      </c>
      <c r="I3181">
        <v>3300</v>
      </c>
      <c r="J3181">
        <v>0</v>
      </c>
    </row>
    <row r="3182" spans="1:10" x14ac:dyDescent="0.3">
      <c r="A3182" s="15">
        <v>45658</v>
      </c>
      <c r="B3182" t="s">
        <v>274</v>
      </c>
      <c r="C3182" t="s">
        <v>91</v>
      </c>
      <c r="D3182" t="s">
        <v>99</v>
      </c>
      <c r="E3182" t="s">
        <v>87</v>
      </c>
      <c r="F3182">
        <v>11400</v>
      </c>
      <c r="G3182" t="s">
        <v>331</v>
      </c>
      <c r="H3182" s="15">
        <v>45292</v>
      </c>
      <c r="I3182">
        <v>11400</v>
      </c>
      <c r="J3182">
        <v>0</v>
      </c>
    </row>
    <row r="3183" spans="1:10" x14ac:dyDescent="0.3">
      <c r="A3183" s="15">
        <v>45658</v>
      </c>
      <c r="B3183" t="s">
        <v>276</v>
      </c>
      <c r="C3183" t="s">
        <v>81</v>
      </c>
      <c r="D3183" t="s">
        <v>82</v>
      </c>
      <c r="E3183" t="s">
        <v>103</v>
      </c>
      <c r="F3183">
        <v>3300</v>
      </c>
      <c r="G3183" t="s">
        <v>331</v>
      </c>
      <c r="H3183" s="15">
        <v>45292</v>
      </c>
      <c r="I3183">
        <v>3300</v>
      </c>
      <c r="J3183">
        <v>0</v>
      </c>
    </row>
    <row r="3184" spans="1:10" x14ac:dyDescent="0.3">
      <c r="A3184" s="15">
        <v>45658</v>
      </c>
      <c r="B3184" t="s">
        <v>277</v>
      </c>
      <c r="C3184" t="s">
        <v>91</v>
      </c>
      <c r="D3184" t="s">
        <v>86</v>
      </c>
      <c r="E3184" t="s">
        <v>97</v>
      </c>
      <c r="F3184">
        <v>8000</v>
      </c>
      <c r="G3184" t="s">
        <v>331</v>
      </c>
      <c r="H3184" s="15">
        <v>45292</v>
      </c>
      <c r="I3184">
        <v>8000</v>
      </c>
      <c r="J3184">
        <v>0</v>
      </c>
    </row>
    <row r="3185" spans="1:10" x14ac:dyDescent="0.3">
      <c r="A3185" s="15">
        <v>45658</v>
      </c>
      <c r="B3185" t="s">
        <v>278</v>
      </c>
      <c r="C3185" t="s">
        <v>81</v>
      </c>
      <c r="D3185" t="s">
        <v>82</v>
      </c>
      <c r="E3185" t="s">
        <v>92</v>
      </c>
      <c r="F3185">
        <v>1900</v>
      </c>
      <c r="G3185" t="s">
        <v>331</v>
      </c>
      <c r="H3185" s="15">
        <v>45292</v>
      </c>
      <c r="I3185">
        <v>1900</v>
      </c>
      <c r="J3185">
        <v>0</v>
      </c>
    </row>
    <row r="3186" spans="1:10" x14ac:dyDescent="0.3">
      <c r="A3186" s="15">
        <v>45658</v>
      </c>
      <c r="B3186" t="s">
        <v>279</v>
      </c>
      <c r="C3186" t="s">
        <v>91</v>
      </c>
      <c r="D3186" t="s">
        <v>99</v>
      </c>
      <c r="E3186" t="s">
        <v>89</v>
      </c>
      <c r="F3186">
        <v>9800</v>
      </c>
      <c r="G3186" t="s">
        <v>331</v>
      </c>
      <c r="H3186" s="15">
        <v>45292</v>
      </c>
      <c r="I3186">
        <v>9800</v>
      </c>
      <c r="J3186">
        <v>0</v>
      </c>
    </row>
    <row r="3187" spans="1:10" x14ac:dyDescent="0.3">
      <c r="A3187" s="15">
        <v>45658</v>
      </c>
      <c r="B3187" t="s">
        <v>280</v>
      </c>
      <c r="C3187" t="s">
        <v>91</v>
      </c>
      <c r="D3187" t="s">
        <v>96</v>
      </c>
      <c r="E3187" t="s">
        <v>83</v>
      </c>
      <c r="F3187">
        <v>6300</v>
      </c>
      <c r="G3187" t="s">
        <v>331</v>
      </c>
      <c r="H3187" s="15">
        <v>45292</v>
      </c>
      <c r="I3187">
        <v>6300</v>
      </c>
      <c r="J3187">
        <v>0</v>
      </c>
    </row>
    <row r="3188" spans="1:10" x14ac:dyDescent="0.3">
      <c r="A3188" s="15">
        <v>45658</v>
      </c>
      <c r="B3188" t="s">
        <v>281</v>
      </c>
      <c r="C3188" t="s">
        <v>110</v>
      </c>
      <c r="D3188" t="s">
        <v>86</v>
      </c>
      <c r="E3188" t="s">
        <v>92</v>
      </c>
      <c r="F3188">
        <v>52700</v>
      </c>
      <c r="G3188" t="s">
        <v>331</v>
      </c>
      <c r="H3188" s="15">
        <v>45292</v>
      </c>
      <c r="I3188">
        <v>52700</v>
      </c>
      <c r="J3188">
        <v>0</v>
      </c>
    </row>
    <row r="3189" spans="1:10" x14ac:dyDescent="0.3">
      <c r="A3189" s="15">
        <v>45658</v>
      </c>
      <c r="B3189" t="s">
        <v>282</v>
      </c>
      <c r="C3189" t="s">
        <v>91</v>
      </c>
      <c r="D3189" t="s">
        <v>86</v>
      </c>
      <c r="E3189" t="s">
        <v>92</v>
      </c>
      <c r="F3189">
        <v>5800</v>
      </c>
      <c r="G3189" t="s">
        <v>334</v>
      </c>
      <c r="H3189" s="15">
        <v>45292</v>
      </c>
      <c r="I3189">
        <v>7000</v>
      </c>
      <c r="J3189">
        <v>-1200</v>
      </c>
    </row>
    <row r="3190" spans="1:10" x14ac:dyDescent="0.3">
      <c r="A3190" s="15">
        <v>45658</v>
      </c>
      <c r="B3190" t="s">
        <v>283</v>
      </c>
      <c r="C3190" t="s">
        <v>110</v>
      </c>
      <c r="D3190" t="s">
        <v>82</v>
      </c>
      <c r="E3190" t="s">
        <v>87</v>
      </c>
      <c r="F3190">
        <v>34200</v>
      </c>
      <c r="G3190" t="s">
        <v>331</v>
      </c>
      <c r="H3190" s="15">
        <v>45292</v>
      </c>
      <c r="I3190">
        <v>34200</v>
      </c>
      <c r="J3190">
        <v>0</v>
      </c>
    </row>
    <row r="3191" spans="1:10" x14ac:dyDescent="0.3">
      <c r="A3191" s="15">
        <v>45658</v>
      </c>
      <c r="B3191" t="s">
        <v>284</v>
      </c>
      <c r="C3191" t="s">
        <v>81</v>
      </c>
      <c r="D3191" t="s">
        <v>82</v>
      </c>
      <c r="E3191" t="s">
        <v>101</v>
      </c>
      <c r="F3191">
        <v>2400</v>
      </c>
      <c r="G3191" t="s">
        <v>331</v>
      </c>
      <c r="H3191" s="15">
        <v>45292</v>
      </c>
      <c r="I3191">
        <v>2400</v>
      </c>
      <c r="J3191">
        <v>0</v>
      </c>
    </row>
    <row r="3192" spans="1:10" x14ac:dyDescent="0.3">
      <c r="A3192" s="15">
        <v>45658</v>
      </c>
      <c r="B3192" t="s">
        <v>285</v>
      </c>
      <c r="C3192" t="s">
        <v>91</v>
      </c>
      <c r="D3192" t="s">
        <v>82</v>
      </c>
      <c r="E3192" t="s">
        <v>83</v>
      </c>
      <c r="F3192">
        <v>10900</v>
      </c>
      <c r="G3192" t="s">
        <v>331</v>
      </c>
      <c r="H3192" s="15">
        <v>45292</v>
      </c>
      <c r="I3192">
        <v>10900</v>
      </c>
      <c r="J3192">
        <v>0</v>
      </c>
    </row>
    <row r="3193" spans="1:10" x14ac:dyDescent="0.3">
      <c r="A3193" s="15">
        <v>45658</v>
      </c>
      <c r="B3193" t="s">
        <v>286</v>
      </c>
      <c r="C3193" t="s">
        <v>125</v>
      </c>
      <c r="D3193" t="s">
        <v>86</v>
      </c>
      <c r="E3193" t="s">
        <v>92</v>
      </c>
      <c r="F3193">
        <v>92400</v>
      </c>
      <c r="G3193" t="s">
        <v>331</v>
      </c>
      <c r="H3193" s="15">
        <v>45292</v>
      </c>
      <c r="I3193">
        <v>92400</v>
      </c>
      <c r="J3193">
        <v>0</v>
      </c>
    </row>
    <row r="3194" spans="1:10" x14ac:dyDescent="0.3">
      <c r="A3194" s="15">
        <v>45658</v>
      </c>
      <c r="B3194" t="s">
        <v>287</v>
      </c>
      <c r="C3194" t="s">
        <v>81</v>
      </c>
      <c r="D3194" t="s">
        <v>99</v>
      </c>
      <c r="E3194" t="s">
        <v>87</v>
      </c>
      <c r="F3194">
        <v>2300</v>
      </c>
      <c r="G3194" t="s">
        <v>331</v>
      </c>
      <c r="H3194" s="15">
        <v>45292</v>
      </c>
      <c r="I3194">
        <v>2300</v>
      </c>
      <c r="J3194">
        <v>0</v>
      </c>
    </row>
    <row r="3195" spans="1:10" x14ac:dyDescent="0.3">
      <c r="A3195" s="15">
        <v>45658</v>
      </c>
      <c r="B3195" t="s">
        <v>288</v>
      </c>
      <c r="C3195" t="s">
        <v>81</v>
      </c>
      <c r="D3195" t="s">
        <v>99</v>
      </c>
      <c r="E3195" t="s">
        <v>97</v>
      </c>
      <c r="F3195">
        <v>2600</v>
      </c>
      <c r="G3195" t="s">
        <v>331</v>
      </c>
      <c r="H3195" s="15">
        <v>45292</v>
      </c>
      <c r="I3195">
        <v>2600</v>
      </c>
      <c r="J3195">
        <v>0</v>
      </c>
    </row>
    <row r="3196" spans="1:10" x14ac:dyDescent="0.3">
      <c r="A3196" s="15">
        <v>45658</v>
      </c>
      <c r="B3196" t="s">
        <v>289</v>
      </c>
      <c r="C3196" t="s">
        <v>91</v>
      </c>
      <c r="D3196" t="s">
        <v>86</v>
      </c>
      <c r="E3196" t="s">
        <v>101</v>
      </c>
      <c r="F3196">
        <v>9400</v>
      </c>
      <c r="G3196" t="s">
        <v>331</v>
      </c>
      <c r="H3196" s="15">
        <v>45292</v>
      </c>
      <c r="I3196">
        <v>9400</v>
      </c>
      <c r="J3196">
        <v>0</v>
      </c>
    </row>
    <row r="3197" spans="1:10" x14ac:dyDescent="0.3">
      <c r="A3197" s="15">
        <v>45658</v>
      </c>
      <c r="B3197" t="s">
        <v>290</v>
      </c>
      <c r="C3197" t="s">
        <v>81</v>
      </c>
      <c r="D3197" t="s">
        <v>82</v>
      </c>
      <c r="E3197" t="s">
        <v>103</v>
      </c>
      <c r="F3197">
        <v>2500</v>
      </c>
      <c r="G3197" t="s">
        <v>331</v>
      </c>
      <c r="H3197" s="15">
        <v>45292</v>
      </c>
      <c r="I3197">
        <v>2500</v>
      </c>
      <c r="J3197">
        <v>0</v>
      </c>
    </row>
    <row r="3198" spans="1:10" x14ac:dyDescent="0.3">
      <c r="A3198" s="15">
        <v>45658</v>
      </c>
      <c r="B3198" t="s">
        <v>291</v>
      </c>
      <c r="C3198" t="s">
        <v>81</v>
      </c>
      <c r="D3198" t="s">
        <v>82</v>
      </c>
      <c r="E3198" t="s">
        <v>83</v>
      </c>
      <c r="F3198">
        <v>3100</v>
      </c>
      <c r="G3198" t="s">
        <v>331</v>
      </c>
      <c r="H3198" s="15">
        <v>45292</v>
      </c>
      <c r="I3198">
        <v>3100</v>
      </c>
      <c r="J3198">
        <v>0</v>
      </c>
    </row>
    <row r="3199" spans="1:10" x14ac:dyDescent="0.3">
      <c r="A3199" s="15">
        <v>45658</v>
      </c>
      <c r="B3199" t="s">
        <v>292</v>
      </c>
      <c r="C3199" t="s">
        <v>91</v>
      </c>
      <c r="D3199" t="s">
        <v>86</v>
      </c>
      <c r="E3199" t="s">
        <v>89</v>
      </c>
      <c r="F3199">
        <v>8600</v>
      </c>
      <c r="G3199" t="s">
        <v>331</v>
      </c>
      <c r="H3199" s="15">
        <v>45292</v>
      </c>
      <c r="I3199">
        <v>8600</v>
      </c>
      <c r="J3199">
        <v>0</v>
      </c>
    </row>
    <row r="3200" spans="1:10" x14ac:dyDescent="0.3">
      <c r="A3200" s="15">
        <v>45658</v>
      </c>
      <c r="B3200" t="s">
        <v>293</v>
      </c>
      <c r="C3200" t="s">
        <v>81</v>
      </c>
      <c r="D3200" t="s">
        <v>86</v>
      </c>
      <c r="E3200" t="s">
        <v>103</v>
      </c>
      <c r="F3200">
        <v>2200</v>
      </c>
      <c r="G3200" t="s">
        <v>331</v>
      </c>
      <c r="H3200" s="15">
        <v>45292</v>
      </c>
      <c r="I3200">
        <v>2200</v>
      </c>
      <c r="J3200">
        <v>0</v>
      </c>
    </row>
    <row r="3201" spans="1:10" x14ac:dyDescent="0.3">
      <c r="A3201" s="15">
        <v>45658</v>
      </c>
      <c r="B3201" t="s">
        <v>294</v>
      </c>
      <c r="C3201" t="s">
        <v>91</v>
      </c>
      <c r="D3201" t="s">
        <v>82</v>
      </c>
      <c r="E3201" t="s">
        <v>97</v>
      </c>
      <c r="F3201">
        <v>10400</v>
      </c>
      <c r="G3201" t="s">
        <v>331</v>
      </c>
      <c r="H3201" s="15">
        <v>45292</v>
      </c>
      <c r="I3201">
        <v>10400</v>
      </c>
      <c r="J3201">
        <v>0</v>
      </c>
    </row>
    <row r="3202" spans="1:10" x14ac:dyDescent="0.3">
      <c r="A3202" s="15">
        <v>45658</v>
      </c>
      <c r="B3202" t="s">
        <v>295</v>
      </c>
      <c r="C3202" t="s">
        <v>81</v>
      </c>
      <c r="D3202" t="s">
        <v>82</v>
      </c>
      <c r="E3202" t="s">
        <v>103</v>
      </c>
      <c r="F3202">
        <v>2300</v>
      </c>
      <c r="G3202" t="s">
        <v>331</v>
      </c>
      <c r="H3202" s="15">
        <v>45292</v>
      </c>
      <c r="I3202">
        <v>2300</v>
      </c>
      <c r="J3202">
        <v>0</v>
      </c>
    </row>
    <row r="3203" spans="1:10" x14ac:dyDescent="0.3">
      <c r="A3203" s="15">
        <v>45658</v>
      </c>
      <c r="B3203" t="s">
        <v>297</v>
      </c>
      <c r="C3203" t="s">
        <v>91</v>
      </c>
      <c r="D3203" t="s">
        <v>86</v>
      </c>
      <c r="E3203" t="s">
        <v>103</v>
      </c>
      <c r="F3203">
        <v>9100</v>
      </c>
      <c r="G3203" t="s">
        <v>331</v>
      </c>
      <c r="H3203" s="15">
        <v>45292</v>
      </c>
      <c r="I3203">
        <v>9100</v>
      </c>
      <c r="J3203">
        <v>0</v>
      </c>
    </row>
    <row r="3204" spans="1:10" x14ac:dyDescent="0.3">
      <c r="A3204" s="15">
        <v>45658</v>
      </c>
      <c r="B3204" t="s">
        <v>298</v>
      </c>
      <c r="C3204" t="s">
        <v>81</v>
      </c>
      <c r="D3204" t="s">
        <v>86</v>
      </c>
      <c r="E3204" t="s">
        <v>89</v>
      </c>
      <c r="F3204">
        <v>2700</v>
      </c>
      <c r="G3204" t="s">
        <v>331</v>
      </c>
      <c r="H3204" s="15">
        <v>45292</v>
      </c>
      <c r="I3204">
        <v>2700</v>
      </c>
      <c r="J3204">
        <v>0</v>
      </c>
    </row>
    <row r="3205" spans="1:10" x14ac:dyDescent="0.3">
      <c r="A3205" s="15">
        <v>45658</v>
      </c>
      <c r="B3205" t="s">
        <v>299</v>
      </c>
      <c r="C3205" t="s">
        <v>81</v>
      </c>
      <c r="D3205" t="s">
        <v>99</v>
      </c>
      <c r="E3205" t="s">
        <v>103</v>
      </c>
      <c r="F3205">
        <v>2900</v>
      </c>
      <c r="G3205" t="s">
        <v>331</v>
      </c>
      <c r="H3205" s="15">
        <v>45292</v>
      </c>
      <c r="I3205">
        <v>2900</v>
      </c>
      <c r="J3205">
        <v>0</v>
      </c>
    </row>
    <row r="3206" spans="1:10" x14ac:dyDescent="0.3">
      <c r="A3206" s="15">
        <v>45658</v>
      </c>
      <c r="B3206" t="s">
        <v>300</v>
      </c>
      <c r="C3206" t="s">
        <v>91</v>
      </c>
      <c r="D3206" t="s">
        <v>82</v>
      </c>
      <c r="E3206" t="s">
        <v>89</v>
      </c>
      <c r="F3206">
        <v>11500</v>
      </c>
      <c r="G3206" t="s">
        <v>331</v>
      </c>
      <c r="H3206" s="15">
        <v>45292</v>
      </c>
      <c r="I3206">
        <v>11500</v>
      </c>
      <c r="J3206">
        <v>0</v>
      </c>
    </row>
    <row r="3207" spans="1:10" x14ac:dyDescent="0.3">
      <c r="A3207" s="15">
        <v>45658</v>
      </c>
      <c r="B3207" t="s">
        <v>303</v>
      </c>
      <c r="C3207" t="s">
        <v>81</v>
      </c>
      <c r="D3207" t="s">
        <v>82</v>
      </c>
      <c r="E3207" t="s">
        <v>83</v>
      </c>
      <c r="F3207">
        <v>1500</v>
      </c>
      <c r="G3207" t="s">
        <v>331</v>
      </c>
      <c r="H3207" s="15">
        <v>45292</v>
      </c>
      <c r="I3207">
        <v>1500</v>
      </c>
      <c r="J3207">
        <v>0</v>
      </c>
    </row>
    <row r="3208" spans="1:10" x14ac:dyDescent="0.3">
      <c r="A3208" s="15">
        <v>45658</v>
      </c>
      <c r="B3208" t="s">
        <v>304</v>
      </c>
      <c r="C3208" t="s">
        <v>81</v>
      </c>
      <c r="D3208" t="s">
        <v>86</v>
      </c>
      <c r="E3208" t="s">
        <v>92</v>
      </c>
      <c r="F3208">
        <v>2100</v>
      </c>
      <c r="G3208" t="s">
        <v>331</v>
      </c>
      <c r="H3208" s="15">
        <v>45292</v>
      </c>
      <c r="I3208">
        <v>2100</v>
      </c>
      <c r="J3208">
        <v>0</v>
      </c>
    </row>
    <row r="3209" spans="1:10" x14ac:dyDescent="0.3">
      <c r="A3209" s="15">
        <v>45658</v>
      </c>
      <c r="B3209" t="s">
        <v>306</v>
      </c>
      <c r="C3209" t="s">
        <v>91</v>
      </c>
      <c r="D3209" t="s">
        <v>82</v>
      </c>
      <c r="E3209" t="s">
        <v>87</v>
      </c>
      <c r="F3209">
        <v>11700</v>
      </c>
      <c r="G3209" t="s">
        <v>331</v>
      </c>
      <c r="H3209" s="15">
        <v>45292</v>
      </c>
      <c r="I3209">
        <v>11700</v>
      </c>
      <c r="J3209">
        <v>0</v>
      </c>
    </row>
    <row r="3210" spans="1:10" x14ac:dyDescent="0.3">
      <c r="A3210" s="15">
        <v>45658</v>
      </c>
      <c r="B3210" t="s">
        <v>307</v>
      </c>
      <c r="C3210" t="s">
        <v>81</v>
      </c>
      <c r="D3210" t="s">
        <v>86</v>
      </c>
      <c r="E3210" t="s">
        <v>97</v>
      </c>
      <c r="F3210">
        <v>2600</v>
      </c>
      <c r="G3210" t="s">
        <v>331</v>
      </c>
      <c r="H3210" s="15">
        <v>45292</v>
      </c>
      <c r="I3210">
        <v>2600</v>
      </c>
      <c r="J3210">
        <v>0</v>
      </c>
    </row>
    <row r="3211" spans="1:10" x14ac:dyDescent="0.3">
      <c r="A3211" s="15">
        <v>45658</v>
      </c>
      <c r="B3211" t="s">
        <v>308</v>
      </c>
      <c r="C3211" t="s">
        <v>91</v>
      </c>
      <c r="D3211" t="s">
        <v>86</v>
      </c>
      <c r="E3211" t="s">
        <v>92</v>
      </c>
      <c r="F3211">
        <v>8000</v>
      </c>
      <c r="G3211" t="s">
        <v>331</v>
      </c>
      <c r="H3211" s="15">
        <v>45292</v>
      </c>
      <c r="I3211">
        <v>8000</v>
      </c>
      <c r="J3211">
        <v>0</v>
      </c>
    </row>
    <row r="3212" spans="1:10" x14ac:dyDescent="0.3">
      <c r="A3212" s="15">
        <v>45658</v>
      </c>
      <c r="B3212" t="s">
        <v>309</v>
      </c>
      <c r="C3212" t="s">
        <v>91</v>
      </c>
      <c r="D3212" t="s">
        <v>82</v>
      </c>
      <c r="E3212" t="s">
        <v>87</v>
      </c>
      <c r="F3212">
        <v>10700</v>
      </c>
      <c r="G3212" t="s">
        <v>331</v>
      </c>
      <c r="H3212" s="15">
        <v>45292</v>
      </c>
      <c r="I3212">
        <v>10700</v>
      </c>
      <c r="J3212">
        <v>0</v>
      </c>
    </row>
    <row r="3213" spans="1:10" x14ac:dyDescent="0.3">
      <c r="A3213" s="15">
        <v>45658</v>
      </c>
      <c r="B3213" t="s">
        <v>310</v>
      </c>
      <c r="C3213" t="s">
        <v>91</v>
      </c>
      <c r="D3213" t="s">
        <v>99</v>
      </c>
      <c r="E3213" t="s">
        <v>87</v>
      </c>
      <c r="F3213">
        <v>10000</v>
      </c>
      <c r="G3213" t="s">
        <v>331</v>
      </c>
      <c r="H3213" s="15">
        <v>45292</v>
      </c>
      <c r="I3213">
        <v>10000</v>
      </c>
      <c r="J3213">
        <v>0</v>
      </c>
    </row>
    <row r="3214" spans="1:10" x14ac:dyDescent="0.3">
      <c r="A3214" s="15">
        <v>45658</v>
      </c>
      <c r="B3214" t="s">
        <v>313</v>
      </c>
      <c r="C3214" t="s">
        <v>91</v>
      </c>
      <c r="D3214" t="s">
        <v>82</v>
      </c>
      <c r="E3214" t="s">
        <v>101</v>
      </c>
      <c r="F3214">
        <v>12700</v>
      </c>
      <c r="G3214" t="s">
        <v>331</v>
      </c>
      <c r="H3214" s="15">
        <v>45292</v>
      </c>
      <c r="I3214">
        <v>12700</v>
      </c>
      <c r="J3214">
        <v>0</v>
      </c>
    </row>
    <row r="3215" spans="1:10" x14ac:dyDescent="0.3">
      <c r="A3215" s="15">
        <v>45658</v>
      </c>
      <c r="B3215" t="s">
        <v>315</v>
      </c>
      <c r="C3215" t="s">
        <v>125</v>
      </c>
      <c r="D3215" t="s">
        <v>86</v>
      </c>
      <c r="E3215" t="s">
        <v>92</v>
      </c>
      <c r="F3215">
        <v>76200</v>
      </c>
      <c r="G3215" t="s">
        <v>331</v>
      </c>
      <c r="H3215" s="15">
        <v>45292</v>
      </c>
      <c r="I3215">
        <v>76200</v>
      </c>
      <c r="J3215">
        <v>0</v>
      </c>
    </row>
    <row r="3216" spans="1:10" x14ac:dyDescent="0.3">
      <c r="A3216" s="15">
        <v>45658</v>
      </c>
      <c r="B3216" t="s">
        <v>316</v>
      </c>
      <c r="C3216" t="s">
        <v>81</v>
      </c>
      <c r="D3216" t="s">
        <v>96</v>
      </c>
      <c r="E3216" t="s">
        <v>92</v>
      </c>
      <c r="F3216">
        <v>1800</v>
      </c>
      <c r="G3216" t="s">
        <v>331</v>
      </c>
      <c r="H3216" s="15">
        <v>45292</v>
      </c>
      <c r="I3216">
        <v>1800</v>
      </c>
      <c r="J3216">
        <v>0</v>
      </c>
    </row>
    <row r="3217" spans="1:10" x14ac:dyDescent="0.3">
      <c r="A3217" s="15">
        <v>45658</v>
      </c>
      <c r="B3217" t="s">
        <v>318</v>
      </c>
      <c r="C3217" t="s">
        <v>110</v>
      </c>
      <c r="D3217" t="s">
        <v>82</v>
      </c>
      <c r="E3217" t="s">
        <v>97</v>
      </c>
      <c r="F3217">
        <v>29600</v>
      </c>
      <c r="G3217" t="s">
        <v>331</v>
      </c>
      <c r="H3217" s="15">
        <v>45292</v>
      </c>
      <c r="I3217">
        <v>29600</v>
      </c>
      <c r="J3217">
        <v>0</v>
      </c>
    </row>
    <row r="3218" spans="1:10" x14ac:dyDescent="0.3">
      <c r="A3218" s="15">
        <v>45658</v>
      </c>
      <c r="B3218" t="s">
        <v>320</v>
      </c>
      <c r="C3218" t="s">
        <v>91</v>
      </c>
      <c r="D3218" t="s">
        <v>86</v>
      </c>
      <c r="E3218" t="s">
        <v>97</v>
      </c>
      <c r="F3218">
        <v>7700</v>
      </c>
      <c r="G3218" t="s">
        <v>331</v>
      </c>
      <c r="H3218" s="15">
        <v>45292</v>
      </c>
      <c r="I3218">
        <v>7700</v>
      </c>
      <c r="J3218">
        <v>0</v>
      </c>
    </row>
    <row r="3219" spans="1:10" x14ac:dyDescent="0.3">
      <c r="A3219" s="15">
        <v>45658</v>
      </c>
      <c r="B3219" t="s">
        <v>321</v>
      </c>
      <c r="C3219" t="s">
        <v>81</v>
      </c>
      <c r="D3219" t="s">
        <v>99</v>
      </c>
      <c r="E3219" t="s">
        <v>101</v>
      </c>
      <c r="F3219">
        <v>3300</v>
      </c>
      <c r="G3219" t="s">
        <v>331</v>
      </c>
      <c r="H3219" s="15">
        <v>45292</v>
      </c>
      <c r="I3219">
        <v>3300</v>
      </c>
      <c r="J3219">
        <v>0</v>
      </c>
    </row>
    <row r="3220" spans="1:10" x14ac:dyDescent="0.3">
      <c r="A3220" s="15">
        <v>45658</v>
      </c>
      <c r="B3220" t="s">
        <v>322</v>
      </c>
      <c r="C3220" t="s">
        <v>81</v>
      </c>
      <c r="D3220" t="s">
        <v>82</v>
      </c>
      <c r="E3220" t="s">
        <v>103</v>
      </c>
      <c r="F3220">
        <v>2000</v>
      </c>
      <c r="G3220" t="s">
        <v>331</v>
      </c>
      <c r="H3220" s="15">
        <v>45292</v>
      </c>
      <c r="I3220">
        <v>2000</v>
      </c>
      <c r="J3220">
        <v>0</v>
      </c>
    </row>
    <row r="3221" spans="1:10" x14ac:dyDescent="0.3">
      <c r="A3221" s="15">
        <v>45658</v>
      </c>
      <c r="B3221" t="s">
        <v>323</v>
      </c>
      <c r="C3221" t="s">
        <v>110</v>
      </c>
      <c r="D3221" t="s">
        <v>82</v>
      </c>
      <c r="E3221" t="s">
        <v>89</v>
      </c>
      <c r="F3221">
        <v>23400</v>
      </c>
      <c r="G3221" t="s">
        <v>331</v>
      </c>
      <c r="H3221" s="15">
        <v>45292</v>
      </c>
      <c r="I3221">
        <v>23400</v>
      </c>
      <c r="J3221">
        <v>0</v>
      </c>
    </row>
    <row r="3222" spans="1:10" x14ac:dyDescent="0.3">
      <c r="A3222" s="15">
        <v>45658</v>
      </c>
      <c r="B3222" t="s">
        <v>324</v>
      </c>
      <c r="C3222" t="s">
        <v>81</v>
      </c>
      <c r="D3222" t="s">
        <v>86</v>
      </c>
      <c r="E3222" t="s">
        <v>87</v>
      </c>
      <c r="F3222">
        <v>2700</v>
      </c>
      <c r="G3222" t="s">
        <v>331</v>
      </c>
      <c r="H3222" s="15">
        <v>45292</v>
      </c>
      <c r="I3222">
        <v>2700</v>
      </c>
      <c r="J3222">
        <v>0</v>
      </c>
    </row>
    <row r="3223" spans="1:10" x14ac:dyDescent="0.3">
      <c r="A3223" s="15">
        <v>45658</v>
      </c>
      <c r="B3223" t="s">
        <v>325</v>
      </c>
      <c r="C3223" t="s">
        <v>91</v>
      </c>
      <c r="D3223" t="s">
        <v>86</v>
      </c>
      <c r="E3223" t="s">
        <v>87</v>
      </c>
      <c r="F3223">
        <v>8800</v>
      </c>
      <c r="G3223" t="s">
        <v>331</v>
      </c>
      <c r="H3223" s="15">
        <v>45292</v>
      </c>
      <c r="I3223">
        <v>8800</v>
      </c>
      <c r="J3223">
        <v>0</v>
      </c>
    </row>
    <row r="3224" spans="1:10" x14ac:dyDescent="0.3">
      <c r="A3224" s="15">
        <v>45658</v>
      </c>
      <c r="B3224" t="s">
        <v>326</v>
      </c>
      <c r="C3224" t="s">
        <v>91</v>
      </c>
      <c r="D3224" t="s">
        <v>86</v>
      </c>
      <c r="E3224" t="s">
        <v>92</v>
      </c>
      <c r="F3224">
        <v>7900</v>
      </c>
      <c r="G3224" t="s">
        <v>331</v>
      </c>
      <c r="H3224" s="15">
        <v>45292</v>
      </c>
      <c r="I3224">
        <v>7900</v>
      </c>
      <c r="J3224">
        <v>0</v>
      </c>
    </row>
    <row r="3225" spans="1:10" x14ac:dyDescent="0.3">
      <c r="A3225" s="15">
        <v>45658</v>
      </c>
      <c r="B3225" t="s">
        <v>327</v>
      </c>
      <c r="C3225" t="s">
        <v>125</v>
      </c>
      <c r="D3225" t="s">
        <v>99</v>
      </c>
      <c r="E3225" t="s">
        <v>97</v>
      </c>
      <c r="F3225">
        <v>77500</v>
      </c>
      <c r="G3225" t="s">
        <v>331</v>
      </c>
      <c r="H3225" s="15">
        <v>45292</v>
      </c>
      <c r="I3225">
        <v>77500</v>
      </c>
      <c r="J3225">
        <v>0</v>
      </c>
    </row>
    <row r="3226" spans="1:10" x14ac:dyDescent="0.3">
      <c r="A3226" s="15">
        <v>45658</v>
      </c>
      <c r="B3226" t="s">
        <v>329</v>
      </c>
      <c r="C3226" t="s">
        <v>81</v>
      </c>
      <c r="D3226" t="s">
        <v>86</v>
      </c>
      <c r="E3226" t="s">
        <v>101</v>
      </c>
      <c r="F3226">
        <v>2200</v>
      </c>
      <c r="G3226" t="s">
        <v>331</v>
      </c>
      <c r="H3226" s="15">
        <v>45292</v>
      </c>
      <c r="I3226">
        <v>2200</v>
      </c>
      <c r="J3226">
        <v>0</v>
      </c>
    </row>
    <row r="3227" spans="1:10" x14ac:dyDescent="0.3">
      <c r="A3227" s="15">
        <v>45658</v>
      </c>
      <c r="B3227" t="s">
        <v>330</v>
      </c>
      <c r="C3227" t="s">
        <v>125</v>
      </c>
      <c r="D3227" t="s">
        <v>86</v>
      </c>
      <c r="E3227" t="s">
        <v>87</v>
      </c>
      <c r="F3227">
        <v>105400</v>
      </c>
      <c r="G3227" t="s">
        <v>331</v>
      </c>
      <c r="H3227" s="15">
        <v>45292</v>
      </c>
      <c r="I3227">
        <v>105400</v>
      </c>
      <c r="J3227">
        <v>0</v>
      </c>
    </row>
    <row r="3228" spans="1:10" x14ac:dyDescent="0.3">
      <c r="A3228" s="15">
        <v>45658</v>
      </c>
      <c r="B3228" t="s">
        <v>335</v>
      </c>
      <c r="C3228" t="s">
        <v>91</v>
      </c>
      <c r="D3228" t="s">
        <v>86</v>
      </c>
      <c r="E3228" t="s">
        <v>89</v>
      </c>
      <c r="F3228">
        <v>7300</v>
      </c>
      <c r="G3228" t="s">
        <v>331</v>
      </c>
      <c r="H3228" s="15">
        <v>45323</v>
      </c>
      <c r="I3228">
        <v>7300</v>
      </c>
      <c r="J3228">
        <v>0</v>
      </c>
    </row>
    <row r="3229" spans="1:10" x14ac:dyDescent="0.3">
      <c r="A3229" s="15">
        <v>45658</v>
      </c>
      <c r="B3229" t="s">
        <v>336</v>
      </c>
      <c r="C3229" t="s">
        <v>81</v>
      </c>
      <c r="D3229" t="s">
        <v>82</v>
      </c>
      <c r="E3229" t="s">
        <v>103</v>
      </c>
      <c r="F3229">
        <v>1500</v>
      </c>
      <c r="G3229" t="s">
        <v>331</v>
      </c>
      <c r="H3229" s="15">
        <v>45323</v>
      </c>
      <c r="I3229">
        <v>1500</v>
      </c>
      <c r="J3229">
        <v>0</v>
      </c>
    </row>
    <row r="3230" spans="1:10" x14ac:dyDescent="0.3">
      <c r="A3230" s="15">
        <v>45658</v>
      </c>
      <c r="B3230" t="s">
        <v>337</v>
      </c>
      <c r="C3230" t="s">
        <v>91</v>
      </c>
      <c r="D3230" t="s">
        <v>82</v>
      </c>
      <c r="E3230" t="s">
        <v>92</v>
      </c>
      <c r="F3230">
        <v>0</v>
      </c>
      <c r="G3230" t="s">
        <v>333</v>
      </c>
      <c r="H3230" s="15">
        <v>45323</v>
      </c>
      <c r="I3230">
        <v>6200</v>
      </c>
      <c r="J3230">
        <v>-6200</v>
      </c>
    </row>
    <row r="3231" spans="1:10" x14ac:dyDescent="0.3">
      <c r="A3231" s="15">
        <v>45658</v>
      </c>
      <c r="B3231" t="s">
        <v>339</v>
      </c>
      <c r="C3231" t="s">
        <v>81</v>
      </c>
      <c r="D3231" t="s">
        <v>82</v>
      </c>
      <c r="E3231" t="s">
        <v>103</v>
      </c>
      <c r="F3231">
        <v>1600</v>
      </c>
      <c r="G3231" t="s">
        <v>331</v>
      </c>
      <c r="H3231" s="15">
        <v>45323</v>
      </c>
      <c r="I3231">
        <v>1600</v>
      </c>
      <c r="J3231">
        <v>0</v>
      </c>
    </row>
    <row r="3232" spans="1:10" x14ac:dyDescent="0.3">
      <c r="A3232" s="15">
        <v>45658</v>
      </c>
      <c r="B3232" t="s">
        <v>340</v>
      </c>
      <c r="C3232" t="s">
        <v>81</v>
      </c>
      <c r="D3232" t="s">
        <v>82</v>
      </c>
      <c r="E3232" t="s">
        <v>87</v>
      </c>
      <c r="F3232">
        <v>1800</v>
      </c>
      <c r="G3232" t="s">
        <v>331</v>
      </c>
      <c r="H3232" s="15">
        <v>45323</v>
      </c>
      <c r="I3232">
        <v>1800</v>
      </c>
      <c r="J3232">
        <v>0</v>
      </c>
    </row>
    <row r="3233" spans="1:10" x14ac:dyDescent="0.3">
      <c r="A3233" s="15">
        <v>45658</v>
      </c>
      <c r="B3233" t="s">
        <v>341</v>
      </c>
      <c r="C3233" t="s">
        <v>110</v>
      </c>
      <c r="D3233" t="s">
        <v>82</v>
      </c>
      <c r="E3233" t="s">
        <v>92</v>
      </c>
      <c r="F3233">
        <v>18800</v>
      </c>
      <c r="G3233" t="s">
        <v>331</v>
      </c>
      <c r="H3233" s="15">
        <v>45323</v>
      </c>
      <c r="I3233">
        <v>18800</v>
      </c>
      <c r="J3233">
        <v>0</v>
      </c>
    </row>
    <row r="3234" spans="1:10" x14ac:dyDescent="0.3">
      <c r="A3234" s="15">
        <v>45658</v>
      </c>
      <c r="B3234" t="s">
        <v>342</v>
      </c>
      <c r="C3234" t="s">
        <v>91</v>
      </c>
      <c r="D3234" t="s">
        <v>82</v>
      </c>
      <c r="E3234" t="s">
        <v>83</v>
      </c>
      <c r="F3234">
        <v>7100</v>
      </c>
      <c r="G3234" t="s">
        <v>331</v>
      </c>
      <c r="H3234" s="15">
        <v>45352</v>
      </c>
      <c r="I3234">
        <v>7100</v>
      </c>
      <c r="J3234">
        <v>0</v>
      </c>
    </row>
    <row r="3235" spans="1:10" x14ac:dyDescent="0.3">
      <c r="A3235" s="15">
        <v>45658</v>
      </c>
      <c r="B3235" t="s">
        <v>343</v>
      </c>
      <c r="C3235" t="s">
        <v>81</v>
      </c>
      <c r="D3235" t="s">
        <v>82</v>
      </c>
      <c r="E3235" t="s">
        <v>89</v>
      </c>
      <c r="F3235">
        <v>2500</v>
      </c>
      <c r="G3235" t="s">
        <v>331</v>
      </c>
      <c r="H3235" s="15">
        <v>45352</v>
      </c>
      <c r="I3235">
        <v>2500</v>
      </c>
      <c r="J3235">
        <v>0</v>
      </c>
    </row>
    <row r="3236" spans="1:10" x14ac:dyDescent="0.3">
      <c r="A3236" s="15">
        <v>45658</v>
      </c>
      <c r="B3236" t="s">
        <v>344</v>
      </c>
      <c r="C3236" t="s">
        <v>110</v>
      </c>
      <c r="D3236" t="s">
        <v>86</v>
      </c>
      <c r="E3236" t="s">
        <v>89</v>
      </c>
      <c r="F3236">
        <v>21100</v>
      </c>
      <c r="G3236" t="s">
        <v>331</v>
      </c>
      <c r="H3236" s="15">
        <v>45352</v>
      </c>
      <c r="I3236">
        <v>21100</v>
      </c>
      <c r="J3236">
        <v>0</v>
      </c>
    </row>
    <row r="3237" spans="1:10" x14ac:dyDescent="0.3">
      <c r="A3237" s="15">
        <v>45658</v>
      </c>
      <c r="B3237" t="s">
        <v>345</v>
      </c>
      <c r="C3237" t="s">
        <v>91</v>
      </c>
      <c r="D3237" t="s">
        <v>86</v>
      </c>
      <c r="E3237" t="s">
        <v>83</v>
      </c>
      <c r="F3237">
        <v>6900</v>
      </c>
      <c r="G3237" t="s">
        <v>331</v>
      </c>
      <c r="H3237" s="15">
        <v>45352</v>
      </c>
      <c r="I3237">
        <v>6900</v>
      </c>
      <c r="J3237">
        <v>0</v>
      </c>
    </row>
    <row r="3238" spans="1:10" x14ac:dyDescent="0.3">
      <c r="A3238" s="15">
        <v>45658</v>
      </c>
      <c r="B3238" t="s">
        <v>346</v>
      </c>
      <c r="C3238" t="s">
        <v>81</v>
      </c>
      <c r="D3238" t="s">
        <v>86</v>
      </c>
      <c r="E3238" t="s">
        <v>97</v>
      </c>
      <c r="F3238">
        <v>1700</v>
      </c>
      <c r="G3238" t="s">
        <v>331</v>
      </c>
      <c r="H3238" s="15">
        <v>45352</v>
      </c>
      <c r="I3238">
        <v>1700</v>
      </c>
      <c r="J3238">
        <v>0</v>
      </c>
    </row>
    <row r="3239" spans="1:10" x14ac:dyDescent="0.3">
      <c r="A3239" s="15">
        <v>45658</v>
      </c>
      <c r="B3239" t="s">
        <v>347</v>
      </c>
      <c r="C3239" t="s">
        <v>91</v>
      </c>
      <c r="D3239" t="s">
        <v>82</v>
      </c>
      <c r="E3239" t="s">
        <v>83</v>
      </c>
      <c r="F3239">
        <v>4700</v>
      </c>
      <c r="G3239" t="s">
        <v>331</v>
      </c>
      <c r="H3239" s="15">
        <v>45383</v>
      </c>
      <c r="I3239">
        <v>4700</v>
      </c>
      <c r="J3239">
        <v>0</v>
      </c>
    </row>
    <row r="3240" spans="1:10" x14ac:dyDescent="0.3">
      <c r="A3240" s="15">
        <v>45658</v>
      </c>
      <c r="B3240" t="s">
        <v>350</v>
      </c>
      <c r="C3240" t="s">
        <v>91</v>
      </c>
      <c r="D3240" t="s">
        <v>82</v>
      </c>
      <c r="E3240" t="s">
        <v>83</v>
      </c>
      <c r="F3240">
        <v>4800</v>
      </c>
      <c r="G3240" t="s">
        <v>331</v>
      </c>
      <c r="H3240" s="15">
        <v>45383</v>
      </c>
      <c r="I3240">
        <v>4800</v>
      </c>
      <c r="J3240">
        <v>0</v>
      </c>
    </row>
    <row r="3241" spans="1:10" x14ac:dyDescent="0.3">
      <c r="A3241" s="15">
        <v>45658</v>
      </c>
      <c r="B3241" t="s">
        <v>351</v>
      </c>
      <c r="C3241" t="s">
        <v>81</v>
      </c>
      <c r="D3241" t="s">
        <v>86</v>
      </c>
      <c r="E3241" t="s">
        <v>83</v>
      </c>
      <c r="F3241">
        <v>2300</v>
      </c>
      <c r="G3241" t="s">
        <v>331</v>
      </c>
      <c r="H3241" s="15">
        <v>45383</v>
      </c>
      <c r="I3241">
        <v>2300</v>
      </c>
      <c r="J3241">
        <v>0</v>
      </c>
    </row>
    <row r="3242" spans="1:10" x14ac:dyDescent="0.3">
      <c r="A3242" s="15">
        <v>45658</v>
      </c>
      <c r="B3242" t="s">
        <v>352</v>
      </c>
      <c r="C3242" t="s">
        <v>91</v>
      </c>
      <c r="D3242" t="s">
        <v>82</v>
      </c>
      <c r="E3242" t="s">
        <v>89</v>
      </c>
      <c r="F3242">
        <v>7100</v>
      </c>
      <c r="G3242" t="s">
        <v>331</v>
      </c>
      <c r="H3242" s="15">
        <v>45383</v>
      </c>
      <c r="I3242">
        <v>7100</v>
      </c>
      <c r="J3242">
        <v>0</v>
      </c>
    </row>
    <row r="3243" spans="1:10" x14ac:dyDescent="0.3">
      <c r="A3243" s="15">
        <v>45658</v>
      </c>
      <c r="B3243" t="s">
        <v>353</v>
      </c>
      <c r="C3243" t="s">
        <v>81</v>
      </c>
      <c r="D3243" t="s">
        <v>99</v>
      </c>
      <c r="E3243" t="s">
        <v>103</v>
      </c>
      <c r="F3243">
        <v>1200</v>
      </c>
      <c r="G3243" t="s">
        <v>331</v>
      </c>
      <c r="H3243" s="15">
        <v>45383</v>
      </c>
      <c r="I3243">
        <v>1200</v>
      </c>
      <c r="J3243">
        <v>0</v>
      </c>
    </row>
    <row r="3244" spans="1:10" x14ac:dyDescent="0.3">
      <c r="A3244" s="15">
        <v>45658</v>
      </c>
      <c r="B3244" t="s">
        <v>354</v>
      </c>
      <c r="C3244" t="s">
        <v>81</v>
      </c>
      <c r="D3244" t="s">
        <v>82</v>
      </c>
      <c r="E3244" t="s">
        <v>92</v>
      </c>
      <c r="F3244">
        <v>1800</v>
      </c>
      <c r="G3244" t="s">
        <v>331</v>
      </c>
      <c r="H3244" s="15">
        <v>45413</v>
      </c>
      <c r="I3244">
        <v>1800</v>
      </c>
      <c r="J3244">
        <v>0</v>
      </c>
    </row>
    <row r="3245" spans="1:10" x14ac:dyDescent="0.3">
      <c r="A3245" s="15">
        <v>45658</v>
      </c>
      <c r="B3245" t="s">
        <v>355</v>
      </c>
      <c r="C3245" t="s">
        <v>81</v>
      </c>
      <c r="D3245" t="s">
        <v>86</v>
      </c>
      <c r="E3245" t="s">
        <v>97</v>
      </c>
      <c r="F3245">
        <v>2200</v>
      </c>
      <c r="G3245" t="s">
        <v>331</v>
      </c>
      <c r="H3245" s="15">
        <v>45413</v>
      </c>
      <c r="I3245">
        <v>2200</v>
      </c>
      <c r="J3245">
        <v>0</v>
      </c>
    </row>
    <row r="3246" spans="1:10" x14ac:dyDescent="0.3">
      <c r="A3246" s="15">
        <v>45658</v>
      </c>
      <c r="B3246" t="s">
        <v>356</v>
      </c>
      <c r="C3246" t="s">
        <v>110</v>
      </c>
      <c r="D3246" t="s">
        <v>82</v>
      </c>
      <c r="E3246" t="s">
        <v>97</v>
      </c>
      <c r="F3246">
        <v>33000</v>
      </c>
      <c r="G3246" t="s">
        <v>331</v>
      </c>
      <c r="H3246" s="15">
        <v>45413</v>
      </c>
      <c r="I3246">
        <v>33000</v>
      </c>
      <c r="J3246">
        <v>0</v>
      </c>
    </row>
    <row r="3247" spans="1:10" x14ac:dyDescent="0.3">
      <c r="A3247" s="15">
        <v>45658</v>
      </c>
      <c r="B3247" t="s">
        <v>357</v>
      </c>
      <c r="C3247" t="s">
        <v>125</v>
      </c>
      <c r="D3247" t="s">
        <v>86</v>
      </c>
      <c r="E3247" t="s">
        <v>97</v>
      </c>
      <c r="F3247">
        <v>72100</v>
      </c>
      <c r="G3247" t="s">
        <v>331</v>
      </c>
      <c r="H3247" s="15">
        <v>45413</v>
      </c>
      <c r="I3247">
        <v>72100</v>
      </c>
      <c r="J3247">
        <v>0</v>
      </c>
    </row>
    <row r="3248" spans="1:10" x14ac:dyDescent="0.3">
      <c r="A3248" s="15">
        <v>45658</v>
      </c>
      <c r="B3248" t="s">
        <v>358</v>
      </c>
      <c r="C3248" t="s">
        <v>110</v>
      </c>
      <c r="D3248" t="s">
        <v>86</v>
      </c>
      <c r="E3248" t="s">
        <v>83</v>
      </c>
      <c r="F3248">
        <v>21800</v>
      </c>
      <c r="G3248" t="s">
        <v>331</v>
      </c>
      <c r="H3248" s="15">
        <v>45413</v>
      </c>
      <c r="I3248">
        <v>21800</v>
      </c>
      <c r="J3248">
        <v>0</v>
      </c>
    </row>
    <row r="3249" spans="1:10" x14ac:dyDescent="0.3">
      <c r="A3249" s="15">
        <v>45658</v>
      </c>
      <c r="B3249" t="s">
        <v>359</v>
      </c>
      <c r="C3249" t="s">
        <v>110</v>
      </c>
      <c r="D3249" t="s">
        <v>86</v>
      </c>
      <c r="E3249" t="s">
        <v>101</v>
      </c>
      <c r="F3249">
        <v>31400</v>
      </c>
      <c r="G3249" t="s">
        <v>331</v>
      </c>
      <c r="H3249" s="15">
        <v>45413</v>
      </c>
      <c r="I3249">
        <v>31400</v>
      </c>
      <c r="J3249">
        <v>0</v>
      </c>
    </row>
    <row r="3250" spans="1:10" x14ac:dyDescent="0.3">
      <c r="A3250" s="15">
        <v>45658</v>
      </c>
      <c r="B3250" t="s">
        <v>360</v>
      </c>
      <c r="C3250" t="s">
        <v>91</v>
      </c>
      <c r="D3250" t="s">
        <v>86</v>
      </c>
      <c r="E3250" t="s">
        <v>103</v>
      </c>
      <c r="F3250">
        <v>6300</v>
      </c>
      <c r="G3250" t="s">
        <v>331</v>
      </c>
      <c r="H3250" s="15">
        <v>45444</v>
      </c>
      <c r="I3250">
        <v>6300</v>
      </c>
      <c r="J3250">
        <v>0</v>
      </c>
    </row>
    <row r="3251" spans="1:10" x14ac:dyDescent="0.3">
      <c r="A3251" s="15">
        <v>45658</v>
      </c>
      <c r="B3251" t="s">
        <v>361</v>
      </c>
      <c r="C3251" t="s">
        <v>91</v>
      </c>
      <c r="D3251" t="s">
        <v>86</v>
      </c>
      <c r="E3251" t="s">
        <v>83</v>
      </c>
      <c r="F3251">
        <v>5700</v>
      </c>
      <c r="G3251" t="s">
        <v>331</v>
      </c>
      <c r="H3251" s="15">
        <v>45444</v>
      </c>
      <c r="I3251">
        <v>5700</v>
      </c>
      <c r="J3251">
        <v>0</v>
      </c>
    </row>
    <row r="3252" spans="1:10" x14ac:dyDescent="0.3">
      <c r="A3252" s="15">
        <v>45658</v>
      </c>
      <c r="B3252" t="s">
        <v>362</v>
      </c>
      <c r="C3252" t="s">
        <v>91</v>
      </c>
      <c r="D3252" t="s">
        <v>82</v>
      </c>
      <c r="E3252" t="s">
        <v>101</v>
      </c>
      <c r="F3252">
        <v>5400</v>
      </c>
      <c r="G3252" t="s">
        <v>331</v>
      </c>
      <c r="H3252" s="15">
        <v>45444</v>
      </c>
      <c r="I3252">
        <v>5400</v>
      </c>
      <c r="J3252">
        <v>0</v>
      </c>
    </row>
    <row r="3253" spans="1:10" x14ac:dyDescent="0.3">
      <c r="A3253" s="15">
        <v>45658</v>
      </c>
      <c r="B3253" t="s">
        <v>363</v>
      </c>
      <c r="C3253" t="s">
        <v>91</v>
      </c>
      <c r="D3253" t="s">
        <v>86</v>
      </c>
      <c r="E3253" t="s">
        <v>83</v>
      </c>
      <c r="F3253">
        <v>4400</v>
      </c>
      <c r="G3253" t="s">
        <v>331</v>
      </c>
      <c r="H3253" s="15">
        <v>45444</v>
      </c>
      <c r="I3253">
        <v>4400</v>
      </c>
      <c r="J3253">
        <v>0</v>
      </c>
    </row>
    <row r="3254" spans="1:10" x14ac:dyDescent="0.3">
      <c r="A3254" s="15">
        <v>45658</v>
      </c>
      <c r="B3254" t="s">
        <v>364</v>
      </c>
      <c r="C3254" t="s">
        <v>91</v>
      </c>
      <c r="D3254" t="s">
        <v>82</v>
      </c>
      <c r="E3254" t="s">
        <v>101</v>
      </c>
      <c r="F3254">
        <v>6700</v>
      </c>
      <c r="G3254" t="s">
        <v>331</v>
      </c>
      <c r="H3254" s="15">
        <v>45444</v>
      </c>
      <c r="I3254">
        <v>6700</v>
      </c>
      <c r="J3254">
        <v>0</v>
      </c>
    </row>
    <row r="3255" spans="1:10" x14ac:dyDescent="0.3">
      <c r="A3255" s="15">
        <v>45658</v>
      </c>
      <c r="B3255" t="s">
        <v>366</v>
      </c>
      <c r="C3255" t="s">
        <v>81</v>
      </c>
      <c r="D3255" t="s">
        <v>99</v>
      </c>
      <c r="E3255" t="s">
        <v>92</v>
      </c>
      <c r="F3255">
        <v>1600</v>
      </c>
      <c r="G3255" t="s">
        <v>331</v>
      </c>
      <c r="H3255" s="15">
        <v>45474</v>
      </c>
      <c r="I3255">
        <v>1600</v>
      </c>
      <c r="J3255">
        <v>0</v>
      </c>
    </row>
    <row r="3256" spans="1:10" x14ac:dyDescent="0.3">
      <c r="A3256" s="15">
        <v>45658</v>
      </c>
      <c r="B3256" t="s">
        <v>367</v>
      </c>
      <c r="C3256" t="s">
        <v>91</v>
      </c>
      <c r="D3256" t="s">
        <v>82</v>
      </c>
      <c r="E3256" t="s">
        <v>92</v>
      </c>
      <c r="F3256">
        <v>5800</v>
      </c>
      <c r="G3256" t="s">
        <v>331</v>
      </c>
      <c r="H3256" s="15">
        <v>45474</v>
      </c>
      <c r="I3256">
        <v>5800</v>
      </c>
      <c r="J3256">
        <v>0</v>
      </c>
    </row>
    <row r="3257" spans="1:10" x14ac:dyDescent="0.3">
      <c r="A3257" s="15">
        <v>45658</v>
      </c>
      <c r="B3257" t="s">
        <v>368</v>
      </c>
      <c r="C3257" t="s">
        <v>81</v>
      </c>
      <c r="D3257" t="s">
        <v>86</v>
      </c>
      <c r="E3257" t="s">
        <v>89</v>
      </c>
      <c r="F3257">
        <v>1400</v>
      </c>
      <c r="G3257" t="s">
        <v>331</v>
      </c>
      <c r="H3257" s="15">
        <v>45474</v>
      </c>
      <c r="I3257">
        <v>1400</v>
      </c>
      <c r="J3257">
        <v>0</v>
      </c>
    </row>
    <row r="3258" spans="1:10" x14ac:dyDescent="0.3">
      <c r="A3258" s="15">
        <v>45658</v>
      </c>
      <c r="B3258" t="s">
        <v>369</v>
      </c>
      <c r="C3258" t="s">
        <v>81</v>
      </c>
      <c r="D3258" t="s">
        <v>86</v>
      </c>
      <c r="E3258" t="s">
        <v>83</v>
      </c>
      <c r="F3258">
        <v>2000</v>
      </c>
      <c r="G3258" t="s">
        <v>331</v>
      </c>
      <c r="H3258" s="15">
        <v>45474</v>
      </c>
      <c r="I3258">
        <v>2000</v>
      </c>
      <c r="J3258">
        <v>0</v>
      </c>
    </row>
    <row r="3259" spans="1:10" x14ac:dyDescent="0.3">
      <c r="A3259" s="15">
        <v>45658</v>
      </c>
      <c r="B3259" t="s">
        <v>370</v>
      </c>
      <c r="C3259" t="s">
        <v>81</v>
      </c>
      <c r="D3259" t="s">
        <v>99</v>
      </c>
      <c r="E3259" t="s">
        <v>87</v>
      </c>
      <c r="F3259">
        <v>2100</v>
      </c>
      <c r="G3259" t="s">
        <v>331</v>
      </c>
      <c r="H3259" s="15">
        <v>45474</v>
      </c>
      <c r="I3259">
        <v>2100</v>
      </c>
      <c r="J3259">
        <v>0</v>
      </c>
    </row>
    <row r="3260" spans="1:10" x14ac:dyDescent="0.3">
      <c r="A3260" s="15">
        <v>45658</v>
      </c>
      <c r="B3260" t="s">
        <v>372</v>
      </c>
      <c r="C3260" t="s">
        <v>81</v>
      </c>
      <c r="D3260" t="s">
        <v>86</v>
      </c>
      <c r="E3260" t="s">
        <v>83</v>
      </c>
      <c r="F3260">
        <v>1500</v>
      </c>
      <c r="G3260" t="s">
        <v>331</v>
      </c>
      <c r="H3260" s="15">
        <v>45505</v>
      </c>
      <c r="I3260">
        <v>1500</v>
      </c>
      <c r="J3260">
        <v>0</v>
      </c>
    </row>
    <row r="3261" spans="1:10" x14ac:dyDescent="0.3">
      <c r="A3261" s="15">
        <v>45658</v>
      </c>
      <c r="B3261" t="s">
        <v>373</v>
      </c>
      <c r="C3261" t="s">
        <v>91</v>
      </c>
      <c r="D3261" t="s">
        <v>99</v>
      </c>
      <c r="E3261" t="s">
        <v>101</v>
      </c>
      <c r="F3261">
        <v>5200</v>
      </c>
      <c r="G3261" t="s">
        <v>331</v>
      </c>
      <c r="H3261" s="15">
        <v>45505</v>
      </c>
      <c r="I3261">
        <v>5200</v>
      </c>
      <c r="J3261">
        <v>0</v>
      </c>
    </row>
    <row r="3262" spans="1:10" x14ac:dyDescent="0.3">
      <c r="A3262" s="15">
        <v>45658</v>
      </c>
      <c r="B3262" t="s">
        <v>374</v>
      </c>
      <c r="C3262" t="s">
        <v>91</v>
      </c>
      <c r="D3262" t="s">
        <v>99</v>
      </c>
      <c r="E3262" t="s">
        <v>87</v>
      </c>
      <c r="F3262">
        <v>5000</v>
      </c>
      <c r="G3262" t="s">
        <v>331</v>
      </c>
      <c r="H3262" s="15">
        <v>45505</v>
      </c>
      <c r="I3262">
        <v>5000</v>
      </c>
      <c r="J3262">
        <v>0</v>
      </c>
    </row>
    <row r="3263" spans="1:10" x14ac:dyDescent="0.3">
      <c r="A3263" s="15">
        <v>45658</v>
      </c>
      <c r="B3263" t="s">
        <v>376</v>
      </c>
      <c r="C3263" t="s">
        <v>110</v>
      </c>
      <c r="D3263" t="s">
        <v>86</v>
      </c>
      <c r="E3263" t="s">
        <v>103</v>
      </c>
      <c r="F3263">
        <v>22900</v>
      </c>
      <c r="G3263" t="s">
        <v>331</v>
      </c>
      <c r="H3263" s="15">
        <v>45505</v>
      </c>
      <c r="I3263">
        <v>22900</v>
      </c>
      <c r="J3263">
        <v>0</v>
      </c>
    </row>
    <row r="3264" spans="1:10" x14ac:dyDescent="0.3">
      <c r="A3264" s="15">
        <v>45658</v>
      </c>
      <c r="B3264" t="s">
        <v>377</v>
      </c>
      <c r="C3264" t="s">
        <v>81</v>
      </c>
      <c r="D3264" t="s">
        <v>99</v>
      </c>
      <c r="E3264" t="s">
        <v>92</v>
      </c>
      <c r="F3264">
        <v>2300</v>
      </c>
      <c r="G3264" t="s">
        <v>331</v>
      </c>
      <c r="H3264" s="15">
        <v>45536</v>
      </c>
      <c r="I3264">
        <v>2300</v>
      </c>
      <c r="J3264">
        <v>0</v>
      </c>
    </row>
    <row r="3265" spans="1:10" x14ac:dyDescent="0.3">
      <c r="A3265" s="15">
        <v>45658</v>
      </c>
      <c r="B3265" t="s">
        <v>378</v>
      </c>
      <c r="C3265" t="s">
        <v>81</v>
      </c>
      <c r="D3265" t="s">
        <v>82</v>
      </c>
      <c r="E3265" t="s">
        <v>92</v>
      </c>
      <c r="F3265">
        <v>2300</v>
      </c>
      <c r="G3265" t="s">
        <v>331</v>
      </c>
      <c r="H3265" s="15">
        <v>45536</v>
      </c>
      <c r="I3265">
        <v>2300</v>
      </c>
      <c r="J3265">
        <v>0</v>
      </c>
    </row>
    <row r="3266" spans="1:10" x14ac:dyDescent="0.3">
      <c r="A3266" s="15">
        <v>45658</v>
      </c>
      <c r="B3266" t="s">
        <v>379</v>
      </c>
      <c r="C3266" t="s">
        <v>81</v>
      </c>
      <c r="D3266" t="s">
        <v>99</v>
      </c>
      <c r="E3266" t="s">
        <v>101</v>
      </c>
      <c r="F3266">
        <v>2600</v>
      </c>
      <c r="G3266" t="s">
        <v>331</v>
      </c>
      <c r="H3266" s="15">
        <v>45536</v>
      </c>
      <c r="I3266">
        <v>2600</v>
      </c>
      <c r="J3266">
        <v>0</v>
      </c>
    </row>
    <row r="3267" spans="1:10" x14ac:dyDescent="0.3">
      <c r="A3267" s="15">
        <v>45658</v>
      </c>
      <c r="B3267" t="s">
        <v>380</v>
      </c>
      <c r="C3267" t="s">
        <v>81</v>
      </c>
      <c r="D3267" t="s">
        <v>82</v>
      </c>
      <c r="E3267" t="s">
        <v>101</v>
      </c>
      <c r="F3267">
        <v>2200</v>
      </c>
      <c r="G3267" t="s">
        <v>332</v>
      </c>
      <c r="H3267" s="15">
        <v>45536</v>
      </c>
      <c r="I3267">
        <v>2100</v>
      </c>
      <c r="J3267">
        <v>100</v>
      </c>
    </row>
    <row r="3268" spans="1:10" x14ac:dyDescent="0.3">
      <c r="A3268" s="15">
        <v>45658</v>
      </c>
      <c r="B3268" t="s">
        <v>381</v>
      </c>
      <c r="C3268" t="s">
        <v>91</v>
      </c>
      <c r="D3268" t="s">
        <v>86</v>
      </c>
      <c r="E3268" t="s">
        <v>92</v>
      </c>
      <c r="F3268">
        <v>4600</v>
      </c>
      <c r="G3268" t="s">
        <v>331</v>
      </c>
      <c r="H3268" s="15">
        <v>45536</v>
      </c>
      <c r="I3268">
        <v>4600</v>
      </c>
      <c r="J3268">
        <v>0</v>
      </c>
    </row>
    <row r="3269" spans="1:10" x14ac:dyDescent="0.3">
      <c r="A3269" s="15">
        <v>45658</v>
      </c>
      <c r="B3269" t="s">
        <v>382</v>
      </c>
      <c r="C3269" t="s">
        <v>81</v>
      </c>
      <c r="D3269" t="s">
        <v>96</v>
      </c>
      <c r="E3269" t="s">
        <v>101</v>
      </c>
      <c r="F3269">
        <v>2100</v>
      </c>
      <c r="G3269" t="s">
        <v>331</v>
      </c>
      <c r="H3269" s="15">
        <v>45536</v>
      </c>
      <c r="I3269">
        <v>2100</v>
      </c>
      <c r="J3269">
        <v>0</v>
      </c>
    </row>
    <row r="3270" spans="1:10" x14ac:dyDescent="0.3">
      <c r="A3270" s="15">
        <v>45658</v>
      </c>
      <c r="B3270" t="s">
        <v>383</v>
      </c>
      <c r="C3270" t="s">
        <v>81</v>
      </c>
      <c r="D3270" t="s">
        <v>82</v>
      </c>
      <c r="E3270" t="s">
        <v>87</v>
      </c>
      <c r="F3270">
        <v>1800</v>
      </c>
      <c r="G3270" t="s">
        <v>331</v>
      </c>
      <c r="H3270" s="15">
        <v>45536</v>
      </c>
      <c r="I3270">
        <v>1800</v>
      </c>
      <c r="J3270">
        <v>0</v>
      </c>
    </row>
    <row r="3271" spans="1:10" x14ac:dyDescent="0.3">
      <c r="A3271" s="15">
        <v>45658</v>
      </c>
      <c r="B3271" t="s">
        <v>384</v>
      </c>
      <c r="C3271" t="s">
        <v>91</v>
      </c>
      <c r="D3271" t="s">
        <v>82</v>
      </c>
      <c r="E3271" t="s">
        <v>103</v>
      </c>
      <c r="F3271">
        <v>5000</v>
      </c>
      <c r="G3271" t="s">
        <v>331</v>
      </c>
      <c r="H3271" s="15">
        <v>45566</v>
      </c>
      <c r="I3271">
        <v>5000</v>
      </c>
      <c r="J3271">
        <v>0</v>
      </c>
    </row>
    <row r="3272" spans="1:10" x14ac:dyDescent="0.3">
      <c r="A3272" s="15">
        <v>45658</v>
      </c>
      <c r="B3272" t="s">
        <v>385</v>
      </c>
      <c r="C3272" t="s">
        <v>91</v>
      </c>
      <c r="D3272" t="s">
        <v>99</v>
      </c>
      <c r="E3272" t="s">
        <v>83</v>
      </c>
      <c r="F3272">
        <v>8300</v>
      </c>
      <c r="G3272" t="s">
        <v>331</v>
      </c>
      <c r="H3272" s="15">
        <v>45566</v>
      </c>
      <c r="I3272">
        <v>8300</v>
      </c>
      <c r="J3272">
        <v>0</v>
      </c>
    </row>
    <row r="3273" spans="1:10" x14ac:dyDescent="0.3">
      <c r="A3273" s="15">
        <v>45658</v>
      </c>
      <c r="B3273" t="s">
        <v>386</v>
      </c>
      <c r="C3273" t="s">
        <v>81</v>
      </c>
      <c r="D3273" t="s">
        <v>82</v>
      </c>
      <c r="E3273" t="s">
        <v>103</v>
      </c>
      <c r="F3273">
        <v>2200</v>
      </c>
      <c r="G3273" t="s">
        <v>331</v>
      </c>
      <c r="H3273" s="15">
        <v>45566</v>
      </c>
      <c r="I3273">
        <v>2200</v>
      </c>
      <c r="J3273">
        <v>0</v>
      </c>
    </row>
    <row r="3274" spans="1:10" x14ac:dyDescent="0.3">
      <c r="A3274" s="15">
        <v>45658</v>
      </c>
      <c r="B3274" t="s">
        <v>387</v>
      </c>
      <c r="C3274" t="s">
        <v>81</v>
      </c>
      <c r="D3274" t="s">
        <v>86</v>
      </c>
      <c r="E3274" t="s">
        <v>92</v>
      </c>
      <c r="F3274">
        <v>1700</v>
      </c>
      <c r="G3274" t="s">
        <v>331</v>
      </c>
      <c r="H3274" s="15">
        <v>45566</v>
      </c>
      <c r="I3274">
        <v>1700</v>
      </c>
      <c r="J3274">
        <v>0</v>
      </c>
    </row>
    <row r="3275" spans="1:10" x14ac:dyDescent="0.3">
      <c r="A3275" s="15">
        <v>45658</v>
      </c>
      <c r="B3275" t="s">
        <v>388</v>
      </c>
      <c r="C3275" t="s">
        <v>81</v>
      </c>
      <c r="D3275" t="s">
        <v>99</v>
      </c>
      <c r="E3275" t="s">
        <v>103</v>
      </c>
      <c r="F3275">
        <v>1700</v>
      </c>
      <c r="G3275" t="s">
        <v>331</v>
      </c>
      <c r="H3275" s="15">
        <v>45566</v>
      </c>
      <c r="I3275">
        <v>1700</v>
      </c>
      <c r="J3275">
        <v>0</v>
      </c>
    </row>
    <row r="3276" spans="1:10" x14ac:dyDescent="0.3">
      <c r="A3276" s="15">
        <v>45658</v>
      </c>
      <c r="B3276" t="s">
        <v>389</v>
      </c>
      <c r="C3276" t="s">
        <v>91</v>
      </c>
      <c r="D3276" t="s">
        <v>82</v>
      </c>
      <c r="E3276" t="s">
        <v>101</v>
      </c>
      <c r="F3276">
        <v>7300</v>
      </c>
      <c r="G3276" t="s">
        <v>331</v>
      </c>
      <c r="H3276" s="15">
        <v>45566</v>
      </c>
      <c r="I3276">
        <v>7300</v>
      </c>
      <c r="J3276">
        <v>0</v>
      </c>
    </row>
    <row r="3277" spans="1:10" x14ac:dyDescent="0.3">
      <c r="A3277" s="15">
        <v>45658</v>
      </c>
      <c r="B3277" t="s">
        <v>390</v>
      </c>
      <c r="C3277" t="s">
        <v>91</v>
      </c>
      <c r="D3277" t="s">
        <v>82</v>
      </c>
      <c r="E3277" t="s">
        <v>89</v>
      </c>
      <c r="F3277">
        <v>6200</v>
      </c>
      <c r="G3277" t="s">
        <v>331</v>
      </c>
      <c r="H3277" s="15">
        <v>45566</v>
      </c>
      <c r="I3277">
        <v>6200</v>
      </c>
      <c r="J3277">
        <v>0</v>
      </c>
    </row>
    <row r="3278" spans="1:10" x14ac:dyDescent="0.3">
      <c r="A3278" s="15">
        <v>45658</v>
      </c>
      <c r="B3278" t="s">
        <v>391</v>
      </c>
      <c r="C3278" t="s">
        <v>91</v>
      </c>
      <c r="D3278" t="s">
        <v>82</v>
      </c>
      <c r="E3278" t="s">
        <v>92</v>
      </c>
      <c r="F3278">
        <v>8100</v>
      </c>
      <c r="G3278" t="s">
        <v>331</v>
      </c>
      <c r="H3278" s="15">
        <v>45597</v>
      </c>
      <c r="I3278">
        <v>8100</v>
      </c>
      <c r="J3278">
        <v>0</v>
      </c>
    </row>
    <row r="3279" spans="1:10" x14ac:dyDescent="0.3">
      <c r="A3279" s="15">
        <v>45658</v>
      </c>
      <c r="B3279" t="s">
        <v>392</v>
      </c>
      <c r="C3279" t="s">
        <v>91</v>
      </c>
      <c r="D3279" t="s">
        <v>86</v>
      </c>
      <c r="E3279" t="s">
        <v>97</v>
      </c>
      <c r="F3279">
        <v>8800</v>
      </c>
      <c r="G3279" t="s">
        <v>331</v>
      </c>
      <c r="H3279" s="15">
        <v>45597</v>
      </c>
      <c r="I3279">
        <v>8800</v>
      </c>
      <c r="J3279">
        <v>0</v>
      </c>
    </row>
    <row r="3280" spans="1:10" x14ac:dyDescent="0.3">
      <c r="A3280" s="15">
        <v>45658</v>
      </c>
      <c r="B3280" t="s">
        <v>393</v>
      </c>
      <c r="C3280" t="s">
        <v>81</v>
      </c>
      <c r="D3280" t="s">
        <v>82</v>
      </c>
      <c r="E3280" t="s">
        <v>92</v>
      </c>
      <c r="F3280">
        <v>2100</v>
      </c>
      <c r="G3280" t="s">
        <v>331</v>
      </c>
      <c r="H3280" s="15">
        <v>45597</v>
      </c>
      <c r="I3280">
        <v>2100</v>
      </c>
      <c r="J3280">
        <v>0</v>
      </c>
    </row>
    <row r="3281" spans="1:10" x14ac:dyDescent="0.3">
      <c r="A3281" s="15">
        <v>45658</v>
      </c>
      <c r="B3281" t="s">
        <v>394</v>
      </c>
      <c r="C3281" t="s">
        <v>81</v>
      </c>
      <c r="D3281" t="s">
        <v>99</v>
      </c>
      <c r="E3281" t="s">
        <v>87</v>
      </c>
      <c r="F3281">
        <v>1400</v>
      </c>
      <c r="G3281" t="s">
        <v>331</v>
      </c>
      <c r="H3281" s="15">
        <v>45597</v>
      </c>
      <c r="I3281">
        <v>1400</v>
      </c>
      <c r="J3281">
        <v>0</v>
      </c>
    </row>
    <row r="3282" spans="1:10" x14ac:dyDescent="0.3">
      <c r="A3282" s="15">
        <v>45658</v>
      </c>
      <c r="B3282" t="s">
        <v>395</v>
      </c>
      <c r="C3282" t="s">
        <v>81</v>
      </c>
      <c r="D3282" t="s">
        <v>82</v>
      </c>
      <c r="E3282" t="s">
        <v>97</v>
      </c>
      <c r="F3282">
        <v>2200</v>
      </c>
      <c r="G3282" t="s">
        <v>331</v>
      </c>
      <c r="H3282" s="15">
        <v>45627</v>
      </c>
      <c r="I3282">
        <v>2200</v>
      </c>
      <c r="J3282">
        <v>0</v>
      </c>
    </row>
    <row r="3283" spans="1:10" x14ac:dyDescent="0.3">
      <c r="A3283" s="15">
        <v>45658</v>
      </c>
      <c r="B3283" t="s">
        <v>396</v>
      </c>
      <c r="C3283" t="s">
        <v>91</v>
      </c>
      <c r="D3283" t="s">
        <v>82</v>
      </c>
      <c r="E3283" t="s">
        <v>92</v>
      </c>
      <c r="F3283">
        <v>8800</v>
      </c>
      <c r="G3283" t="s">
        <v>331</v>
      </c>
      <c r="H3283" s="15">
        <v>45627</v>
      </c>
      <c r="I3283">
        <v>8800</v>
      </c>
      <c r="J3283">
        <v>0</v>
      </c>
    </row>
    <row r="3284" spans="1:10" x14ac:dyDescent="0.3">
      <c r="A3284" s="15">
        <v>45658</v>
      </c>
      <c r="B3284" t="s">
        <v>397</v>
      </c>
      <c r="C3284" t="s">
        <v>91</v>
      </c>
      <c r="D3284" t="s">
        <v>82</v>
      </c>
      <c r="E3284" t="s">
        <v>83</v>
      </c>
      <c r="F3284">
        <v>5400</v>
      </c>
      <c r="G3284" t="s">
        <v>331</v>
      </c>
      <c r="H3284" s="15">
        <v>45627</v>
      </c>
      <c r="I3284">
        <v>5400</v>
      </c>
      <c r="J3284">
        <v>0</v>
      </c>
    </row>
    <row r="3285" spans="1:10" x14ac:dyDescent="0.3">
      <c r="A3285" s="15">
        <v>45658</v>
      </c>
      <c r="B3285" t="s">
        <v>398</v>
      </c>
      <c r="C3285" t="s">
        <v>81</v>
      </c>
      <c r="D3285" t="s">
        <v>86</v>
      </c>
      <c r="E3285" t="s">
        <v>92</v>
      </c>
      <c r="F3285">
        <v>1600</v>
      </c>
      <c r="G3285" t="s">
        <v>332</v>
      </c>
      <c r="H3285" s="15">
        <v>45627</v>
      </c>
      <c r="I3285">
        <v>1400</v>
      </c>
      <c r="J3285">
        <v>200</v>
      </c>
    </row>
    <row r="3286" spans="1:10" x14ac:dyDescent="0.3">
      <c r="A3286" s="15">
        <v>45658</v>
      </c>
      <c r="B3286" t="s">
        <v>399</v>
      </c>
      <c r="C3286" t="s">
        <v>110</v>
      </c>
      <c r="D3286" t="s">
        <v>82</v>
      </c>
      <c r="E3286" t="s">
        <v>101</v>
      </c>
      <c r="F3286">
        <v>17400</v>
      </c>
      <c r="G3286" t="s">
        <v>331</v>
      </c>
      <c r="H3286" s="15">
        <v>45627</v>
      </c>
      <c r="I3286">
        <v>17400</v>
      </c>
      <c r="J3286">
        <v>0</v>
      </c>
    </row>
    <row r="3287" spans="1:10" x14ac:dyDescent="0.3">
      <c r="A3287" s="15">
        <v>45658</v>
      </c>
      <c r="B3287" t="s">
        <v>400</v>
      </c>
      <c r="C3287" t="s">
        <v>91</v>
      </c>
      <c r="D3287" t="s">
        <v>82</v>
      </c>
      <c r="E3287" t="s">
        <v>103</v>
      </c>
      <c r="F3287">
        <v>4400</v>
      </c>
      <c r="G3287" t="s">
        <v>331</v>
      </c>
      <c r="H3287" s="15">
        <v>45627</v>
      </c>
      <c r="I3287">
        <v>4400</v>
      </c>
      <c r="J3287">
        <v>0</v>
      </c>
    </row>
    <row r="3288" spans="1:10" x14ac:dyDescent="0.3">
      <c r="A3288" s="15">
        <v>45658</v>
      </c>
      <c r="B3288" t="s">
        <v>401</v>
      </c>
      <c r="C3288" t="s">
        <v>81</v>
      </c>
      <c r="D3288" t="s">
        <v>82</v>
      </c>
      <c r="E3288" t="s">
        <v>103</v>
      </c>
      <c r="F3288">
        <v>2200</v>
      </c>
      <c r="G3288" t="s">
        <v>84</v>
      </c>
      <c r="H3288" s="15">
        <v>45658</v>
      </c>
      <c r="I3288">
        <v>0</v>
      </c>
      <c r="J3288">
        <v>2200</v>
      </c>
    </row>
    <row r="3289" spans="1:10" x14ac:dyDescent="0.3">
      <c r="A3289" s="15">
        <v>45658</v>
      </c>
      <c r="B3289" t="s">
        <v>402</v>
      </c>
      <c r="C3289" t="s">
        <v>81</v>
      </c>
      <c r="D3289" t="s">
        <v>99</v>
      </c>
      <c r="E3289" t="s">
        <v>103</v>
      </c>
      <c r="F3289">
        <v>2200</v>
      </c>
      <c r="G3289" t="s">
        <v>84</v>
      </c>
      <c r="H3289" s="15">
        <v>45658</v>
      </c>
      <c r="I3289">
        <v>0</v>
      </c>
      <c r="J3289">
        <v>2200</v>
      </c>
    </row>
    <row r="3290" spans="1:10" x14ac:dyDescent="0.3">
      <c r="A3290" s="15">
        <v>45658</v>
      </c>
      <c r="B3290" t="s">
        <v>403</v>
      </c>
      <c r="C3290" t="s">
        <v>81</v>
      </c>
      <c r="D3290" t="s">
        <v>82</v>
      </c>
      <c r="E3290" t="s">
        <v>101</v>
      </c>
      <c r="F3290">
        <v>1900</v>
      </c>
      <c r="G3290" t="s">
        <v>84</v>
      </c>
      <c r="H3290" s="15">
        <v>45658</v>
      </c>
      <c r="I3290">
        <v>0</v>
      </c>
      <c r="J3290">
        <v>1900</v>
      </c>
    </row>
    <row r="3291" spans="1:10" x14ac:dyDescent="0.3">
      <c r="A3291" s="15">
        <v>45658</v>
      </c>
      <c r="B3291" t="s">
        <v>404</v>
      </c>
      <c r="C3291" t="s">
        <v>81</v>
      </c>
      <c r="D3291" t="s">
        <v>86</v>
      </c>
      <c r="E3291" t="s">
        <v>83</v>
      </c>
      <c r="F3291">
        <v>2100</v>
      </c>
      <c r="G3291" t="s">
        <v>84</v>
      </c>
      <c r="H3291" s="15">
        <v>45658</v>
      </c>
      <c r="I3291">
        <v>0</v>
      </c>
      <c r="J3291">
        <v>2100</v>
      </c>
    </row>
    <row r="3292" spans="1:10" x14ac:dyDescent="0.3">
      <c r="A3292" s="15">
        <v>45658</v>
      </c>
      <c r="B3292" t="s">
        <v>405</v>
      </c>
      <c r="C3292" t="s">
        <v>81</v>
      </c>
      <c r="D3292" t="s">
        <v>82</v>
      </c>
      <c r="E3292" t="s">
        <v>92</v>
      </c>
      <c r="F3292">
        <v>1400</v>
      </c>
      <c r="G3292" t="s">
        <v>84</v>
      </c>
      <c r="H3292" s="15">
        <v>45658</v>
      </c>
      <c r="I3292">
        <v>0</v>
      </c>
      <c r="J3292">
        <v>1400</v>
      </c>
    </row>
    <row r="3293" spans="1:10" x14ac:dyDescent="0.3">
      <c r="A3293" s="15">
        <v>45658</v>
      </c>
      <c r="B3293" t="s">
        <v>406</v>
      </c>
      <c r="C3293" t="s">
        <v>91</v>
      </c>
      <c r="D3293" t="s">
        <v>86</v>
      </c>
      <c r="E3293" t="s">
        <v>87</v>
      </c>
      <c r="F3293">
        <v>5400</v>
      </c>
      <c r="G3293" t="s">
        <v>84</v>
      </c>
      <c r="H3293" s="15">
        <v>45658</v>
      </c>
      <c r="I3293">
        <v>0</v>
      </c>
      <c r="J3293">
        <v>5400</v>
      </c>
    </row>
    <row r="3294" spans="1:10" x14ac:dyDescent="0.3">
      <c r="A3294" s="15">
        <v>45689</v>
      </c>
      <c r="B3294" t="s">
        <v>80</v>
      </c>
      <c r="C3294" t="s">
        <v>81</v>
      </c>
      <c r="D3294" t="s">
        <v>82</v>
      </c>
      <c r="E3294" t="s">
        <v>83</v>
      </c>
      <c r="F3294">
        <v>1900</v>
      </c>
      <c r="G3294" t="s">
        <v>331</v>
      </c>
      <c r="H3294" s="15">
        <v>45292</v>
      </c>
      <c r="I3294">
        <v>1900</v>
      </c>
      <c r="J3294">
        <v>0</v>
      </c>
    </row>
    <row r="3295" spans="1:10" x14ac:dyDescent="0.3">
      <c r="A3295" s="15">
        <v>45689</v>
      </c>
      <c r="B3295" t="s">
        <v>85</v>
      </c>
      <c r="C3295" t="s">
        <v>81</v>
      </c>
      <c r="D3295" t="s">
        <v>86</v>
      </c>
      <c r="E3295" t="s">
        <v>87</v>
      </c>
      <c r="F3295">
        <v>3200</v>
      </c>
      <c r="G3295" t="s">
        <v>331</v>
      </c>
      <c r="H3295" s="15">
        <v>45292</v>
      </c>
      <c r="I3295">
        <v>3200</v>
      </c>
      <c r="J3295">
        <v>0</v>
      </c>
    </row>
    <row r="3296" spans="1:10" x14ac:dyDescent="0.3">
      <c r="A3296" s="15">
        <v>45689</v>
      </c>
      <c r="B3296" t="s">
        <v>88</v>
      </c>
      <c r="C3296" t="s">
        <v>81</v>
      </c>
      <c r="D3296" t="s">
        <v>86</v>
      </c>
      <c r="E3296" t="s">
        <v>89</v>
      </c>
      <c r="F3296">
        <v>2800</v>
      </c>
      <c r="G3296" t="s">
        <v>331</v>
      </c>
      <c r="H3296" s="15">
        <v>45292</v>
      </c>
      <c r="I3296">
        <v>2800</v>
      </c>
      <c r="J3296">
        <v>0</v>
      </c>
    </row>
    <row r="3297" spans="1:10" x14ac:dyDescent="0.3">
      <c r="A3297" s="15">
        <v>45689</v>
      </c>
      <c r="B3297" t="s">
        <v>90</v>
      </c>
      <c r="C3297" t="s">
        <v>91</v>
      </c>
      <c r="D3297" t="s">
        <v>82</v>
      </c>
      <c r="E3297" t="s">
        <v>92</v>
      </c>
      <c r="F3297">
        <v>8300</v>
      </c>
      <c r="G3297" t="s">
        <v>331</v>
      </c>
      <c r="H3297" s="15">
        <v>45292</v>
      </c>
      <c r="I3297">
        <v>8300</v>
      </c>
      <c r="J3297">
        <v>0</v>
      </c>
    </row>
    <row r="3298" spans="1:10" x14ac:dyDescent="0.3">
      <c r="A3298" s="15">
        <v>45689</v>
      </c>
      <c r="B3298" t="s">
        <v>93</v>
      </c>
      <c r="C3298" t="s">
        <v>81</v>
      </c>
      <c r="D3298" t="s">
        <v>86</v>
      </c>
      <c r="E3298" t="s">
        <v>83</v>
      </c>
      <c r="F3298">
        <v>2300</v>
      </c>
      <c r="G3298" t="s">
        <v>331</v>
      </c>
      <c r="H3298" s="15">
        <v>45292</v>
      </c>
      <c r="I3298">
        <v>2300</v>
      </c>
      <c r="J3298">
        <v>0</v>
      </c>
    </row>
    <row r="3299" spans="1:10" x14ac:dyDescent="0.3">
      <c r="A3299" s="15">
        <v>45689</v>
      </c>
      <c r="B3299" t="s">
        <v>94</v>
      </c>
      <c r="C3299" t="s">
        <v>91</v>
      </c>
      <c r="D3299" t="s">
        <v>86</v>
      </c>
      <c r="E3299" t="s">
        <v>83</v>
      </c>
      <c r="F3299">
        <v>8500</v>
      </c>
      <c r="G3299" t="s">
        <v>331</v>
      </c>
      <c r="H3299" s="15">
        <v>45292</v>
      </c>
      <c r="I3299">
        <v>8500</v>
      </c>
      <c r="J3299">
        <v>0</v>
      </c>
    </row>
    <row r="3300" spans="1:10" x14ac:dyDescent="0.3">
      <c r="A3300" s="15">
        <v>45689</v>
      </c>
      <c r="B3300" t="s">
        <v>95</v>
      </c>
      <c r="C3300" t="s">
        <v>81</v>
      </c>
      <c r="D3300" t="s">
        <v>96</v>
      </c>
      <c r="E3300" t="s">
        <v>97</v>
      </c>
      <c r="F3300">
        <v>3100</v>
      </c>
      <c r="G3300" t="s">
        <v>331</v>
      </c>
      <c r="H3300" s="15">
        <v>45292</v>
      </c>
      <c r="I3300">
        <v>3100</v>
      </c>
      <c r="J3300">
        <v>0</v>
      </c>
    </row>
    <row r="3301" spans="1:10" x14ac:dyDescent="0.3">
      <c r="A3301" s="15">
        <v>45689</v>
      </c>
      <c r="B3301" t="s">
        <v>98</v>
      </c>
      <c r="C3301" t="s">
        <v>81</v>
      </c>
      <c r="D3301" t="s">
        <v>99</v>
      </c>
      <c r="E3301" t="s">
        <v>92</v>
      </c>
      <c r="F3301">
        <v>2300</v>
      </c>
      <c r="G3301" t="s">
        <v>331</v>
      </c>
      <c r="H3301" s="15">
        <v>45292</v>
      </c>
      <c r="I3301">
        <v>2300</v>
      </c>
      <c r="J3301">
        <v>0</v>
      </c>
    </row>
    <row r="3302" spans="1:10" x14ac:dyDescent="0.3">
      <c r="A3302" s="15">
        <v>45689</v>
      </c>
      <c r="B3302" t="s">
        <v>100</v>
      </c>
      <c r="C3302" t="s">
        <v>81</v>
      </c>
      <c r="D3302" t="s">
        <v>86</v>
      </c>
      <c r="E3302" t="s">
        <v>101</v>
      </c>
      <c r="F3302">
        <v>1800</v>
      </c>
      <c r="G3302" t="s">
        <v>331</v>
      </c>
      <c r="H3302" s="15">
        <v>45292</v>
      </c>
      <c r="I3302">
        <v>1800</v>
      </c>
      <c r="J3302">
        <v>0</v>
      </c>
    </row>
    <row r="3303" spans="1:10" x14ac:dyDescent="0.3">
      <c r="A3303" s="15">
        <v>45689</v>
      </c>
      <c r="B3303" t="s">
        <v>102</v>
      </c>
      <c r="C3303" t="s">
        <v>81</v>
      </c>
      <c r="D3303" t="s">
        <v>99</v>
      </c>
      <c r="E3303" t="s">
        <v>103</v>
      </c>
      <c r="F3303">
        <v>3300</v>
      </c>
      <c r="G3303" t="s">
        <v>331</v>
      </c>
      <c r="H3303" s="15">
        <v>45292</v>
      </c>
      <c r="I3303">
        <v>3300</v>
      </c>
      <c r="J3303">
        <v>0</v>
      </c>
    </row>
    <row r="3304" spans="1:10" x14ac:dyDescent="0.3">
      <c r="A3304" s="15">
        <v>45689</v>
      </c>
      <c r="B3304" t="s">
        <v>104</v>
      </c>
      <c r="C3304" t="s">
        <v>91</v>
      </c>
      <c r="D3304" t="s">
        <v>99</v>
      </c>
      <c r="E3304" t="s">
        <v>87</v>
      </c>
      <c r="F3304">
        <v>7000</v>
      </c>
      <c r="G3304" t="s">
        <v>331</v>
      </c>
      <c r="H3304" s="15">
        <v>45292</v>
      </c>
      <c r="I3304">
        <v>7000</v>
      </c>
      <c r="J3304">
        <v>0</v>
      </c>
    </row>
    <row r="3305" spans="1:10" x14ac:dyDescent="0.3">
      <c r="A3305" s="15">
        <v>45689</v>
      </c>
      <c r="B3305" t="s">
        <v>105</v>
      </c>
      <c r="C3305" t="s">
        <v>91</v>
      </c>
      <c r="D3305" t="s">
        <v>86</v>
      </c>
      <c r="E3305" t="s">
        <v>89</v>
      </c>
      <c r="F3305">
        <v>12900</v>
      </c>
      <c r="G3305" t="s">
        <v>331</v>
      </c>
      <c r="H3305" s="15">
        <v>45292</v>
      </c>
      <c r="I3305">
        <v>12900</v>
      </c>
      <c r="J3305">
        <v>0</v>
      </c>
    </row>
    <row r="3306" spans="1:10" x14ac:dyDescent="0.3">
      <c r="A3306" s="15">
        <v>45689</v>
      </c>
      <c r="B3306" t="s">
        <v>106</v>
      </c>
      <c r="C3306" t="s">
        <v>81</v>
      </c>
      <c r="D3306" t="s">
        <v>99</v>
      </c>
      <c r="E3306" t="s">
        <v>92</v>
      </c>
      <c r="F3306">
        <v>2700</v>
      </c>
      <c r="G3306" t="s">
        <v>331</v>
      </c>
      <c r="H3306" s="15">
        <v>45292</v>
      </c>
      <c r="I3306">
        <v>2700</v>
      </c>
      <c r="J3306">
        <v>0</v>
      </c>
    </row>
    <row r="3307" spans="1:10" x14ac:dyDescent="0.3">
      <c r="A3307" s="15">
        <v>45689</v>
      </c>
      <c r="B3307" t="s">
        <v>109</v>
      </c>
      <c r="C3307" t="s">
        <v>110</v>
      </c>
      <c r="D3307" t="s">
        <v>82</v>
      </c>
      <c r="E3307" t="s">
        <v>103</v>
      </c>
      <c r="F3307">
        <v>32700</v>
      </c>
      <c r="G3307" t="s">
        <v>331</v>
      </c>
      <c r="H3307" s="15">
        <v>45292</v>
      </c>
      <c r="I3307">
        <v>32700</v>
      </c>
      <c r="J3307">
        <v>0</v>
      </c>
    </row>
    <row r="3308" spans="1:10" x14ac:dyDescent="0.3">
      <c r="A3308" s="15">
        <v>45689</v>
      </c>
      <c r="B3308" t="s">
        <v>111</v>
      </c>
      <c r="C3308" t="s">
        <v>91</v>
      </c>
      <c r="D3308" t="s">
        <v>82</v>
      </c>
      <c r="E3308" t="s">
        <v>83</v>
      </c>
      <c r="F3308">
        <v>8800</v>
      </c>
      <c r="G3308" t="s">
        <v>331</v>
      </c>
      <c r="H3308" s="15">
        <v>45292</v>
      </c>
      <c r="I3308">
        <v>8800</v>
      </c>
      <c r="J3308">
        <v>0</v>
      </c>
    </row>
    <row r="3309" spans="1:10" x14ac:dyDescent="0.3">
      <c r="A3309" s="15">
        <v>45689</v>
      </c>
      <c r="B3309" t="s">
        <v>112</v>
      </c>
      <c r="C3309" t="s">
        <v>91</v>
      </c>
      <c r="D3309" t="s">
        <v>82</v>
      </c>
      <c r="E3309" t="s">
        <v>92</v>
      </c>
      <c r="F3309">
        <v>8600</v>
      </c>
      <c r="G3309" t="s">
        <v>331</v>
      </c>
      <c r="H3309" s="15">
        <v>45292</v>
      </c>
      <c r="I3309">
        <v>8600</v>
      </c>
      <c r="J3309">
        <v>0</v>
      </c>
    </row>
    <row r="3310" spans="1:10" x14ac:dyDescent="0.3">
      <c r="A3310" s="15">
        <v>45689</v>
      </c>
      <c r="B3310" t="s">
        <v>113</v>
      </c>
      <c r="C3310" t="s">
        <v>81</v>
      </c>
      <c r="D3310" t="s">
        <v>96</v>
      </c>
      <c r="E3310" t="s">
        <v>89</v>
      </c>
      <c r="F3310">
        <v>2500</v>
      </c>
      <c r="G3310" t="s">
        <v>331</v>
      </c>
      <c r="H3310" s="15">
        <v>45292</v>
      </c>
      <c r="I3310">
        <v>2500</v>
      </c>
      <c r="J3310">
        <v>0</v>
      </c>
    </row>
    <row r="3311" spans="1:10" x14ac:dyDescent="0.3">
      <c r="A3311" s="15">
        <v>45689</v>
      </c>
      <c r="B3311" t="s">
        <v>114</v>
      </c>
      <c r="C3311" t="s">
        <v>110</v>
      </c>
      <c r="D3311" t="s">
        <v>99</v>
      </c>
      <c r="E3311" t="s">
        <v>97</v>
      </c>
      <c r="F3311">
        <v>41600</v>
      </c>
      <c r="G3311" t="s">
        <v>331</v>
      </c>
      <c r="H3311" s="15">
        <v>45292</v>
      </c>
      <c r="I3311">
        <v>41600</v>
      </c>
      <c r="J3311">
        <v>0</v>
      </c>
    </row>
    <row r="3312" spans="1:10" x14ac:dyDescent="0.3">
      <c r="A3312" s="15">
        <v>45689</v>
      </c>
      <c r="B3312" t="s">
        <v>115</v>
      </c>
      <c r="C3312" t="s">
        <v>81</v>
      </c>
      <c r="D3312" t="s">
        <v>82</v>
      </c>
      <c r="E3312" t="s">
        <v>101</v>
      </c>
      <c r="F3312">
        <v>2600</v>
      </c>
      <c r="G3312" t="s">
        <v>331</v>
      </c>
      <c r="H3312" s="15">
        <v>45292</v>
      </c>
      <c r="I3312">
        <v>2600</v>
      </c>
      <c r="J3312">
        <v>0</v>
      </c>
    </row>
    <row r="3313" spans="1:10" x14ac:dyDescent="0.3">
      <c r="A3313" s="15">
        <v>45689</v>
      </c>
      <c r="B3313" t="s">
        <v>116</v>
      </c>
      <c r="C3313" t="s">
        <v>81</v>
      </c>
      <c r="D3313" t="s">
        <v>86</v>
      </c>
      <c r="E3313" t="s">
        <v>87</v>
      </c>
      <c r="F3313">
        <v>2900</v>
      </c>
      <c r="G3313" t="s">
        <v>331</v>
      </c>
      <c r="H3313" s="15">
        <v>45292</v>
      </c>
      <c r="I3313">
        <v>2900</v>
      </c>
      <c r="J3313">
        <v>0</v>
      </c>
    </row>
    <row r="3314" spans="1:10" x14ac:dyDescent="0.3">
      <c r="A3314" s="15">
        <v>45689</v>
      </c>
      <c r="B3314" t="s">
        <v>117</v>
      </c>
      <c r="C3314" t="s">
        <v>81</v>
      </c>
      <c r="D3314" t="s">
        <v>86</v>
      </c>
      <c r="E3314" t="s">
        <v>103</v>
      </c>
      <c r="F3314">
        <v>2500</v>
      </c>
      <c r="G3314" t="s">
        <v>331</v>
      </c>
      <c r="H3314" s="15">
        <v>45292</v>
      </c>
      <c r="I3314">
        <v>2500</v>
      </c>
      <c r="J3314">
        <v>0</v>
      </c>
    </row>
    <row r="3315" spans="1:10" x14ac:dyDescent="0.3">
      <c r="A3315" s="15">
        <v>45689</v>
      </c>
      <c r="B3315" t="s">
        <v>119</v>
      </c>
      <c r="C3315" t="s">
        <v>91</v>
      </c>
      <c r="D3315" t="s">
        <v>96</v>
      </c>
      <c r="E3315" t="s">
        <v>89</v>
      </c>
      <c r="F3315">
        <v>12800</v>
      </c>
      <c r="G3315" t="s">
        <v>331</v>
      </c>
      <c r="H3315" s="15">
        <v>45292</v>
      </c>
      <c r="I3315">
        <v>12800</v>
      </c>
      <c r="J3315">
        <v>0</v>
      </c>
    </row>
    <row r="3316" spans="1:10" x14ac:dyDescent="0.3">
      <c r="A3316" s="15">
        <v>45689</v>
      </c>
      <c r="B3316" t="s">
        <v>120</v>
      </c>
      <c r="C3316" t="s">
        <v>81</v>
      </c>
      <c r="D3316" t="s">
        <v>86</v>
      </c>
      <c r="E3316" t="s">
        <v>101</v>
      </c>
      <c r="F3316">
        <v>2200</v>
      </c>
      <c r="G3316" t="s">
        <v>331</v>
      </c>
      <c r="H3316" s="15">
        <v>45292</v>
      </c>
      <c r="I3316">
        <v>2200</v>
      </c>
      <c r="J3316">
        <v>0</v>
      </c>
    </row>
    <row r="3317" spans="1:10" x14ac:dyDescent="0.3">
      <c r="A3317" s="15">
        <v>45689</v>
      </c>
      <c r="B3317" t="s">
        <v>123</v>
      </c>
      <c r="C3317" t="s">
        <v>81</v>
      </c>
      <c r="D3317" t="s">
        <v>82</v>
      </c>
      <c r="E3317" t="s">
        <v>92</v>
      </c>
      <c r="F3317">
        <v>2200</v>
      </c>
      <c r="G3317" t="s">
        <v>331</v>
      </c>
      <c r="H3317" s="15">
        <v>45292</v>
      </c>
      <c r="I3317">
        <v>2200</v>
      </c>
      <c r="J3317">
        <v>0</v>
      </c>
    </row>
    <row r="3318" spans="1:10" x14ac:dyDescent="0.3">
      <c r="A3318" s="15">
        <v>45689</v>
      </c>
      <c r="B3318" t="s">
        <v>124</v>
      </c>
      <c r="C3318" t="s">
        <v>125</v>
      </c>
      <c r="D3318" t="s">
        <v>82</v>
      </c>
      <c r="E3318" t="s">
        <v>97</v>
      </c>
      <c r="F3318">
        <v>67900</v>
      </c>
      <c r="G3318" t="s">
        <v>331</v>
      </c>
      <c r="H3318" s="15">
        <v>45292</v>
      </c>
      <c r="I3318">
        <v>67900</v>
      </c>
      <c r="J3318">
        <v>0</v>
      </c>
    </row>
    <row r="3319" spans="1:10" x14ac:dyDescent="0.3">
      <c r="A3319" s="15">
        <v>45689</v>
      </c>
      <c r="B3319" t="s">
        <v>126</v>
      </c>
      <c r="C3319" t="s">
        <v>91</v>
      </c>
      <c r="D3319" t="s">
        <v>82</v>
      </c>
      <c r="E3319" t="s">
        <v>83</v>
      </c>
      <c r="F3319">
        <v>8800</v>
      </c>
      <c r="G3319" t="s">
        <v>331</v>
      </c>
      <c r="H3319" s="15">
        <v>45292</v>
      </c>
      <c r="I3319">
        <v>8800</v>
      </c>
      <c r="J3319">
        <v>0</v>
      </c>
    </row>
    <row r="3320" spans="1:10" x14ac:dyDescent="0.3">
      <c r="A3320" s="15">
        <v>45689</v>
      </c>
      <c r="B3320" t="s">
        <v>127</v>
      </c>
      <c r="C3320" t="s">
        <v>81</v>
      </c>
      <c r="D3320" t="s">
        <v>82</v>
      </c>
      <c r="E3320" t="s">
        <v>101</v>
      </c>
      <c r="F3320">
        <v>2400</v>
      </c>
      <c r="G3320" t="s">
        <v>332</v>
      </c>
      <c r="H3320" s="15">
        <v>45292</v>
      </c>
      <c r="I3320">
        <v>2100</v>
      </c>
      <c r="J3320">
        <v>300</v>
      </c>
    </row>
    <row r="3321" spans="1:10" x14ac:dyDescent="0.3">
      <c r="A3321" s="15">
        <v>45689</v>
      </c>
      <c r="B3321" t="s">
        <v>128</v>
      </c>
      <c r="C3321" t="s">
        <v>81</v>
      </c>
      <c r="D3321" t="s">
        <v>82</v>
      </c>
      <c r="E3321" t="s">
        <v>92</v>
      </c>
      <c r="F3321">
        <v>1700</v>
      </c>
      <c r="G3321" t="s">
        <v>331</v>
      </c>
      <c r="H3321" s="15">
        <v>45292</v>
      </c>
      <c r="I3321">
        <v>1700</v>
      </c>
      <c r="J3321">
        <v>0</v>
      </c>
    </row>
    <row r="3322" spans="1:10" x14ac:dyDescent="0.3">
      <c r="A3322" s="15">
        <v>45689</v>
      </c>
      <c r="B3322" t="s">
        <v>129</v>
      </c>
      <c r="C3322" t="s">
        <v>110</v>
      </c>
      <c r="D3322" t="s">
        <v>86</v>
      </c>
      <c r="E3322" t="s">
        <v>92</v>
      </c>
      <c r="F3322">
        <v>34200</v>
      </c>
      <c r="G3322" t="s">
        <v>331</v>
      </c>
      <c r="H3322" s="15">
        <v>45292</v>
      </c>
      <c r="I3322">
        <v>34200</v>
      </c>
      <c r="J3322">
        <v>0</v>
      </c>
    </row>
    <row r="3323" spans="1:10" x14ac:dyDescent="0.3">
      <c r="A3323" s="15">
        <v>45689</v>
      </c>
      <c r="B3323" t="s">
        <v>131</v>
      </c>
      <c r="C3323" t="s">
        <v>81</v>
      </c>
      <c r="D3323" t="s">
        <v>86</v>
      </c>
      <c r="E3323" t="s">
        <v>101</v>
      </c>
      <c r="F3323">
        <v>0</v>
      </c>
      <c r="G3323" t="s">
        <v>333</v>
      </c>
      <c r="H3323" s="15">
        <v>45292</v>
      </c>
      <c r="I3323">
        <v>2100</v>
      </c>
      <c r="J3323">
        <v>-2100</v>
      </c>
    </row>
    <row r="3324" spans="1:10" x14ac:dyDescent="0.3">
      <c r="A3324" s="15">
        <v>45689</v>
      </c>
      <c r="B3324" t="s">
        <v>133</v>
      </c>
      <c r="C3324" t="s">
        <v>81</v>
      </c>
      <c r="D3324" t="s">
        <v>96</v>
      </c>
      <c r="E3324" t="s">
        <v>87</v>
      </c>
      <c r="F3324">
        <v>2700</v>
      </c>
      <c r="G3324" t="s">
        <v>331</v>
      </c>
      <c r="H3324" s="15">
        <v>45292</v>
      </c>
      <c r="I3324">
        <v>2700</v>
      </c>
      <c r="J3324">
        <v>0</v>
      </c>
    </row>
    <row r="3325" spans="1:10" x14ac:dyDescent="0.3">
      <c r="A3325" s="15">
        <v>45689</v>
      </c>
      <c r="B3325" t="s">
        <v>134</v>
      </c>
      <c r="C3325" t="s">
        <v>81</v>
      </c>
      <c r="D3325" t="s">
        <v>82</v>
      </c>
      <c r="E3325" t="s">
        <v>92</v>
      </c>
      <c r="F3325">
        <v>2400</v>
      </c>
      <c r="G3325" t="s">
        <v>334</v>
      </c>
      <c r="H3325" s="15">
        <v>45292</v>
      </c>
      <c r="I3325">
        <v>2900</v>
      </c>
      <c r="J3325">
        <v>-500</v>
      </c>
    </row>
    <row r="3326" spans="1:10" x14ac:dyDescent="0.3">
      <c r="A3326" s="15">
        <v>45689</v>
      </c>
      <c r="B3326" t="s">
        <v>135</v>
      </c>
      <c r="C3326" t="s">
        <v>81</v>
      </c>
      <c r="D3326" t="s">
        <v>82</v>
      </c>
      <c r="E3326" t="s">
        <v>103</v>
      </c>
      <c r="F3326">
        <v>2500</v>
      </c>
      <c r="G3326" t="s">
        <v>334</v>
      </c>
      <c r="H3326" s="15">
        <v>45292</v>
      </c>
      <c r="I3326">
        <v>2800</v>
      </c>
      <c r="J3326">
        <v>-300</v>
      </c>
    </row>
    <row r="3327" spans="1:10" x14ac:dyDescent="0.3">
      <c r="A3327" s="15">
        <v>45689</v>
      </c>
      <c r="B3327" t="s">
        <v>136</v>
      </c>
      <c r="C3327" t="s">
        <v>81</v>
      </c>
      <c r="D3327" t="s">
        <v>82</v>
      </c>
      <c r="E3327" t="s">
        <v>101</v>
      </c>
      <c r="F3327">
        <v>2900</v>
      </c>
      <c r="G3327" t="s">
        <v>331</v>
      </c>
      <c r="H3327" s="15">
        <v>45292</v>
      </c>
      <c r="I3327">
        <v>2900</v>
      </c>
      <c r="J3327">
        <v>0</v>
      </c>
    </row>
    <row r="3328" spans="1:10" x14ac:dyDescent="0.3">
      <c r="A3328" s="15">
        <v>45689</v>
      </c>
      <c r="B3328" t="s">
        <v>138</v>
      </c>
      <c r="C3328" t="s">
        <v>81</v>
      </c>
      <c r="D3328" t="s">
        <v>86</v>
      </c>
      <c r="E3328" t="s">
        <v>97</v>
      </c>
      <c r="F3328">
        <v>3300</v>
      </c>
      <c r="G3328" t="s">
        <v>331</v>
      </c>
      <c r="H3328" s="15">
        <v>45292</v>
      </c>
      <c r="I3328">
        <v>3300</v>
      </c>
      <c r="J3328">
        <v>0</v>
      </c>
    </row>
    <row r="3329" spans="1:10" x14ac:dyDescent="0.3">
      <c r="A3329" s="15">
        <v>45689</v>
      </c>
      <c r="B3329" t="s">
        <v>139</v>
      </c>
      <c r="C3329" t="s">
        <v>91</v>
      </c>
      <c r="D3329" t="s">
        <v>82</v>
      </c>
      <c r="E3329" t="s">
        <v>103</v>
      </c>
      <c r="F3329">
        <v>6800</v>
      </c>
      <c r="G3329" t="s">
        <v>331</v>
      </c>
      <c r="H3329" s="15">
        <v>45292</v>
      </c>
      <c r="I3329">
        <v>6800</v>
      </c>
      <c r="J3329">
        <v>0</v>
      </c>
    </row>
    <row r="3330" spans="1:10" x14ac:dyDescent="0.3">
      <c r="A3330" s="15">
        <v>45689</v>
      </c>
      <c r="B3330" t="s">
        <v>141</v>
      </c>
      <c r="C3330" t="s">
        <v>125</v>
      </c>
      <c r="D3330" t="s">
        <v>99</v>
      </c>
      <c r="E3330" t="s">
        <v>103</v>
      </c>
      <c r="F3330">
        <v>117900</v>
      </c>
      <c r="G3330" t="s">
        <v>331</v>
      </c>
      <c r="H3330" s="15">
        <v>45292</v>
      </c>
      <c r="I3330">
        <v>117900</v>
      </c>
      <c r="J3330">
        <v>0</v>
      </c>
    </row>
    <row r="3331" spans="1:10" x14ac:dyDescent="0.3">
      <c r="A3331" s="15">
        <v>45689</v>
      </c>
      <c r="B3331" t="s">
        <v>142</v>
      </c>
      <c r="C3331" t="s">
        <v>125</v>
      </c>
      <c r="D3331" t="s">
        <v>82</v>
      </c>
      <c r="E3331" t="s">
        <v>92</v>
      </c>
      <c r="F3331">
        <v>93300</v>
      </c>
      <c r="G3331" t="s">
        <v>331</v>
      </c>
      <c r="H3331" s="15">
        <v>45292</v>
      </c>
      <c r="I3331">
        <v>93300</v>
      </c>
      <c r="J3331">
        <v>0</v>
      </c>
    </row>
    <row r="3332" spans="1:10" x14ac:dyDescent="0.3">
      <c r="A3332" s="15">
        <v>45689</v>
      </c>
      <c r="B3332" t="s">
        <v>143</v>
      </c>
      <c r="C3332" t="s">
        <v>91</v>
      </c>
      <c r="D3332" t="s">
        <v>99</v>
      </c>
      <c r="E3332" t="s">
        <v>103</v>
      </c>
      <c r="F3332">
        <v>8000</v>
      </c>
      <c r="G3332" t="s">
        <v>331</v>
      </c>
      <c r="H3332" s="15">
        <v>45292</v>
      </c>
      <c r="I3332">
        <v>8000</v>
      </c>
      <c r="J3332">
        <v>0</v>
      </c>
    </row>
    <row r="3333" spans="1:10" x14ac:dyDescent="0.3">
      <c r="A3333" s="15">
        <v>45689</v>
      </c>
      <c r="B3333" t="s">
        <v>144</v>
      </c>
      <c r="C3333" t="s">
        <v>81</v>
      </c>
      <c r="D3333" t="s">
        <v>82</v>
      </c>
      <c r="E3333" t="s">
        <v>92</v>
      </c>
      <c r="F3333">
        <v>2400</v>
      </c>
      <c r="G3333" t="s">
        <v>331</v>
      </c>
      <c r="H3333" s="15">
        <v>45292</v>
      </c>
      <c r="I3333">
        <v>2400</v>
      </c>
      <c r="J3333">
        <v>0</v>
      </c>
    </row>
    <row r="3334" spans="1:10" x14ac:dyDescent="0.3">
      <c r="A3334" s="15">
        <v>45689</v>
      </c>
      <c r="B3334" t="s">
        <v>145</v>
      </c>
      <c r="C3334" t="s">
        <v>91</v>
      </c>
      <c r="D3334" t="s">
        <v>82</v>
      </c>
      <c r="E3334" t="s">
        <v>87</v>
      </c>
      <c r="F3334">
        <v>8200</v>
      </c>
      <c r="G3334" t="s">
        <v>331</v>
      </c>
      <c r="H3334" s="15">
        <v>45292</v>
      </c>
      <c r="I3334">
        <v>8200</v>
      </c>
      <c r="J3334">
        <v>0</v>
      </c>
    </row>
    <row r="3335" spans="1:10" x14ac:dyDescent="0.3">
      <c r="A3335" s="15">
        <v>45689</v>
      </c>
      <c r="B3335" t="s">
        <v>146</v>
      </c>
      <c r="C3335" t="s">
        <v>91</v>
      </c>
      <c r="D3335" t="s">
        <v>86</v>
      </c>
      <c r="E3335" t="s">
        <v>87</v>
      </c>
      <c r="F3335">
        <v>9200</v>
      </c>
      <c r="G3335" t="s">
        <v>331</v>
      </c>
      <c r="H3335" s="15">
        <v>45292</v>
      </c>
      <c r="I3335">
        <v>9200</v>
      </c>
      <c r="J3335">
        <v>0</v>
      </c>
    </row>
    <row r="3336" spans="1:10" x14ac:dyDescent="0.3">
      <c r="A3336" s="15">
        <v>45689</v>
      </c>
      <c r="B3336" t="s">
        <v>148</v>
      </c>
      <c r="C3336" t="s">
        <v>110</v>
      </c>
      <c r="D3336" t="s">
        <v>86</v>
      </c>
      <c r="E3336" t="s">
        <v>89</v>
      </c>
      <c r="F3336">
        <v>25100</v>
      </c>
      <c r="G3336" t="s">
        <v>331</v>
      </c>
      <c r="H3336" s="15">
        <v>45292</v>
      </c>
      <c r="I3336">
        <v>25100</v>
      </c>
      <c r="J3336">
        <v>0</v>
      </c>
    </row>
    <row r="3337" spans="1:10" x14ac:dyDescent="0.3">
      <c r="A3337" s="15">
        <v>45689</v>
      </c>
      <c r="B3337" t="s">
        <v>149</v>
      </c>
      <c r="C3337" t="s">
        <v>110</v>
      </c>
      <c r="D3337" t="s">
        <v>82</v>
      </c>
      <c r="E3337" t="s">
        <v>103</v>
      </c>
      <c r="F3337">
        <v>31000</v>
      </c>
      <c r="G3337" t="s">
        <v>331</v>
      </c>
      <c r="H3337" s="15">
        <v>45292</v>
      </c>
      <c r="I3337">
        <v>31000</v>
      </c>
      <c r="J3337">
        <v>0</v>
      </c>
    </row>
    <row r="3338" spans="1:10" x14ac:dyDescent="0.3">
      <c r="A3338" s="15">
        <v>45689</v>
      </c>
      <c r="B3338" t="s">
        <v>150</v>
      </c>
      <c r="C3338" t="s">
        <v>91</v>
      </c>
      <c r="D3338" t="s">
        <v>99</v>
      </c>
      <c r="E3338" t="s">
        <v>101</v>
      </c>
      <c r="F3338">
        <v>0</v>
      </c>
      <c r="G3338" t="s">
        <v>333</v>
      </c>
      <c r="H3338" s="15">
        <v>45292</v>
      </c>
      <c r="I3338">
        <v>8700</v>
      </c>
      <c r="J3338">
        <v>-8700</v>
      </c>
    </row>
    <row r="3339" spans="1:10" x14ac:dyDescent="0.3">
      <c r="A3339" s="15">
        <v>45689</v>
      </c>
      <c r="B3339" t="s">
        <v>151</v>
      </c>
      <c r="C3339" t="s">
        <v>91</v>
      </c>
      <c r="D3339" t="s">
        <v>82</v>
      </c>
      <c r="E3339" t="s">
        <v>97</v>
      </c>
      <c r="F3339">
        <v>6800</v>
      </c>
      <c r="G3339" t="s">
        <v>331</v>
      </c>
      <c r="H3339" s="15">
        <v>45292</v>
      </c>
      <c r="I3339">
        <v>6800</v>
      </c>
      <c r="J3339">
        <v>0</v>
      </c>
    </row>
    <row r="3340" spans="1:10" x14ac:dyDescent="0.3">
      <c r="A3340" s="15">
        <v>45689</v>
      </c>
      <c r="B3340" t="s">
        <v>152</v>
      </c>
      <c r="C3340" t="s">
        <v>81</v>
      </c>
      <c r="D3340" t="s">
        <v>99</v>
      </c>
      <c r="E3340" t="s">
        <v>87</v>
      </c>
      <c r="F3340">
        <v>0</v>
      </c>
      <c r="G3340" t="s">
        <v>333</v>
      </c>
      <c r="H3340" s="15">
        <v>45292</v>
      </c>
      <c r="I3340">
        <v>3100</v>
      </c>
      <c r="J3340">
        <v>-3100</v>
      </c>
    </row>
    <row r="3341" spans="1:10" x14ac:dyDescent="0.3">
      <c r="A3341" s="15">
        <v>45689</v>
      </c>
      <c r="B3341" t="s">
        <v>153</v>
      </c>
      <c r="C3341" t="s">
        <v>110</v>
      </c>
      <c r="D3341" t="s">
        <v>99</v>
      </c>
      <c r="E3341" t="s">
        <v>87</v>
      </c>
      <c r="F3341">
        <v>31500</v>
      </c>
      <c r="G3341" t="s">
        <v>331</v>
      </c>
      <c r="H3341" s="15">
        <v>45292</v>
      </c>
      <c r="I3341">
        <v>31500</v>
      </c>
      <c r="J3341">
        <v>0</v>
      </c>
    </row>
    <row r="3342" spans="1:10" x14ac:dyDescent="0.3">
      <c r="A3342" s="15">
        <v>45689</v>
      </c>
      <c r="B3342" t="s">
        <v>154</v>
      </c>
      <c r="C3342" t="s">
        <v>91</v>
      </c>
      <c r="D3342" t="s">
        <v>86</v>
      </c>
      <c r="E3342" t="s">
        <v>103</v>
      </c>
      <c r="F3342">
        <v>8800</v>
      </c>
      <c r="G3342" t="s">
        <v>331</v>
      </c>
      <c r="H3342" s="15">
        <v>45292</v>
      </c>
      <c r="I3342">
        <v>8800</v>
      </c>
      <c r="J3342">
        <v>0</v>
      </c>
    </row>
    <row r="3343" spans="1:10" x14ac:dyDescent="0.3">
      <c r="A3343" s="15">
        <v>45689</v>
      </c>
      <c r="B3343" t="s">
        <v>155</v>
      </c>
      <c r="C3343" t="s">
        <v>91</v>
      </c>
      <c r="D3343" t="s">
        <v>82</v>
      </c>
      <c r="E3343" t="s">
        <v>92</v>
      </c>
      <c r="F3343">
        <v>7100</v>
      </c>
      <c r="G3343" t="s">
        <v>331</v>
      </c>
      <c r="H3343" s="15">
        <v>45292</v>
      </c>
      <c r="I3343">
        <v>7100</v>
      </c>
      <c r="J3343">
        <v>0</v>
      </c>
    </row>
    <row r="3344" spans="1:10" x14ac:dyDescent="0.3">
      <c r="A3344" s="15">
        <v>45689</v>
      </c>
      <c r="B3344" t="s">
        <v>156</v>
      </c>
      <c r="C3344" t="s">
        <v>81</v>
      </c>
      <c r="D3344" t="s">
        <v>86</v>
      </c>
      <c r="E3344" t="s">
        <v>101</v>
      </c>
      <c r="F3344">
        <v>2300</v>
      </c>
      <c r="G3344" t="s">
        <v>331</v>
      </c>
      <c r="H3344" s="15">
        <v>45292</v>
      </c>
      <c r="I3344">
        <v>2300</v>
      </c>
      <c r="J3344">
        <v>0</v>
      </c>
    </row>
    <row r="3345" spans="1:10" x14ac:dyDescent="0.3">
      <c r="A3345" s="15">
        <v>45689</v>
      </c>
      <c r="B3345" t="s">
        <v>157</v>
      </c>
      <c r="C3345" t="s">
        <v>81</v>
      </c>
      <c r="D3345" t="s">
        <v>82</v>
      </c>
      <c r="E3345" t="s">
        <v>92</v>
      </c>
      <c r="F3345">
        <v>1800</v>
      </c>
      <c r="G3345" t="s">
        <v>331</v>
      </c>
      <c r="H3345" s="15">
        <v>45292</v>
      </c>
      <c r="I3345">
        <v>1800</v>
      </c>
      <c r="J3345">
        <v>0</v>
      </c>
    </row>
    <row r="3346" spans="1:10" x14ac:dyDescent="0.3">
      <c r="A3346" s="15">
        <v>45689</v>
      </c>
      <c r="B3346" t="s">
        <v>158</v>
      </c>
      <c r="C3346" t="s">
        <v>91</v>
      </c>
      <c r="D3346" t="s">
        <v>96</v>
      </c>
      <c r="E3346" t="s">
        <v>83</v>
      </c>
      <c r="F3346">
        <v>12600</v>
      </c>
      <c r="G3346" t="s">
        <v>331</v>
      </c>
      <c r="H3346" s="15">
        <v>45292</v>
      </c>
      <c r="I3346">
        <v>12600</v>
      </c>
      <c r="J3346">
        <v>0</v>
      </c>
    </row>
    <row r="3347" spans="1:10" x14ac:dyDescent="0.3">
      <c r="A3347" s="15">
        <v>45689</v>
      </c>
      <c r="B3347" t="s">
        <v>159</v>
      </c>
      <c r="C3347" t="s">
        <v>81</v>
      </c>
      <c r="D3347" t="s">
        <v>86</v>
      </c>
      <c r="E3347" t="s">
        <v>87</v>
      </c>
      <c r="F3347">
        <v>2400</v>
      </c>
      <c r="G3347" t="s">
        <v>331</v>
      </c>
      <c r="H3347" s="15">
        <v>45292</v>
      </c>
      <c r="I3347">
        <v>2400</v>
      </c>
      <c r="J3347">
        <v>0</v>
      </c>
    </row>
    <row r="3348" spans="1:10" x14ac:dyDescent="0.3">
      <c r="A3348" s="15">
        <v>45689</v>
      </c>
      <c r="B3348" t="s">
        <v>161</v>
      </c>
      <c r="C3348" t="s">
        <v>91</v>
      </c>
      <c r="D3348" t="s">
        <v>99</v>
      </c>
      <c r="E3348" t="s">
        <v>83</v>
      </c>
      <c r="F3348">
        <v>10700</v>
      </c>
      <c r="G3348" t="s">
        <v>331</v>
      </c>
      <c r="H3348" s="15">
        <v>45292</v>
      </c>
      <c r="I3348">
        <v>10700</v>
      </c>
      <c r="J3348">
        <v>0</v>
      </c>
    </row>
    <row r="3349" spans="1:10" x14ac:dyDescent="0.3">
      <c r="A3349" s="15">
        <v>45689</v>
      </c>
      <c r="B3349" t="s">
        <v>162</v>
      </c>
      <c r="C3349" t="s">
        <v>91</v>
      </c>
      <c r="D3349" t="s">
        <v>82</v>
      </c>
      <c r="E3349" t="s">
        <v>103</v>
      </c>
      <c r="F3349">
        <v>12700</v>
      </c>
      <c r="G3349" t="s">
        <v>331</v>
      </c>
      <c r="H3349" s="15">
        <v>45292</v>
      </c>
      <c r="I3349">
        <v>12700</v>
      </c>
      <c r="J3349">
        <v>0</v>
      </c>
    </row>
    <row r="3350" spans="1:10" x14ac:dyDescent="0.3">
      <c r="A3350" s="15">
        <v>45689</v>
      </c>
      <c r="B3350" t="s">
        <v>164</v>
      </c>
      <c r="C3350" t="s">
        <v>81</v>
      </c>
      <c r="D3350" t="s">
        <v>99</v>
      </c>
      <c r="E3350" t="s">
        <v>89</v>
      </c>
      <c r="F3350">
        <v>2800</v>
      </c>
      <c r="G3350" t="s">
        <v>331</v>
      </c>
      <c r="H3350" s="15">
        <v>45292</v>
      </c>
      <c r="I3350">
        <v>2800</v>
      </c>
      <c r="J3350">
        <v>0</v>
      </c>
    </row>
    <row r="3351" spans="1:10" x14ac:dyDescent="0.3">
      <c r="A3351" s="15">
        <v>45689</v>
      </c>
      <c r="B3351" t="s">
        <v>165</v>
      </c>
      <c r="C3351" t="s">
        <v>81</v>
      </c>
      <c r="D3351" t="s">
        <v>82</v>
      </c>
      <c r="E3351" t="s">
        <v>97</v>
      </c>
      <c r="F3351">
        <v>2700</v>
      </c>
      <c r="G3351" t="s">
        <v>331</v>
      </c>
      <c r="H3351" s="15">
        <v>45292</v>
      </c>
      <c r="I3351">
        <v>2700</v>
      </c>
      <c r="J3351">
        <v>0</v>
      </c>
    </row>
    <row r="3352" spans="1:10" x14ac:dyDescent="0.3">
      <c r="A3352" s="15">
        <v>45689</v>
      </c>
      <c r="B3352" t="s">
        <v>166</v>
      </c>
      <c r="C3352" t="s">
        <v>81</v>
      </c>
      <c r="D3352" t="s">
        <v>99</v>
      </c>
      <c r="E3352" t="s">
        <v>103</v>
      </c>
      <c r="F3352">
        <v>2600</v>
      </c>
      <c r="G3352" t="s">
        <v>331</v>
      </c>
      <c r="H3352" s="15">
        <v>45292</v>
      </c>
      <c r="I3352">
        <v>2600</v>
      </c>
      <c r="J3352">
        <v>0</v>
      </c>
    </row>
    <row r="3353" spans="1:10" x14ac:dyDescent="0.3">
      <c r="A3353" s="15">
        <v>45689</v>
      </c>
      <c r="B3353" t="s">
        <v>167</v>
      </c>
      <c r="C3353" t="s">
        <v>81</v>
      </c>
      <c r="D3353" t="s">
        <v>82</v>
      </c>
      <c r="E3353" t="s">
        <v>97</v>
      </c>
      <c r="F3353">
        <v>2100</v>
      </c>
      <c r="G3353" t="s">
        <v>331</v>
      </c>
      <c r="H3353" s="15">
        <v>45292</v>
      </c>
      <c r="I3353">
        <v>2100</v>
      </c>
      <c r="J3353">
        <v>0</v>
      </c>
    </row>
    <row r="3354" spans="1:10" x14ac:dyDescent="0.3">
      <c r="A3354" s="15">
        <v>45689</v>
      </c>
      <c r="B3354" t="s">
        <v>168</v>
      </c>
      <c r="C3354" t="s">
        <v>91</v>
      </c>
      <c r="D3354" t="s">
        <v>86</v>
      </c>
      <c r="E3354" t="s">
        <v>103</v>
      </c>
      <c r="F3354">
        <v>12300</v>
      </c>
      <c r="G3354" t="s">
        <v>331</v>
      </c>
      <c r="H3354" s="15">
        <v>45292</v>
      </c>
      <c r="I3354">
        <v>12300</v>
      </c>
      <c r="J3354">
        <v>0</v>
      </c>
    </row>
    <row r="3355" spans="1:10" x14ac:dyDescent="0.3">
      <c r="A3355" s="15">
        <v>45689</v>
      </c>
      <c r="B3355" t="s">
        <v>169</v>
      </c>
      <c r="C3355" t="s">
        <v>81</v>
      </c>
      <c r="D3355" t="s">
        <v>86</v>
      </c>
      <c r="E3355" t="s">
        <v>103</v>
      </c>
      <c r="F3355">
        <v>2200</v>
      </c>
      <c r="G3355" t="s">
        <v>332</v>
      </c>
      <c r="H3355" s="15">
        <v>45292</v>
      </c>
      <c r="I3355">
        <v>2000</v>
      </c>
      <c r="J3355">
        <v>200</v>
      </c>
    </row>
    <row r="3356" spans="1:10" x14ac:dyDescent="0.3">
      <c r="A3356" s="15">
        <v>45689</v>
      </c>
      <c r="B3356" t="s">
        <v>170</v>
      </c>
      <c r="C3356" t="s">
        <v>91</v>
      </c>
      <c r="D3356" t="s">
        <v>99</v>
      </c>
      <c r="E3356" t="s">
        <v>83</v>
      </c>
      <c r="F3356">
        <v>6500</v>
      </c>
      <c r="G3356" t="s">
        <v>331</v>
      </c>
      <c r="H3356" s="15">
        <v>45292</v>
      </c>
      <c r="I3356">
        <v>6500</v>
      </c>
      <c r="J3356">
        <v>0</v>
      </c>
    </row>
    <row r="3357" spans="1:10" x14ac:dyDescent="0.3">
      <c r="A3357" s="15">
        <v>45689</v>
      </c>
      <c r="B3357" t="s">
        <v>171</v>
      </c>
      <c r="C3357" t="s">
        <v>81</v>
      </c>
      <c r="D3357" t="s">
        <v>99</v>
      </c>
      <c r="E3357" t="s">
        <v>97</v>
      </c>
      <c r="F3357">
        <v>1700</v>
      </c>
      <c r="G3357" t="s">
        <v>331</v>
      </c>
      <c r="H3357" s="15">
        <v>45292</v>
      </c>
      <c r="I3357">
        <v>1700</v>
      </c>
      <c r="J3357">
        <v>0</v>
      </c>
    </row>
    <row r="3358" spans="1:10" x14ac:dyDescent="0.3">
      <c r="A3358" s="15">
        <v>45689</v>
      </c>
      <c r="B3358" t="s">
        <v>174</v>
      </c>
      <c r="C3358" t="s">
        <v>81</v>
      </c>
      <c r="D3358" t="s">
        <v>82</v>
      </c>
      <c r="E3358" t="s">
        <v>92</v>
      </c>
      <c r="F3358">
        <v>2400</v>
      </c>
      <c r="G3358" t="s">
        <v>331</v>
      </c>
      <c r="H3358" s="15">
        <v>45292</v>
      </c>
      <c r="I3358">
        <v>2400</v>
      </c>
      <c r="J3358">
        <v>0</v>
      </c>
    </row>
    <row r="3359" spans="1:10" x14ac:dyDescent="0.3">
      <c r="A3359" s="15">
        <v>45689</v>
      </c>
      <c r="B3359" t="s">
        <v>175</v>
      </c>
      <c r="C3359" t="s">
        <v>91</v>
      </c>
      <c r="D3359" t="s">
        <v>96</v>
      </c>
      <c r="E3359" t="s">
        <v>83</v>
      </c>
      <c r="F3359">
        <v>8800</v>
      </c>
      <c r="G3359" t="s">
        <v>331</v>
      </c>
      <c r="H3359" s="15">
        <v>45292</v>
      </c>
      <c r="I3359">
        <v>8800</v>
      </c>
      <c r="J3359">
        <v>0</v>
      </c>
    </row>
    <row r="3360" spans="1:10" x14ac:dyDescent="0.3">
      <c r="A3360" s="15">
        <v>45689</v>
      </c>
      <c r="B3360" t="s">
        <v>176</v>
      </c>
      <c r="C3360" t="s">
        <v>81</v>
      </c>
      <c r="D3360" t="s">
        <v>99</v>
      </c>
      <c r="E3360" t="s">
        <v>92</v>
      </c>
      <c r="F3360">
        <v>2900</v>
      </c>
      <c r="G3360" t="s">
        <v>331</v>
      </c>
      <c r="H3360" s="15">
        <v>45292</v>
      </c>
      <c r="I3360">
        <v>2900</v>
      </c>
      <c r="J3360">
        <v>0</v>
      </c>
    </row>
    <row r="3361" spans="1:10" x14ac:dyDescent="0.3">
      <c r="A3361" s="15">
        <v>45689</v>
      </c>
      <c r="B3361" t="s">
        <v>177</v>
      </c>
      <c r="C3361" t="s">
        <v>81</v>
      </c>
      <c r="D3361" t="s">
        <v>96</v>
      </c>
      <c r="E3361" t="s">
        <v>83</v>
      </c>
      <c r="F3361">
        <v>2900</v>
      </c>
      <c r="G3361" t="s">
        <v>331</v>
      </c>
      <c r="H3361" s="15">
        <v>45292</v>
      </c>
      <c r="I3361">
        <v>2900</v>
      </c>
      <c r="J3361">
        <v>0</v>
      </c>
    </row>
    <row r="3362" spans="1:10" x14ac:dyDescent="0.3">
      <c r="A3362" s="15">
        <v>45689</v>
      </c>
      <c r="B3362" t="s">
        <v>178</v>
      </c>
      <c r="C3362" t="s">
        <v>91</v>
      </c>
      <c r="D3362" t="s">
        <v>82</v>
      </c>
      <c r="E3362" t="s">
        <v>89</v>
      </c>
      <c r="F3362">
        <v>8400</v>
      </c>
      <c r="G3362" t="s">
        <v>331</v>
      </c>
      <c r="H3362" s="15">
        <v>45292</v>
      </c>
      <c r="I3362">
        <v>8400</v>
      </c>
      <c r="J3362">
        <v>0</v>
      </c>
    </row>
    <row r="3363" spans="1:10" x14ac:dyDescent="0.3">
      <c r="A3363" s="15">
        <v>45689</v>
      </c>
      <c r="B3363" t="s">
        <v>179</v>
      </c>
      <c r="C3363" t="s">
        <v>110</v>
      </c>
      <c r="D3363" t="s">
        <v>86</v>
      </c>
      <c r="E3363" t="s">
        <v>87</v>
      </c>
      <c r="F3363">
        <v>30000</v>
      </c>
      <c r="G3363" t="s">
        <v>331</v>
      </c>
      <c r="H3363" s="15">
        <v>45292</v>
      </c>
      <c r="I3363">
        <v>30000</v>
      </c>
      <c r="J3363">
        <v>0</v>
      </c>
    </row>
    <row r="3364" spans="1:10" x14ac:dyDescent="0.3">
      <c r="A3364" s="15">
        <v>45689</v>
      </c>
      <c r="B3364" t="s">
        <v>180</v>
      </c>
      <c r="C3364" t="s">
        <v>91</v>
      </c>
      <c r="D3364" t="s">
        <v>86</v>
      </c>
      <c r="E3364" t="s">
        <v>83</v>
      </c>
      <c r="F3364">
        <v>8500</v>
      </c>
      <c r="G3364" t="s">
        <v>331</v>
      </c>
      <c r="H3364" s="15">
        <v>45292</v>
      </c>
      <c r="I3364">
        <v>8500</v>
      </c>
      <c r="J3364">
        <v>0</v>
      </c>
    </row>
    <row r="3365" spans="1:10" x14ac:dyDescent="0.3">
      <c r="A3365" s="15">
        <v>45689</v>
      </c>
      <c r="B3365" t="s">
        <v>181</v>
      </c>
      <c r="C3365" t="s">
        <v>91</v>
      </c>
      <c r="D3365" t="s">
        <v>82</v>
      </c>
      <c r="E3365" t="s">
        <v>97</v>
      </c>
      <c r="F3365">
        <v>10100</v>
      </c>
      <c r="G3365" t="s">
        <v>331</v>
      </c>
      <c r="H3365" s="15">
        <v>45292</v>
      </c>
      <c r="I3365">
        <v>10100</v>
      </c>
      <c r="J3365">
        <v>0</v>
      </c>
    </row>
    <row r="3366" spans="1:10" x14ac:dyDescent="0.3">
      <c r="A3366" s="15">
        <v>45689</v>
      </c>
      <c r="B3366" t="s">
        <v>182</v>
      </c>
      <c r="C3366" t="s">
        <v>125</v>
      </c>
      <c r="D3366" t="s">
        <v>82</v>
      </c>
      <c r="E3366" t="s">
        <v>92</v>
      </c>
      <c r="F3366">
        <v>93100</v>
      </c>
      <c r="G3366" t="s">
        <v>331</v>
      </c>
      <c r="H3366" s="15">
        <v>45292</v>
      </c>
      <c r="I3366">
        <v>93100</v>
      </c>
      <c r="J3366">
        <v>0</v>
      </c>
    </row>
    <row r="3367" spans="1:10" x14ac:dyDescent="0.3">
      <c r="A3367" s="15">
        <v>45689</v>
      </c>
      <c r="B3367" t="s">
        <v>183</v>
      </c>
      <c r="C3367" t="s">
        <v>91</v>
      </c>
      <c r="D3367" t="s">
        <v>96</v>
      </c>
      <c r="E3367" t="s">
        <v>92</v>
      </c>
      <c r="F3367">
        <v>9500</v>
      </c>
      <c r="G3367" t="s">
        <v>331</v>
      </c>
      <c r="H3367" s="15">
        <v>45292</v>
      </c>
      <c r="I3367">
        <v>9500</v>
      </c>
      <c r="J3367">
        <v>0</v>
      </c>
    </row>
    <row r="3368" spans="1:10" x14ac:dyDescent="0.3">
      <c r="A3368" s="15">
        <v>45689</v>
      </c>
      <c r="B3368" t="s">
        <v>184</v>
      </c>
      <c r="C3368" t="s">
        <v>81</v>
      </c>
      <c r="D3368" t="s">
        <v>82</v>
      </c>
      <c r="E3368" t="s">
        <v>83</v>
      </c>
      <c r="F3368">
        <v>2600</v>
      </c>
      <c r="G3368" t="s">
        <v>331</v>
      </c>
      <c r="H3368" s="15">
        <v>45292</v>
      </c>
      <c r="I3368">
        <v>2600</v>
      </c>
      <c r="J3368">
        <v>0</v>
      </c>
    </row>
    <row r="3369" spans="1:10" x14ac:dyDescent="0.3">
      <c r="A3369" s="15">
        <v>45689</v>
      </c>
      <c r="B3369" t="s">
        <v>185</v>
      </c>
      <c r="C3369" t="s">
        <v>81</v>
      </c>
      <c r="D3369" t="s">
        <v>96</v>
      </c>
      <c r="E3369" t="s">
        <v>97</v>
      </c>
      <c r="F3369">
        <v>2000</v>
      </c>
      <c r="G3369" t="s">
        <v>331</v>
      </c>
      <c r="H3369" s="15">
        <v>45292</v>
      </c>
      <c r="I3369">
        <v>2000</v>
      </c>
      <c r="J3369">
        <v>0</v>
      </c>
    </row>
    <row r="3370" spans="1:10" x14ac:dyDescent="0.3">
      <c r="A3370" s="15">
        <v>45689</v>
      </c>
      <c r="B3370" t="s">
        <v>186</v>
      </c>
      <c r="C3370" t="s">
        <v>91</v>
      </c>
      <c r="D3370" t="s">
        <v>82</v>
      </c>
      <c r="E3370" t="s">
        <v>103</v>
      </c>
      <c r="F3370">
        <v>13900</v>
      </c>
      <c r="G3370" t="s">
        <v>331</v>
      </c>
      <c r="H3370" s="15">
        <v>45292</v>
      </c>
      <c r="I3370">
        <v>13900</v>
      </c>
      <c r="J3370">
        <v>0</v>
      </c>
    </row>
    <row r="3371" spans="1:10" x14ac:dyDescent="0.3">
      <c r="A3371" s="15">
        <v>45689</v>
      </c>
      <c r="B3371" t="s">
        <v>187</v>
      </c>
      <c r="C3371" t="s">
        <v>110</v>
      </c>
      <c r="D3371" t="s">
        <v>86</v>
      </c>
      <c r="E3371" t="s">
        <v>97</v>
      </c>
      <c r="F3371">
        <v>26700</v>
      </c>
      <c r="G3371" t="s">
        <v>331</v>
      </c>
      <c r="H3371" s="15">
        <v>45292</v>
      </c>
      <c r="I3371">
        <v>26700</v>
      </c>
      <c r="J3371">
        <v>0</v>
      </c>
    </row>
    <row r="3372" spans="1:10" x14ac:dyDescent="0.3">
      <c r="A3372" s="15">
        <v>45689</v>
      </c>
      <c r="B3372" t="s">
        <v>188</v>
      </c>
      <c r="C3372" t="s">
        <v>91</v>
      </c>
      <c r="D3372" t="s">
        <v>82</v>
      </c>
      <c r="E3372" t="s">
        <v>92</v>
      </c>
      <c r="F3372">
        <v>9900</v>
      </c>
      <c r="G3372" t="s">
        <v>331</v>
      </c>
      <c r="H3372" s="15">
        <v>45292</v>
      </c>
      <c r="I3372">
        <v>9900</v>
      </c>
      <c r="J3372">
        <v>0</v>
      </c>
    </row>
    <row r="3373" spans="1:10" x14ac:dyDescent="0.3">
      <c r="A3373" s="15">
        <v>45689</v>
      </c>
      <c r="B3373" t="s">
        <v>189</v>
      </c>
      <c r="C3373" t="s">
        <v>81</v>
      </c>
      <c r="D3373" t="s">
        <v>86</v>
      </c>
      <c r="E3373" t="s">
        <v>103</v>
      </c>
      <c r="F3373">
        <v>2000</v>
      </c>
      <c r="G3373" t="s">
        <v>331</v>
      </c>
      <c r="H3373" s="15">
        <v>45292</v>
      </c>
      <c r="I3373">
        <v>2000</v>
      </c>
      <c r="J3373">
        <v>0</v>
      </c>
    </row>
    <row r="3374" spans="1:10" x14ac:dyDescent="0.3">
      <c r="A3374" s="15">
        <v>45689</v>
      </c>
      <c r="B3374" t="s">
        <v>190</v>
      </c>
      <c r="C3374" t="s">
        <v>81</v>
      </c>
      <c r="D3374" t="s">
        <v>99</v>
      </c>
      <c r="E3374" t="s">
        <v>89</v>
      </c>
      <c r="F3374">
        <v>2000</v>
      </c>
      <c r="G3374" t="s">
        <v>331</v>
      </c>
      <c r="H3374" s="15">
        <v>45292</v>
      </c>
      <c r="I3374">
        <v>2000</v>
      </c>
      <c r="J3374">
        <v>0</v>
      </c>
    </row>
    <row r="3375" spans="1:10" x14ac:dyDescent="0.3">
      <c r="A3375" s="15">
        <v>45689</v>
      </c>
      <c r="B3375" t="s">
        <v>191</v>
      </c>
      <c r="C3375" t="s">
        <v>91</v>
      </c>
      <c r="D3375" t="s">
        <v>86</v>
      </c>
      <c r="E3375" t="s">
        <v>87</v>
      </c>
      <c r="F3375">
        <v>6900</v>
      </c>
      <c r="G3375" t="s">
        <v>331</v>
      </c>
      <c r="H3375" s="15">
        <v>45292</v>
      </c>
      <c r="I3375">
        <v>6900</v>
      </c>
      <c r="J3375">
        <v>0</v>
      </c>
    </row>
    <row r="3376" spans="1:10" x14ac:dyDescent="0.3">
      <c r="A3376" s="15">
        <v>45689</v>
      </c>
      <c r="B3376" t="s">
        <v>192</v>
      </c>
      <c r="C3376" t="s">
        <v>81</v>
      </c>
      <c r="D3376" t="s">
        <v>82</v>
      </c>
      <c r="E3376" t="s">
        <v>97</v>
      </c>
      <c r="F3376">
        <v>2700</v>
      </c>
      <c r="G3376" t="s">
        <v>331</v>
      </c>
      <c r="H3376" s="15">
        <v>45292</v>
      </c>
      <c r="I3376">
        <v>2700</v>
      </c>
      <c r="J3376">
        <v>0</v>
      </c>
    </row>
    <row r="3377" spans="1:10" x14ac:dyDescent="0.3">
      <c r="A3377" s="15">
        <v>45689</v>
      </c>
      <c r="B3377" t="s">
        <v>193</v>
      </c>
      <c r="C3377" t="s">
        <v>81</v>
      </c>
      <c r="D3377" t="s">
        <v>82</v>
      </c>
      <c r="E3377" t="s">
        <v>87</v>
      </c>
      <c r="F3377">
        <v>3200</v>
      </c>
      <c r="G3377" t="s">
        <v>331</v>
      </c>
      <c r="H3377" s="15">
        <v>45292</v>
      </c>
      <c r="I3377">
        <v>3200</v>
      </c>
      <c r="J3377">
        <v>0</v>
      </c>
    </row>
    <row r="3378" spans="1:10" x14ac:dyDescent="0.3">
      <c r="A3378" s="15">
        <v>45689</v>
      </c>
      <c r="B3378" t="s">
        <v>194</v>
      </c>
      <c r="C3378" t="s">
        <v>91</v>
      </c>
      <c r="D3378" t="s">
        <v>82</v>
      </c>
      <c r="E3378" t="s">
        <v>101</v>
      </c>
      <c r="F3378">
        <v>10400</v>
      </c>
      <c r="G3378" t="s">
        <v>331</v>
      </c>
      <c r="H3378" s="15">
        <v>45292</v>
      </c>
      <c r="I3378">
        <v>10400</v>
      </c>
      <c r="J3378">
        <v>0</v>
      </c>
    </row>
    <row r="3379" spans="1:10" x14ac:dyDescent="0.3">
      <c r="A3379" s="15">
        <v>45689</v>
      </c>
      <c r="B3379" t="s">
        <v>195</v>
      </c>
      <c r="C3379" t="s">
        <v>91</v>
      </c>
      <c r="D3379" t="s">
        <v>86</v>
      </c>
      <c r="E3379" t="s">
        <v>97</v>
      </c>
      <c r="F3379">
        <v>6800</v>
      </c>
      <c r="G3379" t="s">
        <v>331</v>
      </c>
      <c r="H3379" s="15">
        <v>45292</v>
      </c>
      <c r="I3379">
        <v>6800</v>
      </c>
      <c r="J3379">
        <v>0</v>
      </c>
    </row>
    <row r="3380" spans="1:10" x14ac:dyDescent="0.3">
      <c r="A3380" s="15">
        <v>45689</v>
      </c>
      <c r="B3380" t="s">
        <v>196</v>
      </c>
      <c r="C3380" t="s">
        <v>81</v>
      </c>
      <c r="D3380" t="s">
        <v>86</v>
      </c>
      <c r="E3380" t="s">
        <v>87</v>
      </c>
      <c r="F3380">
        <v>2600</v>
      </c>
      <c r="G3380" t="s">
        <v>331</v>
      </c>
      <c r="H3380" s="15">
        <v>45292</v>
      </c>
      <c r="I3380">
        <v>2600</v>
      </c>
      <c r="J3380">
        <v>0</v>
      </c>
    </row>
    <row r="3381" spans="1:10" x14ac:dyDescent="0.3">
      <c r="A3381" s="15">
        <v>45689</v>
      </c>
      <c r="B3381" t="s">
        <v>197</v>
      </c>
      <c r="C3381" t="s">
        <v>91</v>
      </c>
      <c r="D3381" t="s">
        <v>82</v>
      </c>
      <c r="E3381" t="s">
        <v>89</v>
      </c>
      <c r="F3381">
        <v>12000</v>
      </c>
      <c r="G3381" t="s">
        <v>332</v>
      </c>
      <c r="H3381" s="15">
        <v>45292</v>
      </c>
      <c r="I3381">
        <v>10400</v>
      </c>
      <c r="J3381">
        <v>1600</v>
      </c>
    </row>
    <row r="3382" spans="1:10" x14ac:dyDescent="0.3">
      <c r="A3382" s="15">
        <v>45689</v>
      </c>
      <c r="B3382" t="s">
        <v>198</v>
      </c>
      <c r="C3382" t="s">
        <v>81</v>
      </c>
      <c r="D3382" t="s">
        <v>82</v>
      </c>
      <c r="E3382" t="s">
        <v>89</v>
      </c>
      <c r="F3382">
        <v>2900</v>
      </c>
      <c r="G3382" t="s">
        <v>331</v>
      </c>
      <c r="H3382" s="15">
        <v>45292</v>
      </c>
      <c r="I3382">
        <v>2900</v>
      </c>
      <c r="J3382">
        <v>0</v>
      </c>
    </row>
    <row r="3383" spans="1:10" x14ac:dyDescent="0.3">
      <c r="A3383" s="15">
        <v>45689</v>
      </c>
      <c r="B3383" t="s">
        <v>199</v>
      </c>
      <c r="C3383" t="s">
        <v>81</v>
      </c>
      <c r="D3383" t="s">
        <v>86</v>
      </c>
      <c r="E3383" t="s">
        <v>89</v>
      </c>
      <c r="F3383">
        <v>2200</v>
      </c>
      <c r="G3383" t="s">
        <v>331</v>
      </c>
      <c r="H3383" s="15">
        <v>45292</v>
      </c>
      <c r="I3383">
        <v>2200</v>
      </c>
      <c r="J3383">
        <v>0</v>
      </c>
    </row>
    <row r="3384" spans="1:10" x14ac:dyDescent="0.3">
      <c r="A3384" s="15">
        <v>45689</v>
      </c>
      <c r="B3384" t="s">
        <v>200</v>
      </c>
      <c r="C3384" t="s">
        <v>91</v>
      </c>
      <c r="D3384" t="s">
        <v>86</v>
      </c>
      <c r="E3384" t="s">
        <v>92</v>
      </c>
      <c r="F3384">
        <v>8800</v>
      </c>
      <c r="G3384" t="s">
        <v>331</v>
      </c>
      <c r="H3384" s="15">
        <v>45292</v>
      </c>
      <c r="I3384">
        <v>8800</v>
      </c>
      <c r="J3384">
        <v>0</v>
      </c>
    </row>
    <row r="3385" spans="1:10" x14ac:dyDescent="0.3">
      <c r="A3385" s="15">
        <v>45689</v>
      </c>
      <c r="B3385" t="s">
        <v>201</v>
      </c>
      <c r="C3385" t="s">
        <v>81</v>
      </c>
      <c r="D3385" t="s">
        <v>86</v>
      </c>
      <c r="E3385" t="s">
        <v>83</v>
      </c>
      <c r="F3385">
        <v>1800</v>
      </c>
      <c r="G3385" t="s">
        <v>331</v>
      </c>
      <c r="H3385" s="15">
        <v>45292</v>
      </c>
      <c r="I3385">
        <v>1800</v>
      </c>
      <c r="J3385">
        <v>0</v>
      </c>
    </row>
    <row r="3386" spans="1:10" x14ac:dyDescent="0.3">
      <c r="A3386" s="15">
        <v>45689</v>
      </c>
      <c r="B3386" t="s">
        <v>202</v>
      </c>
      <c r="C3386" t="s">
        <v>91</v>
      </c>
      <c r="D3386" t="s">
        <v>82</v>
      </c>
      <c r="E3386" t="s">
        <v>92</v>
      </c>
      <c r="F3386">
        <v>11000</v>
      </c>
      <c r="G3386" t="s">
        <v>331</v>
      </c>
      <c r="H3386" s="15">
        <v>45292</v>
      </c>
      <c r="I3386">
        <v>11000</v>
      </c>
      <c r="J3386">
        <v>0</v>
      </c>
    </row>
    <row r="3387" spans="1:10" x14ac:dyDescent="0.3">
      <c r="A3387" s="15">
        <v>45689</v>
      </c>
      <c r="B3387" t="s">
        <v>203</v>
      </c>
      <c r="C3387" t="s">
        <v>110</v>
      </c>
      <c r="D3387" t="s">
        <v>86</v>
      </c>
      <c r="E3387" t="s">
        <v>92</v>
      </c>
      <c r="F3387">
        <v>26300</v>
      </c>
      <c r="G3387" t="s">
        <v>331</v>
      </c>
      <c r="H3387" s="15">
        <v>45292</v>
      </c>
      <c r="I3387">
        <v>26300</v>
      </c>
      <c r="J3387">
        <v>0</v>
      </c>
    </row>
    <row r="3388" spans="1:10" x14ac:dyDescent="0.3">
      <c r="A3388" s="15">
        <v>45689</v>
      </c>
      <c r="B3388" t="s">
        <v>204</v>
      </c>
      <c r="C3388" t="s">
        <v>81</v>
      </c>
      <c r="D3388" t="s">
        <v>82</v>
      </c>
      <c r="E3388" t="s">
        <v>87</v>
      </c>
      <c r="F3388">
        <v>1900</v>
      </c>
      <c r="G3388" t="s">
        <v>334</v>
      </c>
      <c r="H3388" s="15">
        <v>45292</v>
      </c>
      <c r="I3388">
        <v>2200</v>
      </c>
      <c r="J3388">
        <v>-300</v>
      </c>
    </row>
    <row r="3389" spans="1:10" x14ac:dyDescent="0.3">
      <c r="A3389" s="15">
        <v>45689</v>
      </c>
      <c r="B3389" t="s">
        <v>205</v>
      </c>
      <c r="C3389" t="s">
        <v>91</v>
      </c>
      <c r="D3389" t="s">
        <v>86</v>
      </c>
      <c r="E3389" t="s">
        <v>103</v>
      </c>
      <c r="F3389">
        <v>9800</v>
      </c>
      <c r="G3389" t="s">
        <v>334</v>
      </c>
      <c r="H3389" s="15">
        <v>45292</v>
      </c>
      <c r="I3389">
        <v>10600</v>
      </c>
      <c r="J3389">
        <v>-800</v>
      </c>
    </row>
    <row r="3390" spans="1:10" x14ac:dyDescent="0.3">
      <c r="A3390" s="15">
        <v>45689</v>
      </c>
      <c r="B3390" t="s">
        <v>206</v>
      </c>
      <c r="C3390" t="s">
        <v>81</v>
      </c>
      <c r="D3390" t="s">
        <v>86</v>
      </c>
      <c r="E3390" t="s">
        <v>89</v>
      </c>
      <c r="F3390">
        <v>3000</v>
      </c>
      <c r="G3390" t="s">
        <v>331</v>
      </c>
      <c r="H3390" s="15">
        <v>45292</v>
      </c>
      <c r="I3390">
        <v>3000</v>
      </c>
      <c r="J3390">
        <v>0</v>
      </c>
    </row>
    <row r="3391" spans="1:10" x14ac:dyDescent="0.3">
      <c r="A3391" s="15">
        <v>45689</v>
      </c>
      <c r="B3391" t="s">
        <v>207</v>
      </c>
      <c r="C3391" t="s">
        <v>81</v>
      </c>
      <c r="D3391" t="s">
        <v>82</v>
      </c>
      <c r="E3391" t="s">
        <v>89</v>
      </c>
      <c r="F3391">
        <v>3500</v>
      </c>
      <c r="G3391" t="s">
        <v>334</v>
      </c>
      <c r="H3391" s="15">
        <v>45292</v>
      </c>
      <c r="I3391">
        <v>4100</v>
      </c>
      <c r="J3391">
        <v>-600</v>
      </c>
    </row>
    <row r="3392" spans="1:10" x14ac:dyDescent="0.3">
      <c r="A3392" s="15">
        <v>45689</v>
      </c>
      <c r="B3392" t="s">
        <v>208</v>
      </c>
      <c r="C3392" t="s">
        <v>91</v>
      </c>
      <c r="D3392" t="s">
        <v>99</v>
      </c>
      <c r="E3392" t="s">
        <v>89</v>
      </c>
      <c r="F3392">
        <v>7300</v>
      </c>
      <c r="G3392" t="s">
        <v>331</v>
      </c>
      <c r="H3392" s="15">
        <v>45292</v>
      </c>
      <c r="I3392">
        <v>7300</v>
      </c>
      <c r="J3392">
        <v>0</v>
      </c>
    </row>
    <row r="3393" spans="1:10" x14ac:dyDescent="0.3">
      <c r="A3393" s="15">
        <v>45689</v>
      </c>
      <c r="B3393" t="s">
        <v>209</v>
      </c>
      <c r="C3393" t="s">
        <v>81</v>
      </c>
      <c r="D3393" t="s">
        <v>86</v>
      </c>
      <c r="E3393" t="s">
        <v>83</v>
      </c>
      <c r="F3393">
        <v>3100</v>
      </c>
      <c r="G3393" t="s">
        <v>331</v>
      </c>
      <c r="H3393" s="15">
        <v>45292</v>
      </c>
      <c r="I3393">
        <v>3100</v>
      </c>
      <c r="J3393">
        <v>0</v>
      </c>
    </row>
    <row r="3394" spans="1:10" x14ac:dyDescent="0.3">
      <c r="A3394" s="15">
        <v>45689</v>
      </c>
      <c r="B3394" t="s">
        <v>210</v>
      </c>
      <c r="C3394" t="s">
        <v>125</v>
      </c>
      <c r="D3394" t="s">
        <v>96</v>
      </c>
      <c r="E3394" t="s">
        <v>89</v>
      </c>
      <c r="F3394">
        <v>90300</v>
      </c>
      <c r="G3394" t="s">
        <v>331</v>
      </c>
      <c r="H3394" s="15">
        <v>45292</v>
      </c>
      <c r="I3394">
        <v>90300</v>
      </c>
      <c r="J3394">
        <v>0</v>
      </c>
    </row>
    <row r="3395" spans="1:10" x14ac:dyDescent="0.3">
      <c r="A3395" s="15">
        <v>45689</v>
      </c>
      <c r="B3395" t="s">
        <v>211</v>
      </c>
      <c r="C3395" t="s">
        <v>110</v>
      </c>
      <c r="D3395" t="s">
        <v>82</v>
      </c>
      <c r="E3395" t="s">
        <v>92</v>
      </c>
      <c r="F3395">
        <v>28900</v>
      </c>
      <c r="G3395" t="s">
        <v>331</v>
      </c>
      <c r="H3395" s="15">
        <v>45292</v>
      </c>
      <c r="I3395">
        <v>28900</v>
      </c>
      <c r="J3395">
        <v>0</v>
      </c>
    </row>
    <row r="3396" spans="1:10" x14ac:dyDescent="0.3">
      <c r="A3396" s="15">
        <v>45689</v>
      </c>
      <c r="B3396" t="s">
        <v>213</v>
      </c>
      <c r="C3396" t="s">
        <v>81</v>
      </c>
      <c r="D3396" t="s">
        <v>82</v>
      </c>
      <c r="E3396" t="s">
        <v>97</v>
      </c>
      <c r="F3396">
        <v>3300</v>
      </c>
      <c r="G3396" t="s">
        <v>331</v>
      </c>
      <c r="H3396" s="15">
        <v>45292</v>
      </c>
      <c r="I3396">
        <v>3300</v>
      </c>
      <c r="J3396">
        <v>0</v>
      </c>
    </row>
    <row r="3397" spans="1:10" x14ac:dyDescent="0.3">
      <c r="A3397" s="15">
        <v>45689</v>
      </c>
      <c r="B3397" t="s">
        <v>214</v>
      </c>
      <c r="C3397" t="s">
        <v>91</v>
      </c>
      <c r="D3397" t="s">
        <v>82</v>
      </c>
      <c r="E3397" t="s">
        <v>89</v>
      </c>
      <c r="F3397">
        <v>8700</v>
      </c>
      <c r="G3397" t="s">
        <v>331</v>
      </c>
      <c r="H3397" s="15">
        <v>45292</v>
      </c>
      <c r="I3397">
        <v>8700</v>
      </c>
      <c r="J3397">
        <v>0</v>
      </c>
    </row>
    <row r="3398" spans="1:10" x14ac:dyDescent="0.3">
      <c r="A3398" s="15">
        <v>45689</v>
      </c>
      <c r="B3398" t="s">
        <v>216</v>
      </c>
      <c r="C3398" t="s">
        <v>81</v>
      </c>
      <c r="D3398" t="s">
        <v>82</v>
      </c>
      <c r="E3398" t="s">
        <v>97</v>
      </c>
      <c r="F3398">
        <v>3500</v>
      </c>
      <c r="G3398" t="s">
        <v>331</v>
      </c>
      <c r="H3398" s="15">
        <v>45292</v>
      </c>
      <c r="I3398">
        <v>3500</v>
      </c>
      <c r="J3398">
        <v>0</v>
      </c>
    </row>
    <row r="3399" spans="1:10" x14ac:dyDescent="0.3">
      <c r="A3399" s="15">
        <v>45689</v>
      </c>
      <c r="B3399" t="s">
        <v>217</v>
      </c>
      <c r="C3399" t="s">
        <v>91</v>
      </c>
      <c r="D3399" t="s">
        <v>82</v>
      </c>
      <c r="E3399" t="s">
        <v>97</v>
      </c>
      <c r="F3399">
        <v>9000</v>
      </c>
      <c r="G3399" t="s">
        <v>331</v>
      </c>
      <c r="H3399" s="15">
        <v>45292</v>
      </c>
      <c r="I3399">
        <v>9000</v>
      </c>
      <c r="J3399">
        <v>0</v>
      </c>
    </row>
    <row r="3400" spans="1:10" x14ac:dyDescent="0.3">
      <c r="A3400" s="15">
        <v>45689</v>
      </c>
      <c r="B3400" t="s">
        <v>218</v>
      </c>
      <c r="C3400" t="s">
        <v>110</v>
      </c>
      <c r="D3400" t="s">
        <v>99</v>
      </c>
      <c r="E3400" t="s">
        <v>92</v>
      </c>
      <c r="F3400">
        <v>29900</v>
      </c>
      <c r="G3400" t="s">
        <v>331</v>
      </c>
      <c r="H3400" s="15">
        <v>45292</v>
      </c>
      <c r="I3400">
        <v>29900</v>
      </c>
      <c r="J3400">
        <v>0</v>
      </c>
    </row>
    <row r="3401" spans="1:10" x14ac:dyDescent="0.3">
      <c r="A3401" s="15">
        <v>45689</v>
      </c>
      <c r="B3401" t="s">
        <v>219</v>
      </c>
      <c r="C3401" t="s">
        <v>81</v>
      </c>
      <c r="D3401" t="s">
        <v>99</v>
      </c>
      <c r="E3401" t="s">
        <v>89</v>
      </c>
      <c r="F3401">
        <v>2500</v>
      </c>
      <c r="G3401" t="s">
        <v>331</v>
      </c>
      <c r="H3401" s="15">
        <v>45292</v>
      </c>
      <c r="I3401">
        <v>2500</v>
      </c>
      <c r="J3401">
        <v>0</v>
      </c>
    </row>
    <row r="3402" spans="1:10" x14ac:dyDescent="0.3">
      <c r="A3402" s="15">
        <v>45689</v>
      </c>
      <c r="B3402" t="s">
        <v>220</v>
      </c>
      <c r="C3402" t="s">
        <v>110</v>
      </c>
      <c r="D3402" t="s">
        <v>82</v>
      </c>
      <c r="E3402" t="s">
        <v>89</v>
      </c>
      <c r="F3402">
        <v>30800</v>
      </c>
      <c r="G3402" t="s">
        <v>331</v>
      </c>
      <c r="H3402" s="15">
        <v>45292</v>
      </c>
      <c r="I3402">
        <v>30800</v>
      </c>
      <c r="J3402">
        <v>0</v>
      </c>
    </row>
    <row r="3403" spans="1:10" x14ac:dyDescent="0.3">
      <c r="A3403" s="15">
        <v>45689</v>
      </c>
      <c r="B3403" t="s">
        <v>221</v>
      </c>
      <c r="C3403" t="s">
        <v>91</v>
      </c>
      <c r="D3403" t="s">
        <v>96</v>
      </c>
      <c r="E3403" t="s">
        <v>83</v>
      </c>
      <c r="F3403">
        <v>9100</v>
      </c>
      <c r="G3403" t="s">
        <v>331</v>
      </c>
      <c r="H3403" s="15">
        <v>45292</v>
      </c>
      <c r="I3403">
        <v>9100</v>
      </c>
      <c r="J3403">
        <v>0</v>
      </c>
    </row>
    <row r="3404" spans="1:10" x14ac:dyDescent="0.3">
      <c r="A3404" s="15">
        <v>45689</v>
      </c>
      <c r="B3404" t="s">
        <v>223</v>
      </c>
      <c r="C3404" t="s">
        <v>81</v>
      </c>
      <c r="D3404" t="s">
        <v>99</v>
      </c>
      <c r="E3404" t="s">
        <v>87</v>
      </c>
      <c r="F3404">
        <v>2100</v>
      </c>
      <c r="G3404" t="s">
        <v>331</v>
      </c>
      <c r="H3404" s="15">
        <v>45292</v>
      </c>
      <c r="I3404">
        <v>2100</v>
      </c>
      <c r="J3404">
        <v>0</v>
      </c>
    </row>
    <row r="3405" spans="1:10" x14ac:dyDescent="0.3">
      <c r="A3405" s="15">
        <v>45689</v>
      </c>
      <c r="B3405" t="s">
        <v>224</v>
      </c>
      <c r="C3405" t="s">
        <v>91</v>
      </c>
      <c r="D3405" t="s">
        <v>82</v>
      </c>
      <c r="E3405" t="s">
        <v>101</v>
      </c>
      <c r="F3405">
        <v>10300</v>
      </c>
      <c r="G3405" t="s">
        <v>331</v>
      </c>
      <c r="H3405" s="15">
        <v>45292</v>
      </c>
      <c r="I3405">
        <v>10300</v>
      </c>
      <c r="J3405">
        <v>0</v>
      </c>
    </row>
    <row r="3406" spans="1:10" x14ac:dyDescent="0.3">
      <c r="A3406" s="15">
        <v>45689</v>
      </c>
      <c r="B3406" t="s">
        <v>225</v>
      </c>
      <c r="C3406" t="s">
        <v>110</v>
      </c>
      <c r="D3406" t="s">
        <v>99</v>
      </c>
      <c r="E3406" t="s">
        <v>103</v>
      </c>
      <c r="F3406">
        <v>42200</v>
      </c>
      <c r="G3406" t="s">
        <v>331</v>
      </c>
      <c r="H3406" s="15">
        <v>45292</v>
      </c>
      <c r="I3406">
        <v>42200</v>
      </c>
      <c r="J3406">
        <v>0</v>
      </c>
    </row>
    <row r="3407" spans="1:10" x14ac:dyDescent="0.3">
      <c r="A3407" s="15">
        <v>45689</v>
      </c>
      <c r="B3407" t="s">
        <v>226</v>
      </c>
      <c r="C3407" t="s">
        <v>91</v>
      </c>
      <c r="D3407" t="s">
        <v>82</v>
      </c>
      <c r="E3407" t="s">
        <v>103</v>
      </c>
      <c r="F3407">
        <v>5300</v>
      </c>
      <c r="G3407" t="s">
        <v>334</v>
      </c>
      <c r="H3407" s="15">
        <v>45292</v>
      </c>
      <c r="I3407">
        <v>6300</v>
      </c>
      <c r="J3407">
        <v>-1000</v>
      </c>
    </row>
    <row r="3408" spans="1:10" x14ac:dyDescent="0.3">
      <c r="A3408" s="15">
        <v>45689</v>
      </c>
      <c r="B3408" t="s">
        <v>227</v>
      </c>
      <c r="C3408" t="s">
        <v>110</v>
      </c>
      <c r="D3408" t="s">
        <v>86</v>
      </c>
      <c r="E3408" t="s">
        <v>87</v>
      </c>
      <c r="F3408">
        <v>25900</v>
      </c>
      <c r="G3408" t="s">
        <v>331</v>
      </c>
      <c r="H3408" s="15">
        <v>45292</v>
      </c>
      <c r="I3408">
        <v>25900</v>
      </c>
      <c r="J3408">
        <v>0</v>
      </c>
    </row>
    <row r="3409" spans="1:10" x14ac:dyDescent="0.3">
      <c r="A3409" s="15">
        <v>45689</v>
      </c>
      <c r="B3409" t="s">
        <v>228</v>
      </c>
      <c r="C3409" t="s">
        <v>91</v>
      </c>
      <c r="D3409" t="s">
        <v>96</v>
      </c>
      <c r="E3409" t="s">
        <v>89</v>
      </c>
      <c r="F3409">
        <v>12000</v>
      </c>
      <c r="G3409" t="s">
        <v>331</v>
      </c>
      <c r="H3409" s="15">
        <v>45292</v>
      </c>
      <c r="I3409">
        <v>12000</v>
      </c>
      <c r="J3409">
        <v>0</v>
      </c>
    </row>
    <row r="3410" spans="1:10" x14ac:dyDescent="0.3">
      <c r="A3410" s="15">
        <v>45689</v>
      </c>
      <c r="B3410" t="s">
        <v>229</v>
      </c>
      <c r="C3410" t="s">
        <v>81</v>
      </c>
      <c r="D3410" t="s">
        <v>82</v>
      </c>
      <c r="E3410" t="s">
        <v>83</v>
      </c>
      <c r="F3410">
        <v>3000</v>
      </c>
      <c r="G3410" t="s">
        <v>331</v>
      </c>
      <c r="H3410" s="15">
        <v>45292</v>
      </c>
      <c r="I3410">
        <v>3000</v>
      </c>
      <c r="J3410">
        <v>0</v>
      </c>
    </row>
    <row r="3411" spans="1:10" x14ac:dyDescent="0.3">
      <c r="A3411" s="15">
        <v>45689</v>
      </c>
      <c r="B3411" t="s">
        <v>230</v>
      </c>
      <c r="C3411" t="s">
        <v>81</v>
      </c>
      <c r="D3411" t="s">
        <v>86</v>
      </c>
      <c r="E3411" t="s">
        <v>101</v>
      </c>
      <c r="F3411">
        <v>3400</v>
      </c>
      <c r="G3411" t="s">
        <v>331</v>
      </c>
      <c r="H3411" s="15">
        <v>45292</v>
      </c>
      <c r="I3411">
        <v>3400</v>
      </c>
      <c r="J3411">
        <v>0</v>
      </c>
    </row>
    <row r="3412" spans="1:10" x14ac:dyDescent="0.3">
      <c r="A3412" s="15">
        <v>45689</v>
      </c>
      <c r="B3412" t="s">
        <v>231</v>
      </c>
      <c r="C3412" t="s">
        <v>91</v>
      </c>
      <c r="D3412" t="s">
        <v>82</v>
      </c>
      <c r="E3412" t="s">
        <v>92</v>
      </c>
      <c r="F3412">
        <v>6900</v>
      </c>
      <c r="G3412" t="s">
        <v>331</v>
      </c>
      <c r="H3412" s="15">
        <v>45292</v>
      </c>
      <c r="I3412">
        <v>6900</v>
      </c>
      <c r="J3412">
        <v>0</v>
      </c>
    </row>
    <row r="3413" spans="1:10" x14ac:dyDescent="0.3">
      <c r="A3413" s="15">
        <v>45689</v>
      </c>
      <c r="B3413" t="s">
        <v>232</v>
      </c>
      <c r="C3413" t="s">
        <v>125</v>
      </c>
      <c r="D3413" t="s">
        <v>86</v>
      </c>
      <c r="E3413" t="s">
        <v>83</v>
      </c>
      <c r="F3413">
        <v>121100</v>
      </c>
      <c r="G3413" t="s">
        <v>331</v>
      </c>
      <c r="H3413" s="15">
        <v>45292</v>
      </c>
      <c r="I3413">
        <v>121100</v>
      </c>
      <c r="J3413">
        <v>0</v>
      </c>
    </row>
    <row r="3414" spans="1:10" x14ac:dyDescent="0.3">
      <c r="A3414" s="15">
        <v>45689</v>
      </c>
      <c r="B3414" t="s">
        <v>233</v>
      </c>
      <c r="C3414" t="s">
        <v>81</v>
      </c>
      <c r="D3414" t="s">
        <v>82</v>
      </c>
      <c r="E3414" t="s">
        <v>87</v>
      </c>
      <c r="F3414">
        <v>3300</v>
      </c>
      <c r="G3414" t="s">
        <v>331</v>
      </c>
      <c r="H3414" s="15">
        <v>45292</v>
      </c>
      <c r="I3414">
        <v>3300</v>
      </c>
      <c r="J3414">
        <v>0</v>
      </c>
    </row>
    <row r="3415" spans="1:10" x14ac:dyDescent="0.3">
      <c r="A3415" s="15">
        <v>45689</v>
      </c>
      <c r="B3415" t="s">
        <v>234</v>
      </c>
      <c r="C3415" t="s">
        <v>110</v>
      </c>
      <c r="D3415" t="s">
        <v>82</v>
      </c>
      <c r="E3415" t="s">
        <v>103</v>
      </c>
      <c r="F3415">
        <v>41200</v>
      </c>
      <c r="G3415" t="s">
        <v>331</v>
      </c>
      <c r="H3415" s="15">
        <v>45292</v>
      </c>
      <c r="I3415">
        <v>41200</v>
      </c>
      <c r="J3415">
        <v>0</v>
      </c>
    </row>
    <row r="3416" spans="1:10" x14ac:dyDescent="0.3">
      <c r="A3416" s="15">
        <v>45689</v>
      </c>
      <c r="B3416" t="s">
        <v>235</v>
      </c>
      <c r="C3416" t="s">
        <v>91</v>
      </c>
      <c r="D3416" t="s">
        <v>96</v>
      </c>
      <c r="E3416" t="s">
        <v>103</v>
      </c>
      <c r="F3416">
        <v>10500</v>
      </c>
      <c r="G3416" t="s">
        <v>331</v>
      </c>
      <c r="H3416" s="15">
        <v>45292</v>
      </c>
      <c r="I3416">
        <v>10500</v>
      </c>
      <c r="J3416">
        <v>0</v>
      </c>
    </row>
    <row r="3417" spans="1:10" x14ac:dyDescent="0.3">
      <c r="A3417" s="15">
        <v>45689</v>
      </c>
      <c r="B3417" t="s">
        <v>236</v>
      </c>
      <c r="C3417" t="s">
        <v>110</v>
      </c>
      <c r="D3417" t="s">
        <v>82</v>
      </c>
      <c r="E3417" t="s">
        <v>97</v>
      </c>
      <c r="F3417">
        <v>27200</v>
      </c>
      <c r="G3417" t="s">
        <v>331</v>
      </c>
      <c r="H3417" s="15">
        <v>45292</v>
      </c>
      <c r="I3417">
        <v>27200</v>
      </c>
      <c r="J3417">
        <v>0</v>
      </c>
    </row>
    <row r="3418" spans="1:10" x14ac:dyDescent="0.3">
      <c r="A3418" s="15">
        <v>45689</v>
      </c>
      <c r="B3418" t="s">
        <v>237</v>
      </c>
      <c r="C3418" t="s">
        <v>91</v>
      </c>
      <c r="D3418" t="s">
        <v>82</v>
      </c>
      <c r="E3418" t="s">
        <v>83</v>
      </c>
      <c r="F3418">
        <v>8100</v>
      </c>
      <c r="G3418" t="s">
        <v>331</v>
      </c>
      <c r="H3418" s="15">
        <v>45292</v>
      </c>
      <c r="I3418">
        <v>8100</v>
      </c>
      <c r="J3418">
        <v>0</v>
      </c>
    </row>
    <row r="3419" spans="1:10" x14ac:dyDescent="0.3">
      <c r="A3419" s="15">
        <v>45689</v>
      </c>
      <c r="B3419" t="s">
        <v>238</v>
      </c>
      <c r="C3419" t="s">
        <v>81</v>
      </c>
      <c r="D3419" t="s">
        <v>99</v>
      </c>
      <c r="E3419" t="s">
        <v>97</v>
      </c>
      <c r="F3419">
        <v>2600</v>
      </c>
      <c r="G3419" t="s">
        <v>331</v>
      </c>
      <c r="H3419" s="15">
        <v>45292</v>
      </c>
      <c r="I3419">
        <v>2600</v>
      </c>
      <c r="J3419">
        <v>0</v>
      </c>
    </row>
    <row r="3420" spans="1:10" x14ac:dyDescent="0.3">
      <c r="A3420" s="15">
        <v>45689</v>
      </c>
      <c r="B3420" t="s">
        <v>239</v>
      </c>
      <c r="C3420" t="s">
        <v>81</v>
      </c>
      <c r="D3420" t="s">
        <v>82</v>
      </c>
      <c r="E3420" t="s">
        <v>103</v>
      </c>
      <c r="F3420">
        <v>2500</v>
      </c>
      <c r="G3420" t="s">
        <v>331</v>
      </c>
      <c r="H3420" s="15">
        <v>45292</v>
      </c>
      <c r="I3420">
        <v>2500</v>
      </c>
      <c r="J3420">
        <v>0</v>
      </c>
    </row>
    <row r="3421" spans="1:10" x14ac:dyDescent="0.3">
      <c r="A3421" s="15">
        <v>45689</v>
      </c>
      <c r="B3421" t="s">
        <v>240</v>
      </c>
      <c r="C3421" t="s">
        <v>81</v>
      </c>
      <c r="D3421" t="s">
        <v>99</v>
      </c>
      <c r="E3421" t="s">
        <v>103</v>
      </c>
      <c r="F3421">
        <v>2500</v>
      </c>
      <c r="G3421" t="s">
        <v>331</v>
      </c>
      <c r="H3421" s="15">
        <v>45292</v>
      </c>
      <c r="I3421">
        <v>2500</v>
      </c>
      <c r="J3421">
        <v>0</v>
      </c>
    </row>
    <row r="3422" spans="1:10" x14ac:dyDescent="0.3">
      <c r="A3422" s="15">
        <v>45689</v>
      </c>
      <c r="B3422" t="s">
        <v>241</v>
      </c>
      <c r="C3422" t="s">
        <v>91</v>
      </c>
      <c r="D3422" t="s">
        <v>96</v>
      </c>
      <c r="E3422" t="s">
        <v>87</v>
      </c>
      <c r="F3422">
        <v>12100</v>
      </c>
      <c r="G3422" t="s">
        <v>331</v>
      </c>
      <c r="H3422" s="15">
        <v>45292</v>
      </c>
      <c r="I3422">
        <v>12100</v>
      </c>
      <c r="J3422">
        <v>0</v>
      </c>
    </row>
    <row r="3423" spans="1:10" x14ac:dyDescent="0.3">
      <c r="A3423" s="15">
        <v>45689</v>
      </c>
      <c r="B3423" t="s">
        <v>242</v>
      </c>
      <c r="C3423" t="s">
        <v>110</v>
      </c>
      <c r="D3423" t="s">
        <v>99</v>
      </c>
      <c r="E3423" t="s">
        <v>101</v>
      </c>
      <c r="F3423">
        <v>34800</v>
      </c>
      <c r="G3423" t="s">
        <v>331</v>
      </c>
      <c r="H3423" s="15">
        <v>45292</v>
      </c>
      <c r="I3423">
        <v>34800</v>
      </c>
      <c r="J3423">
        <v>0</v>
      </c>
    </row>
    <row r="3424" spans="1:10" x14ac:dyDescent="0.3">
      <c r="A3424" s="15">
        <v>45689</v>
      </c>
      <c r="B3424" t="s">
        <v>244</v>
      </c>
      <c r="C3424" t="s">
        <v>91</v>
      </c>
      <c r="D3424" t="s">
        <v>82</v>
      </c>
      <c r="E3424" t="s">
        <v>92</v>
      </c>
      <c r="F3424">
        <v>7800</v>
      </c>
      <c r="G3424" t="s">
        <v>331</v>
      </c>
      <c r="H3424" s="15">
        <v>45292</v>
      </c>
      <c r="I3424">
        <v>7800</v>
      </c>
      <c r="J3424">
        <v>0</v>
      </c>
    </row>
    <row r="3425" spans="1:10" x14ac:dyDescent="0.3">
      <c r="A3425" s="15">
        <v>45689</v>
      </c>
      <c r="B3425" t="s">
        <v>245</v>
      </c>
      <c r="C3425" t="s">
        <v>81</v>
      </c>
      <c r="D3425" t="s">
        <v>99</v>
      </c>
      <c r="E3425" t="s">
        <v>97</v>
      </c>
      <c r="F3425">
        <v>2600</v>
      </c>
      <c r="G3425" t="s">
        <v>331</v>
      </c>
      <c r="H3425" s="15">
        <v>45292</v>
      </c>
      <c r="I3425">
        <v>2600</v>
      </c>
      <c r="J3425">
        <v>0</v>
      </c>
    </row>
    <row r="3426" spans="1:10" x14ac:dyDescent="0.3">
      <c r="A3426" s="15">
        <v>45689</v>
      </c>
      <c r="B3426" t="s">
        <v>246</v>
      </c>
      <c r="C3426" t="s">
        <v>91</v>
      </c>
      <c r="D3426" t="s">
        <v>86</v>
      </c>
      <c r="E3426" t="s">
        <v>103</v>
      </c>
      <c r="F3426">
        <v>10100</v>
      </c>
      <c r="G3426" t="s">
        <v>331</v>
      </c>
      <c r="H3426" s="15">
        <v>45292</v>
      </c>
      <c r="I3426">
        <v>10100</v>
      </c>
      <c r="J3426">
        <v>0</v>
      </c>
    </row>
    <row r="3427" spans="1:10" x14ac:dyDescent="0.3">
      <c r="A3427" s="15">
        <v>45689</v>
      </c>
      <c r="B3427" t="s">
        <v>247</v>
      </c>
      <c r="C3427" t="s">
        <v>91</v>
      </c>
      <c r="D3427" t="s">
        <v>86</v>
      </c>
      <c r="E3427" t="s">
        <v>89</v>
      </c>
      <c r="F3427">
        <v>9100</v>
      </c>
      <c r="G3427" t="s">
        <v>331</v>
      </c>
      <c r="H3427" s="15">
        <v>45292</v>
      </c>
      <c r="I3427">
        <v>9100</v>
      </c>
      <c r="J3427">
        <v>0</v>
      </c>
    </row>
    <row r="3428" spans="1:10" x14ac:dyDescent="0.3">
      <c r="A3428" s="15">
        <v>45689</v>
      </c>
      <c r="B3428" t="s">
        <v>248</v>
      </c>
      <c r="C3428" t="s">
        <v>81</v>
      </c>
      <c r="D3428" t="s">
        <v>82</v>
      </c>
      <c r="E3428" t="s">
        <v>103</v>
      </c>
      <c r="F3428">
        <v>2100</v>
      </c>
      <c r="G3428" t="s">
        <v>331</v>
      </c>
      <c r="H3428" s="15">
        <v>45292</v>
      </c>
      <c r="I3428">
        <v>2100</v>
      </c>
      <c r="J3428">
        <v>0</v>
      </c>
    </row>
    <row r="3429" spans="1:10" x14ac:dyDescent="0.3">
      <c r="A3429" s="15">
        <v>45689</v>
      </c>
      <c r="B3429" t="s">
        <v>250</v>
      </c>
      <c r="C3429" t="s">
        <v>81</v>
      </c>
      <c r="D3429" t="s">
        <v>86</v>
      </c>
      <c r="E3429" t="s">
        <v>87</v>
      </c>
      <c r="F3429">
        <v>3000</v>
      </c>
      <c r="G3429" t="s">
        <v>334</v>
      </c>
      <c r="H3429" s="15">
        <v>45292</v>
      </c>
      <c r="I3429">
        <v>3300</v>
      </c>
      <c r="J3429">
        <v>-300</v>
      </c>
    </row>
    <row r="3430" spans="1:10" x14ac:dyDescent="0.3">
      <c r="A3430" s="15">
        <v>45689</v>
      </c>
      <c r="B3430" t="s">
        <v>251</v>
      </c>
      <c r="C3430" t="s">
        <v>91</v>
      </c>
      <c r="D3430" t="s">
        <v>99</v>
      </c>
      <c r="E3430" t="s">
        <v>103</v>
      </c>
      <c r="F3430">
        <v>8800</v>
      </c>
      <c r="G3430" t="s">
        <v>331</v>
      </c>
      <c r="H3430" s="15">
        <v>45292</v>
      </c>
      <c r="I3430">
        <v>8800</v>
      </c>
      <c r="J3430">
        <v>0</v>
      </c>
    </row>
    <row r="3431" spans="1:10" x14ac:dyDescent="0.3">
      <c r="A3431" s="15">
        <v>45689</v>
      </c>
      <c r="B3431" t="s">
        <v>252</v>
      </c>
      <c r="C3431" t="s">
        <v>81</v>
      </c>
      <c r="D3431" t="s">
        <v>99</v>
      </c>
      <c r="E3431" t="s">
        <v>92</v>
      </c>
      <c r="F3431">
        <v>3400</v>
      </c>
      <c r="G3431" t="s">
        <v>331</v>
      </c>
      <c r="H3431" s="15">
        <v>45292</v>
      </c>
      <c r="I3431">
        <v>3400</v>
      </c>
      <c r="J3431">
        <v>0</v>
      </c>
    </row>
    <row r="3432" spans="1:10" x14ac:dyDescent="0.3">
      <c r="A3432" s="15">
        <v>45689</v>
      </c>
      <c r="B3432" t="s">
        <v>253</v>
      </c>
      <c r="C3432" t="s">
        <v>81</v>
      </c>
      <c r="D3432" t="s">
        <v>96</v>
      </c>
      <c r="E3432" t="s">
        <v>89</v>
      </c>
      <c r="F3432">
        <v>2400</v>
      </c>
      <c r="G3432" t="s">
        <v>331</v>
      </c>
      <c r="H3432" s="15">
        <v>45292</v>
      </c>
      <c r="I3432">
        <v>2400</v>
      </c>
      <c r="J3432">
        <v>0</v>
      </c>
    </row>
    <row r="3433" spans="1:10" x14ac:dyDescent="0.3">
      <c r="A3433" s="15">
        <v>45689</v>
      </c>
      <c r="B3433" t="s">
        <v>254</v>
      </c>
      <c r="C3433" t="s">
        <v>110</v>
      </c>
      <c r="D3433" t="s">
        <v>86</v>
      </c>
      <c r="E3433" t="s">
        <v>103</v>
      </c>
      <c r="F3433">
        <v>56100</v>
      </c>
      <c r="G3433" t="s">
        <v>331</v>
      </c>
      <c r="H3433" s="15">
        <v>45292</v>
      </c>
      <c r="I3433">
        <v>56100</v>
      </c>
      <c r="J3433">
        <v>0</v>
      </c>
    </row>
    <row r="3434" spans="1:10" x14ac:dyDescent="0.3">
      <c r="A3434" s="15">
        <v>45689</v>
      </c>
      <c r="B3434" t="s">
        <v>255</v>
      </c>
      <c r="C3434" t="s">
        <v>91</v>
      </c>
      <c r="D3434" t="s">
        <v>86</v>
      </c>
      <c r="E3434" t="s">
        <v>89</v>
      </c>
      <c r="F3434">
        <v>9900</v>
      </c>
      <c r="G3434" t="s">
        <v>331</v>
      </c>
      <c r="H3434" s="15">
        <v>45292</v>
      </c>
      <c r="I3434">
        <v>9900</v>
      </c>
      <c r="J3434">
        <v>0</v>
      </c>
    </row>
    <row r="3435" spans="1:10" x14ac:dyDescent="0.3">
      <c r="A3435" s="15">
        <v>45689</v>
      </c>
      <c r="B3435" t="s">
        <v>256</v>
      </c>
      <c r="C3435" t="s">
        <v>81</v>
      </c>
      <c r="D3435" t="s">
        <v>82</v>
      </c>
      <c r="E3435" t="s">
        <v>103</v>
      </c>
      <c r="F3435">
        <v>1800</v>
      </c>
      <c r="G3435" t="s">
        <v>334</v>
      </c>
      <c r="H3435" s="15">
        <v>45292</v>
      </c>
      <c r="I3435">
        <v>2100</v>
      </c>
      <c r="J3435">
        <v>-300</v>
      </c>
    </row>
    <row r="3436" spans="1:10" x14ac:dyDescent="0.3">
      <c r="A3436" s="15">
        <v>45689</v>
      </c>
      <c r="B3436" t="s">
        <v>257</v>
      </c>
      <c r="C3436" t="s">
        <v>91</v>
      </c>
      <c r="D3436" t="s">
        <v>96</v>
      </c>
      <c r="E3436" t="s">
        <v>87</v>
      </c>
      <c r="F3436">
        <v>8400</v>
      </c>
      <c r="G3436" t="s">
        <v>331</v>
      </c>
      <c r="H3436" s="15">
        <v>45292</v>
      </c>
      <c r="I3436">
        <v>8400</v>
      </c>
      <c r="J3436">
        <v>0</v>
      </c>
    </row>
    <row r="3437" spans="1:10" x14ac:dyDescent="0.3">
      <c r="A3437" s="15">
        <v>45689</v>
      </c>
      <c r="B3437" t="s">
        <v>258</v>
      </c>
      <c r="C3437" t="s">
        <v>125</v>
      </c>
      <c r="D3437" t="s">
        <v>86</v>
      </c>
      <c r="E3437" t="s">
        <v>83</v>
      </c>
      <c r="F3437">
        <v>96300</v>
      </c>
      <c r="G3437" t="s">
        <v>331</v>
      </c>
      <c r="H3437" s="15">
        <v>45292</v>
      </c>
      <c r="I3437">
        <v>96300</v>
      </c>
      <c r="J3437">
        <v>0</v>
      </c>
    </row>
    <row r="3438" spans="1:10" x14ac:dyDescent="0.3">
      <c r="A3438" s="15">
        <v>45689</v>
      </c>
      <c r="B3438" t="s">
        <v>259</v>
      </c>
      <c r="C3438" t="s">
        <v>81</v>
      </c>
      <c r="D3438" t="s">
        <v>86</v>
      </c>
      <c r="E3438" t="s">
        <v>89</v>
      </c>
      <c r="F3438">
        <v>1900</v>
      </c>
      <c r="G3438" t="s">
        <v>331</v>
      </c>
      <c r="H3438" s="15">
        <v>45292</v>
      </c>
      <c r="I3438">
        <v>1900</v>
      </c>
      <c r="J3438">
        <v>0</v>
      </c>
    </row>
    <row r="3439" spans="1:10" x14ac:dyDescent="0.3">
      <c r="A3439" s="15">
        <v>45689</v>
      </c>
      <c r="B3439" t="s">
        <v>260</v>
      </c>
      <c r="C3439" t="s">
        <v>81</v>
      </c>
      <c r="D3439" t="s">
        <v>86</v>
      </c>
      <c r="E3439" t="s">
        <v>97</v>
      </c>
      <c r="F3439">
        <v>2000</v>
      </c>
      <c r="G3439" t="s">
        <v>331</v>
      </c>
      <c r="H3439" s="15">
        <v>45292</v>
      </c>
      <c r="I3439">
        <v>2000</v>
      </c>
      <c r="J3439">
        <v>0</v>
      </c>
    </row>
    <row r="3440" spans="1:10" x14ac:dyDescent="0.3">
      <c r="A3440" s="15">
        <v>45689</v>
      </c>
      <c r="B3440" t="s">
        <v>262</v>
      </c>
      <c r="C3440" t="s">
        <v>91</v>
      </c>
      <c r="D3440" t="s">
        <v>82</v>
      </c>
      <c r="E3440" t="s">
        <v>92</v>
      </c>
      <c r="F3440">
        <v>9400</v>
      </c>
      <c r="G3440" t="s">
        <v>331</v>
      </c>
      <c r="H3440" s="15">
        <v>45292</v>
      </c>
      <c r="I3440">
        <v>9400</v>
      </c>
      <c r="J3440">
        <v>0</v>
      </c>
    </row>
    <row r="3441" spans="1:10" x14ac:dyDescent="0.3">
      <c r="A3441" s="15">
        <v>45689</v>
      </c>
      <c r="B3441" t="s">
        <v>264</v>
      </c>
      <c r="C3441" t="s">
        <v>110</v>
      </c>
      <c r="D3441" t="s">
        <v>86</v>
      </c>
      <c r="E3441" t="s">
        <v>97</v>
      </c>
      <c r="F3441">
        <v>31500</v>
      </c>
      <c r="G3441" t="s">
        <v>331</v>
      </c>
      <c r="H3441" s="15">
        <v>45292</v>
      </c>
      <c r="I3441">
        <v>31500</v>
      </c>
      <c r="J3441">
        <v>0</v>
      </c>
    </row>
    <row r="3442" spans="1:10" x14ac:dyDescent="0.3">
      <c r="A3442" s="15">
        <v>45689</v>
      </c>
      <c r="B3442" t="s">
        <v>265</v>
      </c>
      <c r="C3442" t="s">
        <v>125</v>
      </c>
      <c r="D3442" t="s">
        <v>86</v>
      </c>
      <c r="E3442" t="s">
        <v>101</v>
      </c>
      <c r="F3442">
        <v>92200</v>
      </c>
      <c r="G3442" t="s">
        <v>331</v>
      </c>
      <c r="H3442" s="15">
        <v>45292</v>
      </c>
      <c r="I3442">
        <v>92200</v>
      </c>
      <c r="J3442">
        <v>0</v>
      </c>
    </row>
    <row r="3443" spans="1:10" x14ac:dyDescent="0.3">
      <c r="A3443" s="15">
        <v>45689</v>
      </c>
      <c r="B3443" t="s">
        <v>266</v>
      </c>
      <c r="C3443" t="s">
        <v>81</v>
      </c>
      <c r="D3443" t="s">
        <v>82</v>
      </c>
      <c r="E3443" t="s">
        <v>83</v>
      </c>
      <c r="F3443">
        <v>2200</v>
      </c>
      <c r="G3443" t="s">
        <v>331</v>
      </c>
      <c r="H3443" s="15">
        <v>45292</v>
      </c>
      <c r="I3443">
        <v>2200</v>
      </c>
      <c r="J3443">
        <v>0</v>
      </c>
    </row>
    <row r="3444" spans="1:10" x14ac:dyDescent="0.3">
      <c r="A3444" s="15">
        <v>45689</v>
      </c>
      <c r="B3444" t="s">
        <v>267</v>
      </c>
      <c r="C3444" t="s">
        <v>91</v>
      </c>
      <c r="D3444" t="s">
        <v>82</v>
      </c>
      <c r="E3444" t="s">
        <v>97</v>
      </c>
      <c r="F3444">
        <v>6900</v>
      </c>
      <c r="G3444" t="s">
        <v>331</v>
      </c>
      <c r="H3444" s="15">
        <v>45292</v>
      </c>
      <c r="I3444">
        <v>6900</v>
      </c>
      <c r="J3444">
        <v>0</v>
      </c>
    </row>
    <row r="3445" spans="1:10" x14ac:dyDescent="0.3">
      <c r="A3445" s="15">
        <v>45689</v>
      </c>
      <c r="B3445" t="s">
        <v>272</v>
      </c>
      <c r="C3445" t="s">
        <v>125</v>
      </c>
      <c r="D3445" t="s">
        <v>96</v>
      </c>
      <c r="E3445" t="s">
        <v>103</v>
      </c>
      <c r="F3445">
        <v>101100</v>
      </c>
      <c r="G3445" t="s">
        <v>331</v>
      </c>
      <c r="H3445" s="15">
        <v>45292</v>
      </c>
      <c r="I3445">
        <v>101100</v>
      </c>
      <c r="J3445">
        <v>0</v>
      </c>
    </row>
    <row r="3446" spans="1:10" x14ac:dyDescent="0.3">
      <c r="A3446" s="15">
        <v>45689</v>
      </c>
      <c r="B3446" t="s">
        <v>273</v>
      </c>
      <c r="C3446" t="s">
        <v>81</v>
      </c>
      <c r="D3446" t="s">
        <v>82</v>
      </c>
      <c r="E3446" t="s">
        <v>101</v>
      </c>
      <c r="F3446">
        <v>3300</v>
      </c>
      <c r="G3446" t="s">
        <v>331</v>
      </c>
      <c r="H3446" s="15">
        <v>45292</v>
      </c>
      <c r="I3446">
        <v>3300</v>
      </c>
      <c r="J3446">
        <v>0</v>
      </c>
    </row>
    <row r="3447" spans="1:10" x14ac:dyDescent="0.3">
      <c r="A3447" s="15">
        <v>45689</v>
      </c>
      <c r="B3447" t="s">
        <v>274</v>
      </c>
      <c r="C3447" t="s">
        <v>91</v>
      </c>
      <c r="D3447" t="s">
        <v>99</v>
      </c>
      <c r="E3447" t="s">
        <v>87</v>
      </c>
      <c r="F3447">
        <v>11400</v>
      </c>
      <c r="G3447" t="s">
        <v>331</v>
      </c>
      <c r="H3447" s="15">
        <v>45292</v>
      </c>
      <c r="I3447">
        <v>11400</v>
      </c>
      <c r="J3447">
        <v>0</v>
      </c>
    </row>
    <row r="3448" spans="1:10" x14ac:dyDescent="0.3">
      <c r="A3448" s="15">
        <v>45689</v>
      </c>
      <c r="B3448" t="s">
        <v>276</v>
      </c>
      <c r="C3448" t="s">
        <v>81</v>
      </c>
      <c r="D3448" t="s">
        <v>82</v>
      </c>
      <c r="E3448" t="s">
        <v>103</v>
      </c>
      <c r="F3448">
        <v>3300</v>
      </c>
      <c r="G3448" t="s">
        <v>331</v>
      </c>
      <c r="H3448" s="15">
        <v>45292</v>
      </c>
      <c r="I3448">
        <v>3300</v>
      </c>
      <c r="J3448">
        <v>0</v>
      </c>
    </row>
    <row r="3449" spans="1:10" x14ac:dyDescent="0.3">
      <c r="A3449" s="15">
        <v>45689</v>
      </c>
      <c r="B3449" t="s">
        <v>277</v>
      </c>
      <c r="C3449" t="s">
        <v>91</v>
      </c>
      <c r="D3449" t="s">
        <v>86</v>
      </c>
      <c r="E3449" t="s">
        <v>97</v>
      </c>
      <c r="F3449">
        <v>8000</v>
      </c>
      <c r="G3449" t="s">
        <v>331</v>
      </c>
      <c r="H3449" s="15">
        <v>45292</v>
      </c>
      <c r="I3449">
        <v>8000</v>
      </c>
      <c r="J3449">
        <v>0</v>
      </c>
    </row>
    <row r="3450" spans="1:10" x14ac:dyDescent="0.3">
      <c r="A3450" s="15">
        <v>45689</v>
      </c>
      <c r="B3450" t="s">
        <v>278</v>
      </c>
      <c r="C3450" t="s">
        <v>81</v>
      </c>
      <c r="D3450" t="s">
        <v>82</v>
      </c>
      <c r="E3450" t="s">
        <v>92</v>
      </c>
      <c r="F3450">
        <v>0</v>
      </c>
      <c r="G3450" t="s">
        <v>333</v>
      </c>
      <c r="H3450" s="15">
        <v>45292</v>
      </c>
      <c r="I3450">
        <v>1900</v>
      </c>
      <c r="J3450">
        <v>-1900</v>
      </c>
    </row>
    <row r="3451" spans="1:10" x14ac:dyDescent="0.3">
      <c r="A3451" s="15">
        <v>45689</v>
      </c>
      <c r="B3451" t="s">
        <v>279</v>
      </c>
      <c r="C3451" t="s">
        <v>91</v>
      </c>
      <c r="D3451" t="s">
        <v>99</v>
      </c>
      <c r="E3451" t="s">
        <v>89</v>
      </c>
      <c r="F3451">
        <v>9800</v>
      </c>
      <c r="G3451" t="s">
        <v>331</v>
      </c>
      <c r="H3451" s="15">
        <v>45292</v>
      </c>
      <c r="I3451">
        <v>9800</v>
      </c>
      <c r="J3451">
        <v>0</v>
      </c>
    </row>
    <row r="3452" spans="1:10" x14ac:dyDescent="0.3">
      <c r="A3452" s="15">
        <v>45689</v>
      </c>
      <c r="B3452" t="s">
        <v>280</v>
      </c>
      <c r="C3452" t="s">
        <v>91</v>
      </c>
      <c r="D3452" t="s">
        <v>96</v>
      </c>
      <c r="E3452" t="s">
        <v>83</v>
      </c>
      <c r="F3452">
        <v>6300</v>
      </c>
      <c r="G3452" t="s">
        <v>331</v>
      </c>
      <c r="H3452" s="15">
        <v>45292</v>
      </c>
      <c r="I3452">
        <v>6300</v>
      </c>
      <c r="J3452">
        <v>0</v>
      </c>
    </row>
    <row r="3453" spans="1:10" x14ac:dyDescent="0.3">
      <c r="A3453" s="15">
        <v>45689</v>
      </c>
      <c r="B3453" t="s">
        <v>281</v>
      </c>
      <c r="C3453" t="s">
        <v>110</v>
      </c>
      <c r="D3453" t="s">
        <v>86</v>
      </c>
      <c r="E3453" t="s">
        <v>92</v>
      </c>
      <c r="F3453">
        <v>59000</v>
      </c>
      <c r="G3453" t="s">
        <v>332</v>
      </c>
      <c r="H3453" s="15">
        <v>45292</v>
      </c>
      <c r="I3453">
        <v>52700</v>
      </c>
      <c r="J3453">
        <v>6300</v>
      </c>
    </row>
    <row r="3454" spans="1:10" x14ac:dyDescent="0.3">
      <c r="A3454" s="15">
        <v>45689</v>
      </c>
      <c r="B3454" t="s">
        <v>282</v>
      </c>
      <c r="C3454" t="s">
        <v>91</v>
      </c>
      <c r="D3454" t="s">
        <v>86</v>
      </c>
      <c r="E3454" t="s">
        <v>92</v>
      </c>
      <c r="F3454">
        <v>5800</v>
      </c>
      <c r="G3454" t="s">
        <v>331</v>
      </c>
      <c r="H3454" s="15">
        <v>45292</v>
      </c>
      <c r="I3454">
        <v>5800</v>
      </c>
      <c r="J3454">
        <v>0</v>
      </c>
    </row>
    <row r="3455" spans="1:10" x14ac:dyDescent="0.3">
      <c r="A3455" s="15">
        <v>45689</v>
      </c>
      <c r="B3455" t="s">
        <v>283</v>
      </c>
      <c r="C3455" t="s">
        <v>110</v>
      </c>
      <c r="D3455" t="s">
        <v>82</v>
      </c>
      <c r="E3455" t="s">
        <v>87</v>
      </c>
      <c r="F3455">
        <v>34200</v>
      </c>
      <c r="G3455" t="s">
        <v>331</v>
      </c>
      <c r="H3455" s="15">
        <v>45292</v>
      </c>
      <c r="I3455">
        <v>34200</v>
      </c>
      <c r="J3455">
        <v>0</v>
      </c>
    </row>
    <row r="3456" spans="1:10" x14ac:dyDescent="0.3">
      <c r="A3456" s="15">
        <v>45689</v>
      </c>
      <c r="B3456" t="s">
        <v>284</v>
      </c>
      <c r="C3456" t="s">
        <v>81</v>
      </c>
      <c r="D3456" t="s">
        <v>82</v>
      </c>
      <c r="E3456" t="s">
        <v>101</v>
      </c>
      <c r="F3456">
        <v>2400</v>
      </c>
      <c r="G3456" t="s">
        <v>331</v>
      </c>
      <c r="H3456" s="15">
        <v>45292</v>
      </c>
      <c r="I3456">
        <v>2400</v>
      </c>
      <c r="J3456">
        <v>0</v>
      </c>
    </row>
    <row r="3457" spans="1:10" x14ac:dyDescent="0.3">
      <c r="A3457" s="15">
        <v>45689</v>
      </c>
      <c r="B3457" t="s">
        <v>285</v>
      </c>
      <c r="C3457" t="s">
        <v>91</v>
      </c>
      <c r="D3457" t="s">
        <v>82</v>
      </c>
      <c r="E3457" t="s">
        <v>83</v>
      </c>
      <c r="F3457">
        <v>10900</v>
      </c>
      <c r="G3457" t="s">
        <v>331</v>
      </c>
      <c r="H3457" s="15">
        <v>45292</v>
      </c>
      <c r="I3457">
        <v>10900</v>
      </c>
      <c r="J3457">
        <v>0</v>
      </c>
    </row>
    <row r="3458" spans="1:10" x14ac:dyDescent="0.3">
      <c r="A3458" s="15">
        <v>45689</v>
      </c>
      <c r="B3458" t="s">
        <v>286</v>
      </c>
      <c r="C3458" t="s">
        <v>125</v>
      </c>
      <c r="D3458" t="s">
        <v>86</v>
      </c>
      <c r="E3458" t="s">
        <v>92</v>
      </c>
      <c r="F3458">
        <v>92400</v>
      </c>
      <c r="G3458" t="s">
        <v>331</v>
      </c>
      <c r="H3458" s="15">
        <v>45292</v>
      </c>
      <c r="I3458">
        <v>92400</v>
      </c>
      <c r="J3458">
        <v>0</v>
      </c>
    </row>
    <row r="3459" spans="1:10" x14ac:dyDescent="0.3">
      <c r="A3459" s="15">
        <v>45689</v>
      </c>
      <c r="B3459" t="s">
        <v>287</v>
      </c>
      <c r="C3459" t="s">
        <v>81</v>
      </c>
      <c r="D3459" t="s">
        <v>99</v>
      </c>
      <c r="E3459" t="s">
        <v>87</v>
      </c>
      <c r="F3459">
        <v>2300</v>
      </c>
      <c r="G3459" t="s">
        <v>331</v>
      </c>
      <c r="H3459" s="15">
        <v>45292</v>
      </c>
      <c r="I3459">
        <v>2300</v>
      </c>
      <c r="J3459">
        <v>0</v>
      </c>
    </row>
    <row r="3460" spans="1:10" x14ac:dyDescent="0.3">
      <c r="A3460" s="15">
        <v>45689</v>
      </c>
      <c r="B3460" t="s">
        <v>288</v>
      </c>
      <c r="C3460" t="s">
        <v>81</v>
      </c>
      <c r="D3460" t="s">
        <v>99</v>
      </c>
      <c r="E3460" t="s">
        <v>97</v>
      </c>
      <c r="F3460">
        <v>2600</v>
      </c>
      <c r="G3460" t="s">
        <v>331</v>
      </c>
      <c r="H3460" s="15">
        <v>45292</v>
      </c>
      <c r="I3460">
        <v>2600</v>
      </c>
      <c r="J3460">
        <v>0</v>
      </c>
    </row>
    <row r="3461" spans="1:10" x14ac:dyDescent="0.3">
      <c r="A3461" s="15">
        <v>45689</v>
      </c>
      <c r="B3461" t="s">
        <v>289</v>
      </c>
      <c r="C3461" t="s">
        <v>91</v>
      </c>
      <c r="D3461" t="s">
        <v>86</v>
      </c>
      <c r="E3461" t="s">
        <v>101</v>
      </c>
      <c r="F3461">
        <v>9400</v>
      </c>
      <c r="G3461" t="s">
        <v>331</v>
      </c>
      <c r="H3461" s="15">
        <v>45292</v>
      </c>
      <c r="I3461">
        <v>9400</v>
      </c>
      <c r="J3461">
        <v>0</v>
      </c>
    </row>
    <row r="3462" spans="1:10" x14ac:dyDescent="0.3">
      <c r="A3462" s="15">
        <v>45689</v>
      </c>
      <c r="B3462" t="s">
        <v>290</v>
      </c>
      <c r="C3462" t="s">
        <v>81</v>
      </c>
      <c r="D3462" t="s">
        <v>82</v>
      </c>
      <c r="E3462" t="s">
        <v>103</v>
      </c>
      <c r="F3462">
        <v>2500</v>
      </c>
      <c r="G3462" t="s">
        <v>331</v>
      </c>
      <c r="H3462" s="15">
        <v>45292</v>
      </c>
      <c r="I3462">
        <v>2500</v>
      </c>
      <c r="J3462">
        <v>0</v>
      </c>
    </row>
    <row r="3463" spans="1:10" x14ac:dyDescent="0.3">
      <c r="A3463" s="15">
        <v>45689</v>
      </c>
      <c r="B3463" t="s">
        <v>291</v>
      </c>
      <c r="C3463" t="s">
        <v>81</v>
      </c>
      <c r="D3463" t="s">
        <v>82</v>
      </c>
      <c r="E3463" t="s">
        <v>83</v>
      </c>
      <c r="F3463">
        <v>3100</v>
      </c>
      <c r="G3463" t="s">
        <v>331</v>
      </c>
      <c r="H3463" s="15">
        <v>45292</v>
      </c>
      <c r="I3463">
        <v>3100</v>
      </c>
      <c r="J3463">
        <v>0</v>
      </c>
    </row>
    <row r="3464" spans="1:10" x14ac:dyDescent="0.3">
      <c r="A3464" s="15">
        <v>45689</v>
      </c>
      <c r="B3464" t="s">
        <v>292</v>
      </c>
      <c r="C3464" t="s">
        <v>91</v>
      </c>
      <c r="D3464" t="s">
        <v>86</v>
      </c>
      <c r="E3464" t="s">
        <v>89</v>
      </c>
      <c r="F3464">
        <v>8600</v>
      </c>
      <c r="G3464" t="s">
        <v>331</v>
      </c>
      <c r="H3464" s="15">
        <v>45292</v>
      </c>
      <c r="I3464">
        <v>8600</v>
      </c>
      <c r="J3464">
        <v>0</v>
      </c>
    </row>
    <row r="3465" spans="1:10" x14ac:dyDescent="0.3">
      <c r="A3465" s="15">
        <v>45689</v>
      </c>
      <c r="B3465" t="s">
        <v>293</v>
      </c>
      <c r="C3465" t="s">
        <v>81</v>
      </c>
      <c r="D3465" t="s">
        <v>86</v>
      </c>
      <c r="E3465" t="s">
        <v>103</v>
      </c>
      <c r="F3465">
        <v>2200</v>
      </c>
      <c r="G3465" t="s">
        <v>331</v>
      </c>
      <c r="H3465" s="15">
        <v>45292</v>
      </c>
      <c r="I3465">
        <v>2200</v>
      </c>
      <c r="J3465">
        <v>0</v>
      </c>
    </row>
    <row r="3466" spans="1:10" x14ac:dyDescent="0.3">
      <c r="A3466" s="15">
        <v>45689</v>
      </c>
      <c r="B3466" t="s">
        <v>294</v>
      </c>
      <c r="C3466" t="s">
        <v>91</v>
      </c>
      <c r="D3466" t="s">
        <v>82</v>
      </c>
      <c r="E3466" t="s">
        <v>97</v>
      </c>
      <c r="F3466">
        <v>10400</v>
      </c>
      <c r="G3466" t="s">
        <v>331</v>
      </c>
      <c r="H3466" s="15">
        <v>45292</v>
      </c>
      <c r="I3466">
        <v>10400</v>
      </c>
      <c r="J3466">
        <v>0</v>
      </c>
    </row>
    <row r="3467" spans="1:10" x14ac:dyDescent="0.3">
      <c r="A3467" s="15">
        <v>45689</v>
      </c>
      <c r="B3467" t="s">
        <v>295</v>
      </c>
      <c r="C3467" t="s">
        <v>81</v>
      </c>
      <c r="D3467" t="s">
        <v>82</v>
      </c>
      <c r="E3467" t="s">
        <v>103</v>
      </c>
      <c r="F3467">
        <v>2300</v>
      </c>
      <c r="G3467" t="s">
        <v>331</v>
      </c>
      <c r="H3467" s="15">
        <v>45292</v>
      </c>
      <c r="I3467">
        <v>2300</v>
      </c>
      <c r="J3467">
        <v>0</v>
      </c>
    </row>
    <row r="3468" spans="1:10" x14ac:dyDescent="0.3">
      <c r="A3468" s="15">
        <v>45689</v>
      </c>
      <c r="B3468" t="s">
        <v>297</v>
      </c>
      <c r="C3468" t="s">
        <v>91</v>
      </c>
      <c r="D3468" t="s">
        <v>86</v>
      </c>
      <c r="E3468" t="s">
        <v>103</v>
      </c>
      <c r="F3468">
        <v>9100</v>
      </c>
      <c r="G3468" t="s">
        <v>331</v>
      </c>
      <c r="H3468" s="15">
        <v>45292</v>
      </c>
      <c r="I3468">
        <v>9100</v>
      </c>
      <c r="J3468">
        <v>0</v>
      </c>
    </row>
    <row r="3469" spans="1:10" x14ac:dyDescent="0.3">
      <c r="A3469" s="15">
        <v>45689</v>
      </c>
      <c r="B3469" t="s">
        <v>298</v>
      </c>
      <c r="C3469" t="s">
        <v>81</v>
      </c>
      <c r="D3469" t="s">
        <v>86</v>
      </c>
      <c r="E3469" t="s">
        <v>89</v>
      </c>
      <c r="F3469">
        <v>2700</v>
      </c>
      <c r="G3469" t="s">
        <v>331</v>
      </c>
      <c r="H3469" s="15">
        <v>45292</v>
      </c>
      <c r="I3469">
        <v>2700</v>
      </c>
      <c r="J3469">
        <v>0</v>
      </c>
    </row>
    <row r="3470" spans="1:10" x14ac:dyDescent="0.3">
      <c r="A3470" s="15">
        <v>45689</v>
      </c>
      <c r="B3470" t="s">
        <v>299</v>
      </c>
      <c r="C3470" t="s">
        <v>81</v>
      </c>
      <c r="D3470" t="s">
        <v>99</v>
      </c>
      <c r="E3470" t="s">
        <v>103</v>
      </c>
      <c r="F3470">
        <v>2900</v>
      </c>
      <c r="G3470" t="s">
        <v>331</v>
      </c>
      <c r="H3470" s="15">
        <v>45292</v>
      </c>
      <c r="I3470">
        <v>2900</v>
      </c>
      <c r="J3470">
        <v>0</v>
      </c>
    </row>
    <row r="3471" spans="1:10" x14ac:dyDescent="0.3">
      <c r="A3471" s="15">
        <v>45689</v>
      </c>
      <c r="B3471" t="s">
        <v>300</v>
      </c>
      <c r="C3471" t="s">
        <v>91</v>
      </c>
      <c r="D3471" t="s">
        <v>82</v>
      </c>
      <c r="E3471" t="s">
        <v>89</v>
      </c>
      <c r="F3471">
        <v>11500</v>
      </c>
      <c r="G3471" t="s">
        <v>331</v>
      </c>
      <c r="H3471" s="15">
        <v>45292</v>
      </c>
      <c r="I3471">
        <v>11500</v>
      </c>
      <c r="J3471">
        <v>0</v>
      </c>
    </row>
    <row r="3472" spans="1:10" x14ac:dyDescent="0.3">
      <c r="A3472" s="15">
        <v>45689</v>
      </c>
      <c r="B3472" t="s">
        <v>303</v>
      </c>
      <c r="C3472" t="s">
        <v>81</v>
      </c>
      <c r="D3472" t="s">
        <v>82</v>
      </c>
      <c r="E3472" t="s">
        <v>83</v>
      </c>
      <c r="F3472">
        <v>1500</v>
      </c>
      <c r="G3472" t="s">
        <v>331</v>
      </c>
      <c r="H3472" s="15">
        <v>45292</v>
      </c>
      <c r="I3472">
        <v>1500</v>
      </c>
      <c r="J3472">
        <v>0</v>
      </c>
    </row>
    <row r="3473" spans="1:10" x14ac:dyDescent="0.3">
      <c r="A3473" s="15">
        <v>45689</v>
      </c>
      <c r="B3473" t="s">
        <v>304</v>
      </c>
      <c r="C3473" t="s">
        <v>81</v>
      </c>
      <c r="D3473" t="s">
        <v>86</v>
      </c>
      <c r="E3473" t="s">
        <v>92</v>
      </c>
      <c r="F3473">
        <v>2100</v>
      </c>
      <c r="G3473" t="s">
        <v>331</v>
      </c>
      <c r="H3473" s="15">
        <v>45292</v>
      </c>
      <c r="I3473">
        <v>2100</v>
      </c>
      <c r="J3473">
        <v>0</v>
      </c>
    </row>
    <row r="3474" spans="1:10" x14ac:dyDescent="0.3">
      <c r="A3474" s="15">
        <v>45689</v>
      </c>
      <c r="B3474" t="s">
        <v>306</v>
      </c>
      <c r="C3474" t="s">
        <v>91</v>
      </c>
      <c r="D3474" t="s">
        <v>82</v>
      </c>
      <c r="E3474" t="s">
        <v>87</v>
      </c>
      <c r="F3474">
        <v>11700</v>
      </c>
      <c r="G3474" t="s">
        <v>331</v>
      </c>
      <c r="H3474" s="15">
        <v>45292</v>
      </c>
      <c r="I3474">
        <v>11700</v>
      </c>
      <c r="J3474">
        <v>0</v>
      </c>
    </row>
    <row r="3475" spans="1:10" x14ac:dyDescent="0.3">
      <c r="A3475" s="15">
        <v>45689</v>
      </c>
      <c r="B3475" t="s">
        <v>307</v>
      </c>
      <c r="C3475" t="s">
        <v>81</v>
      </c>
      <c r="D3475" t="s">
        <v>86</v>
      </c>
      <c r="E3475" t="s">
        <v>97</v>
      </c>
      <c r="F3475">
        <v>2600</v>
      </c>
      <c r="G3475" t="s">
        <v>331</v>
      </c>
      <c r="H3475" s="15">
        <v>45292</v>
      </c>
      <c r="I3475">
        <v>2600</v>
      </c>
      <c r="J3475">
        <v>0</v>
      </c>
    </row>
    <row r="3476" spans="1:10" x14ac:dyDescent="0.3">
      <c r="A3476" s="15">
        <v>45689</v>
      </c>
      <c r="B3476" t="s">
        <v>308</v>
      </c>
      <c r="C3476" t="s">
        <v>91</v>
      </c>
      <c r="D3476" t="s">
        <v>86</v>
      </c>
      <c r="E3476" t="s">
        <v>92</v>
      </c>
      <c r="F3476">
        <v>0</v>
      </c>
      <c r="G3476" t="s">
        <v>333</v>
      </c>
      <c r="H3476" s="15">
        <v>45292</v>
      </c>
      <c r="I3476">
        <v>8000</v>
      </c>
      <c r="J3476">
        <v>-8000</v>
      </c>
    </row>
    <row r="3477" spans="1:10" x14ac:dyDescent="0.3">
      <c r="A3477" s="15">
        <v>45689</v>
      </c>
      <c r="B3477" t="s">
        <v>309</v>
      </c>
      <c r="C3477" t="s">
        <v>91</v>
      </c>
      <c r="D3477" t="s">
        <v>82</v>
      </c>
      <c r="E3477" t="s">
        <v>87</v>
      </c>
      <c r="F3477">
        <v>10700</v>
      </c>
      <c r="G3477" t="s">
        <v>331</v>
      </c>
      <c r="H3477" s="15">
        <v>45292</v>
      </c>
      <c r="I3477">
        <v>10700</v>
      </c>
      <c r="J3477">
        <v>0</v>
      </c>
    </row>
    <row r="3478" spans="1:10" x14ac:dyDescent="0.3">
      <c r="A3478" s="15">
        <v>45689</v>
      </c>
      <c r="B3478" t="s">
        <v>310</v>
      </c>
      <c r="C3478" t="s">
        <v>91</v>
      </c>
      <c r="D3478" t="s">
        <v>99</v>
      </c>
      <c r="E3478" t="s">
        <v>87</v>
      </c>
      <c r="F3478">
        <v>10000</v>
      </c>
      <c r="G3478" t="s">
        <v>331</v>
      </c>
      <c r="H3478" s="15">
        <v>45292</v>
      </c>
      <c r="I3478">
        <v>10000</v>
      </c>
      <c r="J3478">
        <v>0</v>
      </c>
    </row>
    <row r="3479" spans="1:10" x14ac:dyDescent="0.3">
      <c r="A3479" s="15">
        <v>45689</v>
      </c>
      <c r="B3479" t="s">
        <v>313</v>
      </c>
      <c r="C3479" t="s">
        <v>91</v>
      </c>
      <c r="D3479" t="s">
        <v>82</v>
      </c>
      <c r="E3479" t="s">
        <v>101</v>
      </c>
      <c r="F3479">
        <v>12700</v>
      </c>
      <c r="G3479" t="s">
        <v>331</v>
      </c>
      <c r="H3479" s="15">
        <v>45292</v>
      </c>
      <c r="I3479">
        <v>12700</v>
      </c>
      <c r="J3479">
        <v>0</v>
      </c>
    </row>
    <row r="3480" spans="1:10" x14ac:dyDescent="0.3">
      <c r="A3480" s="15">
        <v>45689</v>
      </c>
      <c r="B3480" t="s">
        <v>315</v>
      </c>
      <c r="C3480" t="s">
        <v>125</v>
      </c>
      <c r="D3480" t="s">
        <v>86</v>
      </c>
      <c r="E3480" t="s">
        <v>92</v>
      </c>
      <c r="F3480">
        <v>76200</v>
      </c>
      <c r="G3480" t="s">
        <v>331</v>
      </c>
      <c r="H3480" s="15">
        <v>45292</v>
      </c>
      <c r="I3480">
        <v>76200</v>
      </c>
      <c r="J3480">
        <v>0</v>
      </c>
    </row>
    <row r="3481" spans="1:10" x14ac:dyDescent="0.3">
      <c r="A3481" s="15">
        <v>45689</v>
      </c>
      <c r="B3481" t="s">
        <v>316</v>
      </c>
      <c r="C3481" t="s">
        <v>81</v>
      </c>
      <c r="D3481" t="s">
        <v>96</v>
      </c>
      <c r="E3481" t="s">
        <v>92</v>
      </c>
      <c r="F3481">
        <v>1800</v>
      </c>
      <c r="G3481" t="s">
        <v>331</v>
      </c>
      <c r="H3481" s="15">
        <v>45292</v>
      </c>
      <c r="I3481">
        <v>1800</v>
      </c>
      <c r="J3481">
        <v>0</v>
      </c>
    </row>
    <row r="3482" spans="1:10" x14ac:dyDescent="0.3">
      <c r="A3482" s="15">
        <v>45689</v>
      </c>
      <c r="B3482" t="s">
        <v>318</v>
      </c>
      <c r="C3482" t="s">
        <v>110</v>
      </c>
      <c r="D3482" t="s">
        <v>82</v>
      </c>
      <c r="E3482" t="s">
        <v>97</v>
      </c>
      <c r="F3482">
        <v>29600</v>
      </c>
      <c r="G3482" t="s">
        <v>331</v>
      </c>
      <c r="H3482" s="15">
        <v>45292</v>
      </c>
      <c r="I3482">
        <v>29600</v>
      </c>
      <c r="J3482">
        <v>0</v>
      </c>
    </row>
    <row r="3483" spans="1:10" x14ac:dyDescent="0.3">
      <c r="A3483" s="15">
        <v>45689</v>
      </c>
      <c r="B3483" t="s">
        <v>320</v>
      </c>
      <c r="C3483" t="s">
        <v>91</v>
      </c>
      <c r="D3483" t="s">
        <v>86</v>
      </c>
      <c r="E3483" t="s">
        <v>97</v>
      </c>
      <c r="F3483">
        <v>7700</v>
      </c>
      <c r="G3483" t="s">
        <v>331</v>
      </c>
      <c r="H3483" s="15">
        <v>45292</v>
      </c>
      <c r="I3483">
        <v>7700</v>
      </c>
      <c r="J3483">
        <v>0</v>
      </c>
    </row>
    <row r="3484" spans="1:10" x14ac:dyDescent="0.3">
      <c r="A3484" s="15">
        <v>45689</v>
      </c>
      <c r="B3484" t="s">
        <v>321</v>
      </c>
      <c r="C3484" t="s">
        <v>81</v>
      </c>
      <c r="D3484" t="s">
        <v>99</v>
      </c>
      <c r="E3484" t="s">
        <v>101</v>
      </c>
      <c r="F3484">
        <v>3300</v>
      </c>
      <c r="G3484" t="s">
        <v>331</v>
      </c>
      <c r="H3484" s="15">
        <v>45292</v>
      </c>
      <c r="I3484">
        <v>3300</v>
      </c>
      <c r="J3484">
        <v>0</v>
      </c>
    </row>
    <row r="3485" spans="1:10" x14ac:dyDescent="0.3">
      <c r="A3485" s="15">
        <v>45689</v>
      </c>
      <c r="B3485" t="s">
        <v>322</v>
      </c>
      <c r="C3485" t="s">
        <v>81</v>
      </c>
      <c r="D3485" t="s">
        <v>82</v>
      </c>
      <c r="E3485" t="s">
        <v>103</v>
      </c>
      <c r="F3485">
        <v>2000</v>
      </c>
      <c r="G3485" t="s">
        <v>331</v>
      </c>
      <c r="H3485" s="15">
        <v>45292</v>
      </c>
      <c r="I3485">
        <v>2000</v>
      </c>
      <c r="J3485">
        <v>0</v>
      </c>
    </row>
    <row r="3486" spans="1:10" x14ac:dyDescent="0.3">
      <c r="A3486" s="15">
        <v>45689</v>
      </c>
      <c r="B3486" t="s">
        <v>323</v>
      </c>
      <c r="C3486" t="s">
        <v>110</v>
      </c>
      <c r="D3486" t="s">
        <v>82</v>
      </c>
      <c r="E3486" t="s">
        <v>89</v>
      </c>
      <c r="F3486">
        <v>23400</v>
      </c>
      <c r="G3486" t="s">
        <v>331</v>
      </c>
      <c r="H3486" s="15">
        <v>45292</v>
      </c>
      <c r="I3486">
        <v>23400</v>
      </c>
      <c r="J3486">
        <v>0</v>
      </c>
    </row>
    <row r="3487" spans="1:10" x14ac:dyDescent="0.3">
      <c r="A3487" s="15">
        <v>45689</v>
      </c>
      <c r="B3487" t="s">
        <v>324</v>
      </c>
      <c r="C3487" t="s">
        <v>81</v>
      </c>
      <c r="D3487" t="s">
        <v>86</v>
      </c>
      <c r="E3487" t="s">
        <v>87</v>
      </c>
      <c r="F3487">
        <v>2700</v>
      </c>
      <c r="G3487" t="s">
        <v>331</v>
      </c>
      <c r="H3487" s="15">
        <v>45292</v>
      </c>
      <c r="I3487">
        <v>2700</v>
      </c>
      <c r="J3487">
        <v>0</v>
      </c>
    </row>
    <row r="3488" spans="1:10" x14ac:dyDescent="0.3">
      <c r="A3488" s="15">
        <v>45689</v>
      </c>
      <c r="B3488" t="s">
        <v>325</v>
      </c>
      <c r="C3488" t="s">
        <v>91</v>
      </c>
      <c r="D3488" t="s">
        <v>86</v>
      </c>
      <c r="E3488" t="s">
        <v>87</v>
      </c>
      <c r="F3488">
        <v>8800</v>
      </c>
      <c r="G3488" t="s">
        <v>331</v>
      </c>
      <c r="H3488" s="15">
        <v>45292</v>
      </c>
      <c r="I3488">
        <v>8800</v>
      </c>
      <c r="J3488">
        <v>0</v>
      </c>
    </row>
    <row r="3489" spans="1:10" x14ac:dyDescent="0.3">
      <c r="A3489" s="15">
        <v>45689</v>
      </c>
      <c r="B3489" t="s">
        <v>326</v>
      </c>
      <c r="C3489" t="s">
        <v>91</v>
      </c>
      <c r="D3489" t="s">
        <v>86</v>
      </c>
      <c r="E3489" t="s">
        <v>92</v>
      </c>
      <c r="F3489">
        <v>7900</v>
      </c>
      <c r="G3489" t="s">
        <v>331</v>
      </c>
      <c r="H3489" s="15">
        <v>45292</v>
      </c>
      <c r="I3489">
        <v>7900</v>
      </c>
      <c r="J3489">
        <v>0</v>
      </c>
    </row>
    <row r="3490" spans="1:10" x14ac:dyDescent="0.3">
      <c r="A3490" s="15">
        <v>45689</v>
      </c>
      <c r="B3490" t="s">
        <v>327</v>
      </c>
      <c r="C3490" t="s">
        <v>125</v>
      </c>
      <c r="D3490" t="s">
        <v>99</v>
      </c>
      <c r="E3490" t="s">
        <v>97</v>
      </c>
      <c r="F3490">
        <v>77500</v>
      </c>
      <c r="G3490" t="s">
        <v>331</v>
      </c>
      <c r="H3490" s="15">
        <v>45292</v>
      </c>
      <c r="I3490">
        <v>77500</v>
      </c>
      <c r="J3490">
        <v>0</v>
      </c>
    </row>
    <row r="3491" spans="1:10" x14ac:dyDescent="0.3">
      <c r="A3491" s="15">
        <v>45689</v>
      </c>
      <c r="B3491" t="s">
        <v>329</v>
      </c>
      <c r="C3491" t="s">
        <v>81</v>
      </c>
      <c r="D3491" t="s">
        <v>86</v>
      </c>
      <c r="E3491" t="s">
        <v>101</v>
      </c>
      <c r="F3491">
        <v>2200</v>
      </c>
      <c r="G3491" t="s">
        <v>331</v>
      </c>
      <c r="H3491" s="15">
        <v>45292</v>
      </c>
      <c r="I3491">
        <v>2200</v>
      </c>
      <c r="J3491">
        <v>0</v>
      </c>
    </row>
    <row r="3492" spans="1:10" x14ac:dyDescent="0.3">
      <c r="A3492" s="15">
        <v>45689</v>
      </c>
      <c r="B3492" t="s">
        <v>330</v>
      </c>
      <c r="C3492" t="s">
        <v>125</v>
      </c>
      <c r="D3492" t="s">
        <v>86</v>
      </c>
      <c r="E3492" t="s">
        <v>87</v>
      </c>
      <c r="F3492">
        <v>105400</v>
      </c>
      <c r="G3492" t="s">
        <v>331</v>
      </c>
      <c r="H3492" s="15">
        <v>45292</v>
      </c>
      <c r="I3492">
        <v>105400</v>
      </c>
      <c r="J3492">
        <v>0</v>
      </c>
    </row>
    <row r="3493" spans="1:10" x14ac:dyDescent="0.3">
      <c r="A3493" s="15">
        <v>45689</v>
      </c>
      <c r="B3493" t="s">
        <v>335</v>
      </c>
      <c r="C3493" t="s">
        <v>91</v>
      </c>
      <c r="D3493" t="s">
        <v>86</v>
      </c>
      <c r="E3493" t="s">
        <v>89</v>
      </c>
      <c r="F3493">
        <v>7300</v>
      </c>
      <c r="G3493" t="s">
        <v>331</v>
      </c>
      <c r="H3493" s="15">
        <v>45323</v>
      </c>
      <c r="I3493">
        <v>7300</v>
      </c>
      <c r="J3493">
        <v>0</v>
      </c>
    </row>
    <row r="3494" spans="1:10" x14ac:dyDescent="0.3">
      <c r="A3494" s="15">
        <v>45689</v>
      </c>
      <c r="B3494" t="s">
        <v>336</v>
      </c>
      <c r="C3494" t="s">
        <v>81</v>
      </c>
      <c r="D3494" t="s">
        <v>82</v>
      </c>
      <c r="E3494" t="s">
        <v>103</v>
      </c>
      <c r="F3494">
        <v>1500</v>
      </c>
      <c r="G3494" t="s">
        <v>331</v>
      </c>
      <c r="H3494" s="15">
        <v>45323</v>
      </c>
      <c r="I3494">
        <v>1500</v>
      </c>
      <c r="J3494">
        <v>0</v>
      </c>
    </row>
    <row r="3495" spans="1:10" x14ac:dyDescent="0.3">
      <c r="A3495" s="15">
        <v>45689</v>
      </c>
      <c r="B3495" t="s">
        <v>339</v>
      </c>
      <c r="C3495" t="s">
        <v>81</v>
      </c>
      <c r="D3495" t="s">
        <v>82</v>
      </c>
      <c r="E3495" t="s">
        <v>103</v>
      </c>
      <c r="F3495">
        <v>1600</v>
      </c>
      <c r="G3495" t="s">
        <v>331</v>
      </c>
      <c r="H3495" s="15">
        <v>45323</v>
      </c>
      <c r="I3495">
        <v>1600</v>
      </c>
      <c r="J3495">
        <v>0</v>
      </c>
    </row>
    <row r="3496" spans="1:10" x14ac:dyDescent="0.3">
      <c r="A3496" s="15">
        <v>45689</v>
      </c>
      <c r="B3496" t="s">
        <v>340</v>
      </c>
      <c r="C3496" t="s">
        <v>81</v>
      </c>
      <c r="D3496" t="s">
        <v>82</v>
      </c>
      <c r="E3496" t="s">
        <v>87</v>
      </c>
      <c r="F3496">
        <v>1800</v>
      </c>
      <c r="G3496" t="s">
        <v>331</v>
      </c>
      <c r="H3496" s="15">
        <v>45323</v>
      </c>
      <c r="I3496">
        <v>1800</v>
      </c>
      <c r="J3496">
        <v>0</v>
      </c>
    </row>
    <row r="3497" spans="1:10" x14ac:dyDescent="0.3">
      <c r="A3497" s="15">
        <v>45689</v>
      </c>
      <c r="B3497" t="s">
        <v>341</v>
      </c>
      <c r="C3497" t="s">
        <v>110</v>
      </c>
      <c r="D3497" t="s">
        <v>82</v>
      </c>
      <c r="E3497" t="s">
        <v>92</v>
      </c>
      <c r="F3497">
        <v>18800</v>
      </c>
      <c r="G3497" t="s">
        <v>331</v>
      </c>
      <c r="H3497" s="15">
        <v>45323</v>
      </c>
      <c r="I3497">
        <v>18800</v>
      </c>
      <c r="J3497">
        <v>0</v>
      </c>
    </row>
    <row r="3498" spans="1:10" x14ac:dyDescent="0.3">
      <c r="A3498" s="15">
        <v>45689</v>
      </c>
      <c r="B3498" t="s">
        <v>342</v>
      </c>
      <c r="C3498" t="s">
        <v>91</v>
      </c>
      <c r="D3498" t="s">
        <v>82</v>
      </c>
      <c r="E3498" t="s">
        <v>83</v>
      </c>
      <c r="F3498">
        <v>6300</v>
      </c>
      <c r="G3498" t="s">
        <v>334</v>
      </c>
      <c r="H3498" s="15">
        <v>45352</v>
      </c>
      <c r="I3498">
        <v>7100</v>
      </c>
      <c r="J3498">
        <v>-800</v>
      </c>
    </row>
    <row r="3499" spans="1:10" x14ac:dyDescent="0.3">
      <c r="A3499" s="15">
        <v>45689</v>
      </c>
      <c r="B3499" t="s">
        <v>343</v>
      </c>
      <c r="C3499" t="s">
        <v>81</v>
      </c>
      <c r="D3499" t="s">
        <v>82</v>
      </c>
      <c r="E3499" t="s">
        <v>89</v>
      </c>
      <c r="F3499">
        <v>2500</v>
      </c>
      <c r="G3499" t="s">
        <v>331</v>
      </c>
      <c r="H3499" s="15">
        <v>45352</v>
      </c>
      <c r="I3499">
        <v>2500</v>
      </c>
      <c r="J3499">
        <v>0</v>
      </c>
    </row>
    <row r="3500" spans="1:10" x14ac:dyDescent="0.3">
      <c r="A3500" s="15">
        <v>45689</v>
      </c>
      <c r="B3500" t="s">
        <v>344</v>
      </c>
      <c r="C3500" t="s">
        <v>110</v>
      </c>
      <c r="D3500" t="s">
        <v>86</v>
      </c>
      <c r="E3500" t="s">
        <v>89</v>
      </c>
      <c r="F3500">
        <v>21100</v>
      </c>
      <c r="G3500" t="s">
        <v>331</v>
      </c>
      <c r="H3500" s="15">
        <v>45352</v>
      </c>
      <c r="I3500">
        <v>21100</v>
      </c>
      <c r="J3500">
        <v>0</v>
      </c>
    </row>
    <row r="3501" spans="1:10" x14ac:dyDescent="0.3">
      <c r="A3501" s="15">
        <v>45689</v>
      </c>
      <c r="B3501" t="s">
        <v>345</v>
      </c>
      <c r="C3501" t="s">
        <v>91</v>
      </c>
      <c r="D3501" t="s">
        <v>86</v>
      </c>
      <c r="E3501" t="s">
        <v>83</v>
      </c>
      <c r="F3501">
        <v>6900</v>
      </c>
      <c r="G3501" t="s">
        <v>331</v>
      </c>
      <c r="H3501" s="15">
        <v>45352</v>
      </c>
      <c r="I3501">
        <v>6900</v>
      </c>
      <c r="J3501">
        <v>0</v>
      </c>
    </row>
    <row r="3502" spans="1:10" x14ac:dyDescent="0.3">
      <c r="A3502" s="15">
        <v>45689</v>
      </c>
      <c r="B3502" t="s">
        <v>346</v>
      </c>
      <c r="C3502" t="s">
        <v>81</v>
      </c>
      <c r="D3502" t="s">
        <v>86</v>
      </c>
      <c r="E3502" t="s">
        <v>97</v>
      </c>
      <c r="F3502">
        <v>1700</v>
      </c>
      <c r="G3502" t="s">
        <v>331</v>
      </c>
      <c r="H3502" s="15">
        <v>45352</v>
      </c>
      <c r="I3502">
        <v>1700</v>
      </c>
      <c r="J3502">
        <v>0</v>
      </c>
    </row>
    <row r="3503" spans="1:10" x14ac:dyDescent="0.3">
      <c r="A3503" s="15">
        <v>45689</v>
      </c>
      <c r="B3503" t="s">
        <v>347</v>
      </c>
      <c r="C3503" t="s">
        <v>91</v>
      </c>
      <c r="D3503" t="s">
        <v>82</v>
      </c>
      <c r="E3503" t="s">
        <v>83</v>
      </c>
      <c r="F3503">
        <v>4700</v>
      </c>
      <c r="G3503" t="s">
        <v>331</v>
      </c>
      <c r="H3503" s="15">
        <v>45383</v>
      </c>
      <c r="I3503">
        <v>4700</v>
      </c>
      <c r="J3503">
        <v>0</v>
      </c>
    </row>
    <row r="3504" spans="1:10" x14ac:dyDescent="0.3">
      <c r="A3504" s="15">
        <v>45689</v>
      </c>
      <c r="B3504" t="s">
        <v>350</v>
      </c>
      <c r="C3504" t="s">
        <v>91</v>
      </c>
      <c r="D3504" t="s">
        <v>82</v>
      </c>
      <c r="E3504" t="s">
        <v>83</v>
      </c>
      <c r="F3504">
        <v>4800</v>
      </c>
      <c r="G3504" t="s">
        <v>331</v>
      </c>
      <c r="H3504" s="15">
        <v>45383</v>
      </c>
      <c r="I3504">
        <v>4800</v>
      </c>
      <c r="J3504">
        <v>0</v>
      </c>
    </row>
    <row r="3505" spans="1:10" x14ac:dyDescent="0.3">
      <c r="A3505" s="15">
        <v>45689</v>
      </c>
      <c r="B3505" t="s">
        <v>351</v>
      </c>
      <c r="C3505" t="s">
        <v>81</v>
      </c>
      <c r="D3505" t="s">
        <v>86</v>
      </c>
      <c r="E3505" t="s">
        <v>83</v>
      </c>
      <c r="F3505">
        <v>2300</v>
      </c>
      <c r="G3505" t="s">
        <v>331</v>
      </c>
      <c r="H3505" s="15">
        <v>45383</v>
      </c>
      <c r="I3505">
        <v>2300</v>
      </c>
      <c r="J3505">
        <v>0</v>
      </c>
    </row>
    <row r="3506" spans="1:10" x14ac:dyDescent="0.3">
      <c r="A3506" s="15">
        <v>45689</v>
      </c>
      <c r="B3506" t="s">
        <v>352</v>
      </c>
      <c r="C3506" t="s">
        <v>91</v>
      </c>
      <c r="D3506" t="s">
        <v>82</v>
      </c>
      <c r="E3506" t="s">
        <v>89</v>
      </c>
      <c r="F3506">
        <v>7800</v>
      </c>
      <c r="G3506" t="s">
        <v>332</v>
      </c>
      <c r="H3506" s="15">
        <v>45383</v>
      </c>
      <c r="I3506">
        <v>7100</v>
      </c>
      <c r="J3506">
        <v>700</v>
      </c>
    </row>
    <row r="3507" spans="1:10" x14ac:dyDescent="0.3">
      <c r="A3507" s="15">
        <v>45689</v>
      </c>
      <c r="B3507" t="s">
        <v>353</v>
      </c>
      <c r="C3507" t="s">
        <v>81</v>
      </c>
      <c r="D3507" t="s">
        <v>99</v>
      </c>
      <c r="E3507" t="s">
        <v>103</v>
      </c>
      <c r="F3507">
        <v>1200</v>
      </c>
      <c r="G3507" t="s">
        <v>331</v>
      </c>
      <c r="H3507" s="15">
        <v>45383</v>
      </c>
      <c r="I3507">
        <v>1200</v>
      </c>
      <c r="J3507">
        <v>0</v>
      </c>
    </row>
    <row r="3508" spans="1:10" x14ac:dyDescent="0.3">
      <c r="A3508" s="15">
        <v>45689</v>
      </c>
      <c r="B3508" t="s">
        <v>354</v>
      </c>
      <c r="C3508" t="s">
        <v>81</v>
      </c>
      <c r="D3508" t="s">
        <v>82</v>
      </c>
      <c r="E3508" t="s">
        <v>92</v>
      </c>
      <c r="F3508">
        <v>1800</v>
      </c>
      <c r="G3508" t="s">
        <v>331</v>
      </c>
      <c r="H3508" s="15">
        <v>45413</v>
      </c>
      <c r="I3508">
        <v>1800</v>
      </c>
      <c r="J3508">
        <v>0</v>
      </c>
    </row>
    <row r="3509" spans="1:10" x14ac:dyDescent="0.3">
      <c r="A3509" s="15">
        <v>45689</v>
      </c>
      <c r="B3509" t="s">
        <v>355</v>
      </c>
      <c r="C3509" t="s">
        <v>81</v>
      </c>
      <c r="D3509" t="s">
        <v>86</v>
      </c>
      <c r="E3509" t="s">
        <v>97</v>
      </c>
      <c r="F3509">
        <v>2200</v>
      </c>
      <c r="G3509" t="s">
        <v>331</v>
      </c>
      <c r="H3509" s="15">
        <v>45413</v>
      </c>
      <c r="I3509">
        <v>2200</v>
      </c>
      <c r="J3509">
        <v>0</v>
      </c>
    </row>
    <row r="3510" spans="1:10" x14ac:dyDescent="0.3">
      <c r="A3510" s="15">
        <v>45689</v>
      </c>
      <c r="B3510" t="s">
        <v>356</v>
      </c>
      <c r="C3510" t="s">
        <v>110</v>
      </c>
      <c r="D3510" t="s">
        <v>82</v>
      </c>
      <c r="E3510" t="s">
        <v>97</v>
      </c>
      <c r="F3510">
        <v>33000</v>
      </c>
      <c r="G3510" t="s">
        <v>331</v>
      </c>
      <c r="H3510" s="15">
        <v>45413</v>
      </c>
      <c r="I3510">
        <v>33000</v>
      </c>
      <c r="J3510">
        <v>0</v>
      </c>
    </row>
    <row r="3511" spans="1:10" x14ac:dyDescent="0.3">
      <c r="A3511" s="15">
        <v>45689</v>
      </c>
      <c r="B3511" t="s">
        <v>357</v>
      </c>
      <c r="C3511" t="s">
        <v>125</v>
      </c>
      <c r="D3511" t="s">
        <v>86</v>
      </c>
      <c r="E3511" t="s">
        <v>97</v>
      </c>
      <c r="F3511">
        <v>72100</v>
      </c>
      <c r="G3511" t="s">
        <v>331</v>
      </c>
      <c r="H3511" s="15">
        <v>45413</v>
      </c>
      <c r="I3511">
        <v>72100</v>
      </c>
      <c r="J3511">
        <v>0</v>
      </c>
    </row>
    <row r="3512" spans="1:10" x14ac:dyDescent="0.3">
      <c r="A3512" s="15">
        <v>45689</v>
      </c>
      <c r="B3512" t="s">
        <v>358</v>
      </c>
      <c r="C3512" t="s">
        <v>110</v>
      </c>
      <c r="D3512" t="s">
        <v>86</v>
      </c>
      <c r="E3512" t="s">
        <v>83</v>
      </c>
      <c r="F3512">
        <v>21800</v>
      </c>
      <c r="G3512" t="s">
        <v>331</v>
      </c>
      <c r="H3512" s="15">
        <v>45413</v>
      </c>
      <c r="I3512">
        <v>21800</v>
      </c>
      <c r="J3512">
        <v>0</v>
      </c>
    </row>
    <row r="3513" spans="1:10" x14ac:dyDescent="0.3">
      <c r="A3513" s="15">
        <v>45689</v>
      </c>
      <c r="B3513" t="s">
        <v>359</v>
      </c>
      <c r="C3513" t="s">
        <v>110</v>
      </c>
      <c r="D3513" t="s">
        <v>86</v>
      </c>
      <c r="E3513" t="s">
        <v>101</v>
      </c>
      <c r="F3513">
        <v>31400</v>
      </c>
      <c r="G3513" t="s">
        <v>331</v>
      </c>
      <c r="H3513" s="15">
        <v>45413</v>
      </c>
      <c r="I3513">
        <v>31400</v>
      </c>
      <c r="J3513">
        <v>0</v>
      </c>
    </row>
    <row r="3514" spans="1:10" x14ac:dyDescent="0.3">
      <c r="A3514" s="15">
        <v>45689</v>
      </c>
      <c r="B3514" t="s">
        <v>360</v>
      </c>
      <c r="C3514" t="s">
        <v>91</v>
      </c>
      <c r="D3514" t="s">
        <v>86</v>
      </c>
      <c r="E3514" t="s">
        <v>103</v>
      </c>
      <c r="F3514">
        <v>6300</v>
      </c>
      <c r="G3514" t="s">
        <v>331</v>
      </c>
      <c r="H3514" s="15">
        <v>45444</v>
      </c>
      <c r="I3514">
        <v>6300</v>
      </c>
      <c r="J3514">
        <v>0</v>
      </c>
    </row>
    <row r="3515" spans="1:10" x14ac:dyDescent="0.3">
      <c r="A3515" s="15">
        <v>45689</v>
      </c>
      <c r="B3515" t="s">
        <v>361</v>
      </c>
      <c r="C3515" t="s">
        <v>91</v>
      </c>
      <c r="D3515" t="s">
        <v>86</v>
      </c>
      <c r="E3515" t="s">
        <v>83</v>
      </c>
      <c r="F3515">
        <v>5700</v>
      </c>
      <c r="G3515" t="s">
        <v>331</v>
      </c>
      <c r="H3515" s="15">
        <v>45444</v>
      </c>
      <c r="I3515">
        <v>5700</v>
      </c>
      <c r="J3515">
        <v>0</v>
      </c>
    </row>
    <row r="3516" spans="1:10" x14ac:dyDescent="0.3">
      <c r="A3516" s="15">
        <v>45689</v>
      </c>
      <c r="B3516" t="s">
        <v>362</v>
      </c>
      <c r="C3516" t="s">
        <v>91</v>
      </c>
      <c r="D3516" t="s">
        <v>82</v>
      </c>
      <c r="E3516" t="s">
        <v>101</v>
      </c>
      <c r="F3516">
        <v>5400</v>
      </c>
      <c r="G3516" t="s">
        <v>331</v>
      </c>
      <c r="H3516" s="15">
        <v>45444</v>
      </c>
      <c r="I3516">
        <v>5400</v>
      </c>
      <c r="J3516">
        <v>0</v>
      </c>
    </row>
    <row r="3517" spans="1:10" x14ac:dyDescent="0.3">
      <c r="A3517" s="15">
        <v>45689</v>
      </c>
      <c r="B3517" t="s">
        <v>363</v>
      </c>
      <c r="C3517" t="s">
        <v>91</v>
      </c>
      <c r="D3517" t="s">
        <v>86</v>
      </c>
      <c r="E3517" t="s">
        <v>83</v>
      </c>
      <c r="F3517">
        <v>4400</v>
      </c>
      <c r="G3517" t="s">
        <v>331</v>
      </c>
      <c r="H3517" s="15">
        <v>45444</v>
      </c>
      <c r="I3517">
        <v>4400</v>
      </c>
      <c r="J3517">
        <v>0</v>
      </c>
    </row>
    <row r="3518" spans="1:10" x14ac:dyDescent="0.3">
      <c r="A3518" s="15">
        <v>45689</v>
      </c>
      <c r="B3518" t="s">
        <v>364</v>
      </c>
      <c r="C3518" t="s">
        <v>91</v>
      </c>
      <c r="D3518" t="s">
        <v>82</v>
      </c>
      <c r="E3518" t="s">
        <v>101</v>
      </c>
      <c r="F3518">
        <v>6700</v>
      </c>
      <c r="G3518" t="s">
        <v>331</v>
      </c>
      <c r="H3518" s="15">
        <v>45444</v>
      </c>
      <c r="I3518">
        <v>6700</v>
      </c>
      <c r="J3518">
        <v>0</v>
      </c>
    </row>
    <row r="3519" spans="1:10" x14ac:dyDescent="0.3">
      <c r="A3519" s="15">
        <v>45689</v>
      </c>
      <c r="B3519" t="s">
        <v>366</v>
      </c>
      <c r="C3519" t="s">
        <v>81</v>
      </c>
      <c r="D3519" t="s">
        <v>99</v>
      </c>
      <c r="E3519" t="s">
        <v>92</v>
      </c>
      <c r="F3519">
        <v>1600</v>
      </c>
      <c r="G3519" t="s">
        <v>331</v>
      </c>
      <c r="H3519" s="15">
        <v>45474</v>
      </c>
      <c r="I3519">
        <v>1600</v>
      </c>
      <c r="J3519">
        <v>0</v>
      </c>
    </row>
    <row r="3520" spans="1:10" x14ac:dyDescent="0.3">
      <c r="A3520" s="15">
        <v>45689</v>
      </c>
      <c r="B3520" t="s">
        <v>367</v>
      </c>
      <c r="C3520" t="s">
        <v>91</v>
      </c>
      <c r="D3520" t="s">
        <v>82</v>
      </c>
      <c r="E3520" t="s">
        <v>92</v>
      </c>
      <c r="F3520">
        <v>5000</v>
      </c>
      <c r="G3520" t="s">
        <v>334</v>
      </c>
      <c r="H3520" s="15">
        <v>45474</v>
      </c>
      <c r="I3520">
        <v>5800</v>
      </c>
      <c r="J3520">
        <v>-800</v>
      </c>
    </row>
    <row r="3521" spans="1:10" x14ac:dyDescent="0.3">
      <c r="A3521" s="15">
        <v>45689</v>
      </c>
      <c r="B3521" t="s">
        <v>368</v>
      </c>
      <c r="C3521" t="s">
        <v>81</v>
      </c>
      <c r="D3521" t="s">
        <v>86</v>
      </c>
      <c r="E3521" t="s">
        <v>89</v>
      </c>
      <c r="F3521">
        <v>1400</v>
      </c>
      <c r="G3521" t="s">
        <v>331</v>
      </c>
      <c r="H3521" s="15">
        <v>45474</v>
      </c>
      <c r="I3521">
        <v>1400</v>
      </c>
      <c r="J3521">
        <v>0</v>
      </c>
    </row>
    <row r="3522" spans="1:10" x14ac:dyDescent="0.3">
      <c r="A3522" s="15">
        <v>45689</v>
      </c>
      <c r="B3522" t="s">
        <v>369</v>
      </c>
      <c r="C3522" t="s">
        <v>81</v>
      </c>
      <c r="D3522" t="s">
        <v>86</v>
      </c>
      <c r="E3522" t="s">
        <v>83</v>
      </c>
      <c r="F3522">
        <v>2000</v>
      </c>
      <c r="G3522" t="s">
        <v>331</v>
      </c>
      <c r="H3522" s="15">
        <v>45474</v>
      </c>
      <c r="I3522">
        <v>2000</v>
      </c>
      <c r="J3522">
        <v>0</v>
      </c>
    </row>
    <row r="3523" spans="1:10" x14ac:dyDescent="0.3">
      <c r="A3523" s="15">
        <v>45689</v>
      </c>
      <c r="B3523" t="s">
        <v>370</v>
      </c>
      <c r="C3523" t="s">
        <v>81</v>
      </c>
      <c r="D3523" t="s">
        <v>99</v>
      </c>
      <c r="E3523" t="s">
        <v>87</v>
      </c>
      <c r="F3523">
        <v>2100</v>
      </c>
      <c r="G3523" t="s">
        <v>331</v>
      </c>
      <c r="H3523" s="15">
        <v>45474</v>
      </c>
      <c r="I3523">
        <v>2100</v>
      </c>
      <c r="J3523">
        <v>0</v>
      </c>
    </row>
    <row r="3524" spans="1:10" x14ac:dyDescent="0.3">
      <c r="A3524" s="15">
        <v>45689</v>
      </c>
      <c r="B3524" t="s">
        <v>372</v>
      </c>
      <c r="C3524" t="s">
        <v>81</v>
      </c>
      <c r="D3524" t="s">
        <v>86</v>
      </c>
      <c r="E3524" t="s">
        <v>83</v>
      </c>
      <c r="F3524">
        <v>1500</v>
      </c>
      <c r="G3524" t="s">
        <v>331</v>
      </c>
      <c r="H3524" s="15">
        <v>45505</v>
      </c>
      <c r="I3524">
        <v>1500</v>
      </c>
      <c r="J3524">
        <v>0</v>
      </c>
    </row>
    <row r="3525" spans="1:10" x14ac:dyDescent="0.3">
      <c r="A3525" s="15">
        <v>45689</v>
      </c>
      <c r="B3525" t="s">
        <v>373</v>
      </c>
      <c r="C3525" t="s">
        <v>91</v>
      </c>
      <c r="D3525" t="s">
        <v>99</v>
      </c>
      <c r="E3525" t="s">
        <v>101</v>
      </c>
      <c r="F3525">
        <v>5200</v>
      </c>
      <c r="G3525" t="s">
        <v>331</v>
      </c>
      <c r="H3525" s="15">
        <v>45505</v>
      </c>
      <c r="I3525">
        <v>5200</v>
      </c>
      <c r="J3525">
        <v>0</v>
      </c>
    </row>
    <row r="3526" spans="1:10" x14ac:dyDescent="0.3">
      <c r="A3526" s="15">
        <v>45689</v>
      </c>
      <c r="B3526" t="s">
        <v>374</v>
      </c>
      <c r="C3526" t="s">
        <v>91</v>
      </c>
      <c r="D3526" t="s">
        <v>99</v>
      </c>
      <c r="E3526" t="s">
        <v>87</v>
      </c>
      <c r="F3526">
        <v>5000</v>
      </c>
      <c r="G3526" t="s">
        <v>331</v>
      </c>
      <c r="H3526" s="15">
        <v>45505</v>
      </c>
      <c r="I3526">
        <v>5000</v>
      </c>
      <c r="J3526">
        <v>0</v>
      </c>
    </row>
    <row r="3527" spans="1:10" x14ac:dyDescent="0.3">
      <c r="A3527" s="15">
        <v>45689</v>
      </c>
      <c r="B3527" t="s">
        <v>376</v>
      </c>
      <c r="C3527" t="s">
        <v>110</v>
      </c>
      <c r="D3527" t="s">
        <v>86</v>
      </c>
      <c r="E3527" t="s">
        <v>103</v>
      </c>
      <c r="F3527">
        <v>22900</v>
      </c>
      <c r="G3527" t="s">
        <v>331</v>
      </c>
      <c r="H3527" s="15">
        <v>45505</v>
      </c>
      <c r="I3527">
        <v>22900</v>
      </c>
      <c r="J3527">
        <v>0</v>
      </c>
    </row>
    <row r="3528" spans="1:10" x14ac:dyDescent="0.3">
      <c r="A3528" s="15">
        <v>45689</v>
      </c>
      <c r="B3528" t="s">
        <v>377</v>
      </c>
      <c r="C3528" t="s">
        <v>81</v>
      </c>
      <c r="D3528" t="s">
        <v>99</v>
      </c>
      <c r="E3528" t="s">
        <v>92</v>
      </c>
      <c r="F3528">
        <v>2300</v>
      </c>
      <c r="G3528" t="s">
        <v>331</v>
      </c>
      <c r="H3528" s="15">
        <v>45536</v>
      </c>
      <c r="I3528">
        <v>2300</v>
      </c>
      <c r="J3528">
        <v>0</v>
      </c>
    </row>
    <row r="3529" spans="1:10" x14ac:dyDescent="0.3">
      <c r="A3529" s="15">
        <v>45689</v>
      </c>
      <c r="B3529" t="s">
        <v>378</v>
      </c>
      <c r="C3529" t="s">
        <v>81</v>
      </c>
      <c r="D3529" t="s">
        <v>82</v>
      </c>
      <c r="E3529" t="s">
        <v>92</v>
      </c>
      <c r="F3529">
        <v>2300</v>
      </c>
      <c r="G3529" t="s">
        <v>331</v>
      </c>
      <c r="H3529" s="15">
        <v>45536</v>
      </c>
      <c r="I3529">
        <v>2300</v>
      </c>
      <c r="J3529">
        <v>0</v>
      </c>
    </row>
    <row r="3530" spans="1:10" x14ac:dyDescent="0.3">
      <c r="A3530" s="15">
        <v>45689</v>
      </c>
      <c r="B3530" t="s">
        <v>379</v>
      </c>
      <c r="C3530" t="s">
        <v>81</v>
      </c>
      <c r="D3530" t="s">
        <v>99</v>
      </c>
      <c r="E3530" t="s">
        <v>101</v>
      </c>
      <c r="F3530">
        <v>2600</v>
      </c>
      <c r="G3530" t="s">
        <v>331</v>
      </c>
      <c r="H3530" s="15">
        <v>45536</v>
      </c>
      <c r="I3530">
        <v>2600</v>
      </c>
      <c r="J3530">
        <v>0</v>
      </c>
    </row>
    <row r="3531" spans="1:10" x14ac:dyDescent="0.3">
      <c r="A3531" s="15">
        <v>45689</v>
      </c>
      <c r="B3531" t="s">
        <v>380</v>
      </c>
      <c r="C3531" t="s">
        <v>81</v>
      </c>
      <c r="D3531" t="s">
        <v>82</v>
      </c>
      <c r="E3531" t="s">
        <v>101</v>
      </c>
      <c r="F3531">
        <v>2200</v>
      </c>
      <c r="G3531" t="s">
        <v>331</v>
      </c>
      <c r="H3531" s="15">
        <v>45536</v>
      </c>
      <c r="I3531">
        <v>2200</v>
      </c>
      <c r="J3531">
        <v>0</v>
      </c>
    </row>
    <row r="3532" spans="1:10" x14ac:dyDescent="0.3">
      <c r="A3532" s="15">
        <v>45689</v>
      </c>
      <c r="B3532" t="s">
        <v>381</v>
      </c>
      <c r="C3532" t="s">
        <v>91</v>
      </c>
      <c r="D3532" t="s">
        <v>86</v>
      </c>
      <c r="E3532" t="s">
        <v>92</v>
      </c>
      <c r="F3532">
        <v>4600</v>
      </c>
      <c r="G3532" t="s">
        <v>331</v>
      </c>
      <c r="H3532" s="15">
        <v>45536</v>
      </c>
      <c r="I3532">
        <v>4600</v>
      </c>
      <c r="J3532">
        <v>0</v>
      </c>
    </row>
    <row r="3533" spans="1:10" x14ac:dyDescent="0.3">
      <c r="A3533" s="15">
        <v>45689</v>
      </c>
      <c r="B3533" t="s">
        <v>382</v>
      </c>
      <c r="C3533" t="s">
        <v>81</v>
      </c>
      <c r="D3533" t="s">
        <v>96</v>
      </c>
      <c r="E3533" t="s">
        <v>101</v>
      </c>
      <c r="F3533">
        <v>2100</v>
      </c>
      <c r="G3533" t="s">
        <v>331</v>
      </c>
      <c r="H3533" s="15">
        <v>45536</v>
      </c>
      <c r="I3533">
        <v>2100</v>
      </c>
      <c r="J3533">
        <v>0</v>
      </c>
    </row>
    <row r="3534" spans="1:10" x14ac:dyDescent="0.3">
      <c r="A3534" s="15">
        <v>45689</v>
      </c>
      <c r="B3534" t="s">
        <v>383</v>
      </c>
      <c r="C3534" t="s">
        <v>81</v>
      </c>
      <c r="D3534" t="s">
        <v>82</v>
      </c>
      <c r="E3534" t="s">
        <v>87</v>
      </c>
      <c r="F3534">
        <v>1800</v>
      </c>
      <c r="G3534" t="s">
        <v>331</v>
      </c>
      <c r="H3534" s="15">
        <v>45536</v>
      </c>
      <c r="I3534">
        <v>1800</v>
      </c>
      <c r="J3534">
        <v>0</v>
      </c>
    </row>
    <row r="3535" spans="1:10" x14ac:dyDescent="0.3">
      <c r="A3535" s="15">
        <v>45689</v>
      </c>
      <c r="B3535" t="s">
        <v>384</v>
      </c>
      <c r="C3535" t="s">
        <v>91</v>
      </c>
      <c r="D3535" t="s">
        <v>82</v>
      </c>
      <c r="E3535" t="s">
        <v>103</v>
      </c>
      <c r="F3535">
        <v>5000</v>
      </c>
      <c r="G3535" t="s">
        <v>331</v>
      </c>
      <c r="H3535" s="15">
        <v>45566</v>
      </c>
      <c r="I3535">
        <v>5000</v>
      </c>
      <c r="J3535">
        <v>0</v>
      </c>
    </row>
    <row r="3536" spans="1:10" x14ac:dyDescent="0.3">
      <c r="A3536" s="15">
        <v>45689</v>
      </c>
      <c r="B3536" t="s">
        <v>385</v>
      </c>
      <c r="C3536" t="s">
        <v>91</v>
      </c>
      <c r="D3536" t="s">
        <v>99</v>
      </c>
      <c r="E3536" t="s">
        <v>83</v>
      </c>
      <c r="F3536">
        <v>8300</v>
      </c>
      <c r="G3536" t="s">
        <v>331</v>
      </c>
      <c r="H3536" s="15">
        <v>45566</v>
      </c>
      <c r="I3536">
        <v>8300</v>
      </c>
      <c r="J3536">
        <v>0</v>
      </c>
    </row>
    <row r="3537" spans="1:10" x14ac:dyDescent="0.3">
      <c r="A3537" s="15">
        <v>45689</v>
      </c>
      <c r="B3537" t="s">
        <v>386</v>
      </c>
      <c r="C3537" t="s">
        <v>81</v>
      </c>
      <c r="D3537" t="s">
        <v>82</v>
      </c>
      <c r="E3537" t="s">
        <v>103</v>
      </c>
      <c r="F3537">
        <v>2200</v>
      </c>
      <c r="G3537" t="s">
        <v>331</v>
      </c>
      <c r="H3537" s="15">
        <v>45566</v>
      </c>
      <c r="I3537">
        <v>2200</v>
      </c>
      <c r="J3537">
        <v>0</v>
      </c>
    </row>
    <row r="3538" spans="1:10" x14ac:dyDescent="0.3">
      <c r="A3538" s="15">
        <v>45689</v>
      </c>
      <c r="B3538" t="s">
        <v>387</v>
      </c>
      <c r="C3538" t="s">
        <v>81</v>
      </c>
      <c r="D3538" t="s">
        <v>86</v>
      </c>
      <c r="E3538" t="s">
        <v>92</v>
      </c>
      <c r="F3538">
        <v>1700</v>
      </c>
      <c r="G3538" t="s">
        <v>331</v>
      </c>
      <c r="H3538" s="15">
        <v>45566</v>
      </c>
      <c r="I3538">
        <v>1700</v>
      </c>
      <c r="J3538">
        <v>0</v>
      </c>
    </row>
    <row r="3539" spans="1:10" x14ac:dyDescent="0.3">
      <c r="A3539" s="15">
        <v>45689</v>
      </c>
      <c r="B3539" t="s">
        <v>388</v>
      </c>
      <c r="C3539" t="s">
        <v>81</v>
      </c>
      <c r="D3539" t="s">
        <v>99</v>
      </c>
      <c r="E3539" t="s">
        <v>103</v>
      </c>
      <c r="F3539">
        <v>1700</v>
      </c>
      <c r="G3539" t="s">
        <v>331</v>
      </c>
      <c r="H3539" s="15">
        <v>45566</v>
      </c>
      <c r="I3539">
        <v>1700</v>
      </c>
      <c r="J3539">
        <v>0</v>
      </c>
    </row>
    <row r="3540" spans="1:10" x14ac:dyDescent="0.3">
      <c r="A3540" s="15">
        <v>45689</v>
      </c>
      <c r="B3540" t="s">
        <v>389</v>
      </c>
      <c r="C3540" t="s">
        <v>91</v>
      </c>
      <c r="D3540" t="s">
        <v>82</v>
      </c>
      <c r="E3540" t="s">
        <v>101</v>
      </c>
      <c r="F3540">
        <v>7300</v>
      </c>
      <c r="G3540" t="s">
        <v>331</v>
      </c>
      <c r="H3540" s="15">
        <v>45566</v>
      </c>
      <c r="I3540">
        <v>7300</v>
      </c>
      <c r="J3540">
        <v>0</v>
      </c>
    </row>
    <row r="3541" spans="1:10" x14ac:dyDescent="0.3">
      <c r="A3541" s="15">
        <v>45689</v>
      </c>
      <c r="B3541" t="s">
        <v>390</v>
      </c>
      <c r="C3541" t="s">
        <v>91</v>
      </c>
      <c r="D3541" t="s">
        <v>82</v>
      </c>
      <c r="E3541" t="s">
        <v>89</v>
      </c>
      <c r="F3541">
        <v>6200</v>
      </c>
      <c r="G3541" t="s">
        <v>331</v>
      </c>
      <c r="H3541" s="15">
        <v>45566</v>
      </c>
      <c r="I3541">
        <v>6200</v>
      </c>
      <c r="J3541">
        <v>0</v>
      </c>
    </row>
    <row r="3542" spans="1:10" x14ac:dyDescent="0.3">
      <c r="A3542" s="15">
        <v>45689</v>
      </c>
      <c r="B3542" t="s">
        <v>391</v>
      </c>
      <c r="C3542" t="s">
        <v>91</v>
      </c>
      <c r="D3542" t="s">
        <v>82</v>
      </c>
      <c r="E3542" t="s">
        <v>92</v>
      </c>
      <c r="F3542">
        <v>8100</v>
      </c>
      <c r="G3542" t="s">
        <v>331</v>
      </c>
      <c r="H3542" s="15">
        <v>45597</v>
      </c>
      <c r="I3542">
        <v>8100</v>
      </c>
      <c r="J3542">
        <v>0</v>
      </c>
    </row>
    <row r="3543" spans="1:10" x14ac:dyDescent="0.3">
      <c r="A3543" s="15">
        <v>45689</v>
      </c>
      <c r="B3543" t="s">
        <v>392</v>
      </c>
      <c r="C3543" t="s">
        <v>91</v>
      </c>
      <c r="D3543" t="s">
        <v>86</v>
      </c>
      <c r="E3543" t="s">
        <v>97</v>
      </c>
      <c r="F3543">
        <v>10000</v>
      </c>
      <c r="G3543" t="s">
        <v>332</v>
      </c>
      <c r="H3543" s="15">
        <v>45597</v>
      </c>
      <c r="I3543">
        <v>8800</v>
      </c>
      <c r="J3543">
        <v>1200</v>
      </c>
    </row>
    <row r="3544" spans="1:10" x14ac:dyDescent="0.3">
      <c r="A3544" s="15">
        <v>45689</v>
      </c>
      <c r="B3544" t="s">
        <v>393</v>
      </c>
      <c r="C3544" t="s">
        <v>81</v>
      </c>
      <c r="D3544" t="s">
        <v>82</v>
      </c>
      <c r="E3544" t="s">
        <v>92</v>
      </c>
      <c r="F3544">
        <v>2100</v>
      </c>
      <c r="G3544" t="s">
        <v>331</v>
      </c>
      <c r="H3544" s="15">
        <v>45597</v>
      </c>
      <c r="I3544">
        <v>2100</v>
      </c>
      <c r="J3544">
        <v>0</v>
      </c>
    </row>
    <row r="3545" spans="1:10" x14ac:dyDescent="0.3">
      <c r="A3545" s="15">
        <v>45689</v>
      </c>
      <c r="B3545" t="s">
        <v>394</v>
      </c>
      <c r="C3545" t="s">
        <v>81</v>
      </c>
      <c r="D3545" t="s">
        <v>99</v>
      </c>
      <c r="E3545" t="s">
        <v>87</v>
      </c>
      <c r="F3545">
        <v>1400</v>
      </c>
      <c r="G3545" t="s">
        <v>331</v>
      </c>
      <c r="H3545" s="15">
        <v>45597</v>
      </c>
      <c r="I3545">
        <v>1400</v>
      </c>
      <c r="J3545">
        <v>0</v>
      </c>
    </row>
    <row r="3546" spans="1:10" x14ac:dyDescent="0.3">
      <c r="A3546" s="15">
        <v>45689</v>
      </c>
      <c r="B3546" t="s">
        <v>395</v>
      </c>
      <c r="C3546" t="s">
        <v>81</v>
      </c>
      <c r="D3546" t="s">
        <v>82</v>
      </c>
      <c r="E3546" t="s">
        <v>97</v>
      </c>
      <c r="F3546">
        <v>2200</v>
      </c>
      <c r="G3546" t="s">
        <v>331</v>
      </c>
      <c r="H3546" s="15">
        <v>45627</v>
      </c>
      <c r="I3546">
        <v>2200</v>
      </c>
      <c r="J3546">
        <v>0</v>
      </c>
    </row>
    <row r="3547" spans="1:10" x14ac:dyDescent="0.3">
      <c r="A3547" s="15">
        <v>45689</v>
      </c>
      <c r="B3547" t="s">
        <v>396</v>
      </c>
      <c r="C3547" t="s">
        <v>91</v>
      </c>
      <c r="D3547" t="s">
        <v>82</v>
      </c>
      <c r="E3547" t="s">
        <v>92</v>
      </c>
      <c r="F3547">
        <v>8800</v>
      </c>
      <c r="G3547" t="s">
        <v>331</v>
      </c>
      <c r="H3547" s="15">
        <v>45627</v>
      </c>
      <c r="I3547">
        <v>8800</v>
      </c>
      <c r="J3547">
        <v>0</v>
      </c>
    </row>
    <row r="3548" spans="1:10" x14ac:dyDescent="0.3">
      <c r="A3548" s="15">
        <v>45689</v>
      </c>
      <c r="B3548" t="s">
        <v>397</v>
      </c>
      <c r="C3548" t="s">
        <v>91</v>
      </c>
      <c r="D3548" t="s">
        <v>82</v>
      </c>
      <c r="E3548" t="s">
        <v>83</v>
      </c>
      <c r="F3548">
        <v>5400</v>
      </c>
      <c r="G3548" t="s">
        <v>331</v>
      </c>
      <c r="H3548" s="15">
        <v>45627</v>
      </c>
      <c r="I3548">
        <v>5400</v>
      </c>
      <c r="J3548">
        <v>0</v>
      </c>
    </row>
    <row r="3549" spans="1:10" x14ac:dyDescent="0.3">
      <c r="A3549" s="15">
        <v>45689</v>
      </c>
      <c r="B3549" t="s">
        <v>398</v>
      </c>
      <c r="C3549" t="s">
        <v>81</v>
      </c>
      <c r="D3549" t="s">
        <v>86</v>
      </c>
      <c r="E3549" t="s">
        <v>92</v>
      </c>
      <c r="F3549">
        <v>1600</v>
      </c>
      <c r="G3549" t="s">
        <v>331</v>
      </c>
      <c r="H3549" s="15">
        <v>45627</v>
      </c>
      <c r="I3549">
        <v>1600</v>
      </c>
      <c r="J3549">
        <v>0</v>
      </c>
    </row>
    <row r="3550" spans="1:10" x14ac:dyDescent="0.3">
      <c r="A3550" s="15">
        <v>45689</v>
      </c>
      <c r="B3550" t="s">
        <v>399</v>
      </c>
      <c r="C3550" t="s">
        <v>110</v>
      </c>
      <c r="D3550" t="s">
        <v>82</v>
      </c>
      <c r="E3550" t="s">
        <v>101</v>
      </c>
      <c r="F3550">
        <v>17400</v>
      </c>
      <c r="G3550" t="s">
        <v>331</v>
      </c>
      <c r="H3550" s="15">
        <v>45627</v>
      </c>
      <c r="I3550">
        <v>17400</v>
      </c>
      <c r="J3550">
        <v>0</v>
      </c>
    </row>
    <row r="3551" spans="1:10" x14ac:dyDescent="0.3">
      <c r="A3551" s="15">
        <v>45689</v>
      </c>
      <c r="B3551" t="s">
        <v>400</v>
      </c>
      <c r="C3551" t="s">
        <v>91</v>
      </c>
      <c r="D3551" t="s">
        <v>82</v>
      </c>
      <c r="E3551" t="s">
        <v>103</v>
      </c>
      <c r="F3551">
        <v>4400</v>
      </c>
      <c r="G3551" t="s">
        <v>331</v>
      </c>
      <c r="H3551" s="15">
        <v>45627</v>
      </c>
      <c r="I3551">
        <v>4400</v>
      </c>
      <c r="J3551">
        <v>0</v>
      </c>
    </row>
    <row r="3552" spans="1:10" x14ac:dyDescent="0.3">
      <c r="A3552" s="15">
        <v>45689</v>
      </c>
      <c r="B3552" t="s">
        <v>401</v>
      </c>
      <c r="C3552" t="s">
        <v>81</v>
      </c>
      <c r="D3552" t="s">
        <v>82</v>
      </c>
      <c r="E3552" t="s">
        <v>103</v>
      </c>
      <c r="F3552">
        <v>2200</v>
      </c>
      <c r="G3552" t="s">
        <v>331</v>
      </c>
      <c r="H3552" s="15">
        <v>45658</v>
      </c>
      <c r="I3552">
        <v>2200</v>
      </c>
      <c r="J3552">
        <v>0</v>
      </c>
    </row>
    <row r="3553" spans="1:10" x14ac:dyDescent="0.3">
      <c r="A3553" s="15">
        <v>45689</v>
      </c>
      <c r="B3553" t="s">
        <v>402</v>
      </c>
      <c r="C3553" t="s">
        <v>81</v>
      </c>
      <c r="D3553" t="s">
        <v>99</v>
      </c>
      <c r="E3553" t="s">
        <v>103</v>
      </c>
      <c r="F3553">
        <v>0</v>
      </c>
      <c r="G3553" t="s">
        <v>333</v>
      </c>
      <c r="H3553" s="15">
        <v>45658</v>
      </c>
      <c r="I3553">
        <v>2200</v>
      </c>
      <c r="J3553">
        <v>-2200</v>
      </c>
    </row>
    <row r="3554" spans="1:10" x14ac:dyDescent="0.3">
      <c r="A3554" s="15">
        <v>45689</v>
      </c>
      <c r="B3554" t="s">
        <v>403</v>
      </c>
      <c r="C3554" t="s">
        <v>81</v>
      </c>
      <c r="D3554" t="s">
        <v>82</v>
      </c>
      <c r="E3554" t="s">
        <v>101</v>
      </c>
      <c r="F3554">
        <v>1900</v>
      </c>
      <c r="G3554" t="s">
        <v>331</v>
      </c>
      <c r="H3554" s="15">
        <v>45658</v>
      </c>
      <c r="I3554">
        <v>1900</v>
      </c>
      <c r="J3554">
        <v>0</v>
      </c>
    </row>
    <row r="3555" spans="1:10" x14ac:dyDescent="0.3">
      <c r="A3555" s="15">
        <v>45689</v>
      </c>
      <c r="B3555" t="s">
        <v>404</v>
      </c>
      <c r="C3555" t="s">
        <v>81</v>
      </c>
      <c r="D3555" t="s">
        <v>86</v>
      </c>
      <c r="E3555" t="s">
        <v>83</v>
      </c>
      <c r="F3555">
        <v>2100</v>
      </c>
      <c r="G3555" t="s">
        <v>331</v>
      </c>
      <c r="H3555" s="15">
        <v>45658</v>
      </c>
      <c r="I3555">
        <v>2100</v>
      </c>
      <c r="J3555">
        <v>0</v>
      </c>
    </row>
    <row r="3556" spans="1:10" x14ac:dyDescent="0.3">
      <c r="A3556" s="15">
        <v>45689</v>
      </c>
      <c r="B3556" t="s">
        <v>405</v>
      </c>
      <c r="C3556" t="s">
        <v>81</v>
      </c>
      <c r="D3556" t="s">
        <v>82</v>
      </c>
      <c r="E3556" t="s">
        <v>92</v>
      </c>
      <c r="F3556">
        <v>1400</v>
      </c>
      <c r="G3556" t="s">
        <v>331</v>
      </c>
      <c r="H3556" s="15">
        <v>45658</v>
      </c>
      <c r="I3556">
        <v>1400</v>
      </c>
      <c r="J3556">
        <v>0</v>
      </c>
    </row>
    <row r="3557" spans="1:10" x14ac:dyDescent="0.3">
      <c r="A3557" s="15">
        <v>45689</v>
      </c>
      <c r="B3557" t="s">
        <v>406</v>
      </c>
      <c r="C3557" t="s">
        <v>91</v>
      </c>
      <c r="D3557" t="s">
        <v>86</v>
      </c>
      <c r="E3557" t="s">
        <v>87</v>
      </c>
      <c r="F3557">
        <v>5400</v>
      </c>
      <c r="G3557" t="s">
        <v>331</v>
      </c>
      <c r="H3557" s="15">
        <v>45658</v>
      </c>
      <c r="I3557">
        <v>5400</v>
      </c>
      <c r="J3557">
        <v>0</v>
      </c>
    </row>
    <row r="3558" spans="1:10" x14ac:dyDescent="0.3">
      <c r="A3558" s="15">
        <v>45689</v>
      </c>
      <c r="B3558" t="s">
        <v>407</v>
      </c>
      <c r="C3558" t="s">
        <v>81</v>
      </c>
      <c r="D3558" t="s">
        <v>82</v>
      </c>
      <c r="E3558" t="s">
        <v>92</v>
      </c>
      <c r="F3558">
        <v>2400</v>
      </c>
      <c r="G3558" t="s">
        <v>84</v>
      </c>
      <c r="H3558" s="15">
        <v>45689</v>
      </c>
      <c r="I3558">
        <v>0</v>
      </c>
      <c r="J3558">
        <v>2400</v>
      </c>
    </row>
    <row r="3559" spans="1:10" x14ac:dyDescent="0.3">
      <c r="A3559" s="15">
        <v>45689</v>
      </c>
      <c r="B3559" t="s">
        <v>408</v>
      </c>
      <c r="C3559" t="s">
        <v>91</v>
      </c>
      <c r="D3559" t="s">
        <v>82</v>
      </c>
      <c r="E3559" t="s">
        <v>97</v>
      </c>
      <c r="F3559">
        <v>8300</v>
      </c>
      <c r="G3559" t="s">
        <v>84</v>
      </c>
      <c r="H3559" s="15">
        <v>45689</v>
      </c>
      <c r="I3559">
        <v>0</v>
      </c>
      <c r="J3559">
        <v>8300</v>
      </c>
    </row>
    <row r="3560" spans="1:10" x14ac:dyDescent="0.3">
      <c r="A3560" s="15">
        <v>45689</v>
      </c>
      <c r="B3560" t="s">
        <v>409</v>
      </c>
      <c r="C3560" t="s">
        <v>81</v>
      </c>
      <c r="D3560" t="s">
        <v>82</v>
      </c>
      <c r="E3560" t="s">
        <v>83</v>
      </c>
      <c r="F3560">
        <v>1700</v>
      </c>
      <c r="G3560" t="s">
        <v>84</v>
      </c>
      <c r="H3560" s="15">
        <v>45689</v>
      </c>
      <c r="I3560">
        <v>0</v>
      </c>
      <c r="J3560">
        <v>1700</v>
      </c>
    </row>
    <row r="3561" spans="1:10" x14ac:dyDescent="0.3">
      <c r="A3561" s="15">
        <v>45689</v>
      </c>
      <c r="B3561" t="s">
        <v>410</v>
      </c>
      <c r="C3561" t="s">
        <v>125</v>
      </c>
      <c r="D3561" t="s">
        <v>82</v>
      </c>
      <c r="E3561" t="s">
        <v>103</v>
      </c>
      <c r="F3561">
        <v>56400</v>
      </c>
      <c r="G3561" t="s">
        <v>84</v>
      </c>
      <c r="H3561" s="15">
        <v>45689</v>
      </c>
      <c r="I3561">
        <v>0</v>
      </c>
      <c r="J3561">
        <v>56400</v>
      </c>
    </row>
    <row r="3562" spans="1:10" x14ac:dyDescent="0.3">
      <c r="A3562" s="15">
        <v>45689</v>
      </c>
      <c r="B3562" t="s">
        <v>411</v>
      </c>
      <c r="C3562" t="s">
        <v>91</v>
      </c>
      <c r="D3562" t="s">
        <v>86</v>
      </c>
      <c r="E3562" t="s">
        <v>92</v>
      </c>
      <c r="F3562">
        <v>7700</v>
      </c>
      <c r="G3562" t="s">
        <v>84</v>
      </c>
      <c r="H3562" s="15">
        <v>45689</v>
      </c>
      <c r="I3562">
        <v>0</v>
      </c>
      <c r="J3562">
        <v>7700</v>
      </c>
    </row>
    <row r="3563" spans="1:10" x14ac:dyDescent="0.3">
      <c r="A3563" s="15">
        <v>45717</v>
      </c>
      <c r="B3563" t="s">
        <v>80</v>
      </c>
      <c r="C3563" t="s">
        <v>81</v>
      </c>
      <c r="D3563" t="s">
        <v>82</v>
      </c>
      <c r="E3563" t="s">
        <v>83</v>
      </c>
      <c r="F3563">
        <v>1900</v>
      </c>
      <c r="G3563" t="s">
        <v>331</v>
      </c>
      <c r="H3563" s="15">
        <v>45292</v>
      </c>
      <c r="I3563">
        <v>1900</v>
      </c>
      <c r="J3563">
        <v>0</v>
      </c>
    </row>
    <row r="3564" spans="1:10" x14ac:dyDescent="0.3">
      <c r="A3564" s="15">
        <v>45717</v>
      </c>
      <c r="B3564" t="s">
        <v>85</v>
      </c>
      <c r="C3564" t="s">
        <v>81</v>
      </c>
      <c r="D3564" t="s">
        <v>86</v>
      </c>
      <c r="E3564" t="s">
        <v>87</v>
      </c>
      <c r="F3564">
        <v>3200</v>
      </c>
      <c r="G3564" t="s">
        <v>331</v>
      </c>
      <c r="H3564" s="15">
        <v>45292</v>
      </c>
      <c r="I3564">
        <v>3200</v>
      </c>
      <c r="J3564">
        <v>0</v>
      </c>
    </row>
    <row r="3565" spans="1:10" x14ac:dyDescent="0.3">
      <c r="A3565" s="15">
        <v>45717</v>
      </c>
      <c r="B3565" t="s">
        <v>88</v>
      </c>
      <c r="C3565" t="s">
        <v>81</v>
      </c>
      <c r="D3565" t="s">
        <v>86</v>
      </c>
      <c r="E3565" t="s">
        <v>89</v>
      </c>
      <c r="F3565">
        <v>2400</v>
      </c>
      <c r="G3565" t="s">
        <v>334</v>
      </c>
      <c r="H3565" s="15">
        <v>45292</v>
      </c>
      <c r="I3565">
        <v>2800</v>
      </c>
      <c r="J3565">
        <v>-400</v>
      </c>
    </row>
    <row r="3566" spans="1:10" x14ac:dyDescent="0.3">
      <c r="A3566" s="15">
        <v>45717</v>
      </c>
      <c r="B3566" t="s">
        <v>90</v>
      </c>
      <c r="C3566" t="s">
        <v>91</v>
      </c>
      <c r="D3566" t="s">
        <v>82</v>
      </c>
      <c r="E3566" t="s">
        <v>92</v>
      </c>
      <c r="F3566">
        <v>8300</v>
      </c>
      <c r="G3566" t="s">
        <v>331</v>
      </c>
      <c r="H3566" s="15">
        <v>45292</v>
      </c>
      <c r="I3566">
        <v>8300</v>
      </c>
      <c r="J3566">
        <v>0</v>
      </c>
    </row>
    <row r="3567" spans="1:10" x14ac:dyDescent="0.3">
      <c r="A3567" s="15">
        <v>45717</v>
      </c>
      <c r="B3567" t="s">
        <v>93</v>
      </c>
      <c r="C3567" t="s">
        <v>81</v>
      </c>
      <c r="D3567" t="s">
        <v>86</v>
      </c>
      <c r="E3567" t="s">
        <v>83</v>
      </c>
      <c r="F3567">
        <v>2300</v>
      </c>
      <c r="G3567" t="s">
        <v>331</v>
      </c>
      <c r="H3567" s="15">
        <v>45292</v>
      </c>
      <c r="I3567">
        <v>2300</v>
      </c>
      <c r="J3567">
        <v>0</v>
      </c>
    </row>
    <row r="3568" spans="1:10" x14ac:dyDescent="0.3">
      <c r="A3568" s="15">
        <v>45717</v>
      </c>
      <c r="B3568" t="s">
        <v>94</v>
      </c>
      <c r="C3568" t="s">
        <v>91</v>
      </c>
      <c r="D3568" t="s">
        <v>86</v>
      </c>
      <c r="E3568" t="s">
        <v>83</v>
      </c>
      <c r="F3568">
        <v>8500</v>
      </c>
      <c r="G3568" t="s">
        <v>331</v>
      </c>
      <c r="H3568" s="15">
        <v>45292</v>
      </c>
      <c r="I3568">
        <v>8500</v>
      </c>
      <c r="J3568">
        <v>0</v>
      </c>
    </row>
    <row r="3569" spans="1:10" x14ac:dyDescent="0.3">
      <c r="A3569" s="15">
        <v>45717</v>
      </c>
      <c r="B3569" t="s">
        <v>95</v>
      </c>
      <c r="C3569" t="s">
        <v>81</v>
      </c>
      <c r="D3569" t="s">
        <v>96</v>
      </c>
      <c r="E3569" t="s">
        <v>97</v>
      </c>
      <c r="F3569">
        <v>3100</v>
      </c>
      <c r="G3569" t="s">
        <v>331</v>
      </c>
      <c r="H3569" s="15">
        <v>45292</v>
      </c>
      <c r="I3569">
        <v>3100</v>
      </c>
      <c r="J3569">
        <v>0</v>
      </c>
    </row>
    <row r="3570" spans="1:10" x14ac:dyDescent="0.3">
      <c r="A3570" s="15">
        <v>45717</v>
      </c>
      <c r="B3570" t="s">
        <v>98</v>
      </c>
      <c r="C3570" t="s">
        <v>81</v>
      </c>
      <c r="D3570" t="s">
        <v>99</v>
      </c>
      <c r="E3570" t="s">
        <v>92</v>
      </c>
      <c r="F3570">
        <v>2300</v>
      </c>
      <c r="G3570" t="s">
        <v>331</v>
      </c>
      <c r="H3570" s="15">
        <v>45292</v>
      </c>
      <c r="I3570">
        <v>2300</v>
      </c>
      <c r="J3570">
        <v>0</v>
      </c>
    </row>
    <row r="3571" spans="1:10" x14ac:dyDescent="0.3">
      <c r="A3571" s="15">
        <v>45717</v>
      </c>
      <c r="B3571" t="s">
        <v>100</v>
      </c>
      <c r="C3571" t="s">
        <v>81</v>
      </c>
      <c r="D3571" t="s">
        <v>86</v>
      </c>
      <c r="E3571" t="s">
        <v>101</v>
      </c>
      <c r="F3571">
        <v>1800</v>
      </c>
      <c r="G3571" t="s">
        <v>331</v>
      </c>
      <c r="H3571" s="15">
        <v>45292</v>
      </c>
      <c r="I3571">
        <v>1800</v>
      </c>
      <c r="J3571">
        <v>0</v>
      </c>
    </row>
    <row r="3572" spans="1:10" x14ac:dyDescent="0.3">
      <c r="A3572" s="15">
        <v>45717</v>
      </c>
      <c r="B3572" t="s">
        <v>102</v>
      </c>
      <c r="C3572" t="s">
        <v>81</v>
      </c>
      <c r="D3572" t="s">
        <v>99</v>
      </c>
      <c r="E3572" t="s">
        <v>103</v>
      </c>
      <c r="F3572">
        <v>3300</v>
      </c>
      <c r="G3572" t="s">
        <v>331</v>
      </c>
      <c r="H3572" s="15">
        <v>45292</v>
      </c>
      <c r="I3572">
        <v>3300</v>
      </c>
      <c r="J3572">
        <v>0</v>
      </c>
    </row>
    <row r="3573" spans="1:10" x14ac:dyDescent="0.3">
      <c r="A3573" s="15">
        <v>45717</v>
      </c>
      <c r="B3573" t="s">
        <v>104</v>
      </c>
      <c r="C3573" t="s">
        <v>91</v>
      </c>
      <c r="D3573" t="s">
        <v>99</v>
      </c>
      <c r="E3573" t="s">
        <v>87</v>
      </c>
      <c r="F3573">
        <v>7000</v>
      </c>
      <c r="G3573" t="s">
        <v>331</v>
      </c>
      <c r="H3573" s="15">
        <v>45292</v>
      </c>
      <c r="I3573">
        <v>7000</v>
      </c>
      <c r="J3573">
        <v>0</v>
      </c>
    </row>
    <row r="3574" spans="1:10" x14ac:dyDescent="0.3">
      <c r="A3574" s="15">
        <v>45717</v>
      </c>
      <c r="B3574" t="s">
        <v>105</v>
      </c>
      <c r="C3574" t="s">
        <v>91</v>
      </c>
      <c r="D3574" t="s">
        <v>86</v>
      </c>
      <c r="E3574" t="s">
        <v>89</v>
      </c>
      <c r="F3574">
        <v>12900</v>
      </c>
      <c r="G3574" t="s">
        <v>331</v>
      </c>
      <c r="H3574" s="15">
        <v>45292</v>
      </c>
      <c r="I3574">
        <v>12900</v>
      </c>
      <c r="J3574">
        <v>0</v>
      </c>
    </row>
    <row r="3575" spans="1:10" x14ac:dyDescent="0.3">
      <c r="A3575" s="15">
        <v>45717</v>
      </c>
      <c r="B3575" t="s">
        <v>106</v>
      </c>
      <c r="C3575" t="s">
        <v>81</v>
      </c>
      <c r="D3575" t="s">
        <v>99</v>
      </c>
      <c r="E3575" t="s">
        <v>92</v>
      </c>
      <c r="F3575">
        <v>2700</v>
      </c>
      <c r="G3575" t="s">
        <v>331</v>
      </c>
      <c r="H3575" s="15">
        <v>45292</v>
      </c>
      <c r="I3575">
        <v>2700</v>
      </c>
      <c r="J3575">
        <v>0</v>
      </c>
    </row>
    <row r="3576" spans="1:10" x14ac:dyDescent="0.3">
      <c r="A3576" s="15">
        <v>45717</v>
      </c>
      <c r="B3576" t="s">
        <v>109</v>
      </c>
      <c r="C3576" t="s">
        <v>110</v>
      </c>
      <c r="D3576" t="s">
        <v>82</v>
      </c>
      <c r="E3576" t="s">
        <v>103</v>
      </c>
      <c r="F3576">
        <v>32700</v>
      </c>
      <c r="G3576" t="s">
        <v>331</v>
      </c>
      <c r="H3576" s="15">
        <v>45292</v>
      </c>
      <c r="I3576">
        <v>32700</v>
      </c>
      <c r="J3576">
        <v>0</v>
      </c>
    </row>
    <row r="3577" spans="1:10" x14ac:dyDescent="0.3">
      <c r="A3577" s="15">
        <v>45717</v>
      </c>
      <c r="B3577" t="s">
        <v>111</v>
      </c>
      <c r="C3577" t="s">
        <v>91</v>
      </c>
      <c r="D3577" t="s">
        <v>82</v>
      </c>
      <c r="E3577" t="s">
        <v>83</v>
      </c>
      <c r="F3577">
        <v>8800</v>
      </c>
      <c r="G3577" t="s">
        <v>331</v>
      </c>
      <c r="H3577" s="15">
        <v>45292</v>
      </c>
      <c r="I3577">
        <v>8800</v>
      </c>
      <c r="J3577">
        <v>0</v>
      </c>
    </row>
    <row r="3578" spans="1:10" x14ac:dyDescent="0.3">
      <c r="A3578" s="15">
        <v>45717</v>
      </c>
      <c r="B3578" t="s">
        <v>112</v>
      </c>
      <c r="C3578" t="s">
        <v>91</v>
      </c>
      <c r="D3578" t="s">
        <v>82</v>
      </c>
      <c r="E3578" t="s">
        <v>92</v>
      </c>
      <c r="F3578">
        <v>8600</v>
      </c>
      <c r="G3578" t="s">
        <v>331</v>
      </c>
      <c r="H3578" s="15">
        <v>45292</v>
      </c>
      <c r="I3578">
        <v>8600</v>
      </c>
      <c r="J3578">
        <v>0</v>
      </c>
    </row>
    <row r="3579" spans="1:10" x14ac:dyDescent="0.3">
      <c r="A3579" s="15">
        <v>45717</v>
      </c>
      <c r="B3579" t="s">
        <v>113</v>
      </c>
      <c r="C3579" t="s">
        <v>81</v>
      </c>
      <c r="D3579" t="s">
        <v>96</v>
      </c>
      <c r="E3579" t="s">
        <v>89</v>
      </c>
      <c r="F3579">
        <v>2500</v>
      </c>
      <c r="G3579" t="s">
        <v>331</v>
      </c>
      <c r="H3579" s="15">
        <v>45292</v>
      </c>
      <c r="I3579">
        <v>2500</v>
      </c>
      <c r="J3579">
        <v>0</v>
      </c>
    </row>
    <row r="3580" spans="1:10" x14ac:dyDescent="0.3">
      <c r="A3580" s="15">
        <v>45717</v>
      </c>
      <c r="B3580" t="s">
        <v>114</v>
      </c>
      <c r="C3580" t="s">
        <v>110</v>
      </c>
      <c r="D3580" t="s">
        <v>99</v>
      </c>
      <c r="E3580" t="s">
        <v>97</v>
      </c>
      <c r="F3580">
        <v>41600</v>
      </c>
      <c r="G3580" t="s">
        <v>331</v>
      </c>
      <c r="H3580" s="15">
        <v>45292</v>
      </c>
      <c r="I3580">
        <v>41600</v>
      </c>
      <c r="J3580">
        <v>0</v>
      </c>
    </row>
    <row r="3581" spans="1:10" x14ac:dyDescent="0.3">
      <c r="A3581" s="15">
        <v>45717</v>
      </c>
      <c r="B3581" t="s">
        <v>115</v>
      </c>
      <c r="C3581" t="s">
        <v>81</v>
      </c>
      <c r="D3581" t="s">
        <v>82</v>
      </c>
      <c r="E3581" t="s">
        <v>101</v>
      </c>
      <c r="F3581">
        <v>2600</v>
      </c>
      <c r="G3581" t="s">
        <v>331</v>
      </c>
      <c r="H3581" s="15">
        <v>45292</v>
      </c>
      <c r="I3581">
        <v>2600</v>
      </c>
      <c r="J3581">
        <v>0</v>
      </c>
    </row>
    <row r="3582" spans="1:10" x14ac:dyDescent="0.3">
      <c r="A3582" s="15">
        <v>45717</v>
      </c>
      <c r="B3582" t="s">
        <v>116</v>
      </c>
      <c r="C3582" t="s">
        <v>81</v>
      </c>
      <c r="D3582" t="s">
        <v>86</v>
      </c>
      <c r="E3582" t="s">
        <v>87</v>
      </c>
      <c r="F3582">
        <v>2900</v>
      </c>
      <c r="G3582" t="s">
        <v>331</v>
      </c>
      <c r="H3582" s="15">
        <v>45292</v>
      </c>
      <c r="I3582">
        <v>2900</v>
      </c>
      <c r="J3582">
        <v>0</v>
      </c>
    </row>
    <row r="3583" spans="1:10" x14ac:dyDescent="0.3">
      <c r="A3583" s="15">
        <v>45717</v>
      </c>
      <c r="B3583" t="s">
        <v>117</v>
      </c>
      <c r="C3583" t="s">
        <v>81</v>
      </c>
      <c r="D3583" t="s">
        <v>86</v>
      </c>
      <c r="E3583" t="s">
        <v>103</v>
      </c>
      <c r="F3583">
        <v>2500</v>
      </c>
      <c r="G3583" t="s">
        <v>331</v>
      </c>
      <c r="H3583" s="15">
        <v>45292</v>
      </c>
      <c r="I3583">
        <v>2500</v>
      </c>
      <c r="J3583">
        <v>0</v>
      </c>
    </row>
    <row r="3584" spans="1:10" x14ac:dyDescent="0.3">
      <c r="A3584" s="15">
        <v>45717</v>
      </c>
      <c r="B3584" t="s">
        <v>119</v>
      </c>
      <c r="C3584" t="s">
        <v>91</v>
      </c>
      <c r="D3584" t="s">
        <v>96</v>
      </c>
      <c r="E3584" t="s">
        <v>89</v>
      </c>
      <c r="F3584">
        <v>12800</v>
      </c>
      <c r="G3584" t="s">
        <v>331</v>
      </c>
      <c r="H3584" s="15">
        <v>45292</v>
      </c>
      <c r="I3584">
        <v>12800</v>
      </c>
      <c r="J3584">
        <v>0</v>
      </c>
    </row>
    <row r="3585" spans="1:10" x14ac:dyDescent="0.3">
      <c r="A3585" s="15">
        <v>45717</v>
      </c>
      <c r="B3585" t="s">
        <v>120</v>
      </c>
      <c r="C3585" t="s">
        <v>81</v>
      </c>
      <c r="D3585" t="s">
        <v>86</v>
      </c>
      <c r="E3585" t="s">
        <v>101</v>
      </c>
      <c r="F3585">
        <v>2200</v>
      </c>
      <c r="G3585" t="s">
        <v>331</v>
      </c>
      <c r="H3585" s="15">
        <v>45292</v>
      </c>
      <c r="I3585">
        <v>2200</v>
      </c>
      <c r="J3585">
        <v>0</v>
      </c>
    </row>
    <row r="3586" spans="1:10" x14ac:dyDescent="0.3">
      <c r="A3586" s="15">
        <v>45717</v>
      </c>
      <c r="B3586" t="s">
        <v>123</v>
      </c>
      <c r="C3586" t="s">
        <v>81</v>
      </c>
      <c r="D3586" t="s">
        <v>82</v>
      </c>
      <c r="E3586" t="s">
        <v>92</v>
      </c>
      <c r="F3586">
        <v>2200</v>
      </c>
      <c r="G3586" t="s">
        <v>331</v>
      </c>
      <c r="H3586" s="15">
        <v>45292</v>
      </c>
      <c r="I3586">
        <v>2200</v>
      </c>
      <c r="J3586">
        <v>0</v>
      </c>
    </row>
    <row r="3587" spans="1:10" x14ac:dyDescent="0.3">
      <c r="A3587" s="15">
        <v>45717</v>
      </c>
      <c r="B3587" t="s">
        <v>124</v>
      </c>
      <c r="C3587" t="s">
        <v>125</v>
      </c>
      <c r="D3587" t="s">
        <v>82</v>
      </c>
      <c r="E3587" t="s">
        <v>97</v>
      </c>
      <c r="F3587">
        <v>67900</v>
      </c>
      <c r="G3587" t="s">
        <v>331</v>
      </c>
      <c r="H3587" s="15">
        <v>45292</v>
      </c>
      <c r="I3587">
        <v>67900</v>
      </c>
      <c r="J3587">
        <v>0</v>
      </c>
    </row>
    <row r="3588" spans="1:10" x14ac:dyDescent="0.3">
      <c r="A3588" s="15">
        <v>45717</v>
      </c>
      <c r="B3588" t="s">
        <v>126</v>
      </c>
      <c r="C3588" t="s">
        <v>91</v>
      </c>
      <c r="D3588" t="s">
        <v>82</v>
      </c>
      <c r="E3588" t="s">
        <v>83</v>
      </c>
      <c r="F3588">
        <v>8800</v>
      </c>
      <c r="G3588" t="s">
        <v>331</v>
      </c>
      <c r="H3588" s="15">
        <v>45292</v>
      </c>
      <c r="I3588">
        <v>8800</v>
      </c>
      <c r="J3588">
        <v>0</v>
      </c>
    </row>
    <row r="3589" spans="1:10" x14ac:dyDescent="0.3">
      <c r="A3589" s="15">
        <v>45717</v>
      </c>
      <c r="B3589" t="s">
        <v>127</v>
      </c>
      <c r="C3589" t="s">
        <v>81</v>
      </c>
      <c r="D3589" t="s">
        <v>82</v>
      </c>
      <c r="E3589" t="s">
        <v>101</v>
      </c>
      <c r="F3589">
        <v>2400</v>
      </c>
      <c r="G3589" t="s">
        <v>331</v>
      </c>
      <c r="H3589" s="15">
        <v>45292</v>
      </c>
      <c r="I3589">
        <v>2400</v>
      </c>
      <c r="J3589">
        <v>0</v>
      </c>
    </row>
    <row r="3590" spans="1:10" x14ac:dyDescent="0.3">
      <c r="A3590" s="15">
        <v>45717</v>
      </c>
      <c r="B3590" t="s">
        <v>128</v>
      </c>
      <c r="C3590" t="s">
        <v>81</v>
      </c>
      <c r="D3590" t="s">
        <v>82</v>
      </c>
      <c r="E3590" t="s">
        <v>92</v>
      </c>
      <c r="F3590">
        <v>1700</v>
      </c>
      <c r="G3590" t="s">
        <v>331</v>
      </c>
      <c r="H3590" s="15">
        <v>45292</v>
      </c>
      <c r="I3590">
        <v>1700</v>
      </c>
      <c r="J3590">
        <v>0</v>
      </c>
    </row>
    <row r="3591" spans="1:10" x14ac:dyDescent="0.3">
      <c r="A3591" s="15">
        <v>45717</v>
      </c>
      <c r="B3591" t="s">
        <v>129</v>
      </c>
      <c r="C3591" t="s">
        <v>110</v>
      </c>
      <c r="D3591" t="s">
        <v>86</v>
      </c>
      <c r="E3591" t="s">
        <v>92</v>
      </c>
      <c r="F3591">
        <v>34200</v>
      </c>
      <c r="G3591" t="s">
        <v>331</v>
      </c>
      <c r="H3591" s="15">
        <v>45292</v>
      </c>
      <c r="I3591">
        <v>34200</v>
      </c>
      <c r="J3591">
        <v>0</v>
      </c>
    </row>
    <row r="3592" spans="1:10" x14ac:dyDescent="0.3">
      <c r="A3592" s="15">
        <v>45717</v>
      </c>
      <c r="B3592" t="s">
        <v>133</v>
      </c>
      <c r="C3592" t="s">
        <v>81</v>
      </c>
      <c r="D3592" t="s">
        <v>96</v>
      </c>
      <c r="E3592" t="s">
        <v>87</v>
      </c>
      <c r="F3592">
        <v>2700</v>
      </c>
      <c r="G3592" t="s">
        <v>331</v>
      </c>
      <c r="H3592" s="15">
        <v>45292</v>
      </c>
      <c r="I3592">
        <v>2700</v>
      </c>
      <c r="J3592">
        <v>0</v>
      </c>
    </row>
    <row r="3593" spans="1:10" x14ac:dyDescent="0.3">
      <c r="A3593" s="15">
        <v>45717</v>
      </c>
      <c r="B3593" t="s">
        <v>134</v>
      </c>
      <c r="C3593" t="s">
        <v>81</v>
      </c>
      <c r="D3593" t="s">
        <v>82</v>
      </c>
      <c r="E3593" t="s">
        <v>92</v>
      </c>
      <c r="F3593">
        <v>2400</v>
      </c>
      <c r="G3593" t="s">
        <v>331</v>
      </c>
      <c r="H3593" s="15">
        <v>45292</v>
      </c>
      <c r="I3593">
        <v>2400</v>
      </c>
      <c r="J3593">
        <v>0</v>
      </c>
    </row>
    <row r="3594" spans="1:10" x14ac:dyDescent="0.3">
      <c r="A3594" s="15">
        <v>45717</v>
      </c>
      <c r="B3594" t="s">
        <v>135</v>
      </c>
      <c r="C3594" t="s">
        <v>81</v>
      </c>
      <c r="D3594" t="s">
        <v>82</v>
      </c>
      <c r="E3594" t="s">
        <v>103</v>
      </c>
      <c r="F3594">
        <v>2500</v>
      </c>
      <c r="G3594" t="s">
        <v>331</v>
      </c>
      <c r="H3594" s="15">
        <v>45292</v>
      </c>
      <c r="I3594">
        <v>2500</v>
      </c>
      <c r="J3594">
        <v>0</v>
      </c>
    </row>
    <row r="3595" spans="1:10" x14ac:dyDescent="0.3">
      <c r="A3595" s="15">
        <v>45717</v>
      </c>
      <c r="B3595" t="s">
        <v>136</v>
      </c>
      <c r="C3595" t="s">
        <v>81</v>
      </c>
      <c r="D3595" t="s">
        <v>82</v>
      </c>
      <c r="E3595" t="s">
        <v>101</v>
      </c>
      <c r="F3595">
        <v>2900</v>
      </c>
      <c r="G3595" t="s">
        <v>331</v>
      </c>
      <c r="H3595" s="15">
        <v>45292</v>
      </c>
      <c r="I3595">
        <v>2900</v>
      </c>
      <c r="J3595">
        <v>0</v>
      </c>
    </row>
    <row r="3596" spans="1:10" x14ac:dyDescent="0.3">
      <c r="A3596" s="15">
        <v>45717</v>
      </c>
      <c r="B3596" t="s">
        <v>138</v>
      </c>
      <c r="C3596" t="s">
        <v>81</v>
      </c>
      <c r="D3596" t="s">
        <v>86</v>
      </c>
      <c r="E3596" t="s">
        <v>97</v>
      </c>
      <c r="F3596">
        <v>3300</v>
      </c>
      <c r="G3596" t="s">
        <v>331</v>
      </c>
      <c r="H3596" s="15">
        <v>45292</v>
      </c>
      <c r="I3596">
        <v>3300</v>
      </c>
      <c r="J3596">
        <v>0</v>
      </c>
    </row>
    <row r="3597" spans="1:10" x14ac:dyDescent="0.3">
      <c r="A3597" s="15">
        <v>45717</v>
      </c>
      <c r="B3597" t="s">
        <v>139</v>
      </c>
      <c r="C3597" t="s">
        <v>91</v>
      </c>
      <c r="D3597" t="s">
        <v>82</v>
      </c>
      <c r="E3597" t="s">
        <v>103</v>
      </c>
      <c r="F3597">
        <v>6800</v>
      </c>
      <c r="G3597" t="s">
        <v>331</v>
      </c>
      <c r="H3597" s="15">
        <v>45292</v>
      </c>
      <c r="I3597">
        <v>6800</v>
      </c>
      <c r="J3597">
        <v>0</v>
      </c>
    </row>
    <row r="3598" spans="1:10" x14ac:dyDescent="0.3">
      <c r="A3598" s="15">
        <v>45717</v>
      </c>
      <c r="B3598" t="s">
        <v>141</v>
      </c>
      <c r="C3598" t="s">
        <v>125</v>
      </c>
      <c r="D3598" t="s">
        <v>99</v>
      </c>
      <c r="E3598" t="s">
        <v>103</v>
      </c>
      <c r="F3598">
        <v>117900</v>
      </c>
      <c r="G3598" t="s">
        <v>331</v>
      </c>
      <c r="H3598" s="15">
        <v>45292</v>
      </c>
      <c r="I3598">
        <v>117900</v>
      </c>
      <c r="J3598">
        <v>0</v>
      </c>
    </row>
    <row r="3599" spans="1:10" x14ac:dyDescent="0.3">
      <c r="A3599" s="15">
        <v>45717</v>
      </c>
      <c r="B3599" t="s">
        <v>142</v>
      </c>
      <c r="C3599" t="s">
        <v>125</v>
      </c>
      <c r="D3599" t="s">
        <v>82</v>
      </c>
      <c r="E3599" t="s">
        <v>92</v>
      </c>
      <c r="F3599">
        <v>103800</v>
      </c>
      <c r="G3599" t="s">
        <v>332</v>
      </c>
      <c r="H3599" s="15">
        <v>45292</v>
      </c>
      <c r="I3599">
        <v>93300</v>
      </c>
      <c r="J3599">
        <v>10500</v>
      </c>
    </row>
    <row r="3600" spans="1:10" x14ac:dyDescent="0.3">
      <c r="A3600" s="15">
        <v>45717</v>
      </c>
      <c r="B3600" t="s">
        <v>143</v>
      </c>
      <c r="C3600" t="s">
        <v>91</v>
      </c>
      <c r="D3600" t="s">
        <v>99</v>
      </c>
      <c r="E3600" t="s">
        <v>103</v>
      </c>
      <c r="F3600">
        <v>8000</v>
      </c>
      <c r="G3600" t="s">
        <v>331</v>
      </c>
      <c r="H3600" s="15">
        <v>45292</v>
      </c>
      <c r="I3600">
        <v>8000</v>
      </c>
      <c r="J3600">
        <v>0</v>
      </c>
    </row>
    <row r="3601" spans="1:10" x14ac:dyDescent="0.3">
      <c r="A3601" s="15">
        <v>45717</v>
      </c>
      <c r="B3601" t="s">
        <v>144</v>
      </c>
      <c r="C3601" t="s">
        <v>81</v>
      </c>
      <c r="D3601" t="s">
        <v>82</v>
      </c>
      <c r="E3601" t="s">
        <v>92</v>
      </c>
      <c r="F3601">
        <v>2400</v>
      </c>
      <c r="G3601" t="s">
        <v>331</v>
      </c>
      <c r="H3601" s="15">
        <v>45292</v>
      </c>
      <c r="I3601">
        <v>2400</v>
      </c>
      <c r="J3601">
        <v>0</v>
      </c>
    </row>
    <row r="3602" spans="1:10" x14ac:dyDescent="0.3">
      <c r="A3602" s="15">
        <v>45717</v>
      </c>
      <c r="B3602" t="s">
        <v>145</v>
      </c>
      <c r="C3602" t="s">
        <v>91</v>
      </c>
      <c r="D3602" t="s">
        <v>82</v>
      </c>
      <c r="E3602" t="s">
        <v>87</v>
      </c>
      <c r="F3602">
        <v>8200</v>
      </c>
      <c r="G3602" t="s">
        <v>331</v>
      </c>
      <c r="H3602" s="15">
        <v>45292</v>
      </c>
      <c r="I3602">
        <v>8200</v>
      </c>
      <c r="J3602">
        <v>0</v>
      </c>
    </row>
    <row r="3603" spans="1:10" x14ac:dyDescent="0.3">
      <c r="A3603" s="15">
        <v>45717</v>
      </c>
      <c r="B3603" t="s">
        <v>146</v>
      </c>
      <c r="C3603" t="s">
        <v>91</v>
      </c>
      <c r="D3603" t="s">
        <v>86</v>
      </c>
      <c r="E3603" t="s">
        <v>87</v>
      </c>
      <c r="F3603">
        <v>9200</v>
      </c>
      <c r="G3603" t="s">
        <v>331</v>
      </c>
      <c r="H3603" s="15">
        <v>45292</v>
      </c>
      <c r="I3603">
        <v>9200</v>
      </c>
      <c r="J3603">
        <v>0</v>
      </c>
    </row>
    <row r="3604" spans="1:10" x14ac:dyDescent="0.3">
      <c r="A3604" s="15">
        <v>45717</v>
      </c>
      <c r="B3604" t="s">
        <v>148</v>
      </c>
      <c r="C3604" t="s">
        <v>110</v>
      </c>
      <c r="D3604" t="s">
        <v>86</v>
      </c>
      <c r="E3604" t="s">
        <v>89</v>
      </c>
      <c r="F3604">
        <v>25100</v>
      </c>
      <c r="G3604" t="s">
        <v>331</v>
      </c>
      <c r="H3604" s="15">
        <v>45292</v>
      </c>
      <c r="I3604">
        <v>25100</v>
      </c>
      <c r="J3604">
        <v>0</v>
      </c>
    </row>
    <row r="3605" spans="1:10" x14ac:dyDescent="0.3">
      <c r="A3605" s="15">
        <v>45717</v>
      </c>
      <c r="B3605" t="s">
        <v>149</v>
      </c>
      <c r="C3605" t="s">
        <v>110</v>
      </c>
      <c r="D3605" t="s">
        <v>82</v>
      </c>
      <c r="E3605" t="s">
        <v>103</v>
      </c>
      <c r="F3605">
        <v>31000</v>
      </c>
      <c r="G3605" t="s">
        <v>331</v>
      </c>
      <c r="H3605" s="15">
        <v>45292</v>
      </c>
      <c r="I3605">
        <v>31000</v>
      </c>
      <c r="J3605">
        <v>0</v>
      </c>
    </row>
    <row r="3606" spans="1:10" x14ac:dyDescent="0.3">
      <c r="A3606" s="15">
        <v>45717</v>
      </c>
      <c r="B3606" t="s">
        <v>151</v>
      </c>
      <c r="C3606" t="s">
        <v>91</v>
      </c>
      <c r="D3606" t="s">
        <v>82</v>
      </c>
      <c r="E3606" t="s">
        <v>97</v>
      </c>
      <c r="F3606">
        <v>6800</v>
      </c>
      <c r="G3606" t="s">
        <v>331</v>
      </c>
      <c r="H3606" s="15">
        <v>45292</v>
      </c>
      <c r="I3606">
        <v>6800</v>
      </c>
      <c r="J3606">
        <v>0</v>
      </c>
    </row>
    <row r="3607" spans="1:10" x14ac:dyDescent="0.3">
      <c r="A3607" s="15">
        <v>45717</v>
      </c>
      <c r="B3607" t="s">
        <v>153</v>
      </c>
      <c r="C3607" t="s">
        <v>110</v>
      </c>
      <c r="D3607" t="s">
        <v>99</v>
      </c>
      <c r="E3607" t="s">
        <v>87</v>
      </c>
      <c r="F3607">
        <v>31500</v>
      </c>
      <c r="G3607" t="s">
        <v>331</v>
      </c>
      <c r="H3607" s="15">
        <v>45292</v>
      </c>
      <c r="I3607">
        <v>31500</v>
      </c>
      <c r="J3607">
        <v>0</v>
      </c>
    </row>
    <row r="3608" spans="1:10" x14ac:dyDescent="0.3">
      <c r="A3608" s="15">
        <v>45717</v>
      </c>
      <c r="B3608" t="s">
        <v>154</v>
      </c>
      <c r="C3608" t="s">
        <v>91</v>
      </c>
      <c r="D3608" t="s">
        <v>86</v>
      </c>
      <c r="E3608" t="s">
        <v>103</v>
      </c>
      <c r="F3608">
        <v>8800</v>
      </c>
      <c r="G3608" t="s">
        <v>331</v>
      </c>
      <c r="H3608" s="15">
        <v>45292</v>
      </c>
      <c r="I3608">
        <v>8800</v>
      </c>
      <c r="J3608">
        <v>0</v>
      </c>
    </row>
    <row r="3609" spans="1:10" x14ac:dyDescent="0.3">
      <c r="A3609" s="15">
        <v>45717</v>
      </c>
      <c r="B3609" t="s">
        <v>155</v>
      </c>
      <c r="C3609" t="s">
        <v>91</v>
      </c>
      <c r="D3609" t="s">
        <v>82</v>
      </c>
      <c r="E3609" t="s">
        <v>92</v>
      </c>
      <c r="F3609">
        <v>7100</v>
      </c>
      <c r="G3609" t="s">
        <v>331</v>
      </c>
      <c r="H3609" s="15">
        <v>45292</v>
      </c>
      <c r="I3609">
        <v>7100</v>
      </c>
      <c r="J3609">
        <v>0</v>
      </c>
    </row>
    <row r="3610" spans="1:10" x14ac:dyDescent="0.3">
      <c r="A3610" s="15">
        <v>45717</v>
      </c>
      <c r="B3610" t="s">
        <v>156</v>
      </c>
      <c r="C3610" t="s">
        <v>81</v>
      </c>
      <c r="D3610" t="s">
        <v>86</v>
      </c>
      <c r="E3610" t="s">
        <v>101</v>
      </c>
      <c r="F3610">
        <v>2300</v>
      </c>
      <c r="G3610" t="s">
        <v>331</v>
      </c>
      <c r="H3610" s="15">
        <v>45292</v>
      </c>
      <c r="I3610">
        <v>2300</v>
      </c>
      <c r="J3610">
        <v>0</v>
      </c>
    </row>
    <row r="3611" spans="1:10" x14ac:dyDescent="0.3">
      <c r="A3611" s="15">
        <v>45717</v>
      </c>
      <c r="B3611" t="s">
        <v>157</v>
      </c>
      <c r="C3611" t="s">
        <v>81</v>
      </c>
      <c r="D3611" t="s">
        <v>82</v>
      </c>
      <c r="E3611" t="s">
        <v>92</v>
      </c>
      <c r="F3611">
        <v>1800</v>
      </c>
      <c r="G3611" t="s">
        <v>331</v>
      </c>
      <c r="H3611" s="15">
        <v>45292</v>
      </c>
      <c r="I3611">
        <v>1800</v>
      </c>
      <c r="J3611">
        <v>0</v>
      </c>
    </row>
    <row r="3612" spans="1:10" x14ac:dyDescent="0.3">
      <c r="A3612" s="15">
        <v>45717</v>
      </c>
      <c r="B3612" t="s">
        <v>158</v>
      </c>
      <c r="C3612" t="s">
        <v>91</v>
      </c>
      <c r="D3612" t="s">
        <v>96</v>
      </c>
      <c r="E3612" t="s">
        <v>83</v>
      </c>
      <c r="F3612">
        <v>12600</v>
      </c>
      <c r="G3612" t="s">
        <v>331</v>
      </c>
      <c r="H3612" s="15">
        <v>45292</v>
      </c>
      <c r="I3612">
        <v>12600</v>
      </c>
      <c r="J3612">
        <v>0</v>
      </c>
    </row>
    <row r="3613" spans="1:10" x14ac:dyDescent="0.3">
      <c r="A3613" s="15">
        <v>45717</v>
      </c>
      <c r="B3613" t="s">
        <v>159</v>
      </c>
      <c r="C3613" t="s">
        <v>81</v>
      </c>
      <c r="D3613" t="s">
        <v>86</v>
      </c>
      <c r="E3613" t="s">
        <v>87</v>
      </c>
      <c r="F3613">
        <v>2400</v>
      </c>
      <c r="G3613" t="s">
        <v>331</v>
      </c>
      <c r="H3613" s="15">
        <v>45292</v>
      </c>
      <c r="I3613">
        <v>2400</v>
      </c>
      <c r="J3613">
        <v>0</v>
      </c>
    </row>
    <row r="3614" spans="1:10" x14ac:dyDescent="0.3">
      <c r="A3614" s="15">
        <v>45717</v>
      </c>
      <c r="B3614" t="s">
        <v>161</v>
      </c>
      <c r="C3614" t="s">
        <v>91</v>
      </c>
      <c r="D3614" t="s">
        <v>99</v>
      </c>
      <c r="E3614" t="s">
        <v>83</v>
      </c>
      <c r="F3614">
        <v>10700</v>
      </c>
      <c r="G3614" t="s">
        <v>331</v>
      </c>
      <c r="H3614" s="15">
        <v>45292</v>
      </c>
      <c r="I3614">
        <v>10700</v>
      </c>
      <c r="J3614">
        <v>0</v>
      </c>
    </row>
    <row r="3615" spans="1:10" x14ac:dyDescent="0.3">
      <c r="A3615" s="15">
        <v>45717</v>
      </c>
      <c r="B3615" t="s">
        <v>162</v>
      </c>
      <c r="C3615" t="s">
        <v>91</v>
      </c>
      <c r="D3615" t="s">
        <v>82</v>
      </c>
      <c r="E3615" t="s">
        <v>103</v>
      </c>
      <c r="F3615">
        <v>12700</v>
      </c>
      <c r="G3615" t="s">
        <v>331</v>
      </c>
      <c r="H3615" s="15">
        <v>45292</v>
      </c>
      <c r="I3615">
        <v>12700</v>
      </c>
      <c r="J3615">
        <v>0</v>
      </c>
    </row>
    <row r="3616" spans="1:10" x14ac:dyDescent="0.3">
      <c r="A3616" s="15">
        <v>45717</v>
      </c>
      <c r="B3616" t="s">
        <v>164</v>
      </c>
      <c r="C3616" t="s">
        <v>81</v>
      </c>
      <c r="D3616" t="s">
        <v>99</v>
      </c>
      <c r="E3616" t="s">
        <v>89</v>
      </c>
      <c r="F3616">
        <v>2800</v>
      </c>
      <c r="G3616" t="s">
        <v>331</v>
      </c>
      <c r="H3616" s="15">
        <v>45292</v>
      </c>
      <c r="I3616">
        <v>2800</v>
      </c>
      <c r="J3616">
        <v>0</v>
      </c>
    </row>
    <row r="3617" spans="1:10" x14ac:dyDescent="0.3">
      <c r="A3617" s="15">
        <v>45717</v>
      </c>
      <c r="B3617" t="s">
        <v>165</v>
      </c>
      <c r="C3617" t="s">
        <v>81</v>
      </c>
      <c r="D3617" t="s">
        <v>82</v>
      </c>
      <c r="E3617" t="s">
        <v>97</v>
      </c>
      <c r="F3617">
        <v>2700</v>
      </c>
      <c r="G3617" t="s">
        <v>331</v>
      </c>
      <c r="H3617" s="15">
        <v>45292</v>
      </c>
      <c r="I3617">
        <v>2700</v>
      </c>
      <c r="J3617">
        <v>0</v>
      </c>
    </row>
    <row r="3618" spans="1:10" x14ac:dyDescent="0.3">
      <c r="A3618" s="15">
        <v>45717</v>
      </c>
      <c r="B3618" t="s">
        <v>166</v>
      </c>
      <c r="C3618" t="s">
        <v>81</v>
      </c>
      <c r="D3618" t="s">
        <v>99</v>
      </c>
      <c r="E3618" t="s">
        <v>103</v>
      </c>
      <c r="F3618">
        <v>2600</v>
      </c>
      <c r="G3618" t="s">
        <v>331</v>
      </c>
      <c r="H3618" s="15">
        <v>45292</v>
      </c>
      <c r="I3618">
        <v>2600</v>
      </c>
      <c r="J3618">
        <v>0</v>
      </c>
    </row>
    <row r="3619" spans="1:10" x14ac:dyDescent="0.3">
      <c r="A3619" s="15">
        <v>45717</v>
      </c>
      <c r="B3619" t="s">
        <v>167</v>
      </c>
      <c r="C3619" t="s">
        <v>81</v>
      </c>
      <c r="D3619" t="s">
        <v>82</v>
      </c>
      <c r="E3619" t="s">
        <v>97</v>
      </c>
      <c r="F3619">
        <v>2100</v>
      </c>
      <c r="G3619" t="s">
        <v>331</v>
      </c>
      <c r="H3619" s="15">
        <v>45292</v>
      </c>
      <c r="I3619">
        <v>2100</v>
      </c>
      <c r="J3619">
        <v>0</v>
      </c>
    </row>
    <row r="3620" spans="1:10" x14ac:dyDescent="0.3">
      <c r="A3620" s="15">
        <v>45717</v>
      </c>
      <c r="B3620" t="s">
        <v>168</v>
      </c>
      <c r="C3620" t="s">
        <v>91</v>
      </c>
      <c r="D3620" t="s">
        <v>86</v>
      </c>
      <c r="E3620" t="s">
        <v>103</v>
      </c>
      <c r="F3620">
        <v>12300</v>
      </c>
      <c r="G3620" t="s">
        <v>331</v>
      </c>
      <c r="H3620" s="15">
        <v>45292</v>
      </c>
      <c r="I3620">
        <v>12300</v>
      </c>
      <c r="J3620">
        <v>0</v>
      </c>
    </row>
    <row r="3621" spans="1:10" x14ac:dyDescent="0.3">
      <c r="A3621" s="15">
        <v>45717</v>
      </c>
      <c r="B3621" t="s">
        <v>169</v>
      </c>
      <c r="C3621" t="s">
        <v>81</v>
      </c>
      <c r="D3621" t="s">
        <v>86</v>
      </c>
      <c r="E3621" t="s">
        <v>103</v>
      </c>
      <c r="F3621">
        <v>2200</v>
      </c>
      <c r="G3621" t="s">
        <v>331</v>
      </c>
      <c r="H3621" s="15">
        <v>45292</v>
      </c>
      <c r="I3621">
        <v>2200</v>
      </c>
      <c r="J3621">
        <v>0</v>
      </c>
    </row>
    <row r="3622" spans="1:10" x14ac:dyDescent="0.3">
      <c r="A3622" s="15">
        <v>45717</v>
      </c>
      <c r="B3622" t="s">
        <v>170</v>
      </c>
      <c r="C3622" t="s">
        <v>91</v>
      </c>
      <c r="D3622" t="s">
        <v>99</v>
      </c>
      <c r="E3622" t="s">
        <v>83</v>
      </c>
      <c r="F3622">
        <v>6500</v>
      </c>
      <c r="G3622" t="s">
        <v>331</v>
      </c>
      <c r="H3622" s="15">
        <v>45292</v>
      </c>
      <c r="I3622">
        <v>6500</v>
      </c>
      <c r="J3622">
        <v>0</v>
      </c>
    </row>
    <row r="3623" spans="1:10" x14ac:dyDescent="0.3">
      <c r="A3623" s="15">
        <v>45717</v>
      </c>
      <c r="B3623" t="s">
        <v>171</v>
      </c>
      <c r="C3623" t="s">
        <v>81</v>
      </c>
      <c r="D3623" t="s">
        <v>99</v>
      </c>
      <c r="E3623" t="s">
        <v>97</v>
      </c>
      <c r="F3623">
        <v>1700</v>
      </c>
      <c r="G3623" t="s">
        <v>331</v>
      </c>
      <c r="H3623" s="15">
        <v>45292</v>
      </c>
      <c r="I3623">
        <v>1700</v>
      </c>
      <c r="J3623">
        <v>0</v>
      </c>
    </row>
    <row r="3624" spans="1:10" x14ac:dyDescent="0.3">
      <c r="A3624" s="15">
        <v>45717</v>
      </c>
      <c r="B3624" t="s">
        <v>174</v>
      </c>
      <c r="C3624" t="s">
        <v>81</v>
      </c>
      <c r="D3624" t="s">
        <v>82</v>
      </c>
      <c r="E3624" t="s">
        <v>92</v>
      </c>
      <c r="F3624">
        <v>2400</v>
      </c>
      <c r="G3624" t="s">
        <v>331</v>
      </c>
      <c r="H3624" s="15">
        <v>45292</v>
      </c>
      <c r="I3624">
        <v>2400</v>
      </c>
      <c r="J3624">
        <v>0</v>
      </c>
    </row>
    <row r="3625" spans="1:10" x14ac:dyDescent="0.3">
      <c r="A3625" s="15">
        <v>45717</v>
      </c>
      <c r="B3625" t="s">
        <v>175</v>
      </c>
      <c r="C3625" t="s">
        <v>91</v>
      </c>
      <c r="D3625" t="s">
        <v>96</v>
      </c>
      <c r="E3625" t="s">
        <v>83</v>
      </c>
      <c r="F3625">
        <v>8800</v>
      </c>
      <c r="G3625" t="s">
        <v>331</v>
      </c>
      <c r="H3625" s="15">
        <v>45292</v>
      </c>
      <c r="I3625">
        <v>8800</v>
      </c>
      <c r="J3625">
        <v>0</v>
      </c>
    </row>
    <row r="3626" spans="1:10" x14ac:dyDescent="0.3">
      <c r="A3626" s="15">
        <v>45717</v>
      </c>
      <c r="B3626" t="s">
        <v>176</v>
      </c>
      <c r="C3626" t="s">
        <v>81</v>
      </c>
      <c r="D3626" t="s">
        <v>99</v>
      </c>
      <c r="E3626" t="s">
        <v>92</v>
      </c>
      <c r="F3626">
        <v>2900</v>
      </c>
      <c r="G3626" t="s">
        <v>331</v>
      </c>
      <c r="H3626" s="15">
        <v>45292</v>
      </c>
      <c r="I3626">
        <v>2900</v>
      </c>
      <c r="J3626">
        <v>0</v>
      </c>
    </row>
    <row r="3627" spans="1:10" x14ac:dyDescent="0.3">
      <c r="A3627" s="15">
        <v>45717</v>
      </c>
      <c r="B3627" t="s">
        <v>177</v>
      </c>
      <c r="C3627" t="s">
        <v>81</v>
      </c>
      <c r="D3627" t="s">
        <v>96</v>
      </c>
      <c r="E3627" t="s">
        <v>83</v>
      </c>
      <c r="F3627">
        <v>2900</v>
      </c>
      <c r="G3627" t="s">
        <v>331</v>
      </c>
      <c r="H3627" s="15">
        <v>45292</v>
      </c>
      <c r="I3627">
        <v>2900</v>
      </c>
      <c r="J3627">
        <v>0</v>
      </c>
    </row>
    <row r="3628" spans="1:10" x14ac:dyDescent="0.3">
      <c r="A3628" s="15">
        <v>45717</v>
      </c>
      <c r="B3628" t="s">
        <v>178</v>
      </c>
      <c r="C3628" t="s">
        <v>91</v>
      </c>
      <c r="D3628" t="s">
        <v>82</v>
      </c>
      <c r="E3628" t="s">
        <v>89</v>
      </c>
      <c r="F3628">
        <v>8400</v>
      </c>
      <c r="G3628" t="s">
        <v>331</v>
      </c>
      <c r="H3628" s="15">
        <v>45292</v>
      </c>
      <c r="I3628">
        <v>8400</v>
      </c>
      <c r="J3628">
        <v>0</v>
      </c>
    </row>
    <row r="3629" spans="1:10" x14ac:dyDescent="0.3">
      <c r="A3629" s="15">
        <v>45717</v>
      </c>
      <c r="B3629" t="s">
        <v>179</v>
      </c>
      <c r="C3629" t="s">
        <v>110</v>
      </c>
      <c r="D3629" t="s">
        <v>86</v>
      </c>
      <c r="E3629" t="s">
        <v>87</v>
      </c>
      <c r="F3629">
        <v>30000</v>
      </c>
      <c r="G3629" t="s">
        <v>331</v>
      </c>
      <c r="H3629" s="15">
        <v>45292</v>
      </c>
      <c r="I3629">
        <v>30000</v>
      </c>
      <c r="J3629">
        <v>0</v>
      </c>
    </row>
    <row r="3630" spans="1:10" x14ac:dyDescent="0.3">
      <c r="A3630" s="15">
        <v>45717</v>
      </c>
      <c r="B3630" t="s">
        <v>180</v>
      </c>
      <c r="C3630" t="s">
        <v>91</v>
      </c>
      <c r="D3630" t="s">
        <v>86</v>
      </c>
      <c r="E3630" t="s">
        <v>83</v>
      </c>
      <c r="F3630">
        <v>8500</v>
      </c>
      <c r="G3630" t="s">
        <v>331</v>
      </c>
      <c r="H3630" s="15">
        <v>45292</v>
      </c>
      <c r="I3630">
        <v>8500</v>
      </c>
      <c r="J3630">
        <v>0</v>
      </c>
    </row>
    <row r="3631" spans="1:10" x14ac:dyDescent="0.3">
      <c r="A3631" s="15">
        <v>45717</v>
      </c>
      <c r="B3631" t="s">
        <v>181</v>
      </c>
      <c r="C3631" t="s">
        <v>91</v>
      </c>
      <c r="D3631" t="s">
        <v>82</v>
      </c>
      <c r="E3631" t="s">
        <v>97</v>
      </c>
      <c r="F3631">
        <v>10100</v>
      </c>
      <c r="G3631" t="s">
        <v>331</v>
      </c>
      <c r="H3631" s="15">
        <v>45292</v>
      </c>
      <c r="I3631">
        <v>10100</v>
      </c>
      <c r="J3631">
        <v>0</v>
      </c>
    </row>
    <row r="3632" spans="1:10" x14ac:dyDescent="0.3">
      <c r="A3632" s="15">
        <v>45717</v>
      </c>
      <c r="B3632" t="s">
        <v>182</v>
      </c>
      <c r="C3632" t="s">
        <v>125</v>
      </c>
      <c r="D3632" t="s">
        <v>82</v>
      </c>
      <c r="E3632" t="s">
        <v>92</v>
      </c>
      <c r="F3632">
        <v>93100</v>
      </c>
      <c r="G3632" t="s">
        <v>331</v>
      </c>
      <c r="H3632" s="15">
        <v>45292</v>
      </c>
      <c r="I3632">
        <v>93100</v>
      </c>
      <c r="J3632">
        <v>0</v>
      </c>
    </row>
    <row r="3633" spans="1:10" x14ac:dyDescent="0.3">
      <c r="A3633" s="15">
        <v>45717</v>
      </c>
      <c r="B3633" t="s">
        <v>183</v>
      </c>
      <c r="C3633" t="s">
        <v>91</v>
      </c>
      <c r="D3633" t="s">
        <v>96</v>
      </c>
      <c r="E3633" t="s">
        <v>92</v>
      </c>
      <c r="F3633">
        <v>9500</v>
      </c>
      <c r="G3633" t="s">
        <v>331</v>
      </c>
      <c r="H3633" s="15">
        <v>45292</v>
      </c>
      <c r="I3633">
        <v>9500</v>
      </c>
      <c r="J3633">
        <v>0</v>
      </c>
    </row>
    <row r="3634" spans="1:10" x14ac:dyDescent="0.3">
      <c r="A3634" s="15">
        <v>45717</v>
      </c>
      <c r="B3634" t="s">
        <v>184</v>
      </c>
      <c r="C3634" t="s">
        <v>81</v>
      </c>
      <c r="D3634" t="s">
        <v>82</v>
      </c>
      <c r="E3634" t="s">
        <v>83</v>
      </c>
      <c r="F3634">
        <v>2600</v>
      </c>
      <c r="G3634" t="s">
        <v>331</v>
      </c>
      <c r="H3634" s="15">
        <v>45292</v>
      </c>
      <c r="I3634">
        <v>2600</v>
      </c>
      <c r="J3634">
        <v>0</v>
      </c>
    </row>
    <row r="3635" spans="1:10" x14ac:dyDescent="0.3">
      <c r="A3635" s="15">
        <v>45717</v>
      </c>
      <c r="B3635" t="s">
        <v>185</v>
      </c>
      <c r="C3635" t="s">
        <v>81</v>
      </c>
      <c r="D3635" t="s">
        <v>96</v>
      </c>
      <c r="E3635" t="s">
        <v>97</v>
      </c>
      <c r="F3635">
        <v>2000</v>
      </c>
      <c r="G3635" t="s">
        <v>331</v>
      </c>
      <c r="H3635" s="15">
        <v>45292</v>
      </c>
      <c r="I3635">
        <v>2000</v>
      </c>
      <c r="J3635">
        <v>0</v>
      </c>
    </row>
    <row r="3636" spans="1:10" x14ac:dyDescent="0.3">
      <c r="A3636" s="15">
        <v>45717</v>
      </c>
      <c r="B3636" t="s">
        <v>186</v>
      </c>
      <c r="C3636" t="s">
        <v>91</v>
      </c>
      <c r="D3636" t="s">
        <v>82</v>
      </c>
      <c r="E3636" t="s">
        <v>103</v>
      </c>
      <c r="F3636">
        <v>13900</v>
      </c>
      <c r="G3636" t="s">
        <v>331</v>
      </c>
      <c r="H3636" s="15">
        <v>45292</v>
      </c>
      <c r="I3636">
        <v>13900</v>
      </c>
      <c r="J3636">
        <v>0</v>
      </c>
    </row>
    <row r="3637" spans="1:10" x14ac:dyDescent="0.3">
      <c r="A3637" s="15">
        <v>45717</v>
      </c>
      <c r="B3637" t="s">
        <v>187</v>
      </c>
      <c r="C3637" t="s">
        <v>110</v>
      </c>
      <c r="D3637" t="s">
        <v>86</v>
      </c>
      <c r="E3637" t="s">
        <v>97</v>
      </c>
      <c r="F3637">
        <v>26700</v>
      </c>
      <c r="G3637" t="s">
        <v>331</v>
      </c>
      <c r="H3637" s="15">
        <v>45292</v>
      </c>
      <c r="I3637">
        <v>26700</v>
      </c>
      <c r="J3637">
        <v>0</v>
      </c>
    </row>
    <row r="3638" spans="1:10" x14ac:dyDescent="0.3">
      <c r="A3638" s="15">
        <v>45717</v>
      </c>
      <c r="B3638" t="s">
        <v>188</v>
      </c>
      <c r="C3638" t="s">
        <v>91</v>
      </c>
      <c r="D3638" t="s">
        <v>82</v>
      </c>
      <c r="E3638" t="s">
        <v>92</v>
      </c>
      <c r="F3638">
        <v>9900</v>
      </c>
      <c r="G3638" t="s">
        <v>331</v>
      </c>
      <c r="H3638" s="15">
        <v>45292</v>
      </c>
      <c r="I3638">
        <v>9900</v>
      </c>
      <c r="J3638">
        <v>0</v>
      </c>
    </row>
    <row r="3639" spans="1:10" x14ac:dyDescent="0.3">
      <c r="A3639" s="15">
        <v>45717</v>
      </c>
      <c r="B3639" t="s">
        <v>189</v>
      </c>
      <c r="C3639" t="s">
        <v>81</v>
      </c>
      <c r="D3639" t="s">
        <v>86</v>
      </c>
      <c r="E3639" t="s">
        <v>103</v>
      </c>
      <c r="F3639">
        <v>2000</v>
      </c>
      <c r="G3639" t="s">
        <v>331</v>
      </c>
      <c r="H3639" s="15">
        <v>45292</v>
      </c>
      <c r="I3639">
        <v>2000</v>
      </c>
      <c r="J3639">
        <v>0</v>
      </c>
    </row>
    <row r="3640" spans="1:10" x14ac:dyDescent="0.3">
      <c r="A3640" s="15">
        <v>45717</v>
      </c>
      <c r="B3640" t="s">
        <v>190</v>
      </c>
      <c r="C3640" t="s">
        <v>81</v>
      </c>
      <c r="D3640" t="s">
        <v>99</v>
      </c>
      <c r="E3640" t="s">
        <v>89</v>
      </c>
      <c r="F3640">
        <v>2000</v>
      </c>
      <c r="G3640" t="s">
        <v>331</v>
      </c>
      <c r="H3640" s="15">
        <v>45292</v>
      </c>
      <c r="I3640">
        <v>2000</v>
      </c>
      <c r="J3640">
        <v>0</v>
      </c>
    </row>
    <row r="3641" spans="1:10" x14ac:dyDescent="0.3">
      <c r="A3641" s="15">
        <v>45717</v>
      </c>
      <c r="B3641" t="s">
        <v>191</v>
      </c>
      <c r="C3641" t="s">
        <v>91</v>
      </c>
      <c r="D3641" t="s">
        <v>86</v>
      </c>
      <c r="E3641" t="s">
        <v>87</v>
      </c>
      <c r="F3641">
        <v>6900</v>
      </c>
      <c r="G3641" t="s">
        <v>331</v>
      </c>
      <c r="H3641" s="15">
        <v>45292</v>
      </c>
      <c r="I3641">
        <v>6900</v>
      </c>
      <c r="J3641">
        <v>0</v>
      </c>
    </row>
    <row r="3642" spans="1:10" x14ac:dyDescent="0.3">
      <c r="A3642" s="15">
        <v>45717</v>
      </c>
      <c r="B3642" t="s">
        <v>192</v>
      </c>
      <c r="C3642" t="s">
        <v>81</v>
      </c>
      <c r="D3642" t="s">
        <v>82</v>
      </c>
      <c r="E3642" t="s">
        <v>97</v>
      </c>
      <c r="F3642">
        <v>2700</v>
      </c>
      <c r="G3642" t="s">
        <v>331</v>
      </c>
      <c r="H3642" s="15">
        <v>45292</v>
      </c>
      <c r="I3642">
        <v>2700</v>
      </c>
      <c r="J3642">
        <v>0</v>
      </c>
    </row>
    <row r="3643" spans="1:10" x14ac:dyDescent="0.3">
      <c r="A3643" s="15">
        <v>45717</v>
      </c>
      <c r="B3643" t="s">
        <v>193</v>
      </c>
      <c r="C3643" t="s">
        <v>81</v>
      </c>
      <c r="D3643" t="s">
        <v>82</v>
      </c>
      <c r="E3643" t="s">
        <v>87</v>
      </c>
      <c r="F3643">
        <v>3200</v>
      </c>
      <c r="G3643" t="s">
        <v>331</v>
      </c>
      <c r="H3643" s="15">
        <v>45292</v>
      </c>
      <c r="I3643">
        <v>3200</v>
      </c>
      <c r="J3643">
        <v>0</v>
      </c>
    </row>
    <row r="3644" spans="1:10" x14ac:dyDescent="0.3">
      <c r="A3644" s="15">
        <v>45717</v>
      </c>
      <c r="B3644" t="s">
        <v>194</v>
      </c>
      <c r="C3644" t="s">
        <v>91</v>
      </c>
      <c r="D3644" t="s">
        <v>82</v>
      </c>
      <c r="E3644" t="s">
        <v>101</v>
      </c>
      <c r="F3644">
        <v>10400</v>
      </c>
      <c r="G3644" t="s">
        <v>331</v>
      </c>
      <c r="H3644" s="15">
        <v>45292</v>
      </c>
      <c r="I3644">
        <v>10400</v>
      </c>
      <c r="J3644">
        <v>0</v>
      </c>
    </row>
    <row r="3645" spans="1:10" x14ac:dyDescent="0.3">
      <c r="A3645" s="15">
        <v>45717</v>
      </c>
      <c r="B3645" t="s">
        <v>195</v>
      </c>
      <c r="C3645" t="s">
        <v>91</v>
      </c>
      <c r="D3645" t="s">
        <v>86</v>
      </c>
      <c r="E3645" t="s">
        <v>97</v>
      </c>
      <c r="F3645">
        <v>6800</v>
      </c>
      <c r="G3645" t="s">
        <v>331</v>
      </c>
      <c r="H3645" s="15">
        <v>45292</v>
      </c>
      <c r="I3645">
        <v>6800</v>
      </c>
      <c r="J3645">
        <v>0</v>
      </c>
    </row>
    <row r="3646" spans="1:10" x14ac:dyDescent="0.3">
      <c r="A3646" s="15">
        <v>45717</v>
      </c>
      <c r="B3646" t="s">
        <v>196</v>
      </c>
      <c r="C3646" t="s">
        <v>81</v>
      </c>
      <c r="D3646" t="s">
        <v>86</v>
      </c>
      <c r="E3646" t="s">
        <v>87</v>
      </c>
      <c r="F3646">
        <v>2600</v>
      </c>
      <c r="G3646" t="s">
        <v>331</v>
      </c>
      <c r="H3646" s="15">
        <v>45292</v>
      </c>
      <c r="I3646">
        <v>2600</v>
      </c>
      <c r="J3646">
        <v>0</v>
      </c>
    </row>
    <row r="3647" spans="1:10" x14ac:dyDescent="0.3">
      <c r="A3647" s="15">
        <v>45717</v>
      </c>
      <c r="B3647" t="s">
        <v>197</v>
      </c>
      <c r="C3647" t="s">
        <v>91</v>
      </c>
      <c r="D3647" t="s">
        <v>82</v>
      </c>
      <c r="E3647" t="s">
        <v>89</v>
      </c>
      <c r="F3647">
        <v>12000</v>
      </c>
      <c r="G3647" t="s">
        <v>331</v>
      </c>
      <c r="H3647" s="15">
        <v>45292</v>
      </c>
      <c r="I3647">
        <v>12000</v>
      </c>
      <c r="J3647">
        <v>0</v>
      </c>
    </row>
    <row r="3648" spans="1:10" x14ac:dyDescent="0.3">
      <c r="A3648" s="15">
        <v>45717</v>
      </c>
      <c r="B3648" t="s">
        <v>198</v>
      </c>
      <c r="C3648" t="s">
        <v>81</v>
      </c>
      <c r="D3648" t="s">
        <v>82</v>
      </c>
      <c r="E3648" t="s">
        <v>89</v>
      </c>
      <c r="F3648">
        <v>2900</v>
      </c>
      <c r="G3648" t="s">
        <v>331</v>
      </c>
      <c r="H3648" s="15">
        <v>45292</v>
      </c>
      <c r="I3648">
        <v>2900</v>
      </c>
      <c r="J3648">
        <v>0</v>
      </c>
    </row>
    <row r="3649" spans="1:10" x14ac:dyDescent="0.3">
      <c r="A3649" s="15">
        <v>45717</v>
      </c>
      <c r="B3649" t="s">
        <v>199</v>
      </c>
      <c r="C3649" t="s">
        <v>81</v>
      </c>
      <c r="D3649" t="s">
        <v>86</v>
      </c>
      <c r="E3649" t="s">
        <v>89</v>
      </c>
      <c r="F3649">
        <v>2200</v>
      </c>
      <c r="G3649" t="s">
        <v>331</v>
      </c>
      <c r="H3649" s="15">
        <v>45292</v>
      </c>
      <c r="I3649">
        <v>2200</v>
      </c>
      <c r="J3649">
        <v>0</v>
      </c>
    </row>
    <row r="3650" spans="1:10" x14ac:dyDescent="0.3">
      <c r="A3650" s="15">
        <v>45717</v>
      </c>
      <c r="B3650" t="s">
        <v>200</v>
      </c>
      <c r="C3650" t="s">
        <v>91</v>
      </c>
      <c r="D3650" t="s">
        <v>86</v>
      </c>
      <c r="E3650" t="s">
        <v>92</v>
      </c>
      <c r="F3650">
        <v>8800</v>
      </c>
      <c r="G3650" t="s">
        <v>331</v>
      </c>
      <c r="H3650" s="15">
        <v>45292</v>
      </c>
      <c r="I3650">
        <v>8800</v>
      </c>
      <c r="J3650">
        <v>0</v>
      </c>
    </row>
    <row r="3651" spans="1:10" x14ac:dyDescent="0.3">
      <c r="A3651" s="15">
        <v>45717</v>
      </c>
      <c r="B3651" t="s">
        <v>201</v>
      </c>
      <c r="C3651" t="s">
        <v>81</v>
      </c>
      <c r="D3651" t="s">
        <v>86</v>
      </c>
      <c r="E3651" t="s">
        <v>83</v>
      </c>
      <c r="F3651">
        <v>1800</v>
      </c>
      <c r="G3651" t="s">
        <v>331</v>
      </c>
      <c r="H3651" s="15">
        <v>45292</v>
      </c>
      <c r="I3651">
        <v>1800</v>
      </c>
      <c r="J3651">
        <v>0</v>
      </c>
    </row>
    <row r="3652" spans="1:10" x14ac:dyDescent="0.3">
      <c r="A3652" s="15">
        <v>45717</v>
      </c>
      <c r="B3652" t="s">
        <v>202</v>
      </c>
      <c r="C3652" t="s">
        <v>91</v>
      </c>
      <c r="D3652" t="s">
        <v>82</v>
      </c>
      <c r="E3652" t="s">
        <v>92</v>
      </c>
      <c r="F3652">
        <v>11000</v>
      </c>
      <c r="G3652" t="s">
        <v>331</v>
      </c>
      <c r="H3652" s="15">
        <v>45292</v>
      </c>
      <c r="I3652">
        <v>11000</v>
      </c>
      <c r="J3652">
        <v>0</v>
      </c>
    </row>
    <row r="3653" spans="1:10" x14ac:dyDescent="0.3">
      <c r="A3653" s="15">
        <v>45717</v>
      </c>
      <c r="B3653" t="s">
        <v>203</v>
      </c>
      <c r="C3653" t="s">
        <v>110</v>
      </c>
      <c r="D3653" t="s">
        <v>86</v>
      </c>
      <c r="E3653" t="s">
        <v>92</v>
      </c>
      <c r="F3653">
        <v>27900</v>
      </c>
      <c r="G3653" t="s">
        <v>332</v>
      </c>
      <c r="H3653" s="15">
        <v>45292</v>
      </c>
      <c r="I3653">
        <v>26300</v>
      </c>
      <c r="J3653">
        <v>1600</v>
      </c>
    </row>
    <row r="3654" spans="1:10" x14ac:dyDescent="0.3">
      <c r="A3654" s="15">
        <v>45717</v>
      </c>
      <c r="B3654" t="s">
        <v>204</v>
      </c>
      <c r="C3654" t="s">
        <v>81</v>
      </c>
      <c r="D3654" t="s">
        <v>82</v>
      </c>
      <c r="E3654" t="s">
        <v>87</v>
      </c>
      <c r="F3654">
        <v>1900</v>
      </c>
      <c r="G3654" t="s">
        <v>331</v>
      </c>
      <c r="H3654" s="15">
        <v>45292</v>
      </c>
      <c r="I3654">
        <v>1900</v>
      </c>
      <c r="J3654">
        <v>0</v>
      </c>
    </row>
    <row r="3655" spans="1:10" x14ac:dyDescent="0.3">
      <c r="A3655" s="15">
        <v>45717</v>
      </c>
      <c r="B3655" t="s">
        <v>205</v>
      </c>
      <c r="C3655" t="s">
        <v>91</v>
      </c>
      <c r="D3655" t="s">
        <v>86</v>
      </c>
      <c r="E3655" t="s">
        <v>103</v>
      </c>
      <c r="F3655">
        <v>9800</v>
      </c>
      <c r="G3655" t="s">
        <v>331</v>
      </c>
      <c r="H3655" s="15">
        <v>45292</v>
      </c>
      <c r="I3655">
        <v>9800</v>
      </c>
      <c r="J3655">
        <v>0</v>
      </c>
    </row>
    <row r="3656" spans="1:10" x14ac:dyDescent="0.3">
      <c r="A3656" s="15">
        <v>45717</v>
      </c>
      <c r="B3656" t="s">
        <v>206</v>
      </c>
      <c r="C3656" t="s">
        <v>81</v>
      </c>
      <c r="D3656" t="s">
        <v>86</v>
      </c>
      <c r="E3656" t="s">
        <v>89</v>
      </c>
      <c r="F3656">
        <v>3000</v>
      </c>
      <c r="G3656" t="s">
        <v>331</v>
      </c>
      <c r="H3656" s="15">
        <v>45292</v>
      </c>
      <c r="I3656">
        <v>3000</v>
      </c>
      <c r="J3656">
        <v>0</v>
      </c>
    </row>
    <row r="3657" spans="1:10" x14ac:dyDescent="0.3">
      <c r="A3657" s="15">
        <v>45717</v>
      </c>
      <c r="B3657" t="s">
        <v>207</v>
      </c>
      <c r="C3657" t="s">
        <v>81</v>
      </c>
      <c r="D3657" t="s">
        <v>82</v>
      </c>
      <c r="E3657" t="s">
        <v>89</v>
      </c>
      <c r="F3657">
        <v>3500</v>
      </c>
      <c r="G3657" t="s">
        <v>331</v>
      </c>
      <c r="H3657" s="15">
        <v>45292</v>
      </c>
      <c r="I3657">
        <v>3500</v>
      </c>
      <c r="J3657">
        <v>0</v>
      </c>
    </row>
    <row r="3658" spans="1:10" x14ac:dyDescent="0.3">
      <c r="A3658" s="15">
        <v>45717</v>
      </c>
      <c r="B3658" t="s">
        <v>208</v>
      </c>
      <c r="C3658" t="s">
        <v>91</v>
      </c>
      <c r="D3658" t="s">
        <v>99</v>
      </c>
      <c r="E3658" t="s">
        <v>89</v>
      </c>
      <c r="F3658">
        <v>7300</v>
      </c>
      <c r="G3658" t="s">
        <v>331</v>
      </c>
      <c r="H3658" s="15">
        <v>45292</v>
      </c>
      <c r="I3658">
        <v>7300</v>
      </c>
      <c r="J3658">
        <v>0</v>
      </c>
    </row>
    <row r="3659" spans="1:10" x14ac:dyDescent="0.3">
      <c r="A3659" s="15">
        <v>45717</v>
      </c>
      <c r="B3659" t="s">
        <v>209</v>
      </c>
      <c r="C3659" t="s">
        <v>81</v>
      </c>
      <c r="D3659" t="s">
        <v>86</v>
      </c>
      <c r="E3659" t="s">
        <v>83</v>
      </c>
      <c r="F3659">
        <v>3100</v>
      </c>
      <c r="G3659" t="s">
        <v>331</v>
      </c>
      <c r="H3659" s="15">
        <v>45292</v>
      </c>
      <c r="I3659">
        <v>3100</v>
      </c>
      <c r="J3659">
        <v>0</v>
      </c>
    </row>
    <row r="3660" spans="1:10" x14ac:dyDescent="0.3">
      <c r="A3660" s="15">
        <v>45717</v>
      </c>
      <c r="B3660" t="s">
        <v>210</v>
      </c>
      <c r="C3660" t="s">
        <v>125</v>
      </c>
      <c r="D3660" t="s">
        <v>96</v>
      </c>
      <c r="E3660" t="s">
        <v>89</v>
      </c>
      <c r="F3660">
        <v>90300</v>
      </c>
      <c r="G3660" t="s">
        <v>331</v>
      </c>
      <c r="H3660" s="15">
        <v>45292</v>
      </c>
      <c r="I3660">
        <v>90300</v>
      </c>
      <c r="J3660">
        <v>0</v>
      </c>
    </row>
    <row r="3661" spans="1:10" x14ac:dyDescent="0.3">
      <c r="A3661" s="15">
        <v>45717</v>
      </c>
      <c r="B3661" t="s">
        <v>211</v>
      </c>
      <c r="C3661" t="s">
        <v>110</v>
      </c>
      <c r="D3661" t="s">
        <v>82</v>
      </c>
      <c r="E3661" t="s">
        <v>92</v>
      </c>
      <c r="F3661">
        <v>28900</v>
      </c>
      <c r="G3661" t="s">
        <v>331</v>
      </c>
      <c r="H3661" s="15">
        <v>45292</v>
      </c>
      <c r="I3661">
        <v>28900</v>
      </c>
      <c r="J3661">
        <v>0</v>
      </c>
    </row>
    <row r="3662" spans="1:10" x14ac:dyDescent="0.3">
      <c r="A3662" s="15">
        <v>45717</v>
      </c>
      <c r="B3662" t="s">
        <v>213</v>
      </c>
      <c r="C3662" t="s">
        <v>81</v>
      </c>
      <c r="D3662" t="s">
        <v>82</v>
      </c>
      <c r="E3662" t="s">
        <v>97</v>
      </c>
      <c r="F3662">
        <v>3300</v>
      </c>
      <c r="G3662" t="s">
        <v>331</v>
      </c>
      <c r="H3662" s="15">
        <v>45292</v>
      </c>
      <c r="I3662">
        <v>3300</v>
      </c>
      <c r="J3662">
        <v>0</v>
      </c>
    </row>
    <row r="3663" spans="1:10" x14ac:dyDescent="0.3">
      <c r="A3663" s="15">
        <v>45717</v>
      </c>
      <c r="B3663" t="s">
        <v>214</v>
      </c>
      <c r="C3663" t="s">
        <v>91</v>
      </c>
      <c r="D3663" t="s">
        <v>82</v>
      </c>
      <c r="E3663" t="s">
        <v>89</v>
      </c>
      <c r="F3663">
        <v>8700</v>
      </c>
      <c r="G3663" t="s">
        <v>331</v>
      </c>
      <c r="H3663" s="15">
        <v>45292</v>
      </c>
      <c r="I3663">
        <v>8700</v>
      </c>
      <c r="J3663">
        <v>0</v>
      </c>
    </row>
    <row r="3664" spans="1:10" x14ac:dyDescent="0.3">
      <c r="A3664" s="15">
        <v>45717</v>
      </c>
      <c r="B3664" t="s">
        <v>216</v>
      </c>
      <c r="C3664" t="s">
        <v>81</v>
      </c>
      <c r="D3664" t="s">
        <v>82</v>
      </c>
      <c r="E3664" t="s">
        <v>97</v>
      </c>
      <c r="F3664">
        <v>3500</v>
      </c>
      <c r="G3664" t="s">
        <v>331</v>
      </c>
      <c r="H3664" s="15">
        <v>45292</v>
      </c>
      <c r="I3664">
        <v>3500</v>
      </c>
      <c r="J3664">
        <v>0</v>
      </c>
    </row>
    <row r="3665" spans="1:10" x14ac:dyDescent="0.3">
      <c r="A3665" s="15">
        <v>45717</v>
      </c>
      <c r="B3665" t="s">
        <v>217</v>
      </c>
      <c r="C3665" t="s">
        <v>91</v>
      </c>
      <c r="D3665" t="s">
        <v>82</v>
      </c>
      <c r="E3665" t="s">
        <v>97</v>
      </c>
      <c r="F3665">
        <v>9000</v>
      </c>
      <c r="G3665" t="s">
        <v>331</v>
      </c>
      <c r="H3665" s="15">
        <v>45292</v>
      </c>
      <c r="I3665">
        <v>9000</v>
      </c>
      <c r="J3665">
        <v>0</v>
      </c>
    </row>
    <row r="3666" spans="1:10" x14ac:dyDescent="0.3">
      <c r="A3666" s="15">
        <v>45717</v>
      </c>
      <c r="B3666" t="s">
        <v>218</v>
      </c>
      <c r="C3666" t="s">
        <v>110</v>
      </c>
      <c r="D3666" t="s">
        <v>99</v>
      </c>
      <c r="E3666" t="s">
        <v>92</v>
      </c>
      <c r="F3666">
        <v>32200</v>
      </c>
      <c r="G3666" t="s">
        <v>332</v>
      </c>
      <c r="H3666" s="15">
        <v>45292</v>
      </c>
      <c r="I3666">
        <v>29900</v>
      </c>
      <c r="J3666">
        <v>2300</v>
      </c>
    </row>
    <row r="3667" spans="1:10" x14ac:dyDescent="0.3">
      <c r="A3667" s="15">
        <v>45717</v>
      </c>
      <c r="B3667" t="s">
        <v>219</v>
      </c>
      <c r="C3667" t="s">
        <v>81</v>
      </c>
      <c r="D3667" t="s">
        <v>99</v>
      </c>
      <c r="E3667" t="s">
        <v>89</v>
      </c>
      <c r="F3667">
        <v>2500</v>
      </c>
      <c r="G3667" t="s">
        <v>331</v>
      </c>
      <c r="H3667" s="15">
        <v>45292</v>
      </c>
      <c r="I3667">
        <v>2500</v>
      </c>
      <c r="J3667">
        <v>0</v>
      </c>
    </row>
    <row r="3668" spans="1:10" x14ac:dyDescent="0.3">
      <c r="A3668" s="15">
        <v>45717</v>
      </c>
      <c r="B3668" t="s">
        <v>220</v>
      </c>
      <c r="C3668" t="s">
        <v>110</v>
      </c>
      <c r="D3668" t="s">
        <v>82</v>
      </c>
      <c r="E3668" t="s">
        <v>89</v>
      </c>
      <c r="F3668">
        <v>30800</v>
      </c>
      <c r="G3668" t="s">
        <v>331</v>
      </c>
      <c r="H3668" s="15">
        <v>45292</v>
      </c>
      <c r="I3668">
        <v>30800</v>
      </c>
      <c r="J3668">
        <v>0</v>
      </c>
    </row>
    <row r="3669" spans="1:10" x14ac:dyDescent="0.3">
      <c r="A3669" s="15">
        <v>45717</v>
      </c>
      <c r="B3669" t="s">
        <v>221</v>
      </c>
      <c r="C3669" t="s">
        <v>91</v>
      </c>
      <c r="D3669" t="s">
        <v>96</v>
      </c>
      <c r="E3669" t="s">
        <v>83</v>
      </c>
      <c r="F3669">
        <v>9100</v>
      </c>
      <c r="G3669" t="s">
        <v>331</v>
      </c>
      <c r="H3669" s="15">
        <v>45292</v>
      </c>
      <c r="I3669">
        <v>9100</v>
      </c>
      <c r="J3669">
        <v>0</v>
      </c>
    </row>
    <row r="3670" spans="1:10" x14ac:dyDescent="0.3">
      <c r="A3670" s="15">
        <v>45717</v>
      </c>
      <c r="B3670" t="s">
        <v>223</v>
      </c>
      <c r="C3670" t="s">
        <v>81</v>
      </c>
      <c r="D3670" t="s">
        <v>99</v>
      </c>
      <c r="E3670" t="s">
        <v>87</v>
      </c>
      <c r="F3670">
        <v>2100</v>
      </c>
      <c r="G3670" t="s">
        <v>331</v>
      </c>
      <c r="H3670" s="15">
        <v>45292</v>
      </c>
      <c r="I3670">
        <v>2100</v>
      </c>
      <c r="J3670">
        <v>0</v>
      </c>
    </row>
    <row r="3671" spans="1:10" x14ac:dyDescent="0.3">
      <c r="A3671" s="15">
        <v>45717</v>
      </c>
      <c r="B3671" t="s">
        <v>224</v>
      </c>
      <c r="C3671" t="s">
        <v>91</v>
      </c>
      <c r="D3671" t="s">
        <v>82</v>
      </c>
      <c r="E3671" t="s">
        <v>101</v>
      </c>
      <c r="F3671">
        <v>11300</v>
      </c>
      <c r="G3671" t="s">
        <v>332</v>
      </c>
      <c r="H3671" s="15">
        <v>45292</v>
      </c>
      <c r="I3671">
        <v>10300</v>
      </c>
      <c r="J3671">
        <v>1000</v>
      </c>
    </row>
    <row r="3672" spans="1:10" x14ac:dyDescent="0.3">
      <c r="A3672" s="15">
        <v>45717</v>
      </c>
      <c r="B3672" t="s">
        <v>225</v>
      </c>
      <c r="C3672" t="s">
        <v>110</v>
      </c>
      <c r="D3672" t="s">
        <v>99</v>
      </c>
      <c r="E3672" t="s">
        <v>103</v>
      </c>
      <c r="F3672">
        <v>42200</v>
      </c>
      <c r="G3672" t="s">
        <v>331</v>
      </c>
      <c r="H3672" s="15">
        <v>45292</v>
      </c>
      <c r="I3672">
        <v>42200</v>
      </c>
      <c r="J3672">
        <v>0</v>
      </c>
    </row>
    <row r="3673" spans="1:10" x14ac:dyDescent="0.3">
      <c r="A3673" s="15">
        <v>45717</v>
      </c>
      <c r="B3673" t="s">
        <v>226</v>
      </c>
      <c r="C3673" t="s">
        <v>91</v>
      </c>
      <c r="D3673" t="s">
        <v>82</v>
      </c>
      <c r="E3673" t="s">
        <v>103</v>
      </c>
      <c r="F3673">
        <v>5300</v>
      </c>
      <c r="G3673" t="s">
        <v>331</v>
      </c>
      <c r="H3673" s="15">
        <v>45292</v>
      </c>
      <c r="I3673">
        <v>5300</v>
      </c>
      <c r="J3673">
        <v>0</v>
      </c>
    </row>
    <row r="3674" spans="1:10" x14ac:dyDescent="0.3">
      <c r="A3674" s="15">
        <v>45717</v>
      </c>
      <c r="B3674" t="s">
        <v>227</v>
      </c>
      <c r="C3674" t="s">
        <v>110</v>
      </c>
      <c r="D3674" t="s">
        <v>86</v>
      </c>
      <c r="E3674" t="s">
        <v>87</v>
      </c>
      <c r="F3674">
        <v>25900</v>
      </c>
      <c r="G3674" t="s">
        <v>331</v>
      </c>
      <c r="H3674" s="15">
        <v>45292</v>
      </c>
      <c r="I3674">
        <v>25900</v>
      </c>
      <c r="J3674">
        <v>0</v>
      </c>
    </row>
    <row r="3675" spans="1:10" x14ac:dyDescent="0.3">
      <c r="A3675" s="15">
        <v>45717</v>
      </c>
      <c r="B3675" t="s">
        <v>228</v>
      </c>
      <c r="C3675" t="s">
        <v>91</v>
      </c>
      <c r="D3675" t="s">
        <v>96</v>
      </c>
      <c r="E3675" t="s">
        <v>89</v>
      </c>
      <c r="F3675">
        <v>12000</v>
      </c>
      <c r="G3675" t="s">
        <v>331</v>
      </c>
      <c r="H3675" s="15">
        <v>45292</v>
      </c>
      <c r="I3675">
        <v>12000</v>
      </c>
      <c r="J3675">
        <v>0</v>
      </c>
    </row>
    <row r="3676" spans="1:10" x14ac:dyDescent="0.3">
      <c r="A3676" s="15">
        <v>45717</v>
      </c>
      <c r="B3676" t="s">
        <v>229</v>
      </c>
      <c r="C3676" t="s">
        <v>81</v>
      </c>
      <c r="D3676" t="s">
        <v>82</v>
      </c>
      <c r="E3676" t="s">
        <v>83</v>
      </c>
      <c r="F3676">
        <v>3000</v>
      </c>
      <c r="G3676" t="s">
        <v>331</v>
      </c>
      <c r="H3676" s="15">
        <v>45292</v>
      </c>
      <c r="I3676">
        <v>3000</v>
      </c>
      <c r="J3676">
        <v>0</v>
      </c>
    </row>
    <row r="3677" spans="1:10" x14ac:dyDescent="0.3">
      <c r="A3677" s="15">
        <v>45717</v>
      </c>
      <c r="B3677" t="s">
        <v>230</v>
      </c>
      <c r="C3677" t="s">
        <v>81</v>
      </c>
      <c r="D3677" t="s">
        <v>86</v>
      </c>
      <c r="E3677" t="s">
        <v>101</v>
      </c>
      <c r="F3677">
        <v>3400</v>
      </c>
      <c r="G3677" t="s">
        <v>331</v>
      </c>
      <c r="H3677" s="15">
        <v>45292</v>
      </c>
      <c r="I3677">
        <v>3400</v>
      </c>
      <c r="J3677">
        <v>0</v>
      </c>
    </row>
    <row r="3678" spans="1:10" x14ac:dyDescent="0.3">
      <c r="A3678" s="15">
        <v>45717</v>
      </c>
      <c r="B3678" t="s">
        <v>231</v>
      </c>
      <c r="C3678" t="s">
        <v>91</v>
      </c>
      <c r="D3678" t="s">
        <v>82</v>
      </c>
      <c r="E3678" t="s">
        <v>92</v>
      </c>
      <c r="F3678">
        <v>6900</v>
      </c>
      <c r="G3678" t="s">
        <v>331</v>
      </c>
      <c r="H3678" s="15">
        <v>45292</v>
      </c>
      <c r="I3678">
        <v>6900</v>
      </c>
      <c r="J3678">
        <v>0</v>
      </c>
    </row>
    <row r="3679" spans="1:10" x14ac:dyDescent="0.3">
      <c r="A3679" s="15">
        <v>45717</v>
      </c>
      <c r="B3679" t="s">
        <v>232</v>
      </c>
      <c r="C3679" t="s">
        <v>125</v>
      </c>
      <c r="D3679" t="s">
        <v>86</v>
      </c>
      <c r="E3679" t="s">
        <v>83</v>
      </c>
      <c r="F3679">
        <v>121100</v>
      </c>
      <c r="G3679" t="s">
        <v>331</v>
      </c>
      <c r="H3679" s="15">
        <v>45292</v>
      </c>
      <c r="I3679">
        <v>121100</v>
      </c>
      <c r="J3679">
        <v>0</v>
      </c>
    </row>
    <row r="3680" spans="1:10" x14ac:dyDescent="0.3">
      <c r="A3680" s="15">
        <v>45717</v>
      </c>
      <c r="B3680" t="s">
        <v>233</v>
      </c>
      <c r="C3680" t="s">
        <v>81</v>
      </c>
      <c r="D3680" t="s">
        <v>82</v>
      </c>
      <c r="E3680" t="s">
        <v>87</v>
      </c>
      <c r="F3680">
        <v>3300</v>
      </c>
      <c r="G3680" t="s">
        <v>331</v>
      </c>
      <c r="H3680" s="15">
        <v>45292</v>
      </c>
      <c r="I3680">
        <v>3300</v>
      </c>
      <c r="J3680">
        <v>0</v>
      </c>
    </row>
    <row r="3681" spans="1:10" x14ac:dyDescent="0.3">
      <c r="A3681" s="15">
        <v>45717</v>
      </c>
      <c r="B3681" t="s">
        <v>234</v>
      </c>
      <c r="C3681" t="s">
        <v>110</v>
      </c>
      <c r="D3681" t="s">
        <v>82</v>
      </c>
      <c r="E3681" t="s">
        <v>103</v>
      </c>
      <c r="F3681">
        <v>41200</v>
      </c>
      <c r="G3681" t="s">
        <v>331</v>
      </c>
      <c r="H3681" s="15">
        <v>45292</v>
      </c>
      <c r="I3681">
        <v>41200</v>
      </c>
      <c r="J3681">
        <v>0</v>
      </c>
    </row>
    <row r="3682" spans="1:10" x14ac:dyDescent="0.3">
      <c r="A3682" s="15">
        <v>45717</v>
      </c>
      <c r="B3682" t="s">
        <v>235</v>
      </c>
      <c r="C3682" t="s">
        <v>91</v>
      </c>
      <c r="D3682" t="s">
        <v>96</v>
      </c>
      <c r="E3682" t="s">
        <v>103</v>
      </c>
      <c r="F3682">
        <v>10500</v>
      </c>
      <c r="G3682" t="s">
        <v>331</v>
      </c>
      <c r="H3682" s="15">
        <v>45292</v>
      </c>
      <c r="I3682">
        <v>10500</v>
      </c>
      <c r="J3682">
        <v>0</v>
      </c>
    </row>
    <row r="3683" spans="1:10" x14ac:dyDescent="0.3">
      <c r="A3683" s="15">
        <v>45717</v>
      </c>
      <c r="B3683" t="s">
        <v>236</v>
      </c>
      <c r="C3683" t="s">
        <v>110</v>
      </c>
      <c r="D3683" t="s">
        <v>82</v>
      </c>
      <c r="E3683" t="s">
        <v>97</v>
      </c>
      <c r="F3683">
        <v>27200</v>
      </c>
      <c r="G3683" t="s">
        <v>331</v>
      </c>
      <c r="H3683" s="15">
        <v>45292</v>
      </c>
      <c r="I3683">
        <v>27200</v>
      </c>
      <c r="J3683">
        <v>0</v>
      </c>
    </row>
    <row r="3684" spans="1:10" x14ac:dyDescent="0.3">
      <c r="A3684" s="15">
        <v>45717</v>
      </c>
      <c r="B3684" t="s">
        <v>237</v>
      </c>
      <c r="C3684" t="s">
        <v>91</v>
      </c>
      <c r="D3684" t="s">
        <v>82</v>
      </c>
      <c r="E3684" t="s">
        <v>83</v>
      </c>
      <c r="F3684">
        <v>8100</v>
      </c>
      <c r="G3684" t="s">
        <v>331</v>
      </c>
      <c r="H3684" s="15">
        <v>45292</v>
      </c>
      <c r="I3684">
        <v>8100</v>
      </c>
      <c r="J3684">
        <v>0</v>
      </c>
    </row>
    <row r="3685" spans="1:10" x14ac:dyDescent="0.3">
      <c r="A3685" s="15">
        <v>45717</v>
      </c>
      <c r="B3685" t="s">
        <v>238</v>
      </c>
      <c r="C3685" t="s">
        <v>81</v>
      </c>
      <c r="D3685" t="s">
        <v>99</v>
      </c>
      <c r="E3685" t="s">
        <v>97</v>
      </c>
      <c r="F3685">
        <v>2300</v>
      </c>
      <c r="G3685" t="s">
        <v>334</v>
      </c>
      <c r="H3685" s="15">
        <v>45292</v>
      </c>
      <c r="I3685">
        <v>2600</v>
      </c>
      <c r="J3685">
        <v>-300</v>
      </c>
    </row>
    <row r="3686" spans="1:10" x14ac:dyDescent="0.3">
      <c r="A3686" s="15">
        <v>45717</v>
      </c>
      <c r="B3686" t="s">
        <v>239</v>
      </c>
      <c r="C3686" t="s">
        <v>81</v>
      </c>
      <c r="D3686" t="s">
        <v>82</v>
      </c>
      <c r="E3686" t="s">
        <v>103</v>
      </c>
      <c r="F3686">
        <v>2500</v>
      </c>
      <c r="G3686" t="s">
        <v>331</v>
      </c>
      <c r="H3686" s="15">
        <v>45292</v>
      </c>
      <c r="I3686">
        <v>2500</v>
      </c>
      <c r="J3686">
        <v>0</v>
      </c>
    </row>
    <row r="3687" spans="1:10" x14ac:dyDescent="0.3">
      <c r="A3687" s="15">
        <v>45717</v>
      </c>
      <c r="B3687" t="s">
        <v>240</v>
      </c>
      <c r="C3687" t="s">
        <v>81</v>
      </c>
      <c r="D3687" t="s">
        <v>99</v>
      </c>
      <c r="E3687" t="s">
        <v>103</v>
      </c>
      <c r="F3687">
        <v>2500</v>
      </c>
      <c r="G3687" t="s">
        <v>331</v>
      </c>
      <c r="H3687" s="15">
        <v>45292</v>
      </c>
      <c r="I3687">
        <v>2500</v>
      </c>
      <c r="J3687">
        <v>0</v>
      </c>
    </row>
    <row r="3688" spans="1:10" x14ac:dyDescent="0.3">
      <c r="A3688" s="15">
        <v>45717</v>
      </c>
      <c r="B3688" t="s">
        <v>241</v>
      </c>
      <c r="C3688" t="s">
        <v>91</v>
      </c>
      <c r="D3688" t="s">
        <v>96</v>
      </c>
      <c r="E3688" t="s">
        <v>87</v>
      </c>
      <c r="F3688">
        <v>12100</v>
      </c>
      <c r="G3688" t="s">
        <v>331</v>
      </c>
      <c r="H3688" s="15">
        <v>45292</v>
      </c>
      <c r="I3688">
        <v>12100</v>
      </c>
      <c r="J3688">
        <v>0</v>
      </c>
    </row>
    <row r="3689" spans="1:10" x14ac:dyDescent="0.3">
      <c r="A3689" s="15">
        <v>45717</v>
      </c>
      <c r="B3689" t="s">
        <v>242</v>
      </c>
      <c r="C3689" t="s">
        <v>110</v>
      </c>
      <c r="D3689" t="s">
        <v>99</v>
      </c>
      <c r="E3689" t="s">
        <v>101</v>
      </c>
      <c r="F3689">
        <v>34800</v>
      </c>
      <c r="G3689" t="s">
        <v>331</v>
      </c>
      <c r="H3689" s="15">
        <v>45292</v>
      </c>
      <c r="I3689">
        <v>34800</v>
      </c>
      <c r="J3689">
        <v>0</v>
      </c>
    </row>
    <row r="3690" spans="1:10" x14ac:dyDescent="0.3">
      <c r="A3690" s="15">
        <v>45717</v>
      </c>
      <c r="B3690" t="s">
        <v>244</v>
      </c>
      <c r="C3690" t="s">
        <v>91</v>
      </c>
      <c r="D3690" t="s">
        <v>82</v>
      </c>
      <c r="E3690" t="s">
        <v>92</v>
      </c>
      <c r="F3690">
        <v>7800</v>
      </c>
      <c r="G3690" t="s">
        <v>331</v>
      </c>
      <c r="H3690" s="15">
        <v>45292</v>
      </c>
      <c r="I3690">
        <v>7800</v>
      </c>
      <c r="J3690">
        <v>0</v>
      </c>
    </row>
    <row r="3691" spans="1:10" x14ac:dyDescent="0.3">
      <c r="A3691" s="15">
        <v>45717</v>
      </c>
      <c r="B3691" t="s">
        <v>245</v>
      </c>
      <c r="C3691" t="s">
        <v>81</v>
      </c>
      <c r="D3691" t="s">
        <v>99</v>
      </c>
      <c r="E3691" t="s">
        <v>97</v>
      </c>
      <c r="F3691">
        <v>2600</v>
      </c>
      <c r="G3691" t="s">
        <v>331</v>
      </c>
      <c r="H3691" s="15">
        <v>45292</v>
      </c>
      <c r="I3691">
        <v>2600</v>
      </c>
      <c r="J3691">
        <v>0</v>
      </c>
    </row>
    <row r="3692" spans="1:10" x14ac:dyDescent="0.3">
      <c r="A3692" s="15">
        <v>45717</v>
      </c>
      <c r="B3692" t="s">
        <v>246</v>
      </c>
      <c r="C3692" t="s">
        <v>91</v>
      </c>
      <c r="D3692" t="s">
        <v>86</v>
      </c>
      <c r="E3692" t="s">
        <v>103</v>
      </c>
      <c r="F3692">
        <v>10100</v>
      </c>
      <c r="G3692" t="s">
        <v>331</v>
      </c>
      <c r="H3692" s="15">
        <v>45292</v>
      </c>
      <c r="I3692">
        <v>10100</v>
      </c>
      <c r="J3692">
        <v>0</v>
      </c>
    </row>
    <row r="3693" spans="1:10" x14ac:dyDescent="0.3">
      <c r="A3693" s="15">
        <v>45717</v>
      </c>
      <c r="B3693" t="s">
        <v>247</v>
      </c>
      <c r="C3693" t="s">
        <v>91</v>
      </c>
      <c r="D3693" t="s">
        <v>86</v>
      </c>
      <c r="E3693" t="s">
        <v>89</v>
      </c>
      <c r="F3693">
        <v>7800</v>
      </c>
      <c r="G3693" t="s">
        <v>334</v>
      </c>
      <c r="H3693" s="15">
        <v>45292</v>
      </c>
      <c r="I3693">
        <v>9100</v>
      </c>
      <c r="J3693">
        <v>-1300</v>
      </c>
    </row>
    <row r="3694" spans="1:10" x14ac:dyDescent="0.3">
      <c r="A3694" s="15">
        <v>45717</v>
      </c>
      <c r="B3694" t="s">
        <v>248</v>
      </c>
      <c r="C3694" t="s">
        <v>81</v>
      </c>
      <c r="D3694" t="s">
        <v>82</v>
      </c>
      <c r="E3694" t="s">
        <v>103</v>
      </c>
      <c r="F3694">
        <v>2100</v>
      </c>
      <c r="G3694" t="s">
        <v>331</v>
      </c>
      <c r="H3694" s="15">
        <v>45292</v>
      </c>
      <c r="I3694">
        <v>2100</v>
      </c>
      <c r="J3694">
        <v>0</v>
      </c>
    </row>
    <row r="3695" spans="1:10" x14ac:dyDescent="0.3">
      <c r="A3695" s="15">
        <v>45717</v>
      </c>
      <c r="B3695" t="s">
        <v>250</v>
      </c>
      <c r="C3695" t="s">
        <v>81</v>
      </c>
      <c r="D3695" t="s">
        <v>86</v>
      </c>
      <c r="E3695" t="s">
        <v>87</v>
      </c>
      <c r="F3695">
        <v>3000</v>
      </c>
      <c r="G3695" t="s">
        <v>331</v>
      </c>
      <c r="H3695" s="15">
        <v>45292</v>
      </c>
      <c r="I3695">
        <v>3000</v>
      </c>
      <c r="J3695">
        <v>0</v>
      </c>
    </row>
    <row r="3696" spans="1:10" x14ac:dyDescent="0.3">
      <c r="A3696" s="15">
        <v>45717</v>
      </c>
      <c r="B3696" t="s">
        <v>251</v>
      </c>
      <c r="C3696" t="s">
        <v>91</v>
      </c>
      <c r="D3696" t="s">
        <v>99</v>
      </c>
      <c r="E3696" t="s">
        <v>103</v>
      </c>
      <c r="F3696">
        <v>8800</v>
      </c>
      <c r="G3696" t="s">
        <v>331</v>
      </c>
      <c r="H3696" s="15">
        <v>45292</v>
      </c>
      <c r="I3696">
        <v>8800</v>
      </c>
      <c r="J3696">
        <v>0</v>
      </c>
    </row>
    <row r="3697" spans="1:10" x14ac:dyDescent="0.3">
      <c r="A3697" s="15">
        <v>45717</v>
      </c>
      <c r="B3697" t="s">
        <v>252</v>
      </c>
      <c r="C3697" t="s">
        <v>81</v>
      </c>
      <c r="D3697" t="s">
        <v>99</v>
      </c>
      <c r="E3697" t="s">
        <v>92</v>
      </c>
      <c r="F3697">
        <v>3400</v>
      </c>
      <c r="G3697" t="s">
        <v>331</v>
      </c>
      <c r="H3697" s="15">
        <v>45292</v>
      </c>
      <c r="I3697">
        <v>3400</v>
      </c>
      <c r="J3697">
        <v>0</v>
      </c>
    </row>
    <row r="3698" spans="1:10" x14ac:dyDescent="0.3">
      <c r="A3698" s="15">
        <v>45717</v>
      </c>
      <c r="B3698" t="s">
        <v>253</v>
      </c>
      <c r="C3698" t="s">
        <v>81</v>
      </c>
      <c r="D3698" t="s">
        <v>96</v>
      </c>
      <c r="E3698" t="s">
        <v>89</v>
      </c>
      <c r="F3698">
        <v>2400</v>
      </c>
      <c r="G3698" t="s">
        <v>331</v>
      </c>
      <c r="H3698" s="15">
        <v>45292</v>
      </c>
      <c r="I3698">
        <v>2400</v>
      </c>
      <c r="J3698">
        <v>0</v>
      </c>
    </row>
    <row r="3699" spans="1:10" x14ac:dyDescent="0.3">
      <c r="A3699" s="15">
        <v>45717</v>
      </c>
      <c r="B3699" t="s">
        <v>254</v>
      </c>
      <c r="C3699" t="s">
        <v>110</v>
      </c>
      <c r="D3699" t="s">
        <v>86</v>
      </c>
      <c r="E3699" t="s">
        <v>103</v>
      </c>
      <c r="F3699">
        <v>56100</v>
      </c>
      <c r="G3699" t="s">
        <v>331</v>
      </c>
      <c r="H3699" s="15">
        <v>45292</v>
      </c>
      <c r="I3699">
        <v>56100</v>
      </c>
      <c r="J3699">
        <v>0</v>
      </c>
    </row>
    <row r="3700" spans="1:10" x14ac:dyDescent="0.3">
      <c r="A3700" s="15">
        <v>45717</v>
      </c>
      <c r="B3700" t="s">
        <v>255</v>
      </c>
      <c r="C3700" t="s">
        <v>91</v>
      </c>
      <c r="D3700" t="s">
        <v>86</v>
      </c>
      <c r="E3700" t="s">
        <v>89</v>
      </c>
      <c r="F3700">
        <v>9900</v>
      </c>
      <c r="G3700" t="s">
        <v>331</v>
      </c>
      <c r="H3700" s="15">
        <v>45292</v>
      </c>
      <c r="I3700">
        <v>9900</v>
      </c>
      <c r="J3700">
        <v>0</v>
      </c>
    </row>
    <row r="3701" spans="1:10" x14ac:dyDescent="0.3">
      <c r="A3701" s="15">
        <v>45717</v>
      </c>
      <c r="B3701" t="s">
        <v>256</v>
      </c>
      <c r="C3701" t="s">
        <v>81</v>
      </c>
      <c r="D3701" t="s">
        <v>82</v>
      </c>
      <c r="E3701" t="s">
        <v>103</v>
      </c>
      <c r="F3701">
        <v>1800</v>
      </c>
      <c r="G3701" t="s">
        <v>331</v>
      </c>
      <c r="H3701" s="15">
        <v>45292</v>
      </c>
      <c r="I3701">
        <v>1800</v>
      </c>
      <c r="J3701">
        <v>0</v>
      </c>
    </row>
    <row r="3702" spans="1:10" x14ac:dyDescent="0.3">
      <c r="A3702" s="15">
        <v>45717</v>
      </c>
      <c r="B3702" t="s">
        <v>257</v>
      </c>
      <c r="C3702" t="s">
        <v>91</v>
      </c>
      <c r="D3702" t="s">
        <v>96</v>
      </c>
      <c r="E3702" t="s">
        <v>87</v>
      </c>
      <c r="F3702">
        <v>8400</v>
      </c>
      <c r="G3702" t="s">
        <v>331</v>
      </c>
      <c r="H3702" s="15">
        <v>45292</v>
      </c>
      <c r="I3702">
        <v>8400</v>
      </c>
      <c r="J3702">
        <v>0</v>
      </c>
    </row>
    <row r="3703" spans="1:10" x14ac:dyDescent="0.3">
      <c r="A3703" s="15">
        <v>45717</v>
      </c>
      <c r="B3703" t="s">
        <v>258</v>
      </c>
      <c r="C3703" t="s">
        <v>125</v>
      </c>
      <c r="D3703" t="s">
        <v>86</v>
      </c>
      <c r="E3703" t="s">
        <v>83</v>
      </c>
      <c r="F3703">
        <v>96300</v>
      </c>
      <c r="G3703" t="s">
        <v>331</v>
      </c>
      <c r="H3703" s="15">
        <v>45292</v>
      </c>
      <c r="I3703">
        <v>96300</v>
      </c>
      <c r="J3703">
        <v>0</v>
      </c>
    </row>
    <row r="3704" spans="1:10" x14ac:dyDescent="0.3">
      <c r="A3704" s="15">
        <v>45717</v>
      </c>
      <c r="B3704" t="s">
        <v>259</v>
      </c>
      <c r="C3704" t="s">
        <v>81</v>
      </c>
      <c r="D3704" t="s">
        <v>86</v>
      </c>
      <c r="E3704" t="s">
        <v>89</v>
      </c>
      <c r="F3704">
        <v>1900</v>
      </c>
      <c r="G3704" t="s">
        <v>331</v>
      </c>
      <c r="H3704" s="15">
        <v>45292</v>
      </c>
      <c r="I3704">
        <v>1900</v>
      </c>
      <c r="J3704">
        <v>0</v>
      </c>
    </row>
    <row r="3705" spans="1:10" x14ac:dyDescent="0.3">
      <c r="A3705" s="15">
        <v>45717</v>
      </c>
      <c r="B3705" t="s">
        <v>260</v>
      </c>
      <c r="C3705" t="s">
        <v>81</v>
      </c>
      <c r="D3705" t="s">
        <v>86</v>
      </c>
      <c r="E3705" t="s">
        <v>97</v>
      </c>
      <c r="F3705">
        <v>2000</v>
      </c>
      <c r="G3705" t="s">
        <v>331</v>
      </c>
      <c r="H3705" s="15">
        <v>45292</v>
      </c>
      <c r="I3705">
        <v>2000</v>
      </c>
      <c r="J3705">
        <v>0</v>
      </c>
    </row>
    <row r="3706" spans="1:10" x14ac:dyDescent="0.3">
      <c r="A3706" s="15">
        <v>45717</v>
      </c>
      <c r="B3706" t="s">
        <v>262</v>
      </c>
      <c r="C3706" t="s">
        <v>91</v>
      </c>
      <c r="D3706" t="s">
        <v>82</v>
      </c>
      <c r="E3706" t="s">
        <v>92</v>
      </c>
      <c r="F3706">
        <v>9400</v>
      </c>
      <c r="G3706" t="s">
        <v>331</v>
      </c>
      <c r="H3706" s="15">
        <v>45292</v>
      </c>
      <c r="I3706">
        <v>9400</v>
      </c>
      <c r="J3706">
        <v>0</v>
      </c>
    </row>
    <row r="3707" spans="1:10" x14ac:dyDescent="0.3">
      <c r="A3707" s="15">
        <v>45717</v>
      </c>
      <c r="B3707" t="s">
        <v>264</v>
      </c>
      <c r="C3707" t="s">
        <v>110</v>
      </c>
      <c r="D3707" t="s">
        <v>86</v>
      </c>
      <c r="E3707" t="s">
        <v>97</v>
      </c>
      <c r="F3707">
        <v>31500</v>
      </c>
      <c r="G3707" t="s">
        <v>331</v>
      </c>
      <c r="H3707" s="15">
        <v>45292</v>
      </c>
      <c r="I3707">
        <v>31500</v>
      </c>
      <c r="J3707">
        <v>0</v>
      </c>
    </row>
    <row r="3708" spans="1:10" x14ac:dyDescent="0.3">
      <c r="A3708" s="15">
        <v>45717</v>
      </c>
      <c r="B3708" t="s">
        <v>265</v>
      </c>
      <c r="C3708" t="s">
        <v>125</v>
      </c>
      <c r="D3708" t="s">
        <v>86</v>
      </c>
      <c r="E3708" t="s">
        <v>101</v>
      </c>
      <c r="F3708">
        <v>92200</v>
      </c>
      <c r="G3708" t="s">
        <v>331</v>
      </c>
      <c r="H3708" s="15">
        <v>45292</v>
      </c>
      <c r="I3708">
        <v>92200</v>
      </c>
      <c r="J3708">
        <v>0</v>
      </c>
    </row>
    <row r="3709" spans="1:10" x14ac:dyDescent="0.3">
      <c r="A3709" s="15">
        <v>45717</v>
      </c>
      <c r="B3709" t="s">
        <v>266</v>
      </c>
      <c r="C3709" t="s">
        <v>81</v>
      </c>
      <c r="D3709" t="s">
        <v>82</v>
      </c>
      <c r="E3709" t="s">
        <v>83</v>
      </c>
      <c r="F3709">
        <v>2200</v>
      </c>
      <c r="G3709" t="s">
        <v>331</v>
      </c>
      <c r="H3709" s="15">
        <v>45292</v>
      </c>
      <c r="I3709">
        <v>2200</v>
      </c>
      <c r="J3709">
        <v>0</v>
      </c>
    </row>
    <row r="3710" spans="1:10" x14ac:dyDescent="0.3">
      <c r="A3710" s="15">
        <v>45717</v>
      </c>
      <c r="B3710" t="s">
        <v>267</v>
      </c>
      <c r="C3710" t="s">
        <v>91</v>
      </c>
      <c r="D3710" t="s">
        <v>82</v>
      </c>
      <c r="E3710" t="s">
        <v>97</v>
      </c>
      <c r="F3710">
        <v>6900</v>
      </c>
      <c r="G3710" t="s">
        <v>331</v>
      </c>
      <c r="H3710" s="15">
        <v>45292</v>
      </c>
      <c r="I3710">
        <v>6900</v>
      </c>
      <c r="J3710">
        <v>0</v>
      </c>
    </row>
    <row r="3711" spans="1:10" x14ac:dyDescent="0.3">
      <c r="A3711" s="15">
        <v>45717</v>
      </c>
      <c r="B3711" t="s">
        <v>272</v>
      </c>
      <c r="C3711" t="s">
        <v>125</v>
      </c>
      <c r="D3711" t="s">
        <v>96</v>
      </c>
      <c r="E3711" t="s">
        <v>103</v>
      </c>
      <c r="F3711">
        <v>101100</v>
      </c>
      <c r="G3711" t="s">
        <v>331</v>
      </c>
      <c r="H3711" s="15">
        <v>45292</v>
      </c>
      <c r="I3711">
        <v>101100</v>
      </c>
      <c r="J3711">
        <v>0</v>
      </c>
    </row>
    <row r="3712" spans="1:10" x14ac:dyDescent="0.3">
      <c r="A3712" s="15">
        <v>45717</v>
      </c>
      <c r="B3712" t="s">
        <v>273</v>
      </c>
      <c r="C3712" t="s">
        <v>81</v>
      </c>
      <c r="D3712" t="s">
        <v>82</v>
      </c>
      <c r="E3712" t="s">
        <v>101</v>
      </c>
      <c r="F3712">
        <v>3300</v>
      </c>
      <c r="G3712" t="s">
        <v>331</v>
      </c>
      <c r="H3712" s="15">
        <v>45292</v>
      </c>
      <c r="I3712">
        <v>3300</v>
      </c>
      <c r="J3712">
        <v>0</v>
      </c>
    </row>
    <row r="3713" spans="1:10" x14ac:dyDescent="0.3">
      <c r="A3713" s="15">
        <v>45717</v>
      </c>
      <c r="B3713" t="s">
        <v>274</v>
      </c>
      <c r="C3713" t="s">
        <v>91</v>
      </c>
      <c r="D3713" t="s">
        <v>99</v>
      </c>
      <c r="E3713" t="s">
        <v>87</v>
      </c>
      <c r="F3713">
        <v>11400</v>
      </c>
      <c r="G3713" t="s">
        <v>331</v>
      </c>
      <c r="H3713" s="15">
        <v>45292</v>
      </c>
      <c r="I3713">
        <v>11400</v>
      </c>
      <c r="J3713">
        <v>0</v>
      </c>
    </row>
    <row r="3714" spans="1:10" x14ac:dyDescent="0.3">
      <c r="A3714" s="15">
        <v>45717</v>
      </c>
      <c r="B3714" t="s">
        <v>276</v>
      </c>
      <c r="C3714" t="s">
        <v>81</v>
      </c>
      <c r="D3714" t="s">
        <v>82</v>
      </c>
      <c r="E3714" t="s">
        <v>103</v>
      </c>
      <c r="F3714">
        <v>3300</v>
      </c>
      <c r="G3714" t="s">
        <v>331</v>
      </c>
      <c r="H3714" s="15">
        <v>45292</v>
      </c>
      <c r="I3714">
        <v>3300</v>
      </c>
      <c r="J3714">
        <v>0</v>
      </c>
    </row>
    <row r="3715" spans="1:10" x14ac:dyDescent="0.3">
      <c r="A3715" s="15">
        <v>45717</v>
      </c>
      <c r="B3715" t="s">
        <v>277</v>
      </c>
      <c r="C3715" t="s">
        <v>91</v>
      </c>
      <c r="D3715" t="s">
        <v>86</v>
      </c>
      <c r="E3715" t="s">
        <v>97</v>
      </c>
      <c r="F3715">
        <v>8000</v>
      </c>
      <c r="G3715" t="s">
        <v>331</v>
      </c>
      <c r="H3715" s="15">
        <v>45292</v>
      </c>
      <c r="I3715">
        <v>8000</v>
      </c>
      <c r="J3715">
        <v>0</v>
      </c>
    </row>
    <row r="3716" spans="1:10" x14ac:dyDescent="0.3">
      <c r="A3716" s="15">
        <v>45717</v>
      </c>
      <c r="B3716" t="s">
        <v>279</v>
      </c>
      <c r="C3716" t="s">
        <v>91</v>
      </c>
      <c r="D3716" t="s">
        <v>99</v>
      </c>
      <c r="E3716" t="s">
        <v>89</v>
      </c>
      <c r="F3716">
        <v>9800</v>
      </c>
      <c r="G3716" t="s">
        <v>331</v>
      </c>
      <c r="H3716" s="15">
        <v>45292</v>
      </c>
      <c r="I3716">
        <v>9800</v>
      </c>
      <c r="J3716">
        <v>0</v>
      </c>
    </row>
    <row r="3717" spans="1:10" x14ac:dyDescent="0.3">
      <c r="A3717" s="15">
        <v>45717</v>
      </c>
      <c r="B3717" t="s">
        <v>280</v>
      </c>
      <c r="C3717" t="s">
        <v>91</v>
      </c>
      <c r="D3717" t="s">
        <v>96</v>
      </c>
      <c r="E3717" t="s">
        <v>83</v>
      </c>
      <c r="F3717">
        <v>6300</v>
      </c>
      <c r="G3717" t="s">
        <v>331</v>
      </c>
      <c r="H3717" s="15">
        <v>45292</v>
      </c>
      <c r="I3717">
        <v>6300</v>
      </c>
      <c r="J3717">
        <v>0</v>
      </c>
    </row>
    <row r="3718" spans="1:10" x14ac:dyDescent="0.3">
      <c r="A3718" s="15">
        <v>45717</v>
      </c>
      <c r="B3718" t="s">
        <v>281</v>
      </c>
      <c r="C3718" t="s">
        <v>110</v>
      </c>
      <c r="D3718" t="s">
        <v>86</v>
      </c>
      <c r="E3718" t="s">
        <v>92</v>
      </c>
      <c r="F3718">
        <v>63400</v>
      </c>
      <c r="G3718" t="s">
        <v>332</v>
      </c>
      <c r="H3718" s="15">
        <v>45292</v>
      </c>
      <c r="I3718">
        <v>59000</v>
      </c>
      <c r="J3718">
        <v>4400</v>
      </c>
    </row>
    <row r="3719" spans="1:10" x14ac:dyDescent="0.3">
      <c r="A3719" s="15">
        <v>45717</v>
      </c>
      <c r="B3719" t="s">
        <v>282</v>
      </c>
      <c r="C3719" t="s">
        <v>91</v>
      </c>
      <c r="D3719" t="s">
        <v>86</v>
      </c>
      <c r="E3719" t="s">
        <v>92</v>
      </c>
      <c r="F3719">
        <v>5800</v>
      </c>
      <c r="G3719" t="s">
        <v>331</v>
      </c>
      <c r="H3719" s="15">
        <v>45292</v>
      </c>
      <c r="I3719">
        <v>5800</v>
      </c>
      <c r="J3719">
        <v>0</v>
      </c>
    </row>
    <row r="3720" spans="1:10" x14ac:dyDescent="0.3">
      <c r="A3720" s="15">
        <v>45717</v>
      </c>
      <c r="B3720" t="s">
        <v>283</v>
      </c>
      <c r="C3720" t="s">
        <v>110</v>
      </c>
      <c r="D3720" t="s">
        <v>82</v>
      </c>
      <c r="E3720" t="s">
        <v>87</v>
      </c>
      <c r="F3720">
        <v>34200</v>
      </c>
      <c r="G3720" t="s">
        <v>331</v>
      </c>
      <c r="H3720" s="15">
        <v>45292</v>
      </c>
      <c r="I3720">
        <v>34200</v>
      </c>
      <c r="J3720">
        <v>0</v>
      </c>
    </row>
    <row r="3721" spans="1:10" x14ac:dyDescent="0.3">
      <c r="A3721" s="15">
        <v>45717</v>
      </c>
      <c r="B3721" t="s">
        <v>284</v>
      </c>
      <c r="C3721" t="s">
        <v>81</v>
      </c>
      <c r="D3721" t="s">
        <v>82</v>
      </c>
      <c r="E3721" t="s">
        <v>101</v>
      </c>
      <c r="F3721">
        <v>2400</v>
      </c>
      <c r="G3721" t="s">
        <v>331</v>
      </c>
      <c r="H3721" s="15">
        <v>45292</v>
      </c>
      <c r="I3721">
        <v>2400</v>
      </c>
      <c r="J3721">
        <v>0</v>
      </c>
    </row>
    <row r="3722" spans="1:10" x14ac:dyDescent="0.3">
      <c r="A3722" s="15">
        <v>45717</v>
      </c>
      <c r="B3722" t="s">
        <v>285</v>
      </c>
      <c r="C3722" t="s">
        <v>91</v>
      </c>
      <c r="D3722" t="s">
        <v>82</v>
      </c>
      <c r="E3722" t="s">
        <v>83</v>
      </c>
      <c r="F3722">
        <v>10900</v>
      </c>
      <c r="G3722" t="s">
        <v>331</v>
      </c>
      <c r="H3722" s="15">
        <v>45292</v>
      </c>
      <c r="I3722">
        <v>10900</v>
      </c>
      <c r="J3722">
        <v>0</v>
      </c>
    </row>
    <row r="3723" spans="1:10" x14ac:dyDescent="0.3">
      <c r="A3723" s="15">
        <v>45717</v>
      </c>
      <c r="B3723" t="s">
        <v>286</v>
      </c>
      <c r="C3723" t="s">
        <v>125</v>
      </c>
      <c r="D3723" t="s">
        <v>86</v>
      </c>
      <c r="E3723" t="s">
        <v>92</v>
      </c>
      <c r="F3723">
        <v>92400</v>
      </c>
      <c r="G3723" t="s">
        <v>331</v>
      </c>
      <c r="H3723" s="15">
        <v>45292</v>
      </c>
      <c r="I3723">
        <v>92400</v>
      </c>
      <c r="J3723">
        <v>0</v>
      </c>
    </row>
    <row r="3724" spans="1:10" x14ac:dyDescent="0.3">
      <c r="A3724" s="15">
        <v>45717</v>
      </c>
      <c r="B3724" t="s">
        <v>287</v>
      </c>
      <c r="C3724" t="s">
        <v>81</v>
      </c>
      <c r="D3724" t="s">
        <v>99</v>
      </c>
      <c r="E3724" t="s">
        <v>87</v>
      </c>
      <c r="F3724">
        <v>2300</v>
      </c>
      <c r="G3724" t="s">
        <v>331</v>
      </c>
      <c r="H3724" s="15">
        <v>45292</v>
      </c>
      <c r="I3724">
        <v>2300</v>
      </c>
      <c r="J3724">
        <v>0</v>
      </c>
    </row>
    <row r="3725" spans="1:10" x14ac:dyDescent="0.3">
      <c r="A3725" s="15">
        <v>45717</v>
      </c>
      <c r="B3725" t="s">
        <v>288</v>
      </c>
      <c r="C3725" t="s">
        <v>81</v>
      </c>
      <c r="D3725" t="s">
        <v>99</v>
      </c>
      <c r="E3725" t="s">
        <v>97</v>
      </c>
      <c r="F3725">
        <v>2600</v>
      </c>
      <c r="G3725" t="s">
        <v>331</v>
      </c>
      <c r="H3725" s="15">
        <v>45292</v>
      </c>
      <c r="I3725">
        <v>2600</v>
      </c>
      <c r="J3725">
        <v>0</v>
      </c>
    </row>
    <row r="3726" spans="1:10" x14ac:dyDescent="0.3">
      <c r="A3726" s="15">
        <v>45717</v>
      </c>
      <c r="B3726" t="s">
        <v>289</v>
      </c>
      <c r="C3726" t="s">
        <v>91</v>
      </c>
      <c r="D3726" t="s">
        <v>86</v>
      </c>
      <c r="E3726" t="s">
        <v>101</v>
      </c>
      <c r="F3726">
        <v>9400</v>
      </c>
      <c r="G3726" t="s">
        <v>331</v>
      </c>
      <c r="H3726" s="15">
        <v>45292</v>
      </c>
      <c r="I3726">
        <v>9400</v>
      </c>
      <c r="J3726">
        <v>0</v>
      </c>
    </row>
    <row r="3727" spans="1:10" x14ac:dyDescent="0.3">
      <c r="A3727" s="15">
        <v>45717</v>
      </c>
      <c r="B3727" t="s">
        <v>290</v>
      </c>
      <c r="C3727" t="s">
        <v>81</v>
      </c>
      <c r="D3727" t="s">
        <v>82</v>
      </c>
      <c r="E3727" t="s">
        <v>103</v>
      </c>
      <c r="F3727">
        <v>2500</v>
      </c>
      <c r="G3727" t="s">
        <v>331</v>
      </c>
      <c r="H3727" s="15">
        <v>45292</v>
      </c>
      <c r="I3727">
        <v>2500</v>
      </c>
      <c r="J3727">
        <v>0</v>
      </c>
    </row>
    <row r="3728" spans="1:10" x14ac:dyDescent="0.3">
      <c r="A3728" s="15">
        <v>45717</v>
      </c>
      <c r="B3728" t="s">
        <v>291</v>
      </c>
      <c r="C3728" t="s">
        <v>81</v>
      </c>
      <c r="D3728" t="s">
        <v>82</v>
      </c>
      <c r="E3728" t="s">
        <v>83</v>
      </c>
      <c r="F3728">
        <v>3100</v>
      </c>
      <c r="G3728" t="s">
        <v>331</v>
      </c>
      <c r="H3728" s="15">
        <v>45292</v>
      </c>
      <c r="I3728">
        <v>3100</v>
      </c>
      <c r="J3728">
        <v>0</v>
      </c>
    </row>
    <row r="3729" spans="1:10" x14ac:dyDescent="0.3">
      <c r="A3729" s="15">
        <v>45717</v>
      </c>
      <c r="B3729" t="s">
        <v>292</v>
      </c>
      <c r="C3729" t="s">
        <v>91</v>
      </c>
      <c r="D3729" t="s">
        <v>86</v>
      </c>
      <c r="E3729" t="s">
        <v>89</v>
      </c>
      <c r="F3729">
        <v>8600</v>
      </c>
      <c r="G3729" t="s">
        <v>331</v>
      </c>
      <c r="H3729" s="15">
        <v>45292</v>
      </c>
      <c r="I3729">
        <v>8600</v>
      </c>
      <c r="J3729">
        <v>0</v>
      </c>
    </row>
    <row r="3730" spans="1:10" x14ac:dyDescent="0.3">
      <c r="A3730" s="15">
        <v>45717</v>
      </c>
      <c r="B3730" t="s">
        <v>293</v>
      </c>
      <c r="C3730" t="s">
        <v>81</v>
      </c>
      <c r="D3730" t="s">
        <v>86</v>
      </c>
      <c r="E3730" t="s">
        <v>103</v>
      </c>
      <c r="F3730">
        <v>2200</v>
      </c>
      <c r="G3730" t="s">
        <v>331</v>
      </c>
      <c r="H3730" s="15">
        <v>45292</v>
      </c>
      <c r="I3730">
        <v>2200</v>
      </c>
      <c r="J3730">
        <v>0</v>
      </c>
    </row>
    <row r="3731" spans="1:10" x14ac:dyDescent="0.3">
      <c r="A3731" s="15">
        <v>45717</v>
      </c>
      <c r="B3731" t="s">
        <v>294</v>
      </c>
      <c r="C3731" t="s">
        <v>91</v>
      </c>
      <c r="D3731" t="s">
        <v>82</v>
      </c>
      <c r="E3731" t="s">
        <v>97</v>
      </c>
      <c r="F3731">
        <v>10400</v>
      </c>
      <c r="G3731" t="s">
        <v>331</v>
      </c>
      <c r="H3731" s="15">
        <v>45292</v>
      </c>
      <c r="I3731">
        <v>10400</v>
      </c>
      <c r="J3731">
        <v>0</v>
      </c>
    </row>
    <row r="3732" spans="1:10" x14ac:dyDescent="0.3">
      <c r="A3732" s="15">
        <v>45717</v>
      </c>
      <c r="B3732" t="s">
        <v>295</v>
      </c>
      <c r="C3732" t="s">
        <v>81</v>
      </c>
      <c r="D3732" t="s">
        <v>82</v>
      </c>
      <c r="E3732" t="s">
        <v>103</v>
      </c>
      <c r="F3732">
        <v>2300</v>
      </c>
      <c r="G3732" t="s">
        <v>331</v>
      </c>
      <c r="H3732" s="15">
        <v>45292</v>
      </c>
      <c r="I3732">
        <v>2300</v>
      </c>
      <c r="J3732">
        <v>0</v>
      </c>
    </row>
    <row r="3733" spans="1:10" x14ac:dyDescent="0.3">
      <c r="A3733" s="15">
        <v>45717</v>
      </c>
      <c r="B3733" t="s">
        <v>297</v>
      </c>
      <c r="C3733" t="s">
        <v>91</v>
      </c>
      <c r="D3733" t="s">
        <v>86</v>
      </c>
      <c r="E3733" t="s">
        <v>103</v>
      </c>
      <c r="F3733">
        <v>9100</v>
      </c>
      <c r="G3733" t="s">
        <v>331</v>
      </c>
      <c r="H3733" s="15">
        <v>45292</v>
      </c>
      <c r="I3733">
        <v>9100</v>
      </c>
      <c r="J3733">
        <v>0</v>
      </c>
    </row>
    <row r="3734" spans="1:10" x14ac:dyDescent="0.3">
      <c r="A3734" s="15">
        <v>45717</v>
      </c>
      <c r="B3734" t="s">
        <v>298</v>
      </c>
      <c r="C3734" t="s">
        <v>81</v>
      </c>
      <c r="D3734" t="s">
        <v>86</v>
      </c>
      <c r="E3734" t="s">
        <v>89</v>
      </c>
      <c r="F3734">
        <v>2700</v>
      </c>
      <c r="G3734" t="s">
        <v>331</v>
      </c>
      <c r="H3734" s="15">
        <v>45292</v>
      </c>
      <c r="I3734">
        <v>2700</v>
      </c>
      <c r="J3734">
        <v>0</v>
      </c>
    </row>
    <row r="3735" spans="1:10" x14ac:dyDescent="0.3">
      <c r="A3735" s="15">
        <v>45717</v>
      </c>
      <c r="B3735" t="s">
        <v>299</v>
      </c>
      <c r="C3735" t="s">
        <v>81</v>
      </c>
      <c r="D3735" t="s">
        <v>99</v>
      </c>
      <c r="E3735" t="s">
        <v>103</v>
      </c>
      <c r="F3735">
        <v>2900</v>
      </c>
      <c r="G3735" t="s">
        <v>331</v>
      </c>
      <c r="H3735" s="15">
        <v>45292</v>
      </c>
      <c r="I3735">
        <v>2900</v>
      </c>
      <c r="J3735">
        <v>0</v>
      </c>
    </row>
    <row r="3736" spans="1:10" x14ac:dyDescent="0.3">
      <c r="A3736" s="15">
        <v>45717</v>
      </c>
      <c r="B3736" t="s">
        <v>300</v>
      </c>
      <c r="C3736" t="s">
        <v>91</v>
      </c>
      <c r="D3736" t="s">
        <v>82</v>
      </c>
      <c r="E3736" t="s">
        <v>89</v>
      </c>
      <c r="F3736">
        <v>11500</v>
      </c>
      <c r="G3736" t="s">
        <v>331</v>
      </c>
      <c r="H3736" s="15">
        <v>45292</v>
      </c>
      <c r="I3736">
        <v>11500</v>
      </c>
      <c r="J3736">
        <v>0</v>
      </c>
    </row>
    <row r="3737" spans="1:10" x14ac:dyDescent="0.3">
      <c r="A3737" s="15">
        <v>45717</v>
      </c>
      <c r="B3737" t="s">
        <v>303</v>
      </c>
      <c r="C3737" t="s">
        <v>81</v>
      </c>
      <c r="D3737" t="s">
        <v>82</v>
      </c>
      <c r="E3737" t="s">
        <v>83</v>
      </c>
      <c r="F3737">
        <v>1400</v>
      </c>
      <c r="G3737" t="s">
        <v>334</v>
      </c>
      <c r="H3737" s="15">
        <v>45292</v>
      </c>
      <c r="I3737">
        <v>1500</v>
      </c>
      <c r="J3737">
        <v>-100</v>
      </c>
    </row>
    <row r="3738" spans="1:10" x14ac:dyDescent="0.3">
      <c r="A3738" s="15">
        <v>45717</v>
      </c>
      <c r="B3738" t="s">
        <v>304</v>
      </c>
      <c r="C3738" t="s">
        <v>81</v>
      </c>
      <c r="D3738" t="s">
        <v>86</v>
      </c>
      <c r="E3738" t="s">
        <v>92</v>
      </c>
      <c r="F3738">
        <v>2100</v>
      </c>
      <c r="G3738" t="s">
        <v>331</v>
      </c>
      <c r="H3738" s="15">
        <v>45292</v>
      </c>
      <c r="I3738">
        <v>2100</v>
      </c>
      <c r="J3738">
        <v>0</v>
      </c>
    </row>
    <row r="3739" spans="1:10" x14ac:dyDescent="0.3">
      <c r="A3739" s="15">
        <v>45717</v>
      </c>
      <c r="B3739" t="s">
        <v>306</v>
      </c>
      <c r="C3739" t="s">
        <v>91</v>
      </c>
      <c r="D3739" t="s">
        <v>82</v>
      </c>
      <c r="E3739" t="s">
        <v>87</v>
      </c>
      <c r="F3739">
        <v>11700</v>
      </c>
      <c r="G3739" t="s">
        <v>331</v>
      </c>
      <c r="H3739" s="15">
        <v>45292</v>
      </c>
      <c r="I3739">
        <v>11700</v>
      </c>
      <c r="J3739">
        <v>0</v>
      </c>
    </row>
    <row r="3740" spans="1:10" x14ac:dyDescent="0.3">
      <c r="A3740" s="15">
        <v>45717</v>
      </c>
      <c r="B3740" t="s">
        <v>307</v>
      </c>
      <c r="C3740" t="s">
        <v>81</v>
      </c>
      <c r="D3740" t="s">
        <v>86</v>
      </c>
      <c r="E3740" t="s">
        <v>97</v>
      </c>
      <c r="F3740">
        <v>2600</v>
      </c>
      <c r="G3740" t="s">
        <v>331</v>
      </c>
      <c r="H3740" s="15">
        <v>45292</v>
      </c>
      <c r="I3740">
        <v>2600</v>
      </c>
      <c r="J3740">
        <v>0</v>
      </c>
    </row>
    <row r="3741" spans="1:10" x14ac:dyDescent="0.3">
      <c r="A3741" s="15">
        <v>45717</v>
      </c>
      <c r="B3741" t="s">
        <v>309</v>
      </c>
      <c r="C3741" t="s">
        <v>91</v>
      </c>
      <c r="D3741" t="s">
        <v>82</v>
      </c>
      <c r="E3741" t="s">
        <v>87</v>
      </c>
      <c r="F3741">
        <v>10700</v>
      </c>
      <c r="G3741" t="s">
        <v>331</v>
      </c>
      <c r="H3741" s="15">
        <v>45292</v>
      </c>
      <c r="I3741">
        <v>10700</v>
      </c>
      <c r="J3741">
        <v>0</v>
      </c>
    </row>
    <row r="3742" spans="1:10" x14ac:dyDescent="0.3">
      <c r="A3742" s="15">
        <v>45717</v>
      </c>
      <c r="B3742" t="s">
        <v>310</v>
      </c>
      <c r="C3742" t="s">
        <v>91</v>
      </c>
      <c r="D3742" t="s">
        <v>99</v>
      </c>
      <c r="E3742" t="s">
        <v>87</v>
      </c>
      <c r="F3742">
        <v>10000</v>
      </c>
      <c r="G3742" t="s">
        <v>331</v>
      </c>
      <c r="H3742" s="15">
        <v>45292</v>
      </c>
      <c r="I3742">
        <v>10000</v>
      </c>
      <c r="J3742">
        <v>0</v>
      </c>
    </row>
    <row r="3743" spans="1:10" x14ac:dyDescent="0.3">
      <c r="A3743" s="15">
        <v>45717</v>
      </c>
      <c r="B3743" t="s">
        <v>313</v>
      </c>
      <c r="C3743" t="s">
        <v>91</v>
      </c>
      <c r="D3743" t="s">
        <v>82</v>
      </c>
      <c r="E3743" t="s">
        <v>101</v>
      </c>
      <c r="F3743">
        <v>12700</v>
      </c>
      <c r="G3743" t="s">
        <v>331</v>
      </c>
      <c r="H3743" s="15">
        <v>45292</v>
      </c>
      <c r="I3743">
        <v>12700</v>
      </c>
      <c r="J3743">
        <v>0</v>
      </c>
    </row>
    <row r="3744" spans="1:10" x14ac:dyDescent="0.3">
      <c r="A3744" s="15">
        <v>45717</v>
      </c>
      <c r="B3744" t="s">
        <v>315</v>
      </c>
      <c r="C3744" t="s">
        <v>125</v>
      </c>
      <c r="D3744" t="s">
        <v>86</v>
      </c>
      <c r="E3744" t="s">
        <v>92</v>
      </c>
      <c r="F3744">
        <v>76200</v>
      </c>
      <c r="G3744" t="s">
        <v>331</v>
      </c>
      <c r="H3744" s="15">
        <v>45292</v>
      </c>
      <c r="I3744">
        <v>76200</v>
      </c>
      <c r="J3744">
        <v>0</v>
      </c>
    </row>
    <row r="3745" spans="1:10" x14ac:dyDescent="0.3">
      <c r="A3745" s="15">
        <v>45717</v>
      </c>
      <c r="B3745" t="s">
        <v>316</v>
      </c>
      <c r="C3745" t="s">
        <v>81</v>
      </c>
      <c r="D3745" t="s">
        <v>96</v>
      </c>
      <c r="E3745" t="s">
        <v>92</v>
      </c>
      <c r="F3745">
        <v>2000</v>
      </c>
      <c r="G3745" t="s">
        <v>332</v>
      </c>
      <c r="H3745" s="15">
        <v>45292</v>
      </c>
      <c r="I3745">
        <v>1800</v>
      </c>
      <c r="J3745">
        <v>200</v>
      </c>
    </row>
    <row r="3746" spans="1:10" x14ac:dyDescent="0.3">
      <c r="A3746" s="15">
        <v>45717</v>
      </c>
      <c r="B3746" t="s">
        <v>318</v>
      </c>
      <c r="C3746" t="s">
        <v>110</v>
      </c>
      <c r="D3746" t="s">
        <v>82</v>
      </c>
      <c r="E3746" t="s">
        <v>97</v>
      </c>
      <c r="F3746">
        <v>29600</v>
      </c>
      <c r="G3746" t="s">
        <v>331</v>
      </c>
      <c r="H3746" s="15">
        <v>45292</v>
      </c>
      <c r="I3746">
        <v>29600</v>
      </c>
      <c r="J3746">
        <v>0</v>
      </c>
    </row>
    <row r="3747" spans="1:10" x14ac:dyDescent="0.3">
      <c r="A3747" s="15">
        <v>45717</v>
      </c>
      <c r="B3747" t="s">
        <v>320</v>
      </c>
      <c r="C3747" t="s">
        <v>91</v>
      </c>
      <c r="D3747" t="s">
        <v>86</v>
      </c>
      <c r="E3747" t="s">
        <v>97</v>
      </c>
      <c r="F3747">
        <v>7700</v>
      </c>
      <c r="G3747" t="s">
        <v>331</v>
      </c>
      <c r="H3747" s="15">
        <v>45292</v>
      </c>
      <c r="I3747">
        <v>7700</v>
      </c>
      <c r="J3747">
        <v>0</v>
      </c>
    </row>
    <row r="3748" spans="1:10" x14ac:dyDescent="0.3">
      <c r="A3748" s="15">
        <v>45717</v>
      </c>
      <c r="B3748" t="s">
        <v>321</v>
      </c>
      <c r="C3748" t="s">
        <v>81</v>
      </c>
      <c r="D3748" t="s">
        <v>99</v>
      </c>
      <c r="E3748" t="s">
        <v>101</v>
      </c>
      <c r="F3748">
        <v>3300</v>
      </c>
      <c r="G3748" t="s">
        <v>331</v>
      </c>
      <c r="H3748" s="15">
        <v>45292</v>
      </c>
      <c r="I3748">
        <v>3300</v>
      </c>
      <c r="J3748">
        <v>0</v>
      </c>
    </row>
    <row r="3749" spans="1:10" x14ac:dyDescent="0.3">
      <c r="A3749" s="15">
        <v>45717</v>
      </c>
      <c r="B3749" t="s">
        <v>322</v>
      </c>
      <c r="C3749" t="s">
        <v>81</v>
      </c>
      <c r="D3749" t="s">
        <v>82</v>
      </c>
      <c r="E3749" t="s">
        <v>103</v>
      </c>
      <c r="F3749">
        <v>2000</v>
      </c>
      <c r="G3749" t="s">
        <v>331</v>
      </c>
      <c r="H3749" s="15">
        <v>45292</v>
      </c>
      <c r="I3749">
        <v>2000</v>
      </c>
      <c r="J3749">
        <v>0</v>
      </c>
    </row>
    <row r="3750" spans="1:10" x14ac:dyDescent="0.3">
      <c r="A3750" s="15">
        <v>45717</v>
      </c>
      <c r="B3750" t="s">
        <v>323</v>
      </c>
      <c r="C3750" t="s">
        <v>110</v>
      </c>
      <c r="D3750" t="s">
        <v>82</v>
      </c>
      <c r="E3750" t="s">
        <v>89</v>
      </c>
      <c r="F3750">
        <v>23400</v>
      </c>
      <c r="G3750" t="s">
        <v>331</v>
      </c>
      <c r="H3750" s="15">
        <v>45292</v>
      </c>
      <c r="I3750">
        <v>23400</v>
      </c>
      <c r="J3750">
        <v>0</v>
      </c>
    </row>
    <row r="3751" spans="1:10" x14ac:dyDescent="0.3">
      <c r="A3751" s="15">
        <v>45717</v>
      </c>
      <c r="B3751" t="s">
        <v>324</v>
      </c>
      <c r="C3751" t="s">
        <v>81</v>
      </c>
      <c r="D3751" t="s">
        <v>86</v>
      </c>
      <c r="E3751" t="s">
        <v>87</v>
      </c>
      <c r="F3751">
        <v>2700</v>
      </c>
      <c r="G3751" t="s">
        <v>331</v>
      </c>
      <c r="H3751" s="15">
        <v>45292</v>
      </c>
      <c r="I3751">
        <v>2700</v>
      </c>
      <c r="J3751">
        <v>0</v>
      </c>
    </row>
    <row r="3752" spans="1:10" x14ac:dyDescent="0.3">
      <c r="A3752" s="15">
        <v>45717</v>
      </c>
      <c r="B3752" t="s">
        <v>325</v>
      </c>
      <c r="C3752" t="s">
        <v>91</v>
      </c>
      <c r="D3752" t="s">
        <v>86</v>
      </c>
      <c r="E3752" t="s">
        <v>87</v>
      </c>
      <c r="F3752">
        <v>8800</v>
      </c>
      <c r="G3752" t="s">
        <v>331</v>
      </c>
      <c r="H3752" s="15">
        <v>45292</v>
      </c>
      <c r="I3752">
        <v>8800</v>
      </c>
      <c r="J3752">
        <v>0</v>
      </c>
    </row>
    <row r="3753" spans="1:10" x14ac:dyDescent="0.3">
      <c r="A3753" s="15">
        <v>45717</v>
      </c>
      <c r="B3753" t="s">
        <v>326</v>
      </c>
      <c r="C3753" t="s">
        <v>91</v>
      </c>
      <c r="D3753" t="s">
        <v>86</v>
      </c>
      <c r="E3753" t="s">
        <v>92</v>
      </c>
      <c r="F3753">
        <v>7900</v>
      </c>
      <c r="G3753" t="s">
        <v>331</v>
      </c>
      <c r="H3753" s="15">
        <v>45292</v>
      </c>
      <c r="I3753">
        <v>7900</v>
      </c>
      <c r="J3753">
        <v>0</v>
      </c>
    </row>
    <row r="3754" spans="1:10" x14ac:dyDescent="0.3">
      <c r="A3754" s="15">
        <v>45717</v>
      </c>
      <c r="B3754" t="s">
        <v>327</v>
      </c>
      <c r="C3754" t="s">
        <v>125</v>
      </c>
      <c r="D3754" t="s">
        <v>99</v>
      </c>
      <c r="E3754" t="s">
        <v>97</v>
      </c>
      <c r="F3754">
        <v>77500</v>
      </c>
      <c r="G3754" t="s">
        <v>331</v>
      </c>
      <c r="H3754" s="15">
        <v>45292</v>
      </c>
      <c r="I3754">
        <v>77500</v>
      </c>
      <c r="J3754">
        <v>0</v>
      </c>
    </row>
    <row r="3755" spans="1:10" x14ac:dyDescent="0.3">
      <c r="A3755" s="15">
        <v>45717</v>
      </c>
      <c r="B3755" t="s">
        <v>329</v>
      </c>
      <c r="C3755" t="s">
        <v>81</v>
      </c>
      <c r="D3755" t="s">
        <v>86</v>
      </c>
      <c r="E3755" t="s">
        <v>101</v>
      </c>
      <c r="F3755">
        <v>2200</v>
      </c>
      <c r="G3755" t="s">
        <v>331</v>
      </c>
      <c r="H3755" s="15">
        <v>45292</v>
      </c>
      <c r="I3755">
        <v>2200</v>
      </c>
      <c r="J3755">
        <v>0</v>
      </c>
    </row>
    <row r="3756" spans="1:10" x14ac:dyDescent="0.3">
      <c r="A3756" s="15">
        <v>45717</v>
      </c>
      <c r="B3756" t="s">
        <v>330</v>
      </c>
      <c r="C3756" t="s">
        <v>125</v>
      </c>
      <c r="D3756" t="s">
        <v>86</v>
      </c>
      <c r="E3756" t="s">
        <v>87</v>
      </c>
      <c r="F3756">
        <v>105400</v>
      </c>
      <c r="G3756" t="s">
        <v>331</v>
      </c>
      <c r="H3756" s="15">
        <v>45292</v>
      </c>
      <c r="I3756">
        <v>105400</v>
      </c>
      <c r="J3756">
        <v>0</v>
      </c>
    </row>
    <row r="3757" spans="1:10" x14ac:dyDescent="0.3">
      <c r="A3757" s="15">
        <v>45717</v>
      </c>
      <c r="B3757" t="s">
        <v>335</v>
      </c>
      <c r="C3757" t="s">
        <v>91</v>
      </c>
      <c r="D3757" t="s">
        <v>86</v>
      </c>
      <c r="E3757" t="s">
        <v>89</v>
      </c>
      <c r="F3757">
        <v>7300</v>
      </c>
      <c r="G3757" t="s">
        <v>331</v>
      </c>
      <c r="H3757" s="15">
        <v>45323</v>
      </c>
      <c r="I3757">
        <v>7300</v>
      </c>
      <c r="J3757">
        <v>0</v>
      </c>
    </row>
    <row r="3758" spans="1:10" x14ac:dyDescent="0.3">
      <c r="A3758" s="15">
        <v>45717</v>
      </c>
      <c r="B3758" t="s">
        <v>336</v>
      </c>
      <c r="C3758" t="s">
        <v>81</v>
      </c>
      <c r="D3758" t="s">
        <v>82</v>
      </c>
      <c r="E3758" t="s">
        <v>103</v>
      </c>
      <c r="F3758">
        <v>1500</v>
      </c>
      <c r="G3758" t="s">
        <v>331</v>
      </c>
      <c r="H3758" s="15">
        <v>45323</v>
      </c>
      <c r="I3758">
        <v>1500</v>
      </c>
      <c r="J3758">
        <v>0</v>
      </c>
    </row>
    <row r="3759" spans="1:10" x14ac:dyDescent="0.3">
      <c r="A3759" s="15">
        <v>45717</v>
      </c>
      <c r="B3759" t="s">
        <v>339</v>
      </c>
      <c r="C3759" t="s">
        <v>81</v>
      </c>
      <c r="D3759" t="s">
        <v>82</v>
      </c>
      <c r="E3759" t="s">
        <v>103</v>
      </c>
      <c r="F3759">
        <v>1600</v>
      </c>
      <c r="G3759" t="s">
        <v>331</v>
      </c>
      <c r="H3759" s="15">
        <v>45323</v>
      </c>
      <c r="I3759">
        <v>1600</v>
      </c>
      <c r="J3759">
        <v>0</v>
      </c>
    </row>
    <row r="3760" spans="1:10" x14ac:dyDescent="0.3">
      <c r="A3760" s="15">
        <v>45717</v>
      </c>
      <c r="B3760" t="s">
        <v>340</v>
      </c>
      <c r="C3760" t="s">
        <v>81</v>
      </c>
      <c r="D3760" t="s">
        <v>82</v>
      </c>
      <c r="E3760" t="s">
        <v>87</v>
      </c>
      <c r="F3760">
        <v>1800</v>
      </c>
      <c r="G3760" t="s">
        <v>331</v>
      </c>
      <c r="H3760" s="15">
        <v>45323</v>
      </c>
      <c r="I3760">
        <v>1800</v>
      </c>
      <c r="J3760">
        <v>0</v>
      </c>
    </row>
    <row r="3761" spans="1:10" x14ac:dyDescent="0.3">
      <c r="A3761" s="15">
        <v>45717</v>
      </c>
      <c r="B3761" t="s">
        <v>341</v>
      </c>
      <c r="C3761" t="s">
        <v>110</v>
      </c>
      <c r="D3761" t="s">
        <v>82</v>
      </c>
      <c r="E3761" t="s">
        <v>92</v>
      </c>
      <c r="F3761">
        <v>18800</v>
      </c>
      <c r="G3761" t="s">
        <v>331</v>
      </c>
      <c r="H3761" s="15">
        <v>45323</v>
      </c>
      <c r="I3761">
        <v>18800</v>
      </c>
      <c r="J3761">
        <v>0</v>
      </c>
    </row>
    <row r="3762" spans="1:10" x14ac:dyDescent="0.3">
      <c r="A3762" s="15">
        <v>45717</v>
      </c>
      <c r="B3762" t="s">
        <v>342</v>
      </c>
      <c r="C3762" t="s">
        <v>91</v>
      </c>
      <c r="D3762" t="s">
        <v>82</v>
      </c>
      <c r="E3762" t="s">
        <v>83</v>
      </c>
      <c r="F3762">
        <v>6300</v>
      </c>
      <c r="G3762" t="s">
        <v>331</v>
      </c>
      <c r="H3762" s="15">
        <v>45352</v>
      </c>
      <c r="I3762">
        <v>6300</v>
      </c>
      <c r="J3762">
        <v>0</v>
      </c>
    </row>
    <row r="3763" spans="1:10" x14ac:dyDescent="0.3">
      <c r="A3763" s="15">
        <v>45717</v>
      </c>
      <c r="B3763" t="s">
        <v>343</v>
      </c>
      <c r="C3763" t="s">
        <v>81</v>
      </c>
      <c r="D3763" t="s">
        <v>82</v>
      </c>
      <c r="E3763" t="s">
        <v>89</v>
      </c>
      <c r="F3763">
        <v>2500</v>
      </c>
      <c r="G3763" t="s">
        <v>331</v>
      </c>
      <c r="H3763" s="15">
        <v>45352</v>
      </c>
      <c r="I3763">
        <v>2500</v>
      </c>
      <c r="J3763">
        <v>0</v>
      </c>
    </row>
    <row r="3764" spans="1:10" x14ac:dyDescent="0.3">
      <c r="A3764" s="15">
        <v>45717</v>
      </c>
      <c r="B3764" t="s">
        <v>344</v>
      </c>
      <c r="C3764" t="s">
        <v>110</v>
      </c>
      <c r="D3764" t="s">
        <v>86</v>
      </c>
      <c r="E3764" t="s">
        <v>89</v>
      </c>
      <c r="F3764">
        <v>21100</v>
      </c>
      <c r="G3764" t="s">
        <v>331</v>
      </c>
      <c r="H3764" s="15">
        <v>45352</v>
      </c>
      <c r="I3764">
        <v>21100</v>
      </c>
      <c r="J3764">
        <v>0</v>
      </c>
    </row>
    <row r="3765" spans="1:10" x14ac:dyDescent="0.3">
      <c r="A3765" s="15">
        <v>45717</v>
      </c>
      <c r="B3765" t="s">
        <v>345</v>
      </c>
      <c r="C3765" t="s">
        <v>91</v>
      </c>
      <c r="D3765" t="s">
        <v>86</v>
      </c>
      <c r="E3765" t="s">
        <v>83</v>
      </c>
      <c r="F3765">
        <v>6900</v>
      </c>
      <c r="G3765" t="s">
        <v>331</v>
      </c>
      <c r="H3765" s="15">
        <v>45352</v>
      </c>
      <c r="I3765">
        <v>6900</v>
      </c>
      <c r="J3765">
        <v>0</v>
      </c>
    </row>
    <row r="3766" spans="1:10" x14ac:dyDescent="0.3">
      <c r="A3766" s="15">
        <v>45717</v>
      </c>
      <c r="B3766" t="s">
        <v>346</v>
      </c>
      <c r="C3766" t="s">
        <v>81</v>
      </c>
      <c r="D3766" t="s">
        <v>86</v>
      </c>
      <c r="E3766" t="s">
        <v>97</v>
      </c>
      <c r="F3766">
        <v>1700</v>
      </c>
      <c r="G3766" t="s">
        <v>331</v>
      </c>
      <c r="H3766" s="15">
        <v>45352</v>
      </c>
      <c r="I3766">
        <v>1700</v>
      </c>
      <c r="J3766">
        <v>0</v>
      </c>
    </row>
    <row r="3767" spans="1:10" x14ac:dyDescent="0.3">
      <c r="A3767" s="15">
        <v>45717</v>
      </c>
      <c r="B3767" t="s">
        <v>347</v>
      </c>
      <c r="C3767" t="s">
        <v>91</v>
      </c>
      <c r="D3767" t="s">
        <v>82</v>
      </c>
      <c r="E3767" t="s">
        <v>83</v>
      </c>
      <c r="F3767">
        <v>4700</v>
      </c>
      <c r="G3767" t="s">
        <v>331</v>
      </c>
      <c r="H3767" s="15">
        <v>45383</v>
      </c>
      <c r="I3767">
        <v>4700</v>
      </c>
      <c r="J3767">
        <v>0</v>
      </c>
    </row>
    <row r="3768" spans="1:10" x14ac:dyDescent="0.3">
      <c r="A3768" s="15">
        <v>45717</v>
      </c>
      <c r="B3768" t="s">
        <v>350</v>
      </c>
      <c r="C3768" t="s">
        <v>91</v>
      </c>
      <c r="D3768" t="s">
        <v>82</v>
      </c>
      <c r="E3768" t="s">
        <v>83</v>
      </c>
      <c r="F3768">
        <v>4800</v>
      </c>
      <c r="G3768" t="s">
        <v>331</v>
      </c>
      <c r="H3768" s="15">
        <v>45383</v>
      </c>
      <c r="I3768">
        <v>4800</v>
      </c>
      <c r="J3768">
        <v>0</v>
      </c>
    </row>
    <row r="3769" spans="1:10" x14ac:dyDescent="0.3">
      <c r="A3769" s="15">
        <v>45717</v>
      </c>
      <c r="B3769" t="s">
        <v>351</v>
      </c>
      <c r="C3769" t="s">
        <v>81</v>
      </c>
      <c r="D3769" t="s">
        <v>86</v>
      </c>
      <c r="E3769" t="s">
        <v>83</v>
      </c>
      <c r="F3769">
        <v>2300</v>
      </c>
      <c r="G3769" t="s">
        <v>331</v>
      </c>
      <c r="H3769" s="15">
        <v>45383</v>
      </c>
      <c r="I3769">
        <v>2300</v>
      </c>
      <c r="J3769">
        <v>0</v>
      </c>
    </row>
    <row r="3770" spans="1:10" x14ac:dyDescent="0.3">
      <c r="A3770" s="15">
        <v>45717</v>
      </c>
      <c r="B3770" t="s">
        <v>352</v>
      </c>
      <c r="C3770" t="s">
        <v>91</v>
      </c>
      <c r="D3770" t="s">
        <v>82</v>
      </c>
      <c r="E3770" t="s">
        <v>89</v>
      </c>
      <c r="F3770">
        <v>7800</v>
      </c>
      <c r="G3770" t="s">
        <v>331</v>
      </c>
      <c r="H3770" s="15">
        <v>45383</v>
      </c>
      <c r="I3770">
        <v>7800</v>
      </c>
      <c r="J3770">
        <v>0</v>
      </c>
    </row>
    <row r="3771" spans="1:10" x14ac:dyDescent="0.3">
      <c r="A3771" s="15">
        <v>45717</v>
      </c>
      <c r="B3771" t="s">
        <v>353</v>
      </c>
      <c r="C3771" t="s">
        <v>81</v>
      </c>
      <c r="D3771" t="s">
        <v>99</v>
      </c>
      <c r="E3771" t="s">
        <v>103</v>
      </c>
      <c r="F3771">
        <v>1200</v>
      </c>
      <c r="G3771" t="s">
        <v>331</v>
      </c>
      <c r="H3771" s="15">
        <v>45383</v>
      </c>
      <c r="I3771">
        <v>1200</v>
      </c>
      <c r="J3771">
        <v>0</v>
      </c>
    </row>
    <row r="3772" spans="1:10" x14ac:dyDescent="0.3">
      <c r="A3772" s="15">
        <v>45717</v>
      </c>
      <c r="B3772" t="s">
        <v>354</v>
      </c>
      <c r="C3772" t="s">
        <v>81</v>
      </c>
      <c r="D3772" t="s">
        <v>82</v>
      </c>
      <c r="E3772" t="s">
        <v>92</v>
      </c>
      <c r="F3772">
        <v>1800</v>
      </c>
      <c r="G3772" t="s">
        <v>331</v>
      </c>
      <c r="H3772" s="15">
        <v>45413</v>
      </c>
      <c r="I3772">
        <v>1800</v>
      </c>
      <c r="J3772">
        <v>0</v>
      </c>
    </row>
    <row r="3773" spans="1:10" x14ac:dyDescent="0.3">
      <c r="A3773" s="15">
        <v>45717</v>
      </c>
      <c r="B3773" t="s">
        <v>355</v>
      </c>
      <c r="C3773" t="s">
        <v>81</v>
      </c>
      <c r="D3773" t="s">
        <v>86</v>
      </c>
      <c r="E3773" t="s">
        <v>97</v>
      </c>
      <c r="F3773">
        <v>2200</v>
      </c>
      <c r="G3773" t="s">
        <v>331</v>
      </c>
      <c r="H3773" s="15">
        <v>45413</v>
      </c>
      <c r="I3773">
        <v>2200</v>
      </c>
      <c r="J3773">
        <v>0</v>
      </c>
    </row>
    <row r="3774" spans="1:10" x14ac:dyDescent="0.3">
      <c r="A3774" s="15">
        <v>45717</v>
      </c>
      <c r="B3774" t="s">
        <v>356</v>
      </c>
      <c r="C3774" t="s">
        <v>110</v>
      </c>
      <c r="D3774" t="s">
        <v>82</v>
      </c>
      <c r="E3774" t="s">
        <v>97</v>
      </c>
      <c r="F3774">
        <v>33000</v>
      </c>
      <c r="G3774" t="s">
        <v>331</v>
      </c>
      <c r="H3774" s="15">
        <v>45413</v>
      </c>
      <c r="I3774">
        <v>33000</v>
      </c>
      <c r="J3774">
        <v>0</v>
      </c>
    </row>
    <row r="3775" spans="1:10" x14ac:dyDescent="0.3">
      <c r="A3775" s="15">
        <v>45717</v>
      </c>
      <c r="B3775" t="s">
        <v>357</v>
      </c>
      <c r="C3775" t="s">
        <v>125</v>
      </c>
      <c r="D3775" t="s">
        <v>86</v>
      </c>
      <c r="E3775" t="s">
        <v>97</v>
      </c>
      <c r="F3775">
        <v>72100</v>
      </c>
      <c r="G3775" t="s">
        <v>331</v>
      </c>
      <c r="H3775" s="15">
        <v>45413</v>
      </c>
      <c r="I3775">
        <v>72100</v>
      </c>
      <c r="J3775">
        <v>0</v>
      </c>
    </row>
    <row r="3776" spans="1:10" x14ac:dyDescent="0.3">
      <c r="A3776" s="15">
        <v>45717</v>
      </c>
      <c r="B3776" t="s">
        <v>358</v>
      </c>
      <c r="C3776" t="s">
        <v>110</v>
      </c>
      <c r="D3776" t="s">
        <v>86</v>
      </c>
      <c r="E3776" t="s">
        <v>83</v>
      </c>
      <c r="F3776">
        <v>21800</v>
      </c>
      <c r="G3776" t="s">
        <v>331</v>
      </c>
      <c r="H3776" s="15">
        <v>45413</v>
      </c>
      <c r="I3776">
        <v>21800</v>
      </c>
      <c r="J3776">
        <v>0</v>
      </c>
    </row>
    <row r="3777" spans="1:10" x14ac:dyDescent="0.3">
      <c r="A3777" s="15">
        <v>45717</v>
      </c>
      <c r="B3777" t="s">
        <v>359</v>
      </c>
      <c r="C3777" t="s">
        <v>110</v>
      </c>
      <c r="D3777" t="s">
        <v>86</v>
      </c>
      <c r="E3777" t="s">
        <v>101</v>
      </c>
      <c r="F3777">
        <v>31400</v>
      </c>
      <c r="G3777" t="s">
        <v>331</v>
      </c>
      <c r="H3777" s="15">
        <v>45413</v>
      </c>
      <c r="I3777">
        <v>31400</v>
      </c>
      <c r="J3777">
        <v>0</v>
      </c>
    </row>
    <row r="3778" spans="1:10" x14ac:dyDescent="0.3">
      <c r="A3778" s="15">
        <v>45717</v>
      </c>
      <c r="B3778" t="s">
        <v>360</v>
      </c>
      <c r="C3778" t="s">
        <v>91</v>
      </c>
      <c r="D3778" t="s">
        <v>86</v>
      </c>
      <c r="E3778" t="s">
        <v>103</v>
      </c>
      <c r="F3778">
        <v>6300</v>
      </c>
      <c r="G3778" t="s">
        <v>331</v>
      </c>
      <c r="H3778" s="15">
        <v>45444</v>
      </c>
      <c r="I3778">
        <v>6300</v>
      </c>
      <c r="J3778">
        <v>0</v>
      </c>
    </row>
    <row r="3779" spans="1:10" x14ac:dyDescent="0.3">
      <c r="A3779" s="15">
        <v>45717</v>
      </c>
      <c r="B3779" t="s">
        <v>361</v>
      </c>
      <c r="C3779" t="s">
        <v>91</v>
      </c>
      <c r="D3779" t="s">
        <v>86</v>
      </c>
      <c r="E3779" t="s">
        <v>83</v>
      </c>
      <c r="F3779">
        <v>5700</v>
      </c>
      <c r="G3779" t="s">
        <v>331</v>
      </c>
      <c r="H3779" s="15">
        <v>45444</v>
      </c>
      <c r="I3779">
        <v>5700</v>
      </c>
      <c r="J3779">
        <v>0</v>
      </c>
    </row>
    <row r="3780" spans="1:10" x14ac:dyDescent="0.3">
      <c r="A3780" s="15">
        <v>45717</v>
      </c>
      <c r="B3780" t="s">
        <v>362</v>
      </c>
      <c r="C3780" t="s">
        <v>91</v>
      </c>
      <c r="D3780" t="s">
        <v>82</v>
      </c>
      <c r="E3780" t="s">
        <v>101</v>
      </c>
      <c r="F3780">
        <v>5400</v>
      </c>
      <c r="G3780" t="s">
        <v>331</v>
      </c>
      <c r="H3780" s="15">
        <v>45444</v>
      </c>
      <c r="I3780">
        <v>5400</v>
      </c>
      <c r="J3780">
        <v>0</v>
      </c>
    </row>
    <row r="3781" spans="1:10" x14ac:dyDescent="0.3">
      <c r="A3781" s="15">
        <v>45717</v>
      </c>
      <c r="B3781" t="s">
        <v>363</v>
      </c>
      <c r="C3781" t="s">
        <v>91</v>
      </c>
      <c r="D3781" t="s">
        <v>86</v>
      </c>
      <c r="E3781" t="s">
        <v>83</v>
      </c>
      <c r="F3781">
        <v>4400</v>
      </c>
      <c r="G3781" t="s">
        <v>331</v>
      </c>
      <c r="H3781" s="15">
        <v>45444</v>
      </c>
      <c r="I3781">
        <v>4400</v>
      </c>
      <c r="J3781">
        <v>0</v>
      </c>
    </row>
    <row r="3782" spans="1:10" x14ac:dyDescent="0.3">
      <c r="A3782" s="15">
        <v>45717</v>
      </c>
      <c r="B3782" t="s">
        <v>364</v>
      </c>
      <c r="C3782" t="s">
        <v>91</v>
      </c>
      <c r="D3782" t="s">
        <v>82</v>
      </c>
      <c r="E3782" t="s">
        <v>101</v>
      </c>
      <c r="F3782">
        <v>6700</v>
      </c>
      <c r="G3782" t="s">
        <v>331</v>
      </c>
      <c r="H3782" s="15">
        <v>45444</v>
      </c>
      <c r="I3782">
        <v>6700</v>
      </c>
      <c r="J3782">
        <v>0</v>
      </c>
    </row>
    <row r="3783" spans="1:10" x14ac:dyDescent="0.3">
      <c r="A3783" s="15">
        <v>45717</v>
      </c>
      <c r="B3783" t="s">
        <v>366</v>
      </c>
      <c r="C3783" t="s">
        <v>81</v>
      </c>
      <c r="D3783" t="s">
        <v>99</v>
      </c>
      <c r="E3783" t="s">
        <v>92</v>
      </c>
      <c r="F3783">
        <v>1600</v>
      </c>
      <c r="G3783" t="s">
        <v>331</v>
      </c>
      <c r="H3783" s="15">
        <v>45474</v>
      </c>
      <c r="I3783">
        <v>1600</v>
      </c>
      <c r="J3783">
        <v>0</v>
      </c>
    </row>
    <row r="3784" spans="1:10" x14ac:dyDescent="0.3">
      <c r="A3784" s="15">
        <v>45717</v>
      </c>
      <c r="B3784" t="s">
        <v>367</v>
      </c>
      <c r="C3784" t="s">
        <v>91</v>
      </c>
      <c r="D3784" t="s">
        <v>82</v>
      </c>
      <c r="E3784" t="s">
        <v>92</v>
      </c>
      <c r="F3784">
        <v>5000</v>
      </c>
      <c r="G3784" t="s">
        <v>331</v>
      </c>
      <c r="H3784" s="15">
        <v>45474</v>
      </c>
      <c r="I3784">
        <v>5000</v>
      </c>
      <c r="J3784">
        <v>0</v>
      </c>
    </row>
    <row r="3785" spans="1:10" x14ac:dyDescent="0.3">
      <c r="A3785" s="15">
        <v>45717</v>
      </c>
      <c r="B3785" t="s">
        <v>368</v>
      </c>
      <c r="C3785" t="s">
        <v>81</v>
      </c>
      <c r="D3785" t="s">
        <v>86</v>
      </c>
      <c r="E3785" t="s">
        <v>89</v>
      </c>
      <c r="F3785">
        <v>1400</v>
      </c>
      <c r="G3785" t="s">
        <v>331</v>
      </c>
      <c r="H3785" s="15">
        <v>45474</v>
      </c>
      <c r="I3785">
        <v>1400</v>
      </c>
      <c r="J3785">
        <v>0</v>
      </c>
    </row>
    <row r="3786" spans="1:10" x14ac:dyDescent="0.3">
      <c r="A3786" s="15">
        <v>45717</v>
      </c>
      <c r="B3786" t="s">
        <v>369</v>
      </c>
      <c r="C3786" t="s">
        <v>81</v>
      </c>
      <c r="D3786" t="s">
        <v>86</v>
      </c>
      <c r="E3786" t="s">
        <v>83</v>
      </c>
      <c r="F3786">
        <v>2000</v>
      </c>
      <c r="G3786" t="s">
        <v>331</v>
      </c>
      <c r="H3786" s="15">
        <v>45474</v>
      </c>
      <c r="I3786">
        <v>2000</v>
      </c>
      <c r="J3786">
        <v>0</v>
      </c>
    </row>
    <row r="3787" spans="1:10" x14ac:dyDescent="0.3">
      <c r="A3787" s="15">
        <v>45717</v>
      </c>
      <c r="B3787" t="s">
        <v>370</v>
      </c>
      <c r="C3787" t="s">
        <v>81</v>
      </c>
      <c r="D3787" t="s">
        <v>99</v>
      </c>
      <c r="E3787" t="s">
        <v>87</v>
      </c>
      <c r="F3787">
        <v>2100</v>
      </c>
      <c r="G3787" t="s">
        <v>331</v>
      </c>
      <c r="H3787" s="15">
        <v>45474</v>
      </c>
      <c r="I3787">
        <v>2100</v>
      </c>
      <c r="J3787">
        <v>0</v>
      </c>
    </row>
    <row r="3788" spans="1:10" x14ac:dyDescent="0.3">
      <c r="A3788" s="15">
        <v>45717</v>
      </c>
      <c r="B3788" t="s">
        <v>372</v>
      </c>
      <c r="C3788" t="s">
        <v>81</v>
      </c>
      <c r="D3788" t="s">
        <v>86</v>
      </c>
      <c r="E3788" t="s">
        <v>83</v>
      </c>
      <c r="F3788">
        <v>1500</v>
      </c>
      <c r="G3788" t="s">
        <v>331</v>
      </c>
      <c r="H3788" s="15">
        <v>45505</v>
      </c>
      <c r="I3788">
        <v>1500</v>
      </c>
      <c r="J3788">
        <v>0</v>
      </c>
    </row>
    <row r="3789" spans="1:10" x14ac:dyDescent="0.3">
      <c r="A3789" s="15">
        <v>45717</v>
      </c>
      <c r="B3789" t="s">
        <v>373</v>
      </c>
      <c r="C3789" t="s">
        <v>91</v>
      </c>
      <c r="D3789" t="s">
        <v>99</v>
      </c>
      <c r="E3789" t="s">
        <v>101</v>
      </c>
      <c r="F3789">
        <v>5200</v>
      </c>
      <c r="G3789" t="s">
        <v>331</v>
      </c>
      <c r="H3789" s="15">
        <v>45505</v>
      </c>
      <c r="I3789">
        <v>5200</v>
      </c>
      <c r="J3789">
        <v>0</v>
      </c>
    </row>
    <row r="3790" spans="1:10" x14ac:dyDescent="0.3">
      <c r="A3790" s="15">
        <v>45717</v>
      </c>
      <c r="B3790" t="s">
        <v>374</v>
      </c>
      <c r="C3790" t="s">
        <v>91</v>
      </c>
      <c r="D3790" t="s">
        <v>99</v>
      </c>
      <c r="E3790" t="s">
        <v>87</v>
      </c>
      <c r="F3790">
        <v>5000</v>
      </c>
      <c r="G3790" t="s">
        <v>331</v>
      </c>
      <c r="H3790" s="15">
        <v>45505</v>
      </c>
      <c r="I3790">
        <v>5000</v>
      </c>
      <c r="J3790">
        <v>0</v>
      </c>
    </row>
    <row r="3791" spans="1:10" x14ac:dyDescent="0.3">
      <c r="A3791" s="15">
        <v>45717</v>
      </c>
      <c r="B3791" t="s">
        <v>376</v>
      </c>
      <c r="C3791" t="s">
        <v>110</v>
      </c>
      <c r="D3791" t="s">
        <v>86</v>
      </c>
      <c r="E3791" t="s">
        <v>103</v>
      </c>
      <c r="F3791">
        <v>22900</v>
      </c>
      <c r="G3791" t="s">
        <v>331</v>
      </c>
      <c r="H3791" s="15">
        <v>45505</v>
      </c>
      <c r="I3791">
        <v>22900</v>
      </c>
      <c r="J3791">
        <v>0</v>
      </c>
    </row>
    <row r="3792" spans="1:10" x14ac:dyDescent="0.3">
      <c r="A3792" s="15">
        <v>45717</v>
      </c>
      <c r="B3792" t="s">
        <v>377</v>
      </c>
      <c r="C3792" t="s">
        <v>81</v>
      </c>
      <c r="D3792" t="s">
        <v>99</v>
      </c>
      <c r="E3792" t="s">
        <v>92</v>
      </c>
      <c r="F3792">
        <v>2300</v>
      </c>
      <c r="G3792" t="s">
        <v>331</v>
      </c>
      <c r="H3792" s="15">
        <v>45536</v>
      </c>
      <c r="I3792">
        <v>2300</v>
      </c>
      <c r="J3792">
        <v>0</v>
      </c>
    </row>
    <row r="3793" spans="1:10" x14ac:dyDescent="0.3">
      <c r="A3793" s="15">
        <v>45717</v>
      </c>
      <c r="B3793" t="s">
        <v>378</v>
      </c>
      <c r="C3793" t="s">
        <v>81</v>
      </c>
      <c r="D3793" t="s">
        <v>82</v>
      </c>
      <c r="E3793" t="s">
        <v>92</v>
      </c>
      <c r="F3793">
        <v>2300</v>
      </c>
      <c r="G3793" t="s">
        <v>331</v>
      </c>
      <c r="H3793" s="15">
        <v>45536</v>
      </c>
      <c r="I3793">
        <v>2300</v>
      </c>
      <c r="J3793">
        <v>0</v>
      </c>
    </row>
    <row r="3794" spans="1:10" x14ac:dyDescent="0.3">
      <c r="A3794" s="15">
        <v>45717</v>
      </c>
      <c r="B3794" t="s">
        <v>379</v>
      </c>
      <c r="C3794" t="s">
        <v>81</v>
      </c>
      <c r="D3794" t="s">
        <v>99</v>
      </c>
      <c r="E3794" t="s">
        <v>101</v>
      </c>
      <c r="F3794">
        <v>2600</v>
      </c>
      <c r="G3794" t="s">
        <v>331</v>
      </c>
      <c r="H3794" s="15">
        <v>45536</v>
      </c>
      <c r="I3794">
        <v>2600</v>
      </c>
      <c r="J3794">
        <v>0</v>
      </c>
    </row>
    <row r="3795" spans="1:10" x14ac:dyDescent="0.3">
      <c r="A3795" s="15">
        <v>45717</v>
      </c>
      <c r="B3795" t="s">
        <v>380</v>
      </c>
      <c r="C3795" t="s">
        <v>81</v>
      </c>
      <c r="D3795" t="s">
        <v>82</v>
      </c>
      <c r="E3795" t="s">
        <v>101</v>
      </c>
      <c r="F3795">
        <v>2200</v>
      </c>
      <c r="G3795" t="s">
        <v>331</v>
      </c>
      <c r="H3795" s="15">
        <v>45536</v>
      </c>
      <c r="I3795">
        <v>2200</v>
      </c>
      <c r="J3795">
        <v>0</v>
      </c>
    </row>
    <row r="3796" spans="1:10" x14ac:dyDescent="0.3">
      <c r="A3796" s="15">
        <v>45717</v>
      </c>
      <c r="B3796" t="s">
        <v>381</v>
      </c>
      <c r="C3796" t="s">
        <v>91</v>
      </c>
      <c r="D3796" t="s">
        <v>86</v>
      </c>
      <c r="E3796" t="s">
        <v>92</v>
      </c>
      <c r="F3796">
        <v>4600</v>
      </c>
      <c r="G3796" t="s">
        <v>331</v>
      </c>
      <c r="H3796" s="15">
        <v>45536</v>
      </c>
      <c r="I3796">
        <v>4600</v>
      </c>
      <c r="J3796">
        <v>0</v>
      </c>
    </row>
    <row r="3797" spans="1:10" x14ac:dyDescent="0.3">
      <c r="A3797" s="15">
        <v>45717</v>
      </c>
      <c r="B3797" t="s">
        <v>382</v>
      </c>
      <c r="C3797" t="s">
        <v>81</v>
      </c>
      <c r="D3797" t="s">
        <v>96</v>
      </c>
      <c r="E3797" t="s">
        <v>101</v>
      </c>
      <c r="F3797">
        <v>2100</v>
      </c>
      <c r="G3797" t="s">
        <v>331</v>
      </c>
      <c r="H3797" s="15">
        <v>45536</v>
      </c>
      <c r="I3797">
        <v>2100</v>
      </c>
      <c r="J3797">
        <v>0</v>
      </c>
    </row>
    <row r="3798" spans="1:10" x14ac:dyDescent="0.3">
      <c r="A3798" s="15">
        <v>45717</v>
      </c>
      <c r="B3798" t="s">
        <v>383</v>
      </c>
      <c r="C3798" t="s">
        <v>81</v>
      </c>
      <c r="D3798" t="s">
        <v>82</v>
      </c>
      <c r="E3798" t="s">
        <v>87</v>
      </c>
      <c r="F3798">
        <v>1800</v>
      </c>
      <c r="G3798" t="s">
        <v>331</v>
      </c>
      <c r="H3798" s="15">
        <v>45536</v>
      </c>
      <c r="I3798">
        <v>1800</v>
      </c>
      <c r="J3798">
        <v>0</v>
      </c>
    </row>
    <row r="3799" spans="1:10" x14ac:dyDescent="0.3">
      <c r="A3799" s="15">
        <v>45717</v>
      </c>
      <c r="B3799" t="s">
        <v>384</v>
      </c>
      <c r="C3799" t="s">
        <v>91</v>
      </c>
      <c r="D3799" t="s">
        <v>82</v>
      </c>
      <c r="E3799" t="s">
        <v>103</v>
      </c>
      <c r="F3799">
        <v>5000</v>
      </c>
      <c r="G3799" t="s">
        <v>331</v>
      </c>
      <c r="H3799" s="15">
        <v>45566</v>
      </c>
      <c r="I3799">
        <v>5000</v>
      </c>
      <c r="J3799">
        <v>0</v>
      </c>
    </row>
    <row r="3800" spans="1:10" x14ac:dyDescent="0.3">
      <c r="A3800" s="15">
        <v>45717</v>
      </c>
      <c r="B3800" t="s">
        <v>385</v>
      </c>
      <c r="C3800" t="s">
        <v>91</v>
      </c>
      <c r="D3800" t="s">
        <v>99</v>
      </c>
      <c r="E3800" t="s">
        <v>83</v>
      </c>
      <c r="F3800">
        <v>8300</v>
      </c>
      <c r="G3800" t="s">
        <v>331</v>
      </c>
      <c r="H3800" s="15">
        <v>45566</v>
      </c>
      <c r="I3800">
        <v>8300</v>
      </c>
      <c r="J3800">
        <v>0</v>
      </c>
    </row>
    <row r="3801" spans="1:10" x14ac:dyDescent="0.3">
      <c r="A3801" s="15">
        <v>45717</v>
      </c>
      <c r="B3801" t="s">
        <v>386</v>
      </c>
      <c r="C3801" t="s">
        <v>81</v>
      </c>
      <c r="D3801" t="s">
        <v>82</v>
      </c>
      <c r="E3801" t="s">
        <v>103</v>
      </c>
      <c r="F3801">
        <v>2200</v>
      </c>
      <c r="G3801" t="s">
        <v>331</v>
      </c>
      <c r="H3801" s="15">
        <v>45566</v>
      </c>
      <c r="I3801">
        <v>2200</v>
      </c>
      <c r="J3801">
        <v>0</v>
      </c>
    </row>
    <row r="3802" spans="1:10" x14ac:dyDescent="0.3">
      <c r="A3802" s="15">
        <v>45717</v>
      </c>
      <c r="B3802" t="s">
        <v>387</v>
      </c>
      <c r="C3802" t="s">
        <v>81</v>
      </c>
      <c r="D3802" t="s">
        <v>86</v>
      </c>
      <c r="E3802" t="s">
        <v>92</v>
      </c>
      <c r="F3802">
        <v>1700</v>
      </c>
      <c r="G3802" t="s">
        <v>331</v>
      </c>
      <c r="H3802" s="15">
        <v>45566</v>
      </c>
      <c r="I3802">
        <v>1700</v>
      </c>
      <c r="J3802">
        <v>0</v>
      </c>
    </row>
    <row r="3803" spans="1:10" x14ac:dyDescent="0.3">
      <c r="A3803" s="15">
        <v>45717</v>
      </c>
      <c r="B3803" t="s">
        <v>388</v>
      </c>
      <c r="C3803" t="s">
        <v>81</v>
      </c>
      <c r="D3803" t="s">
        <v>99</v>
      </c>
      <c r="E3803" t="s">
        <v>103</v>
      </c>
      <c r="F3803">
        <v>1700</v>
      </c>
      <c r="G3803" t="s">
        <v>331</v>
      </c>
      <c r="H3803" s="15">
        <v>45566</v>
      </c>
      <c r="I3803">
        <v>1700</v>
      </c>
      <c r="J3803">
        <v>0</v>
      </c>
    </row>
    <row r="3804" spans="1:10" x14ac:dyDescent="0.3">
      <c r="A3804" s="15">
        <v>45717</v>
      </c>
      <c r="B3804" t="s">
        <v>389</v>
      </c>
      <c r="C3804" t="s">
        <v>91</v>
      </c>
      <c r="D3804" t="s">
        <v>82</v>
      </c>
      <c r="E3804" t="s">
        <v>101</v>
      </c>
      <c r="F3804">
        <v>7300</v>
      </c>
      <c r="G3804" t="s">
        <v>331</v>
      </c>
      <c r="H3804" s="15">
        <v>45566</v>
      </c>
      <c r="I3804">
        <v>7300</v>
      </c>
      <c r="J3804">
        <v>0</v>
      </c>
    </row>
    <row r="3805" spans="1:10" x14ac:dyDescent="0.3">
      <c r="A3805" s="15">
        <v>45717</v>
      </c>
      <c r="B3805" t="s">
        <v>390</v>
      </c>
      <c r="C3805" t="s">
        <v>91</v>
      </c>
      <c r="D3805" t="s">
        <v>82</v>
      </c>
      <c r="E3805" t="s">
        <v>89</v>
      </c>
      <c r="F3805">
        <v>6200</v>
      </c>
      <c r="G3805" t="s">
        <v>331</v>
      </c>
      <c r="H3805" s="15">
        <v>45566</v>
      </c>
      <c r="I3805">
        <v>6200</v>
      </c>
      <c r="J3805">
        <v>0</v>
      </c>
    </row>
    <row r="3806" spans="1:10" x14ac:dyDescent="0.3">
      <c r="A3806" s="15">
        <v>45717</v>
      </c>
      <c r="B3806" t="s">
        <v>391</v>
      </c>
      <c r="C3806" t="s">
        <v>91</v>
      </c>
      <c r="D3806" t="s">
        <v>82</v>
      </c>
      <c r="E3806" t="s">
        <v>92</v>
      </c>
      <c r="F3806">
        <v>0</v>
      </c>
      <c r="G3806" t="s">
        <v>333</v>
      </c>
      <c r="H3806" s="15">
        <v>45597</v>
      </c>
      <c r="I3806">
        <v>8100</v>
      </c>
      <c r="J3806">
        <v>-8100</v>
      </c>
    </row>
    <row r="3807" spans="1:10" x14ac:dyDescent="0.3">
      <c r="A3807" s="15">
        <v>45717</v>
      </c>
      <c r="B3807" t="s">
        <v>392</v>
      </c>
      <c r="C3807" t="s">
        <v>91</v>
      </c>
      <c r="D3807" t="s">
        <v>86</v>
      </c>
      <c r="E3807" t="s">
        <v>97</v>
      </c>
      <c r="F3807">
        <v>10000</v>
      </c>
      <c r="G3807" t="s">
        <v>331</v>
      </c>
      <c r="H3807" s="15">
        <v>45597</v>
      </c>
      <c r="I3807">
        <v>10000</v>
      </c>
      <c r="J3807">
        <v>0</v>
      </c>
    </row>
    <row r="3808" spans="1:10" x14ac:dyDescent="0.3">
      <c r="A3808" s="15">
        <v>45717</v>
      </c>
      <c r="B3808" t="s">
        <v>393</v>
      </c>
      <c r="C3808" t="s">
        <v>81</v>
      </c>
      <c r="D3808" t="s">
        <v>82</v>
      </c>
      <c r="E3808" t="s">
        <v>92</v>
      </c>
      <c r="F3808">
        <v>2100</v>
      </c>
      <c r="G3808" t="s">
        <v>331</v>
      </c>
      <c r="H3808" s="15">
        <v>45597</v>
      </c>
      <c r="I3808">
        <v>2100</v>
      </c>
      <c r="J3808">
        <v>0</v>
      </c>
    </row>
    <row r="3809" spans="1:10" x14ac:dyDescent="0.3">
      <c r="A3809" s="15">
        <v>45717</v>
      </c>
      <c r="B3809" t="s">
        <v>394</v>
      </c>
      <c r="C3809" t="s">
        <v>81</v>
      </c>
      <c r="D3809" t="s">
        <v>99</v>
      </c>
      <c r="E3809" t="s">
        <v>87</v>
      </c>
      <c r="F3809">
        <v>1400</v>
      </c>
      <c r="G3809" t="s">
        <v>331</v>
      </c>
      <c r="H3809" s="15">
        <v>45597</v>
      </c>
      <c r="I3809">
        <v>1400</v>
      </c>
      <c r="J3809">
        <v>0</v>
      </c>
    </row>
    <row r="3810" spans="1:10" x14ac:dyDescent="0.3">
      <c r="A3810" s="15">
        <v>45717</v>
      </c>
      <c r="B3810" t="s">
        <v>395</v>
      </c>
      <c r="C3810" t="s">
        <v>81</v>
      </c>
      <c r="D3810" t="s">
        <v>82</v>
      </c>
      <c r="E3810" t="s">
        <v>97</v>
      </c>
      <c r="F3810">
        <v>2200</v>
      </c>
      <c r="G3810" t="s">
        <v>331</v>
      </c>
      <c r="H3810" s="15">
        <v>45627</v>
      </c>
      <c r="I3810">
        <v>2200</v>
      </c>
      <c r="J3810">
        <v>0</v>
      </c>
    </row>
    <row r="3811" spans="1:10" x14ac:dyDescent="0.3">
      <c r="A3811" s="15">
        <v>45717</v>
      </c>
      <c r="B3811" t="s">
        <v>396</v>
      </c>
      <c r="C3811" t="s">
        <v>91</v>
      </c>
      <c r="D3811" t="s">
        <v>82</v>
      </c>
      <c r="E3811" t="s">
        <v>92</v>
      </c>
      <c r="F3811">
        <v>8800</v>
      </c>
      <c r="G3811" t="s">
        <v>331</v>
      </c>
      <c r="H3811" s="15">
        <v>45627</v>
      </c>
      <c r="I3811">
        <v>8800</v>
      </c>
      <c r="J3811">
        <v>0</v>
      </c>
    </row>
    <row r="3812" spans="1:10" x14ac:dyDescent="0.3">
      <c r="A3812" s="15">
        <v>45717</v>
      </c>
      <c r="B3812" t="s">
        <v>397</v>
      </c>
      <c r="C3812" t="s">
        <v>91</v>
      </c>
      <c r="D3812" t="s">
        <v>82</v>
      </c>
      <c r="E3812" t="s">
        <v>83</v>
      </c>
      <c r="F3812">
        <v>5400</v>
      </c>
      <c r="G3812" t="s">
        <v>331</v>
      </c>
      <c r="H3812" s="15">
        <v>45627</v>
      </c>
      <c r="I3812">
        <v>5400</v>
      </c>
      <c r="J3812">
        <v>0</v>
      </c>
    </row>
    <row r="3813" spans="1:10" x14ac:dyDescent="0.3">
      <c r="A3813" s="15">
        <v>45717</v>
      </c>
      <c r="B3813" t="s">
        <v>398</v>
      </c>
      <c r="C3813" t="s">
        <v>81</v>
      </c>
      <c r="D3813" t="s">
        <v>86</v>
      </c>
      <c r="E3813" t="s">
        <v>92</v>
      </c>
      <c r="F3813">
        <v>1600</v>
      </c>
      <c r="G3813" t="s">
        <v>331</v>
      </c>
      <c r="H3813" s="15">
        <v>45627</v>
      </c>
      <c r="I3813">
        <v>1600</v>
      </c>
      <c r="J3813">
        <v>0</v>
      </c>
    </row>
    <row r="3814" spans="1:10" x14ac:dyDescent="0.3">
      <c r="A3814" s="15">
        <v>45717</v>
      </c>
      <c r="B3814" t="s">
        <v>399</v>
      </c>
      <c r="C3814" t="s">
        <v>110</v>
      </c>
      <c r="D3814" t="s">
        <v>82</v>
      </c>
      <c r="E3814" t="s">
        <v>101</v>
      </c>
      <c r="F3814">
        <v>17400</v>
      </c>
      <c r="G3814" t="s">
        <v>331</v>
      </c>
      <c r="H3814" s="15">
        <v>45627</v>
      </c>
      <c r="I3814">
        <v>17400</v>
      </c>
      <c r="J3814">
        <v>0</v>
      </c>
    </row>
    <row r="3815" spans="1:10" x14ac:dyDescent="0.3">
      <c r="A3815" s="15">
        <v>45717</v>
      </c>
      <c r="B3815" t="s">
        <v>400</v>
      </c>
      <c r="C3815" t="s">
        <v>91</v>
      </c>
      <c r="D3815" t="s">
        <v>82</v>
      </c>
      <c r="E3815" t="s">
        <v>103</v>
      </c>
      <c r="F3815">
        <v>4400</v>
      </c>
      <c r="G3815" t="s">
        <v>331</v>
      </c>
      <c r="H3815" s="15">
        <v>45627</v>
      </c>
      <c r="I3815">
        <v>4400</v>
      </c>
      <c r="J3815">
        <v>0</v>
      </c>
    </row>
    <row r="3816" spans="1:10" x14ac:dyDescent="0.3">
      <c r="A3816" s="15">
        <v>45717</v>
      </c>
      <c r="B3816" t="s">
        <v>401</v>
      </c>
      <c r="C3816" t="s">
        <v>81</v>
      </c>
      <c r="D3816" t="s">
        <v>82</v>
      </c>
      <c r="E3816" t="s">
        <v>103</v>
      </c>
      <c r="F3816">
        <v>2200</v>
      </c>
      <c r="G3816" t="s">
        <v>331</v>
      </c>
      <c r="H3816" s="15">
        <v>45658</v>
      </c>
      <c r="I3816">
        <v>2200</v>
      </c>
      <c r="J3816">
        <v>0</v>
      </c>
    </row>
    <row r="3817" spans="1:10" x14ac:dyDescent="0.3">
      <c r="A3817" s="15">
        <v>45717</v>
      </c>
      <c r="B3817" t="s">
        <v>403</v>
      </c>
      <c r="C3817" t="s">
        <v>81</v>
      </c>
      <c r="D3817" t="s">
        <v>82</v>
      </c>
      <c r="E3817" t="s">
        <v>101</v>
      </c>
      <c r="F3817">
        <v>1900</v>
      </c>
      <c r="G3817" t="s">
        <v>331</v>
      </c>
      <c r="H3817" s="15">
        <v>45658</v>
      </c>
      <c r="I3817">
        <v>1900</v>
      </c>
      <c r="J3817">
        <v>0</v>
      </c>
    </row>
    <row r="3818" spans="1:10" x14ac:dyDescent="0.3">
      <c r="A3818" s="15">
        <v>45717</v>
      </c>
      <c r="B3818" t="s">
        <v>404</v>
      </c>
      <c r="C3818" t="s">
        <v>81</v>
      </c>
      <c r="D3818" t="s">
        <v>86</v>
      </c>
      <c r="E3818" t="s">
        <v>83</v>
      </c>
      <c r="F3818">
        <v>2100</v>
      </c>
      <c r="G3818" t="s">
        <v>331</v>
      </c>
      <c r="H3818" s="15">
        <v>45658</v>
      </c>
      <c r="I3818">
        <v>2100</v>
      </c>
      <c r="J3818">
        <v>0</v>
      </c>
    </row>
    <row r="3819" spans="1:10" x14ac:dyDescent="0.3">
      <c r="A3819" s="15">
        <v>45717</v>
      </c>
      <c r="B3819" t="s">
        <v>405</v>
      </c>
      <c r="C3819" t="s">
        <v>81</v>
      </c>
      <c r="D3819" t="s">
        <v>82</v>
      </c>
      <c r="E3819" t="s">
        <v>92</v>
      </c>
      <c r="F3819">
        <v>1500</v>
      </c>
      <c r="G3819" t="s">
        <v>332</v>
      </c>
      <c r="H3819" s="15">
        <v>45658</v>
      </c>
      <c r="I3819">
        <v>1400</v>
      </c>
      <c r="J3819">
        <v>100</v>
      </c>
    </row>
    <row r="3820" spans="1:10" x14ac:dyDescent="0.3">
      <c r="A3820" s="15">
        <v>45717</v>
      </c>
      <c r="B3820" t="s">
        <v>406</v>
      </c>
      <c r="C3820" t="s">
        <v>91</v>
      </c>
      <c r="D3820" t="s">
        <v>86</v>
      </c>
      <c r="E3820" t="s">
        <v>87</v>
      </c>
      <c r="F3820">
        <v>5400</v>
      </c>
      <c r="G3820" t="s">
        <v>331</v>
      </c>
      <c r="H3820" s="15">
        <v>45658</v>
      </c>
      <c r="I3820">
        <v>5400</v>
      </c>
      <c r="J3820">
        <v>0</v>
      </c>
    </row>
    <row r="3821" spans="1:10" x14ac:dyDescent="0.3">
      <c r="A3821" s="15">
        <v>45717</v>
      </c>
      <c r="B3821" t="s">
        <v>407</v>
      </c>
      <c r="C3821" t="s">
        <v>81</v>
      </c>
      <c r="D3821" t="s">
        <v>82</v>
      </c>
      <c r="E3821" t="s">
        <v>92</v>
      </c>
      <c r="F3821">
        <v>2400</v>
      </c>
      <c r="G3821" t="s">
        <v>331</v>
      </c>
      <c r="H3821" s="15">
        <v>45689</v>
      </c>
      <c r="I3821">
        <v>2400</v>
      </c>
      <c r="J3821">
        <v>0</v>
      </c>
    </row>
    <row r="3822" spans="1:10" x14ac:dyDescent="0.3">
      <c r="A3822" s="15">
        <v>45717</v>
      </c>
      <c r="B3822" t="s">
        <v>408</v>
      </c>
      <c r="C3822" t="s">
        <v>91</v>
      </c>
      <c r="D3822" t="s">
        <v>82</v>
      </c>
      <c r="E3822" t="s">
        <v>97</v>
      </c>
      <c r="F3822">
        <v>8300</v>
      </c>
      <c r="G3822" t="s">
        <v>331</v>
      </c>
      <c r="H3822" s="15">
        <v>45689</v>
      </c>
      <c r="I3822">
        <v>8300</v>
      </c>
      <c r="J3822">
        <v>0</v>
      </c>
    </row>
    <row r="3823" spans="1:10" x14ac:dyDescent="0.3">
      <c r="A3823" s="15">
        <v>45717</v>
      </c>
      <c r="B3823" t="s">
        <v>409</v>
      </c>
      <c r="C3823" t="s">
        <v>81</v>
      </c>
      <c r="D3823" t="s">
        <v>82</v>
      </c>
      <c r="E3823" t="s">
        <v>83</v>
      </c>
      <c r="F3823">
        <v>1700</v>
      </c>
      <c r="G3823" t="s">
        <v>331</v>
      </c>
      <c r="H3823" s="15">
        <v>45689</v>
      </c>
      <c r="I3823">
        <v>1700</v>
      </c>
      <c r="J3823">
        <v>0</v>
      </c>
    </row>
    <row r="3824" spans="1:10" x14ac:dyDescent="0.3">
      <c r="A3824" s="15">
        <v>45717</v>
      </c>
      <c r="B3824" t="s">
        <v>410</v>
      </c>
      <c r="C3824" t="s">
        <v>125</v>
      </c>
      <c r="D3824" t="s">
        <v>82</v>
      </c>
      <c r="E3824" t="s">
        <v>103</v>
      </c>
      <c r="F3824">
        <v>56400</v>
      </c>
      <c r="G3824" t="s">
        <v>331</v>
      </c>
      <c r="H3824" s="15">
        <v>45689</v>
      </c>
      <c r="I3824">
        <v>56400</v>
      </c>
      <c r="J3824">
        <v>0</v>
      </c>
    </row>
    <row r="3825" spans="1:10" x14ac:dyDescent="0.3">
      <c r="A3825" s="15">
        <v>45717</v>
      </c>
      <c r="B3825" t="s">
        <v>411</v>
      </c>
      <c r="C3825" t="s">
        <v>91</v>
      </c>
      <c r="D3825" t="s">
        <v>86</v>
      </c>
      <c r="E3825" t="s">
        <v>92</v>
      </c>
      <c r="F3825">
        <v>7700</v>
      </c>
      <c r="G3825" t="s">
        <v>331</v>
      </c>
      <c r="H3825" s="15">
        <v>45689</v>
      </c>
      <c r="I3825">
        <v>7700</v>
      </c>
      <c r="J3825">
        <v>0</v>
      </c>
    </row>
    <row r="3826" spans="1:10" x14ac:dyDescent="0.3">
      <c r="A3826" s="15">
        <v>45717</v>
      </c>
      <c r="B3826" t="s">
        <v>412</v>
      </c>
      <c r="C3826" t="s">
        <v>81</v>
      </c>
      <c r="D3826" t="s">
        <v>82</v>
      </c>
      <c r="E3826" t="s">
        <v>89</v>
      </c>
      <c r="F3826">
        <v>2200</v>
      </c>
      <c r="G3826" t="s">
        <v>84</v>
      </c>
      <c r="H3826" s="15">
        <v>45717</v>
      </c>
      <c r="I3826">
        <v>0</v>
      </c>
      <c r="J3826">
        <v>2200</v>
      </c>
    </row>
    <row r="3827" spans="1:10" x14ac:dyDescent="0.3">
      <c r="A3827" s="15">
        <v>45717</v>
      </c>
      <c r="B3827" t="s">
        <v>413</v>
      </c>
      <c r="C3827" t="s">
        <v>81</v>
      </c>
      <c r="D3827" t="s">
        <v>99</v>
      </c>
      <c r="E3827" t="s">
        <v>101</v>
      </c>
      <c r="F3827">
        <v>2300</v>
      </c>
      <c r="G3827" t="s">
        <v>84</v>
      </c>
      <c r="H3827" s="15">
        <v>45717</v>
      </c>
      <c r="I3827">
        <v>0</v>
      </c>
      <c r="J3827">
        <v>2300</v>
      </c>
    </row>
    <row r="3828" spans="1:10" x14ac:dyDescent="0.3">
      <c r="A3828" s="15">
        <v>45717</v>
      </c>
      <c r="B3828" t="s">
        <v>414</v>
      </c>
      <c r="C3828" t="s">
        <v>110</v>
      </c>
      <c r="D3828" t="s">
        <v>99</v>
      </c>
      <c r="E3828" t="s">
        <v>89</v>
      </c>
      <c r="F3828">
        <v>33800</v>
      </c>
      <c r="G3828" t="s">
        <v>84</v>
      </c>
      <c r="H3828" s="15">
        <v>45717</v>
      </c>
      <c r="I3828">
        <v>0</v>
      </c>
      <c r="J3828">
        <v>33800</v>
      </c>
    </row>
    <row r="3829" spans="1:10" x14ac:dyDescent="0.3">
      <c r="A3829" s="15">
        <v>45717</v>
      </c>
      <c r="B3829" t="s">
        <v>415</v>
      </c>
      <c r="C3829" t="s">
        <v>81</v>
      </c>
      <c r="D3829" t="s">
        <v>96</v>
      </c>
      <c r="E3829" t="s">
        <v>89</v>
      </c>
      <c r="F3829">
        <v>2100</v>
      </c>
      <c r="G3829" t="s">
        <v>84</v>
      </c>
      <c r="H3829" s="15">
        <v>45717</v>
      </c>
      <c r="I3829">
        <v>0</v>
      </c>
      <c r="J3829">
        <v>2100</v>
      </c>
    </row>
    <row r="3830" spans="1:10" x14ac:dyDescent="0.3">
      <c r="A3830" s="15">
        <v>45717</v>
      </c>
      <c r="B3830" t="s">
        <v>416</v>
      </c>
      <c r="C3830" t="s">
        <v>81</v>
      </c>
      <c r="D3830" t="s">
        <v>99</v>
      </c>
      <c r="E3830" t="s">
        <v>103</v>
      </c>
      <c r="F3830">
        <v>2500</v>
      </c>
      <c r="G3830" t="s">
        <v>84</v>
      </c>
      <c r="H3830" s="15">
        <v>45717</v>
      </c>
      <c r="I3830">
        <v>0</v>
      </c>
      <c r="J3830">
        <v>2500</v>
      </c>
    </row>
    <row r="3831" spans="1:10" x14ac:dyDescent="0.3">
      <c r="A3831" s="15">
        <v>45717</v>
      </c>
      <c r="B3831" t="s">
        <v>417</v>
      </c>
      <c r="C3831" t="s">
        <v>110</v>
      </c>
      <c r="D3831" t="s">
        <v>86</v>
      </c>
      <c r="E3831" t="s">
        <v>92</v>
      </c>
      <c r="F3831">
        <v>35600</v>
      </c>
      <c r="G3831" t="s">
        <v>84</v>
      </c>
      <c r="H3831" s="15">
        <v>45717</v>
      </c>
      <c r="I3831">
        <v>0</v>
      </c>
      <c r="J3831">
        <v>35600</v>
      </c>
    </row>
    <row r="3832" spans="1:10" x14ac:dyDescent="0.3">
      <c r="A3832" s="15">
        <v>45748</v>
      </c>
      <c r="B3832" t="s">
        <v>80</v>
      </c>
      <c r="C3832" t="s">
        <v>81</v>
      </c>
      <c r="D3832" t="s">
        <v>82</v>
      </c>
      <c r="E3832" t="s">
        <v>83</v>
      </c>
      <c r="F3832">
        <v>1900</v>
      </c>
      <c r="G3832" t="s">
        <v>331</v>
      </c>
      <c r="H3832" s="15">
        <v>45292</v>
      </c>
      <c r="I3832">
        <v>1900</v>
      </c>
      <c r="J3832">
        <v>0</v>
      </c>
    </row>
    <row r="3833" spans="1:10" x14ac:dyDescent="0.3">
      <c r="A3833" s="15">
        <v>45748</v>
      </c>
      <c r="B3833" t="s">
        <v>85</v>
      </c>
      <c r="C3833" t="s">
        <v>81</v>
      </c>
      <c r="D3833" t="s">
        <v>86</v>
      </c>
      <c r="E3833" t="s">
        <v>87</v>
      </c>
      <c r="F3833">
        <v>3200</v>
      </c>
      <c r="G3833" t="s">
        <v>331</v>
      </c>
      <c r="H3833" s="15">
        <v>45292</v>
      </c>
      <c r="I3833">
        <v>3200</v>
      </c>
      <c r="J3833">
        <v>0</v>
      </c>
    </row>
    <row r="3834" spans="1:10" x14ac:dyDescent="0.3">
      <c r="A3834" s="15">
        <v>45748</v>
      </c>
      <c r="B3834" t="s">
        <v>88</v>
      </c>
      <c r="C3834" t="s">
        <v>81</v>
      </c>
      <c r="D3834" t="s">
        <v>86</v>
      </c>
      <c r="E3834" t="s">
        <v>89</v>
      </c>
      <c r="F3834">
        <v>2400</v>
      </c>
      <c r="G3834" t="s">
        <v>331</v>
      </c>
      <c r="H3834" s="15">
        <v>45292</v>
      </c>
      <c r="I3834">
        <v>2400</v>
      </c>
      <c r="J3834">
        <v>0</v>
      </c>
    </row>
    <row r="3835" spans="1:10" x14ac:dyDescent="0.3">
      <c r="A3835" s="15">
        <v>45748</v>
      </c>
      <c r="B3835" t="s">
        <v>90</v>
      </c>
      <c r="C3835" t="s">
        <v>91</v>
      </c>
      <c r="D3835" t="s">
        <v>82</v>
      </c>
      <c r="E3835" t="s">
        <v>92</v>
      </c>
      <c r="F3835">
        <v>8300</v>
      </c>
      <c r="G3835" t="s">
        <v>331</v>
      </c>
      <c r="H3835" s="15">
        <v>45292</v>
      </c>
      <c r="I3835">
        <v>8300</v>
      </c>
      <c r="J3835">
        <v>0</v>
      </c>
    </row>
    <row r="3836" spans="1:10" x14ac:dyDescent="0.3">
      <c r="A3836" s="15">
        <v>45748</v>
      </c>
      <c r="B3836" t="s">
        <v>93</v>
      </c>
      <c r="C3836" t="s">
        <v>81</v>
      </c>
      <c r="D3836" t="s">
        <v>86</v>
      </c>
      <c r="E3836" t="s">
        <v>83</v>
      </c>
      <c r="F3836">
        <v>2300</v>
      </c>
      <c r="G3836" t="s">
        <v>331</v>
      </c>
      <c r="H3836" s="15">
        <v>45292</v>
      </c>
      <c r="I3836">
        <v>2300</v>
      </c>
      <c r="J3836">
        <v>0</v>
      </c>
    </row>
    <row r="3837" spans="1:10" x14ac:dyDescent="0.3">
      <c r="A3837" s="15">
        <v>45748</v>
      </c>
      <c r="B3837" t="s">
        <v>94</v>
      </c>
      <c r="C3837" t="s">
        <v>91</v>
      </c>
      <c r="D3837" t="s">
        <v>86</v>
      </c>
      <c r="E3837" t="s">
        <v>83</v>
      </c>
      <c r="F3837">
        <v>8500</v>
      </c>
      <c r="G3837" t="s">
        <v>331</v>
      </c>
      <c r="H3837" s="15">
        <v>45292</v>
      </c>
      <c r="I3837">
        <v>8500</v>
      </c>
      <c r="J3837">
        <v>0</v>
      </c>
    </row>
    <row r="3838" spans="1:10" x14ac:dyDescent="0.3">
      <c r="A3838" s="15">
        <v>45748</v>
      </c>
      <c r="B3838" t="s">
        <v>95</v>
      </c>
      <c r="C3838" t="s">
        <v>81</v>
      </c>
      <c r="D3838" t="s">
        <v>96</v>
      </c>
      <c r="E3838" t="s">
        <v>97</v>
      </c>
      <c r="F3838">
        <v>3100</v>
      </c>
      <c r="G3838" t="s">
        <v>331</v>
      </c>
      <c r="H3838" s="15">
        <v>45292</v>
      </c>
      <c r="I3838">
        <v>3100</v>
      </c>
      <c r="J3838">
        <v>0</v>
      </c>
    </row>
    <row r="3839" spans="1:10" x14ac:dyDescent="0.3">
      <c r="A3839" s="15">
        <v>45748</v>
      </c>
      <c r="B3839" t="s">
        <v>98</v>
      </c>
      <c r="C3839" t="s">
        <v>81</v>
      </c>
      <c r="D3839" t="s">
        <v>99</v>
      </c>
      <c r="E3839" t="s">
        <v>92</v>
      </c>
      <c r="F3839">
        <v>2300</v>
      </c>
      <c r="G3839" t="s">
        <v>331</v>
      </c>
      <c r="H3839" s="15">
        <v>45292</v>
      </c>
      <c r="I3839">
        <v>2300</v>
      </c>
      <c r="J3839">
        <v>0</v>
      </c>
    </row>
    <row r="3840" spans="1:10" x14ac:dyDescent="0.3">
      <c r="A3840" s="15">
        <v>45748</v>
      </c>
      <c r="B3840" t="s">
        <v>100</v>
      </c>
      <c r="C3840" t="s">
        <v>81</v>
      </c>
      <c r="D3840" t="s">
        <v>86</v>
      </c>
      <c r="E3840" t="s">
        <v>101</v>
      </c>
      <c r="F3840">
        <v>1800</v>
      </c>
      <c r="G3840" t="s">
        <v>331</v>
      </c>
      <c r="H3840" s="15">
        <v>45292</v>
      </c>
      <c r="I3840">
        <v>1800</v>
      </c>
      <c r="J3840">
        <v>0</v>
      </c>
    </row>
    <row r="3841" spans="1:10" x14ac:dyDescent="0.3">
      <c r="A3841" s="15">
        <v>45748</v>
      </c>
      <c r="B3841" t="s">
        <v>102</v>
      </c>
      <c r="C3841" t="s">
        <v>81</v>
      </c>
      <c r="D3841" t="s">
        <v>99</v>
      </c>
      <c r="E3841" t="s">
        <v>103</v>
      </c>
      <c r="F3841">
        <v>3300</v>
      </c>
      <c r="G3841" t="s">
        <v>331</v>
      </c>
      <c r="H3841" s="15">
        <v>45292</v>
      </c>
      <c r="I3841">
        <v>3300</v>
      </c>
      <c r="J3841">
        <v>0</v>
      </c>
    </row>
    <row r="3842" spans="1:10" x14ac:dyDescent="0.3">
      <c r="A3842" s="15">
        <v>45748</v>
      </c>
      <c r="B3842" t="s">
        <v>104</v>
      </c>
      <c r="C3842" t="s">
        <v>91</v>
      </c>
      <c r="D3842" t="s">
        <v>99</v>
      </c>
      <c r="E3842" t="s">
        <v>87</v>
      </c>
      <c r="F3842">
        <v>7000</v>
      </c>
      <c r="G3842" t="s">
        <v>331</v>
      </c>
      <c r="H3842" s="15">
        <v>45292</v>
      </c>
      <c r="I3842">
        <v>7000</v>
      </c>
      <c r="J3842">
        <v>0</v>
      </c>
    </row>
    <row r="3843" spans="1:10" x14ac:dyDescent="0.3">
      <c r="A3843" s="15">
        <v>45748</v>
      </c>
      <c r="B3843" t="s">
        <v>105</v>
      </c>
      <c r="C3843" t="s">
        <v>91</v>
      </c>
      <c r="D3843" t="s">
        <v>86</v>
      </c>
      <c r="E3843" t="s">
        <v>89</v>
      </c>
      <c r="F3843">
        <v>12900</v>
      </c>
      <c r="G3843" t="s">
        <v>331</v>
      </c>
      <c r="H3843" s="15">
        <v>45292</v>
      </c>
      <c r="I3843">
        <v>12900</v>
      </c>
      <c r="J3843">
        <v>0</v>
      </c>
    </row>
    <row r="3844" spans="1:10" x14ac:dyDescent="0.3">
      <c r="A3844" s="15">
        <v>45748</v>
      </c>
      <c r="B3844" t="s">
        <v>106</v>
      </c>
      <c r="C3844" t="s">
        <v>81</v>
      </c>
      <c r="D3844" t="s">
        <v>99</v>
      </c>
      <c r="E3844" t="s">
        <v>92</v>
      </c>
      <c r="F3844">
        <v>2700</v>
      </c>
      <c r="G3844" t="s">
        <v>331</v>
      </c>
      <c r="H3844" s="15">
        <v>45292</v>
      </c>
      <c r="I3844">
        <v>2700</v>
      </c>
      <c r="J3844">
        <v>0</v>
      </c>
    </row>
    <row r="3845" spans="1:10" x14ac:dyDescent="0.3">
      <c r="A3845" s="15">
        <v>45748</v>
      </c>
      <c r="B3845" t="s">
        <v>109</v>
      </c>
      <c r="C3845" t="s">
        <v>110</v>
      </c>
      <c r="D3845" t="s">
        <v>82</v>
      </c>
      <c r="E3845" t="s">
        <v>103</v>
      </c>
      <c r="F3845">
        <v>32700</v>
      </c>
      <c r="G3845" t="s">
        <v>331</v>
      </c>
      <c r="H3845" s="15">
        <v>45292</v>
      </c>
      <c r="I3845">
        <v>32700</v>
      </c>
      <c r="J3845">
        <v>0</v>
      </c>
    </row>
    <row r="3846" spans="1:10" x14ac:dyDescent="0.3">
      <c r="A3846" s="15">
        <v>45748</v>
      </c>
      <c r="B3846" t="s">
        <v>111</v>
      </c>
      <c r="C3846" t="s">
        <v>91</v>
      </c>
      <c r="D3846" t="s">
        <v>82</v>
      </c>
      <c r="E3846" t="s">
        <v>83</v>
      </c>
      <c r="F3846">
        <v>8800</v>
      </c>
      <c r="G3846" t="s">
        <v>331</v>
      </c>
      <c r="H3846" s="15">
        <v>45292</v>
      </c>
      <c r="I3846">
        <v>8800</v>
      </c>
      <c r="J3846">
        <v>0</v>
      </c>
    </row>
    <row r="3847" spans="1:10" x14ac:dyDescent="0.3">
      <c r="A3847" s="15">
        <v>45748</v>
      </c>
      <c r="B3847" t="s">
        <v>112</v>
      </c>
      <c r="C3847" t="s">
        <v>91</v>
      </c>
      <c r="D3847" t="s">
        <v>82</v>
      </c>
      <c r="E3847" t="s">
        <v>92</v>
      </c>
      <c r="F3847">
        <v>8600</v>
      </c>
      <c r="G3847" t="s">
        <v>331</v>
      </c>
      <c r="H3847" s="15">
        <v>45292</v>
      </c>
      <c r="I3847">
        <v>8600</v>
      </c>
      <c r="J3847">
        <v>0</v>
      </c>
    </row>
    <row r="3848" spans="1:10" x14ac:dyDescent="0.3">
      <c r="A3848" s="15">
        <v>45748</v>
      </c>
      <c r="B3848" t="s">
        <v>113</v>
      </c>
      <c r="C3848" t="s">
        <v>81</v>
      </c>
      <c r="D3848" t="s">
        <v>96</v>
      </c>
      <c r="E3848" t="s">
        <v>89</v>
      </c>
      <c r="F3848">
        <v>2500</v>
      </c>
      <c r="G3848" t="s">
        <v>331</v>
      </c>
      <c r="H3848" s="15">
        <v>45292</v>
      </c>
      <c r="I3848">
        <v>2500</v>
      </c>
      <c r="J3848">
        <v>0</v>
      </c>
    </row>
    <row r="3849" spans="1:10" x14ac:dyDescent="0.3">
      <c r="A3849" s="15">
        <v>45748</v>
      </c>
      <c r="B3849" t="s">
        <v>114</v>
      </c>
      <c r="C3849" t="s">
        <v>110</v>
      </c>
      <c r="D3849" t="s">
        <v>99</v>
      </c>
      <c r="E3849" t="s">
        <v>97</v>
      </c>
      <c r="F3849">
        <v>41600</v>
      </c>
      <c r="G3849" t="s">
        <v>331</v>
      </c>
      <c r="H3849" s="15">
        <v>45292</v>
      </c>
      <c r="I3849">
        <v>41600</v>
      </c>
      <c r="J3849">
        <v>0</v>
      </c>
    </row>
    <row r="3850" spans="1:10" x14ac:dyDescent="0.3">
      <c r="A3850" s="15">
        <v>45748</v>
      </c>
      <c r="B3850" t="s">
        <v>115</v>
      </c>
      <c r="C3850" t="s">
        <v>81</v>
      </c>
      <c r="D3850" t="s">
        <v>82</v>
      </c>
      <c r="E3850" t="s">
        <v>101</v>
      </c>
      <c r="F3850">
        <v>2600</v>
      </c>
      <c r="G3850" t="s">
        <v>331</v>
      </c>
      <c r="H3850" s="15">
        <v>45292</v>
      </c>
      <c r="I3850">
        <v>2600</v>
      </c>
      <c r="J3850">
        <v>0</v>
      </c>
    </row>
    <row r="3851" spans="1:10" x14ac:dyDescent="0.3">
      <c r="A3851" s="15">
        <v>45748</v>
      </c>
      <c r="B3851" t="s">
        <v>116</v>
      </c>
      <c r="C3851" t="s">
        <v>81</v>
      </c>
      <c r="D3851" t="s">
        <v>86</v>
      </c>
      <c r="E3851" t="s">
        <v>87</v>
      </c>
      <c r="F3851">
        <v>2900</v>
      </c>
      <c r="G3851" t="s">
        <v>331</v>
      </c>
      <c r="H3851" s="15">
        <v>45292</v>
      </c>
      <c r="I3851">
        <v>2900</v>
      </c>
      <c r="J3851">
        <v>0</v>
      </c>
    </row>
    <row r="3852" spans="1:10" x14ac:dyDescent="0.3">
      <c r="A3852" s="15">
        <v>45748</v>
      </c>
      <c r="B3852" t="s">
        <v>117</v>
      </c>
      <c r="C3852" t="s">
        <v>81</v>
      </c>
      <c r="D3852" t="s">
        <v>86</v>
      </c>
      <c r="E3852" t="s">
        <v>103</v>
      </c>
      <c r="F3852">
        <v>2500</v>
      </c>
      <c r="G3852" t="s">
        <v>331</v>
      </c>
      <c r="H3852" s="15">
        <v>45292</v>
      </c>
      <c r="I3852">
        <v>2500</v>
      </c>
      <c r="J3852">
        <v>0</v>
      </c>
    </row>
    <row r="3853" spans="1:10" x14ac:dyDescent="0.3">
      <c r="A3853" s="15">
        <v>45748</v>
      </c>
      <c r="B3853" t="s">
        <v>119</v>
      </c>
      <c r="C3853" t="s">
        <v>91</v>
      </c>
      <c r="D3853" t="s">
        <v>96</v>
      </c>
      <c r="E3853" t="s">
        <v>89</v>
      </c>
      <c r="F3853">
        <v>12800</v>
      </c>
      <c r="G3853" t="s">
        <v>331</v>
      </c>
      <c r="H3853" s="15">
        <v>45292</v>
      </c>
      <c r="I3853">
        <v>12800</v>
      </c>
      <c r="J3853">
        <v>0</v>
      </c>
    </row>
    <row r="3854" spans="1:10" x14ac:dyDescent="0.3">
      <c r="A3854" s="15">
        <v>45748</v>
      </c>
      <c r="B3854" t="s">
        <v>120</v>
      </c>
      <c r="C3854" t="s">
        <v>81</v>
      </c>
      <c r="D3854" t="s">
        <v>86</v>
      </c>
      <c r="E3854" t="s">
        <v>101</v>
      </c>
      <c r="F3854">
        <v>2200</v>
      </c>
      <c r="G3854" t="s">
        <v>331</v>
      </c>
      <c r="H3854" s="15">
        <v>45292</v>
      </c>
      <c r="I3854">
        <v>2200</v>
      </c>
      <c r="J3854">
        <v>0</v>
      </c>
    </row>
    <row r="3855" spans="1:10" x14ac:dyDescent="0.3">
      <c r="A3855" s="15">
        <v>45748</v>
      </c>
      <c r="B3855" t="s">
        <v>123</v>
      </c>
      <c r="C3855" t="s">
        <v>81</v>
      </c>
      <c r="D3855" t="s">
        <v>82</v>
      </c>
      <c r="E3855" t="s">
        <v>92</v>
      </c>
      <c r="F3855">
        <v>2200</v>
      </c>
      <c r="G3855" t="s">
        <v>331</v>
      </c>
      <c r="H3855" s="15">
        <v>45292</v>
      </c>
      <c r="I3855">
        <v>2200</v>
      </c>
      <c r="J3855">
        <v>0</v>
      </c>
    </row>
    <row r="3856" spans="1:10" x14ac:dyDescent="0.3">
      <c r="A3856" s="15">
        <v>45748</v>
      </c>
      <c r="B3856" t="s">
        <v>124</v>
      </c>
      <c r="C3856" t="s">
        <v>125</v>
      </c>
      <c r="D3856" t="s">
        <v>82</v>
      </c>
      <c r="E3856" t="s">
        <v>97</v>
      </c>
      <c r="F3856">
        <v>67900</v>
      </c>
      <c r="G3856" t="s">
        <v>331</v>
      </c>
      <c r="H3856" s="15">
        <v>45292</v>
      </c>
      <c r="I3856">
        <v>67900</v>
      </c>
      <c r="J3856">
        <v>0</v>
      </c>
    </row>
    <row r="3857" spans="1:10" x14ac:dyDescent="0.3">
      <c r="A3857" s="15">
        <v>45748</v>
      </c>
      <c r="B3857" t="s">
        <v>126</v>
      </c>
      <c r="C3857" t="s">
        <v>91</v>
      </c>
      <c r="D3857" t="s">
        <v>82</v>
      </c>
      <c r="E3857" t="s">
        <v>83</v>
      </c>
      <c r="F3857">
        <v>8800</v>
      </c>
      <c r="G3857" t="s">
        <v>331</v>
      </c>
      <c r="H3857" s="15">
        <v>45292</v>
      </c>
      <c r="I3857">
        <v>8800</v>
      </c>
      <c r="J3857">
        <v>0</v>
      </c>
    </row>
    <row r="3858" spans="1:10" x14ac:dyDescent="0.3">
      <c r="A3858" s="15">
        <v>45748</v>
      </c>
      <c r="B3858" t="s">
        <v>127</v>
      </c>
      <c r="C3858" t="s">
        <v>81</v>
      </c>
      <c r="D3858" t="s">
        <v>82</v>
      </c>
      <c r="E3858" t="s">
        <v>101</v>
      </c>
      <c r="F3858">
        <v>2400</v>
      </c>
      <c r="G3858" t="s">
        <v>331</v>
      </c>
      <c r="H3858" s="15">
        <v>45292</v>
      </c>
      <c r="I3858">
        <v>2400</v>
      </c>
      <c r="J3858">
        <v>0</v>
      </c>
    </row>
    <row r="3859" spans="1:10" x14ac:dyDescent="0.3">
      <c r="A3859" s="15">
        <v>45748</v>
      </c>
      <c r="B3859" t="s">
        <v>128</v>
      </c>
      <c r="C3859" t="s">
        <v>81</v>
      </c>
      <c r="D3859" t="s">
        <v>82</v>
      </c>
      <c r="E3859" t="s">
        <v>92</v>
      </c>
      <c r="F3859">
        <v>1700</v>
      </c>
      <c r="G3859" t="s">
        <v>331</v>
      </c>
      <c r="H3859" s="15">
        <v>45292</v>
      </c>
      <c r="I3859">
        <v>1700</v>
      </c>
      <c r="J3859">
        <v>0</v>
      </c>
    </row>
    <row r="3860" spans="1:10" x14ac:dyDescent="0.3">
      <c r="A3860" s="15">
        <v>45748</v>
      </c>
      <c r="B3860" t="s">
        <v>129</v>
      </c>
      <c r="C3860" t="s">
        <v>110</v>
      </c>
      <c r="D3860" t="s">
        <v>86</v>
      </c>
      <c r="E3860" t="s">
        <v>92</v>
      </c>
      <c r="F3860">
        <v>34200</v>
      </c>
      <c r="G3860" t="s">
        <v>331</v>
      </c>
      <c r="H3860" s="15">
        <v>45292</v>
      </c>
      <c r="I3860">
        <v>34200</v>
      </c>
      <c r="J3860">
        <v>0</v>
      </c>
    </row>
    <row r="3861" spans="1:10" x14ac:dyDescent="0.3">
      <c r="A3861" s="15">
        <v>45748</v>
      </c>
      <c r="B3861" t="s">
        <v>133</v>
      </c>
      <c r="C3861" t="s">
        <v>81</v>
      </c>
      <c r="D3861" t="s">
        <v>96</v>
      </c>
      <c r="E3861" t="s">
        <v>87</v>
      </c>
      <c r="F3861">
        <v>2700</v>
      </c>
      <c r="G3861" t="s">
        <v>331</v>
      </c>
      <c r="H3861" s="15">
        <v>45292</v>
      </c>
      <c r="I3861">
        <v>2700</v>
      </c>
      <c r="J3861">
        <v>0</v>
      </c>
    </row>
    <row r="3862" spans="1:10" x14ac:dyDescent="0.3">
      <c r="A3862" s="15">
        <v>45748</v>
      </c>
      <c r="B3862" t="s">
        <v>134</v>
      </c>
      <c r="C3862" t="s">
        <v>81</v>
      </c>
      <c r="D3862" t="s">
        <v>82</v>
      </c>
      <c r="E3862" t="s">
        <v>92</v>
      </c>
      <c r="F3862">
        <v>2400</v>
      </c>
      <c r="G3862" t="s">
        <v>331</v>
      </c>
      <c r="H3862" s="15">
        <v>45292</v>
      </c>
      <c r="I3862">
        <v>2400</v>
      </c>
      <c r="J3862">
        <v>0</v>
      </c>
    </row>
    <row r="3863" spans="1:10" x14ac:dyDescent="0.3">
      <c r="A3863" s="15">
        <v>45748</v>
      </c>
      <c r="B3863" t="s">
        <v>135</v>
      </c>
      <c r="C3863" t="s">
        <v>81</v>
      </c>
      <c r="D3863" t="s">
        <v>82</v>
      </c>
      <c r="E3863" t="s">
        <v>103</v>
      </c>
      <c r="F3863">
        <v>2200</v>
      </c>
      <c r="G3863" t="s">
        <v>334</v>
      </c>
      <c r="H3863" s="15">
        <v>45292</v>
      </c>
      <c r="I3863">
        <v>2500</v>
      </c>
      <c r="J3863">
        <v>-300</v>
      </c>
    </row>
    <row r="3864" spans="1:10" x14ac:dyDescent="0.3">
      <c r="A3864" s="15">
        <v>45748</v>
      </c>
      <c r="B3864" t="s">
        <v>136</v>
      </c>
      <c r="C3864" t="s">
        <v>81</v>
      </c>
      <c r="D3864" t="s">
        <v>82</v>
      </c>
      <c r="E3864" t="s">
        <v>101</v>
      </c>
      <c r="F3864">
        <v>2900</v>
      </c>
      <c r="G3864" t="s">
        <v>331</v>
      </c>
      <c r="H3864" s="15">
        <v>45292</v>
      </c>
      <c r="I3864">
        <v>2900</v>
      </c>
      <c r="J3864">
        <v>0</v>
      </c>
    </row>
    <row r="3865" spans="1:10" x14ac:dyDescent="0.3">
      <c r="A3865" s="15">
        <v>45748</v>
      </c>
      <c r="B3865" t="s">
        <v>138</v>
      </c>
      <c r="C3865" t="s">
        <v>81</v>
      </c>
      <c r="D3865" t="s">
        <v>86</v>
      </c>
      <c r="E3865" t="s">
        <v>97</v>
      </c>
      <c r="F3865">
        <v>3300</v>
      </c>
      <c r="G3865" t="s">
        <v>331</v>
      </c>
      <c r="H3865" s="15">
        <v>45292</v>
      </c>
      <c r="I3865">
        <v>3300</v>
      </c>
      <c r="J3865">
        <v>0</v>
      </c>
    </row>
    <row r="3866" spans="1:10" x14ac:dyDescent="0.3">
      <c r="A3866" s="15">
        <v>45748</v>
      </c>
      <c r="B3866" t="s">
        <v>139</v>
      </c>
      <c r="C3866" t="s">
        <v>91</v>
      </c>
      <c r="D3866" t="s">
        <v>82</v>
      </c>
      <c r="E3866" t="s">
        <v>103</v>
      </c>
      <c r="F3866">
        <v>6800</v>
      </c>
      <c r="G3866" t="s">
        <v>331</v>
      </c>
      <c r="H3866" s="15">
        <v>45292</v>
      </c>
      <c r="I3866">
        <v>6800</v>
      </c>
      <c r="J3866">
        <v>0</v>
      </c>
    </row>
    <row r="3867" spans="1:10" x14ac:dyDescent="0.3">
      <c r="A3867" s="15">
        <v>45748</v>
      </c>
      <c r="B3867" t="s">
        <v>141</v>
      </c>
      <c r="C3867" t="s">
        <v>125</v>
      </c>
      <c r="D3867" t="s">
        <v>99</v>
      </c>
      <c r="E3867" t="s">
        <v>103</v>
      </c>
      <c r="F3867">
        <v>117900</v>
      </c>
      <c r="G3867" t="s">
        <v>331</v>
      </c>
      <c r="H3867" s="15">
        <v>45292</v>
      </c>
      <c r="I3867">
        <v>117900</v>
      </c>
      <c r="J3867">
        <v>0</v>
      </c>
    </row>
    <row r="3868" spans="1:10" x14ac:dyDescent="0.3">
      <c r="A3868" s="15">
        <v>45748</v>
      </c>
      <c r="B3868" t="s">
        <v>142</v>
      </c>
      <c r="C3868" t="s">
        <v>125</v>
      </c>
      <c r="D3868" t="s">
        <v>82</v>
      </c>
      <c r="E3868" t="s">
        <v>92</v>
      </c>
      <c r="F3868">
        <v>103800</v>
      </c>
      <c r="G3868" t="s">
        <v>331</v>
      </c>
      <c r="H3868" s="15">
        <v>45292</v>
      </c>
      <c r="I3868">
        <v>103800</v>
      </c>
      <c r="J3868">
        <v>0</v>
      </c>
    </row>
    <row r="3869" spans="1:10" x14ac:dyDescent="0.3">
      <c r="A3869" s="15">
        <v>45748</v>
      </c>
      <c r="B3869" t="s">
        <v>143</v>
      </c>
      <c r="C3869" t="s">
        <v>91</v>
      </c>
      <c r="D3869" t="s">
        <v>99</v>
      </c>
      <c r="E3869" t="s">
        <v>103</v>
      </c>
      <c r="F3869">
        <v>8000</v>
      </c>
      <c r="G3869" t="s">
        <v>331</v>
      </c>
      <c r="H3869" s="15">
        <v>45292</v>
      </c>
      <c r="I3869">
        <v>8000</v>
      </c>
      <c r="J3869">
        <v>0</v>
      </c>
    </row>
    <row r="3870" spans="1:10" x14ac:dyDescent="0.3">
      <c r="A3870" s="15">
        <v>45748</v>
      </c>
      <c r="B3870" t="s">
        <v>144</v>
      </c>
      <c r="C3870" t="s">
        <v>81</v>
      </c>
      <c r="D3870" t="s">
        <v>82</v>
      </c>
      <c r="E3870" t="s">
        <v>92</v>
      </c>
      <c r="F3870">
        <v>2400</v>
      </c>
      <c r="G3870" t="s">
        <v>331</v>
      </c>
      <c r="H3870" s="15">
        <v>45292</v>
      </c>
      <c r="I3870">
        <v>2400</v>
      </c>
      <c r="J3870">
        <v>0</v>
      </c>
    </row>
    <row r="3871" spans="1:10" x14ac:dyDescent="0.3">
      <c r="A3871" s="15">
        <v>45748</v>
      </c>
      <c r="B3871" t="s">
        <v>145</v>
      </c>
      <c r="C3871" t="s">
        <v>91</v>
      </c>
      <c r="D3871" t="s">
        <v>82</v>
      </c>
      <c r="E3871" t="s">
        <v>87</v>
      </c>
      <c r="F3871">
        <v>8200</v>
      </c>
      <c r="G3871" t="s">
        <v>331</v>
      </c>
      <c r="H3871" s="15">
        <v>45292</v>
      </c>
      <c r="I3871">
        <v>8200</v>
      </c>
      <c r="J3871">
        <v>0</v>
      </c>
    </row>
    <row r="3872" spans="1:10" x14ac:dyDescent="0.3">
      <c r="A3872" s="15">
        <v>45748</v>
      </c>
      <c r="B3872" t="s">
        <v>146</v>
      </c>
      <c r="C3872" t="s">
        <v>91</v>
      </c>
      <c r="D3872" t="s">
        <v>86</v>
      </c>
      <c r="E3872" t="s">
        <v>87</v>
      </c>
      <c r="F3872">
        <v>9200</v>
      </c>
      <c r="G3872" t="s">
        <v>331</v>
      </c>
      <c r="H3872" s="15">
        <v>45292</v>
      </c>
      <c r="I3872">
        <v>9200</v>
      </c>
      <c r="J3872">
        <v>0</v>
      </c>
    </row>
    <row r="3873" spans="1:10" x14ac:dyDescent="0.3">
      <c r="A3873" s="15">
        <v>45748</v>
      </c>
      <c r="B3873" t="s">
        <v>148</v>
      </c>
      <c r="C3873" t="s">
        <v>110</v>
      </c>
      <c r="D3873" t="s">
        <v>86</v>
      </c>
      <c r="E3873" t="s">
        <v>89</v>
      </c>
      <c r="F3873">
        <v>25100</v>
      </c>
      <c r="G3873" t="s">
        <v>331</v>
      </c>
      <c r="H3873" s="15">
        <v>45292</v>
      </c>
      <c r="I3873">
        <v>25100</v>
      </c>
      <c r="J3873">
        <v>0</v>
      </c>
    </row>
    <row r="3874" spans="1:10" x14ac:dyDescent="0.3">
      <c r="A3874" s="15">
        <v>45748</v>
      </c>
      <c r="B3874" t="s">
        <v>149</v>
      </c>
      <c r="C3874" t="s">
        <v>110</v>
      </c>
      <c r="D3874" t="s">
        <v>82</v>
      </c>
      <c r="E3874" t="s">
        <v>103</v>
      </c>
      <c r="F3874">
        <v>31000</v>
      </c>
      <c r="G3874" t="s">
        <v>331</v>
      </c>
      <c r="H3874" s="15">
        <v>45292</v>
      </c>
      <c r="I3874">
        <v>31000</v>
      </c>
      <c r="J3874">
        <v>0</v>
      </c>
    </row>
    <row r="3875" spans="1:10" x14ac:dyDescent="0.3">
      <c r="A3875" s="15">
        <v>45748</v>
      </c>
      <c r="B3875" t="s">
        <v>151</v>
      </c>
      <c r="C3875" t="s">
        <v>91</v>
      </c>
      <c r="D3875" t="s">
        <v>82</v>
      </c>
      <c r="E3875" t="s">
        <v>97</v>
      </c>
      <c r="F3875">
        <v>6800</v>
      </c>
      <c r="G3875" t="s">
        <v>331</v>
      </c>
      <c r="H3875" s="15">
        <v>45292</v>
      </c>
      <c r="I3875">
        <v>6800</v>
      </c>
      <c r="J3875">
        <v>0</v>
      </c>
    </row>
    <row r="3876" spans="1:10" x14ac:dyDescent="0.3">
      <c r="A3876" s="15">
        <v>45748</v>
      </c>
      <c r="B3876" t="s">
        <v>153</v>
      </c>
      <c r="C3876" t="s">
        <v>110</v>
      </c>
      <c r="D3876" t="s">
        <v>99</v>
      </c>
      <c r="E3876" t="s">
        <v>87</v>
      </c>
      <c r="F3876">
        <v>31500</v>
      </c>
      <c r="G3876" t="s">
        <v>331</v>
      </c>
      <c r="H3876" s="15">
        <v>45292</v>
      </c>
      <c r="I3876">
        <v>31500</v>
      </c>
      <c r="J3876">
        <v>0</v>
      </c>
    </row>
    <row r="3877" spans="1:10" x14ac:dyDescent="0.3">
      <c r="A3877" s="15">
        <v>45748</v>
      </c>
      <c r="B3877" t="s">
        <v>154</v>
      </c>
      <c r="C3877" t="s">
        <v>91</v>
      </c>
      <c r="D3877" t="s">
        <v>86</v>
      </c>
      <c r="E3877" t="s">
        <v>103</v>
      </c>
      <c r="F3877">
        <v>8800</v>
      </c>
      <c r="G3877" t="s">
        <v>331</v>
      </c>
      <c r="H3877" s="15">
        <v>45292</v>
      </c>
      <c r="I3877">
        <v>8800</v>
      </c>
      <c r="J3877">
        <v>0</v>
      </c>
    </row>
    <row r="3878" spans="1:10" x14ac:dyDescent="0.3">
      <c r="A3878" s="15">
        <v>45748</v>
      </c>
      <c r="B3878" t="s">
        <v>155</v>
      </c>
      <c r="C3878" t="s">
        <v>91</v>
      </c>
      <c r="D3878" t="s">
        <v>82</v>
      </c>
      <c r="E3878" t="s">
        <v>92</v>
      </c>
      <c r="F3878">
        <v>7100</v>
      </c>
      <c r="G3878" t="s">
        <v>331</v>
      </c>
      <c r="H3878" s="15">
        <v>45292</v>
      </c>
      <c r="I3878">
        <v>7100</v>
      </c>
      <c r="J3878">
        <v>0</v>
      </c>
    </row>
    <row r="3879" spans="1:10" x14ac:dyDescent="0.3">
      <c r="A3879" s="15">
        <v>45748</v>
      </c>
      <c r="B3879" t="s">
        <v>156</v>
      </c>
      <c r="C3879" t="s">
        <v>81</v>
      </c>
      <c r="D3879" t="s">
        <v>86</v>
      </c>
      <c r="E3879" t="s">
        <v>101</v>
      </c>
      <c r="F3879">
        <v>2300</v>
      </c>
      <c r="G3879" t="s">
        <v>331</v>
      </c>
      <c r="H3879" s="15">
        <v>45292</v>
      </c>
      <c r="I3879">
        <v>2300</v>
      </c>
      <c r="J3879">
        <v>0</v>
      </c>
    </row>
    <row r="3880" spans="1:10" x14ac:dyDescent="0.3">
      <c r="A3880" s="15">
        <v>45748</v>
      </c>
      <c r="B3880" t="s">
        <v>157</v>
      </c>
      <c r="C3880" t="s">
        <v>81</v>
      </c>
      <c r="D3880" t="s">
        <v>82</v>
      </c>
      <c r="E3880" t="s">
        <v>92</v>
      </c>
      <c r="F3880">
        <v>1800</v>
      </c>
      <c r="G3880" t="s">
        <v>331</v>
      </c>
      <c r="H3880" s="15">
        <v>45292</v>
      </c>
      <c r="I3880">
        <v>1800</v>
      </c>
      <c r="J3880">
        <v>0</v>
      </c>
    </row>
    <row r="3881" spans="1:10" x14ac:dyDescent="0.3">
      <c r="A3881" s="15">
        <v>45748</v>
      </c>
      <c r="B3881" t="s">
        <v>158</v>
      </c>
      <c r="C3881" t="s">
        <v>91</v>
      </c>
      <c r="D3881" t="s">
        <v>96</v>
      </c>
      <c r="E3881" t="s">
        <v>83</v>
      </c>
      <c r="F3881">
        <v>12600</v>
      </c>
      <c r="G3881" t="s">
        <v>331</v>
      </c>
      <c r="H3881" s="15">
        <v>45292</v>
      </c>
      <c r="I3881">
        <v>12600</v>
      </c>
      <c r="J3881">
        <v>0</v>
      </c>
    </row>
    <row r="3882" spans="1:10" x14ac:dyDescent="0.3">
      <c r="A3882" s="15">
        <v>45748</v>
      </c>
      <c r="B3882" t="s">
        <v>159</v>
      </c>
      <c r="C3882" t="s">
        <v>81</v>
      </c>
      <c r="D3882" t="s">
        <v>86</v>
      </c>
      <c r="E3882" t="s">
        <v>87</v>
      </c>
      <c r="F3882">
        <v>2400</v>
      </c>
      <c r="G3882" t="s">
        <v>331</v>
      </c>
      <c r="H3882" s="15">
        <v>45292</v>
      </c>
      <c r="I3882">
        <v>2400</v>
      </c>
      <c r="J3882">
        <v>0</v>
      </c>
    </row>
    <row r="3883" spans="1:10" x14ac:dyDescent="0.3">
      <c r="A3883" s="15">
        <v>45748</v>
      </c>
      <c r="B3883" t="s">
        <v>161</v>
      </c>
      <c r="C3883" t="s">
        <v>91</v>
      </c>
      <c r="D3883" t="s">
        <v>99</v>
      </c>
      <c r="E3883" t="s">
        <v>83</v>
      </c>
      <c r="F3883">
        <v>10700</v>
      </c>
      <c r="G3883" t="s">
        <v>331</v>
      </c>
      <c r="H3883" s="15">
        <v>45292</v>
      </c>
      <c r="I3883">
        <v>10700</v>
      </c>
      <c r="J3883">
        <v>0</v>
      </c>
    </row>
    <row r="3884" spans="1:10" x14ac:dyDescent="0.3">
      <c r="A3884" s="15">
        <v>45748</v>
      </c>
      <c r="B3884" t="s">
        <v>162</v>
      </c>
      <c r="C3884" t="s">
        <v>91</v>
      </c>
      <c r="D3884" t="s">
        <v>82</v>
      </c>
      <c r="E3884" t="s">
        <v>103</v>
      </c>
      <c r="F3884">
        <v>12700</v>
      </c>
      <c r="G3884" t="s">
        <v>331</v>
      </c>
      <c r="H3884" s="15">
        <v>45292</v>
      </c>
      <c r="I3884">
        <v>12700</v>
      </c>
      <c r="J3884">
        <v>0</v>
      </c>
    </row>
    <row r="3885" spans="1:10" x14ac:dyDescent="0.3">
      <c r="A3885" s="15">
        <v>45748</v>
      </c>
      <c r="B3885" t="s">
        <v>164</v>
      </c>
      <c r="C3885" t="s">
        <v>81</v>
      </c>
      <c r="D3885" t="s">
        <v>99</v>
      </c>
      <c r="E3885" t="s">
        <v>89</v>
      </c>
      <c r="F3885">
        <v>2800</v>
      </c>
      <c r="G3885" t="s">
        <v>331</v>
      </c>
      <c r="H3885" s="15">
        <v>45292</v>
      </c>
      <c r="I3885">
        <v>2800</v>
      </c>
      <c r="J3885">
        <v>0</v>
      </c>
    </row>
    <row r="3886" spans="1:10" x14ac:dyDescent="0.3">
      <c r="A3886" s="15">
        <v>45748</v>
      </c>
      <c r="B3886" t="s">
        <v>165</v>
      </c>
      <c r="C3886" t="s">
        <v>81</v>
      </c>
      <c r="D3886" t="s">
        <v>82</v>
      </c>
      <c r="E3886" t="s">
        <v>97</v>
      </c>
      <c r="F3886">
        <v>2700</v>
      </c>
      <c r="G3886" t="s">
        <v>331</v>
      </c>
      <c r="H3886" s="15">
        <v>45292</v>
      </c>
      <c r="I3886">
        <v>2700</v>
      </c>
      <c r="J3886">
        <v>0</v>
      </c>
    </row>
    <row r="3887" spans="1:10" x14ac:dyDescent="0.3">
      <c r="A3887" s="15">
        <v>45748</v>
      </c>
      <c r="B3887" t="s">
        <v>166</v>
      </c>
      <c r="C3887" t="s">
        <v>81</v>
      </c>
      <c r="D3887" t="s">
        <v>99</v>
      </c>
      <c r="E3887" t="s">
        <v>103</v>
      </c>
      <c r="F3887">
        <v>2600</v>
      </c>
      <c r="G3887" t="s">
        <v>331</v>
      </c>
      <c r="H3887" s="15">
        <v>45292</v>
      </c>
      <c r="I3887">
        <v>2600</v>
      </c>
      <c r="J3887">
        <v>0</v>
      </c>
    </row>
    <row r="3888" spans="1:10" x14ac:dyDescent="0.3">
      <c r="A3888" s="15">
        <v>45748</v>
      </c>
      <c r="B3888" t="s">
        <v>167</v>
      </c>
      <c r="C3888" t="s">
        <v>81</v>
      </c>
      <c r="D3888" t="s">
        <v>82</v>
      </c>
      <c r="E3888" t="s">
        <v>97</v>
      </c>
      <c r="F3888">
        <v>2100</v>
      </c>
      <c r="G3888" t="s">
        <v>331</v>
      </c>
      <c r="H3888" s="15">
        <v>45292</v>
      </c>
      <c r="I3888">
        <v>2100</v>
      </c>
      <c r="J3888">
        <v>0</v>
      </c>
    </row>
    <row r="3889" spans="1:10" x14ac:dyDescent="0.3">
      <c r="A3889" s="15">
        <v>45748</v>
      </c>
      <c r="B3889" t="s">
        <v>168</v>
      </c>
      <c r="C3889" t="s">
        <v>91</v>
      </c>
      <c r="D3889" t="s">
        <v>86</v>
      </c>
      <c r="E3889" t="s">
        <v>103</v>
      </c>
      <c r="F3889">
        <v>12300</v>
      </c>
      <c r="G3889" t="s">
        <v>331</v>
      </c>
      <c r="H3889" s="15">
        <v>45292</v>
      </c>
      <c r="I3889">
        <v>12300</v>
      </c>
      <c r="J3889">
        <v>0</v>
      </c>
    </row>
    <row r="3890" spans="1:10" x14ac:dyDescent="0.3">
      <c r="A3890" s="15">
        <v>45748</v>
      </c>
      <c r="B3890" t="s">
        <v>169</v>
      </c>
      <c r="C3890" t="s">
        <v>81</v>
      </c>
      <c r="D3890" t="s">
        <v>86</v>
      </c>
      <c r="E3890" t="s">
        <v>103</v>
      </c>
      <c r="F3890">
        <v>2200</v>
      </c>
      <c r="G3890" t="s">
        <v>331</v>
      </c>
      <c r="H3890" s="15">
        <v>45292</v>
      </c>
      <c r="I3890">
        <v>2200</v>
      </c>
      <c r="J3890">
        <v>0</v>
      </c>
    </row>
    <row r="3891" spans="1:10" x14ac:dyDescent="0.3">
      <c r="A3891" s="15">
        <v>45748</v>
      </c>
      <c r="B3891" t="s">
        <v>170</v>
      </c>
      <c r="C3891" t="s">
        <v>91</v>
      </c>
      <c r="D3891" t="s">
        <v>99</v>
      </c>
      <c r="E3891" t="s">
        <v>83</v>
      </c>
      <c r="F3891">
        <v>6500</v>
      </c>
      <c r="G3891" t="s">
        <v>331</v>
      </c>
      <c r="H3891" s="15">
        <v>45292</v>
      </c>
      <c r="I3891">
        <v>6500</v>
      </c>
      <c r="J3891">
        <v>0</v>
      </c>
    </row>
    <row r="3892" spans="1:10" x14ac:dyDescent="0.3">
      <c r="A3892" s="15">
        <v>45748</v>
      </c>
      <c r="B3892" t="s">
        <v>171</v>
      </c>
      <c r="C3892" t="s">
        <v>81</v>
      </c>
      <c r="D3892" t="s">
        <v>99</v>
      </c>
      <c r="E3892" t="s">
        <v>97</v>
      </c>
      <c r="F3892">
        <v>1700</v>
      </c>
      <c r="G3892" t="s">
        <v>331</v>
      </c>
      <c r="H3892" s="15">
        <v>45292</v>
      </c>
      <c r="I3892">
        <v>1700</v>
      </c>
      <c r="J3892">
        <v>0</v>
      </c>
    </row>
    <row r="3893" spans="1:10" x14ac:dyDescent="0.3">
      <c r="A3893" s="15">
        <v>45748</v>
      </c>
      <c r="B3893" t="s">
        <v>174</v>
      </c>
      <c r="C3893" t="s">
        <v>81</v>
      </c>
      <c r="D3893" t="s">
        <v>82</v>
      </c>
      <c r="E3893" t="s">
        <v>92</v>
      </c>
      <c r="F3893">
        <v>2400</v>
      </c>
      <c r="G3893" t="s">
        <v>331</v>
      </c>
      <c r="H3893" s="15">
        <v>45292</v>
      </c>
      <c r="I3893">
        <v>2400</v>
      </c>
      <c r="J3893">
        <v>0</v>
      </c>
    </row>
    <row r="3894" spans="1:10" x14ac:dyDescent="0.3">
      <c r="A3894" s="15">
        <v>45748</v>
      </c>
      <c r="B3894" t="s">
        <v>175</v>
      </c>
      <c r="C3894" t="s">
        <v>91</v>
      </c>
      <c r="D3894" t="s">
        <v>96</v>
      </c>
      <c r="E3894" t="s">
        <v>83</v>
      </c>
      <c r="F3894">
        <v>8800</v>
      </c>
      <c r="G3894" t="s">
        <v>331</v>
      </c>
      <c r="H3894" s="15">
        <v>45292</v>
      </c>
      <c r="I3894">
        <v>8800</v>
      </c>
      <c r="J3894">
        <v>0</v>
      </c>
    </row>
    <row r="3895" spans="1:10" x14ac:dyDescent="0.3">
      <c r="A3895" s="15">
        <v>45748</v>
      </c>
      <c r="B3895" t="s">
        <v>176</v>
      </c>
      <c r="C3895" t="s">
        <v>81</v>
      </c>
      <c r="D3895" t="s">
        <v>99</v>
      </c>
      <c r="E3895" t="s">
        <v>92</v>
      </c>
      <c r="F3895">
        <v>2900</v>
      </c>
      <c r="G3895" t="s">
        <v>331</v>
      </c>
      <c r="H3895" s="15">
        <v>45292</v>
      </c>
      <c r="I3895">
        <v>2900</v>
      </c>
      <c r="J3895">
        <v>0</v>
      </c>
    </row>
    <row r="3896" spans="1:10" x14ac:dyDescent="0.3">
      <c r="A3896" s="15">
        <v>45748</v>
      </c>
      <c r="B3896" t="s">
        <v>177</v>
      </c>
      <c r="C3896" t="s">
        <v>81</v>
      </c>
      <c r="D3896" t="s">
        <v>96</v>
      </c>
      <c r="E3896" t="s">
        <v>83</v>
      </c>
      <c r="F3896">
        <v>2900</v>
      </c>
      <c r="G3896" t="s">
        <v>331</v>
      </c>
      <c r="H3896" s="15">
        <v>45292</v>
      </c>
      <c r="I3896">
        <v>2900</v>
      </c>
      <c r="J3896">
        <v>0</v>
      </c>
    </row>
    <row r="3897" spans="1:10" x14ac:dyDescent="0.3">
      <c r="A3897" s="15">
        <v>45748</v>
      </c>
      <c r="B3897" t="s">
        <v>178</v>
      </c>
      <c r="C3897" t="s">
        <v>91</v>
      </c>
      <c r="D3897" t="s">
        <v>82</v>
      </c>
      <c r="E3897" t="s">
        <v>89</v>
      </c>
      <c r="F3897">
        <v>8400</v>
      </c>
      <c r="G3897" t="s">
        <v>331</v>
      </c>
      <c r="H3897" s="15">
        <v>45292</v>
      </c>
      <c r="I3897">
        <v>8400</v>
      </c>
      <c r="J3897">
        <v>0</v>
      </c>
    </row>
    <row r="3898" spans="1:10" x14ac:dyDescent="0.3">
      <c r="A3898" s="15">
        <v>45748</v>
      </c>
      <c r="B3898" t="s">
        <v>179</v>
      </c>
      <c r="C3898" t="s">
        <v>110</v>
      </c>
      <c r="D3898" t="s">
        <v>86</v>
      </c>
      <c r="E3898" t="s">
        <v>87</v>
      </c>
      <c r="F3898">
        <v>30000</v>
      </c>
      <c r="G3898" t="s">
        <v>331</v>
      </c>
      <c r="H3898" s="15">
        <v>45292</v>
      </c>
      <c r="I3898">
        <v>30000</v>
      </c>
      <c r="J3898">
        <v>0</v>
      </c>
    </row>
    <row r="3899" spans="1:10" x14ac:dyDescent="0.3">
      <c r="A3899" s="15">
        <v>45748</v>
      </c>
      <c r="B3899" t="s">
        <v>180</v>
      </c>
      <c r="C3899" t="s">
        <v>91</v>
      </c>
      <c r="D3899" t="s">
        <v>86</v>
      </c>
      <c r="E3899" t="s">
        <v>83</v>
      </c>
      <c r="F3899">
        <v>8500</v>
      </c>
      <c r="G3899" t="s">
        <v>331</v>
      </c>
      <c r="H3899" s="15">
        <v>45292</v>
      </c>
      <c r="I3899">
        <v>8500</v>
      </c>
      <c r="J3899">
        <v>0</v>
      </c>
    </row>
    <row r="3900" spans="1:10" x14ac:dyDescent="0.3">
      <c r="A3900" s="15">
        <v>45748</v>
      </c>
      <c r="B3900" t="s">
        <v>181</v>
      </c>
      <c r="C3900" t="s">
        <v>91</v>
      </c>
      <c r="D3900" t="s">
        <v>82</v>
      </c>
      <c r="E3900" t="s">
        <v>97</v>
      </c>
      <c r="F3900">
        <v>10100</v>
      </c>
      <c r="G3900" t="s">
        <v>331</v>
      </c>
      <c r="H3900" s="15">
        <v>45292</v>
      </c>
      <c r="I3900">
        <v>10100</v>
      </c>
      <c r="J3900">
        <v>0</v>
      </c>
    </row>
    <row r="3901" spans="1:10" x14ac:dyDescent="0.3">
      <c r="A3901" s="15">
        <v>45748</v>
      </c>
      <c r="B3901" t="s">
        <v>182</v>
      </c>
      <c r="C3901" t="s">
        <v>125</v>
      </c>
      <c r="D3901" t="s">
        <v>82</v>
      </c>
      <c r="E3901" t="s">
        <v>92</v>
      </c>
      <c r="F3901">
        <v>93100</v>
      </c>
      <c r="G3901" t="s">
        <v>331</v>
      </c>
      <c r="H3901" s="15">
        <v>45292</v>
      </c>
      <c r="I3901">
        <v>93100</v>
      </c>
      <c r="J3901">
        <v>0</v>
      </c>
    </row>
    <row r="3902" spans="1:10" x14ac:dyDescent="0.3">
      <c r="A3902" s="15">
        <v>45748</v>
      </c>
      <c r="B3902" t="s">
        <v>183</v>
      </c>
      <c r="C3902" t="s">
        <v>91</v>
      </c>
      <c r="D3902" t="s">
        <v>96</v>
      </c>
      <c r="E3902" t="s">
        <v>92</v>
      </c>
      <c r="F3902">
        <v>9500</v>
      </c>
      <c r="G3902" t="s">
        <v>331</v>
      </c>
      <c r="H3902" s="15">
        <v>45292</v>
      </c>
      <c r="I3902">
        <v>9500</v>
      </c>
      <c r="J3902">
        <v>0</v>
      </c>
    </row>
    <row r="3903" spans="1:10" x14ac:dyDescent="0.3">
      <c r="A3903" s="15">
        <v>45748</v>
      </c>
      <c r="B3903" t="s">
        <v>184</v>
      </c>
      <c r="C3903" t="s">
        <v>81</v>
      </c>
      <c r="D3903" t="s">
        <v>82</v>
      </c>
      <c r="E3903" t="s">
        <v>83</v>
      </c>
      <c r="F3903">
        <v>2600</v>
      </c>
      <c r="G3903" t="s">
        <v>331</v>
      </c>
      <c r="H3903" s="15">
        <v>45292</v>
      </c>
      <c r="I3903">
        <v>2600</v>
      </c>
      <c r="J3903">
        <v>0</v>
      </c>
    </row>
    <row r="3904" spans="1:10" x14ac:dyDescent="0.3">
      <c r="A3904" s="15">
        <v>45748</v>
      </c>
      <c r="B3904" t="s">
        <v>185</v>
      </c>
      <c r="C3904" t="s">
        <v>81</v>
      </c>
      <c r="D3904" t="s">
        <v>96</v>
      </c>
      <c r="E3904" t="s">
        <v>97</v>
      </c>
      <c r="F3904">
        <v>1900</v>
      </c>
      <c r="G3904" t="s">
        <v>334</v>
      </c>
      <c r="H3904" s="15">
        <v>45292</v>
      </c>
      <c r="I3904">
        <v>2000</v>
      </c>
      <c r="J3904">
        <v>-100</v>
      </c>
    </row>
    <row r="3905" spans="1:10" x14ac:dyDescent="0.3">
      <c r="A3905" s="15">
        <v>45748</v>
      </c>
      <c r="B3905" t="s">
        <v>186</v>
      </c>
      <c r="C3905" t="s">
        <v>91</v>
      </c>
      <c r="D3905" t="s">
        <v>82</v>
      </c>
      <c r="E3905" t="s">
        <v>103</v>
      </c>
      <c r="F3905">
        <v>13900</v>
      </c>
      <c r="G3905" t="s">
        <v>331</v>
      </c>
      <c r="H3905" s="15">
        <v>45292</v>
      </c>
      <c r="I3905">
        <v>13900</v>
      </c>
      <c r="J3905">
        <v>0</v>
      </c>
    </row>
    <row r="3906" spans="1:10" x14ac:dyDescent="0.3">
      <c r="A3906" s="15">
        <v>45748</v>
      </c>
      <c r="B3906" t="s">
        <v>187</v>
      </c>
      <c r="C3906" t="s">
        <v>110</v>
      </c>
      <c r="D3906" t="s">
        <v>86</v>
      </c>
      <c r="E3906" t="s">
        <v>97</v>
      </c>
      <c r="F3906">
        <v>26700</v>
      </c>
      <c r="G3906" t="s">
        <v>331</v>
      </c>
      <c r="H3906" s="15">
        <v>45292</v>
      </c>
      <c r="I3906">
        <v>26700</v>
      </c>
      <c r="J3906">
        <v>0</v>
      </c>
    </row>
    <row r="3907" spans="1:10" x14ac:dyDescent="0.3">
      <c r="A3907" s="15">
        <v>45748</v>
      </c>
      <c r="B3907" t="s">
        <v>188</v>
      </c>
      <c r="C3907" t="s">
        <v>91</v>
      </c>
      <c r="D3907" t="s">
        <v>82</v>
      </c>
      <c r="E3907" t="s">
        <v>92</v>
      </c>
      <c r="F3907">
        <v>9900</v>
      </c>
      <c r="G3907" t="s">
        <v>331</v>
      </c>
      <c r="H3907" s="15">
        <v>45292</v>
      </c>
      <c r="I3907">
        <v>9900</v>
      </c>
      <c r="J3907">
        <v>0</v>
      </c>
    </row>
    <row r="3908" spans="1:10" x14ac:dyDescent="0.3">
      <c r="A3908" s="15">
        <v>45748</v>
      </c>
      <c r="B3908" t="s">
        <v>189</v>
      </c>
      <c r="C3908" t="s">
        <v>81</v>
      </c>
      <c r="D3908" t="s">
        <v>86</v>
      </c>
      <c r="E3908" t="s">
        <v>103</v>
      </c>
      <c r="F3908">
        <v>2000</v>
      </c>
      <c r="G3908" t="s">
        <v>331</v>
      </c>
      <c r="H3908" s="15">
        <v>45292</v>
      </c>
      <c r="I3908">
        <v>2000</v>
      </c>
      <c r="J3908">
        <v>0</v>
      </c>
    </row>
    <row r="3909" spans="1:10" x14ac:dyDescent="0.3">
      <c r="A3909" s="15">
        <v>45748</v>
      </c>
      <c r="B3909" t="s">
        <v>190</v>
      </c>
      <c r="C3909" t="s">
        <v>81</v>
      </c>
      <c r="D3909" t="s">
        <v>99</v>
      </c>
      <c r="E3909" t="s">
        <v>89</v>
      </c>
      <c r="F3909">
        <v>1900</v>
      </c>
      <c r="G3909" t="s">
        <v>334</v>
      </c>
      <c r="H3909" s="15">
        <v>45292</v>
      </c>
      <c r="I3909">
        <v>2000</v>
      </c>
      <c r="J3909">
        <v>-100</v>
      </c>
    </row>
    <row r="3910" spans="1:10" x14ac:dyDescent="0.3">
      <c r="A3910" s="15">
        <v>45748</v>
      </c>
      <c r="B3910" t="s">
        <v>191</v>
      </c>
      <c r="C3910" t="s">
        <v>91</v>
      </c>
      <c r="D3910" t="s">
        <v>86</v>
      </c>
      <c r="E3910" t="s">
        <v>87</v>
      </c>
      <c r="F3910">
        <v>6900</v>
      </c>
      <c r="G3910" t="s">
        <v>331</v>
      </c>
      <c r="H3910" s="15">
        <v>45292</v>
      </c>
      <c r="I3910">
        <v>6900</v>
      </c>
      <c r="J3910">
        <v>0</v>
      </c>
    </row>
    <row r="3911" spans="1:10" x14ac:dyDescent="0.3">
      <c r="A3911" s="15">
        <v>45748</v>
      </c>
      <c r="B3911" t="s">
        <v>192</v>
      </c>
      <c r="C3911" t="s">
        <v>81</v>
      </c>
      <c r="D3911" t="s">
        <v>82</v>
      </c>
      <c r="E3911" t="s">
        <v>97</v>
      </c>
      <c r="F3911">
        <v>2700</v>
      </c>
      <c r="G3911" t="s">
        <v>331</v>
      </c>
      <c r="H3911" s="15">
        <v>45292</v>
      </c>
      <c r="I3911">
        <v>2700</v>
      </c>
      <c r="J3911">
        <v>0</v>
      </c>
    </row>
    <row r="3912" spans="1:10" x14ac:dyDescent="0.3">
      <c r="A3912" s="15">
        <v>45748</v>
      </c>
      <c r="B3912" t="s">
        <v>193</v>
      </c>
      <c r="C3912" t="s">
        <v>81</v>
      </c>
      <c r="D3912" t="s">
        <v>82</v>
      </c>
      <c r="E3912" t="s">
        <v>87</v>
      </c>
      <c r="F3912">
        <v>3200</v>
      </c>
      <c r="G3912" t="s">
        <v>331</v>
      </c>
      <c r="H3912" s="15">
        <v>45292</v>
      </c>
      <c r="I3912">
        <v>3200</v>
      </c>
      <c r="J3912">
        <v>0</v>
      </c>
    </row>
    <row r="3913" spans="1:10" x14ac:dyDescent="0.3">
      <c r="A3913" s="15">
        <v>45748</v>
      </c>
      <c r="B3913" t="s">
        <v>194</v>
      </c>
      <c r="C3913" t="s">
        <v>91</v>
      </c>
      <c r="D3913" t="s">
        <v>82</v>
      </c>
      <c r="E3913" t="s">
        <v>101</v>
      </c>
      <c r="F3913">
        <v>11200</v>
      </c>
      <c r="G3913" t="s">
        <v>332</v>
      </c>
      <c r="H3913" s="15">
        <v>45292</v>
      </c>
      <c r="I3913">
        <v>10400</v>
      </c>
      <c r="J3913">
        <v>800</v>
      </c>
    </row>
    <row r="3914" spans="1:10" x14ac:dyDescent="0.3">
      <c r="A3914" s="15">
        <v>45748</v>
      </c>
      <c r="B3914" t="s">
        <v>195</v>
      </c>
      <c r="C3914" t="s">
        <v>91</v>
      </c>
      <c r="D3914" t="s">
        <v>86</v>
      </c>
      <c r="E3914" t="s">
        <v>97</v>
      </c>
      <c r="F3914">
        <v>6800</v>
      </c>
      <c r="G3914" t="s">
        <v>331</v>
      </c>
      <c r="H3914" s="15">
        <v>45292</v>
      </c>
      <c r="I3914">
        <v>6800</v>
      </c>
      <c r="J3914">
        <v>0</v>
      </c>
    </row>
    <row r="3915" spans="1:10" x14ac:dyDescent="0.3">
      <c r="A3915" s="15">
        <v>45748</v>
      </c>
      <c r="B3915" t="s">
        <v>196</v>
      </c>
      <c r="C3915" t="s">
        <v>81</v>
      </c>
      <c r="D3915" t="s">
        <v>86</v>
      </c>
      <c r="E3915" t="s">
        <v>87</v>
      </c>
      <c r="F3915">
        <v>2600</v>
      </c>
      <c r="G3915" t="s">
        <v>331</v>
      </c>
      <c r="H3915" s="15">
        <v>45292</v>
      </c>
      <c r="I3915">
        <v>2600</v>
      </c>
      <c r="J3915">
        <v>0</v>
      </c>
    </row>
    <row r="3916" spans="1:10" x14ac:dyDescent="0.3">
      <c r="A3916" s="15">
        <v>45748</v>
      </c>
      <c r="B3916" t="s">
        <v>197</v>
      </c>
      <c r="C3916" t="s">
        <v>91</v>
      </c>
      <c r="D3916" t="s">
        <v>82</v>
      </c>
      <c r="E3916" t="s">
        <v>89</v>
      </c>
      <c r="F3916">
        <v>12000</v>
      </c>
      <c r="G3916" t="s">
        <v>331</v>
      </c>
      <c r="H3916" s="15">
        <v>45292</v>
      </c>
      <c r="I3916">
        <v>12000</v>
      </c>
      <c r="J3916">
        <v>0</v>
      </c>
    </row>
    <row r="3917" spans="1:10" x14ac:dyDescent="0.3">
      <c r="A3917" s="15">
        <v>45748</v>
      </c>
      <c r="B3917" t="s">
        <v>198</v>
      </c>
      <c r="C3917" t="s">
        <v>81</v>
      </c>
      <c r="D3917" t="s">
        <v>82</v>
      </c>
      <c r="E3917" t="s">
        <v>89</v>
      </c>
      <c r="F3917">
        <v>2900</v>
      </c>
      <c r="G3917" t="s">
        <v>331</v>
      </c>
      <c r="H3917" s="15">
        <v>45292</v>
      </c>
      <c r="I3917">
        <v>2900</v>
      </c>
      <c r="J3917">
        <v>0</v>
      </c>
    </row>
    <row r="3918" spans="1:10" x14ac:dyDescent="0.3">
      <c r="A3918" s="15">
        <v>45748</v>
      </c>
      <c r="B3918" t="s">
        <v>199</v>
      </c>
      <c r="C3918" t="s">
        <v>81</v>
      </c>
      <c r="D3918" t="s">
        <v>86</v>
      </c>
      <c r="E3918" t="s">
        <v>89</v>
      </c>
      <c r="F3918">
        <v>2200</v>
      </c>
      <c r="G3918" t="s">
        <v>331</v>
      </c>
      <c r="H3918" s="15">
        <v>45292</v>
      </c>
      <c r="I3918">
        <v>2200</v>
      </c>
      <c r="J3918">
        <v>0</v>
      </c>
    </row>
    <row r="3919" spans="1:10" x14ac:dyDescent="0.3">
      <c r="A3919" s="15">
        <v>45748</v>
      </c>
      <c r="B3919" t="s">
        <v>200</v>
      </c>
      <c r="C3919" t="s">
        <v>91</v>
      </c>
      <c r="D3919" t="s">
        <v>86</v>
      </c>
      <c r="E3919" t="s">
        <v>92</v>
      </c>
      <c r="F3919">
        <v>8800</v>
      </c>
      <c r="G3919" t="s">
        <v>331</v>
      </c>
      <c r="H3919" s="15">
        <v>45292</v>
      </c>
      <c r="I3919">
        <v>8800</v>
      </c>
      <c r="J3919">
        <v>0</v>
      </c>
    </row>
    <row r="3920" spans="1:10" x14ac:dyDescent="0.3">
      <c r="A3920" s="15">
        <v>45748</v>
      </c>
      <c r="B3920" t="s">
        <v>201</v>
      </c>
      <c r="C3920" t="s">
        <v>81</v>
      </c>
      <c r="D3920" t="s">
        <v>86</v>
      </c>
      <c r="E3920" t="s">
        <v>83</v>
      </c>
      <c r="F3920">
        <v>1800</v>
      </c>
      <c r="G3920" t="s">
        <v>331</v>
      </c>
      <c r="H3920" s="15">
        <v>45292</v>
      </c>
      <c r="I3920">
        <v>1800</v>
      </c>
      <c r="J3920">
        <v>0</v>
      </c>
    </row>
    <row r="3921" spans="1:10" x14ac:dyDescent="0.3">
      <c r="A3921" s="15">
        <v>45748</v>
      </c>
      <c r="B3921" t="s">
        <v>202</v>
      </c>
      <c r="C3921" t="s">
        <v>91</v>
      </c>
      <c r="D3921" t="s">
        <v>82</v>
      </c>
      <c r="E3921" t="s">
        <v>92</v>
      </c>
      <c r="F3921">
        <v>11000</v>
      </c>
      <c r="G3921" t="s">
        <v>331</v>
      </c>
      <c r="H3921" s="15">
        <v>45292</v>
      </c>
      <c r="I3921">
        <v>11000</v>
      </c>
      <c r="J3921">
        <v>0</v>
      </c>
    </row>
    <row r="3922" spans="1:10" x14ac:dyDescent="0.3">
      <c r="A3922" s="15">
        <v>45748</v>
      </c>
      <c r="B3922" t="s">
        <v>203</v>
      </c>
      <c r="C3922" t="s">
        <v>110</v>
      </c>
      <c r="D3922" t="s">
        <v>86</v>
      </c>
      <c r="E3922" t="s">
        <v>92</v>
      </c>
      <c r="F3922">
        <v>27900</v>
      </c>
      <c r="G3922" t="s">
        <v>331</v>
      </c>
      <c r="H3922" s="15">
        <v>45292</v>
      </c>
      <c r="I3922">
        <v>27900</v>
      </c>
      <c r="J3922">
        <v>0</v>
      </c>
    </row>
    <row r="3923" spans="1:10" x14ac:dyDescent="0.3">
      <c r="A3923" s="15">
        <v>45748</v>
      </c>
      <c r="B3923" t="s">
        <v>204</v>
      </c>
      <c r="C3923" t="s">
        <v>81</v>
      </c>
      <c r="D3923" t="s">
        <v>82</v>
      </c>
      <c r="E3923" t="s">
        <v>87</v>
      </c>
      <c r="F3923">
        <v>1900</v>
      </c>
      <c r="G3923" t="s">
        <v>331</v>
      </c>
      <c r="H3923" s="15">
        <v>45292</v>
      </c>
      <c r="I3923">
        <v>1900</v>
      </c>
      <c r="J3923">
        <v>0</v>
      </c>
    </row>
    <row r="3924" spans="1:10" x14ac:dyDescent="0.3">
      <c r="A3924" s="15">
        <v>45748</v>
      </c>
      <c r="B3924" t="s">
        <v>205</v>
      </c>
      <c r="C3924" t="s">
        <v>91</v>
      </c>
      <c r="D3924" t="s">
        <v>86</v>
      </c>
      <c r="E3924" t="s">
        <v>103</v>
      </c>
      <c r="F3924">
        <v>9800</v>
      </c>
      <c r="G3924" t="s">
        <v>331</v>
      </c>
      <c r="H3924" s="15">
        <v>45292</v>
      </c>
      <c r="I3924">
        <v>9800</v>
      </c>
      <c r="J3924">
        <v>0</v>
      </c>
    </row>
    <row r="3925" spans="1:10" x14ac:dyDescent="0.3">
      <c r="A3925" s="15">
        <v>45748</v>
      </c>
      <c r="B3925" t="s">
        <v>206</v>
      </c>
      <c r="C3925" t="s">
        <v>81</v>
      </c>
      <c r="D3925" t="s">
        <v>86</v>
      </c>
      <c r="E3925" t="s">
        <v>89</v>
      </c>
      <c r="F3925">
        <v>3000</v>
      </c>
      <c r="G3925" t="s">
        <v>331</v>
      </c>
      <c r="H3925" s="15">
        <v>45292</v>
      </c>
      <c r="I3925">
        <v>3000</v>
      </c>
      <c r="J3925">
        <v>0</v>
      </c>
    </row>
    <row r="3926" spans="1:10" x14ac:dyDescent="0.3">
      <c r="A3926" s="15">
        <v>45748</v>
      </c>
      <c r="B3926" t="s">
        <v>207</v>
      </c>
      <c r="C3926" t="s">
        <v>81</v>
      </c>
      <c r="D3926" t="s">
        <v>82</v>
      </c>
      <c r="E3926" t="s">
        <v>89</v>
      </c>
      <c r="F3926">
        <v>3500</v>
      </c>
      <c r="G3926" t="s">
        <v>331</v>
      </c>
      <c r="H3926" s="15">
        <v>45292</v>
      </c>
      <c r="I3926">
        <v>3500</v>
      </c>
      <c r="J3926">
        <v>0</v>
      </c>
    </row>
    <row r="3927" spans="1:10" x14ac:dyDescent="0.3">
      <c r="A3927" s="15">
        <v>45748</v>
      </c>
      <c r="B3927" t="s">
        <v>208</v>
      </c>
      <c r="C3927" t="s">
        <v>91</v>
      </c>
      <c r="D3927" t="s">
        <v>99</v>
      </c>
      <c r="E3927" t="s">
        <v>89</v>
      </c>
      <c r="F3927">
        <v>7300</v>
      </c>
      <c r="G3927" t="s">
        <v>331</v>
      </c>
      <c r="H3927" s="15">
        <v>45292</v>
      </c>
      <c r="I3927">
        <v>7300</v>
      </c>
      <c r="J3927">
        <v>0</v>
      </c>
    </row>
    <row r="3928" spans="1:10" x14ac:dyDescent="0.3">
      <c r="A3928" s="15">
        <v>45748</v>
      </c>
      <c r="B3928" t="s">
        <v>209</v>
      </c>
      <c r="C3928" t="s">
        <v>81</v>
      </c>
      <c r="D3928" t="s">
        <v>86</v>
      </c>
      <c r="E3928" t="s">
        <v>83</v>
      </c>
      <c r="F3928">
        <v>3100</v>
      </c>
      <c r="G3928" t="s">
        <v>331</v>
      </c>
      <c r="H3928" s="15">
        <v>45292</v>
      </c>
      <c r="I3928">
        <v>3100</v>
      </c>
      <c r="J3928">
        <v>0</v>
      </c>
    </row>
    <row r="3929" spans="1:10" x14ac:dyDescent="0.3">
      <c r="A3929" s="15">
        <v>45748</v>
      </c>
      <c r="B3929" t="s">
        <v>210</v>
      </c>
      <c r="C3929" t="s">
        <v>125</v>
      </c>
      <c r="D3929" t="s">
        <v>96</v>
      </c>
      <c r="E3929" t="s">
        <v>89</v>
      </c>
      <c r="F3929">
        <v>90300</v>
      </c>
      <c r="G3929" t="s">
        <v>331</v>
      </c>
      <c r="H3929" s="15">
        <v>45292</v>
      </c>
      <c r="I3929">
        <v>90300</v>
      </c>
      <c r="J3929">
        <v>0</v>
      </c>
    </row>
    <row r="3930" spans="1:10" x14ac:dyDescent="0.3">
      <c r="A3930" s="15">
        <v>45748</v>
      </c>
      <c r="B3930" t="s">
        <v>211</v>
      </c>
      <c r="C3930" t="s">
        <v>110</v>
      </c>
      <c r="D3930" t="s">
        <v>82</v>
      </c>
      <c r="E3930" t="s">
        <v>92</v>
      </c>
      <c r="F3930">
        <v>28900</v>
      </c>
      <c r="G3930" t="s">
        <v>331</v>
      </c>
      <c r="H3930" s="15">
        <v>45292</v>
      </c>
      <c r="I3930">
        <v>28900</v>
      </c>
      <c r="J3930">
        <v>0</v>
      </c>
    </row>
    <row r="3931" spans="1:10" x14ac:dyDescent="0.3">
      <c r="A3931" s="15">
        <v>45748</v>
      </c>
      <c r="B3931" t="s">
        <v>213</v>
      </c>
      <c r="C3931" t="s">
        <v>81</v>
      </c>
      <c r="D3931" t="s">
        <v>82</v>
      </c>
      <c r="E3931" t="s">
        <v>97</v>
      </c>
      <c r="F3931">
        <v>3300</v>
      </c>
      <c r="G3931" t="s">
        <v>331</v>
      </c>
      <c r="H3931" s="15">
        <v>45292</v>
      </c>
      <c r="I3931">
        <v>3300</v>
      </c>
      <c r="J3931">
        <v>0</v>
      </c>
    </row>
    <row r="3932" spans="1:10" x14ac:dyDescent="0.3">
      <c r="A3932" s="15">
        <v>45748</v>
      </c>
      <c r="B3932" t="s">
        <v>214</v>
      </c>
      <c r="C3932" t="s">
        <v>91</v>
      </c>
      <c r="D3932" t="s">
        <v>82</v>
      </c>
      <c r="E3932" t="s">
        <v>89</v>
      </c>
      <c r="F3932">
        <v>8700</v>
      </c>
      <c r="G3932" t="s">
        <v>331</v>
      </c>
      <c r="H3932" s="15">
        <v>45292</v>
      </c>
      <c r="I3932">
        <v>8700</v>
      </c>
      <c r="J3932">
        <v>0</v>
      </c>
    </row>
    <row r="3933" spans="1:10" x14ac:dyDescent="0.3">
      <c r="A3933" s="15">
        <v>45748</v>
      </c>
      <c r="B3933" t="s">
        <v>216</v>
      </c>
      <c r="C3933" t="s">
        <v>81</v>
      </c>
      <c r="D3933" t="s">
        <v>82</v>
      </c>
      <c r="E3933" t="s">
        <v>97</v>
      </c>
      <c r="F3933">
        <v>3500</v>
      </c>
      <c r="G3933" t="s">
        <v>331</v>
      </c>
      <c r="H3933" s="15">
        <v>45292</v>
      </c>
      <c r="I3933">
        <v>3500</v>
      </c>
      <c r="J3933">
        <v>0</v>
      </c>
    </row>
    <row r="3934" spans="1:10" x14ac:dyDescent="0.3">
      <c r="A3934" s="15">
        <v>45748</v>
      </c>
      <c r="B3934" t="s">
        <v>217</v>
      </c>
      <c r="C3934" t="s">
        <v>91</v>
      </c>
      <c r="D3934" t="s">
        <v>82</v>
      </c>
      <c r="E3934" t="s">
        <v>97</v>
      </c>
      <c r="F3934">
        <v>9000</v>
      </c>
      <c r="G3934" t="s">
        <v>331</v>
      </c>
      <c r="H3934" s="15">
        <v>45292</v>
      </c>
      <c r="I3934">
        <v>9000</v>
      </c>
      <c r="J3934">
        <v>0</v>
      </c>
    </row>
    <row r="3935" spans="1:10" x14ac:dyDescent="0.3">
      <c r="A3935" s="15">
        <v>45748</v>
      </c>
      <c r="B3935" t="s">
        <v>218</v>
      </c>
      <c r="C3935" t="s">
        <v>110</v>
      </c>
      <c r="D3935" t="s">
        <v>99</v>
      </c>
      <c r="E3935" t="s">
        <v>92</v>
      </c>
      <c r="F3935">
        <v>32200</v>
      </c>
      <c r="G3935" t="s">
        <v>331</v>
      </c>
      <c r="H3935" s="15">
        <v>45292</v>
      </c>
      <c r="I3935">
        <v>32200</v>
      </c>
      <c r="J3935">
        <v>0</v>
      </c>
    </row>
    <row r="3936" spans="1:10" x14ac:dyDescent="0.3">
      <c r="A3936" s="15">
        <v>45748</v>
      </c>
      <c r="B3936" t="s">
        <v>219</v>
      </c>
      <c r="C3936" t="s">
        <v>81</v>
      </c>
      <c r="D3936" t="s">
        <v>99</v>
      </c>
      <c r="E3936" t="s">
        <v>89</v>
      </c>
      <c r="F3936">
        <v>2500</v>
      </c>
      <c r="G3936" t="s">
        <v>331</v>
      </c>
      <c r="H3936" s="15">
        <v>45292</v>
      </c>
      <c r="I3936">
        <v>2500</v>
      </c>
      <c r="J3936">
        <v>0</v>
      </c>
    </row>
    <row r="3937" spans="1:10" x14ac:dyDescent="0.3">
      <c r="A3937" s="15">
        <v>45748</v>
      </c>
      <c r="B3937" t="s">
        <v>220</v>
      </c>
      <c r="C3937" t="s">
        <v>110</v>
      </c>
      <c r="D3937" t="s">
        <v>82</v>
      </c>
      <c r="E3937" t="s">
        <v>89</v>
      </c>
      <c r="F3937">
        <v>30800</v>
      </c>
      <c r="G3937" t="s">
        <v>331</v>
      </c>
      <c r="H3937" s="15">
        <v>45292</v>
      </c>
      <c r="I3937">
        <v>30800</v>
      </c>
      <c r="J3937">
        <v>0</v>
      </c>
    </row>
    <row r="3938" spans="1:10" x14ac:dyDescent="0.3">
      <c r="A3938" s="15">
        <v>45748</v>
      </c>
      <c r="B3938" t="s">
        <v>221</v>
      </c>
      <c r="C3938" t="s">
        <v>91</v>
      </c>
      <c r="D3938" t="s">
        <v>96</v>
      </c>
      <c r="E3938" t="s">
        <v>83</v>
      </c>
      <c r="F3938">
        <v>9100</v>
      </c>
      <c r="G3938" t="s">
        <v>331</v>
      </c>
      <c r="H3938" s="15">
        <v>45292</v>
      </c>
      <c r="I3938">
        <v>9100</v>
      </c>
      <c r="J3938">
        <v>0</v>
      </c>
    </row>
    <row r="3939" spans="1:10" x14ac:dyDescent="0.3">
      <c r="A3939" s="15">
        <v>45748</v>
      </c>
      <c r="B3939" t="s">
        <v>223</v>
      </c>
      <c r="C3939" t="s">
        <v>81</v>
      </c>
      <c r="D3939" t="s">
        <v>99</v>
      </c>
      <c r="E3939" t="s">
        <v>87</v>
      </c>
      <c r="F3939">
        <v>0</v>
      </c>
      <c r="G3939" t="s">
        <v>333</v>
      </c>
      <c r="H3939" s="15">
        <v>45292</v>
      </c>
      <c r="I3939">
        <v>2100</v>
      </c>
      <c r="J3939">
        <v>-2100</v>
      </c>
    </row>
    <row r="3940" spans="1:10" x14ac:dyDescent="0.3">
      <c r="A3940" s="15">
        <v>45748</v>
      </c>
      <c r="B3940" t="s">
        <v>224</v>
      </c>
      <c r="C3940" t="s">
        <v>91</v>
      </c>
      <c r="D3940" t="s">
        <v>82</v>
      </c>
      <c r="E3940" t="s">
        <v>101</v>
      </c>
      <c r="F3940">
        <v>10600</v>
      </c>
      <c r="G3940" t="s">
        <v>334</v>
      </c>
      <c r="H3940" s="15">
        <v>45292</v>
      </c>
      <c r="I3940">
        <v>11300</v>
      </c>
      <c r="J3940">
        <v>-700</v>
      </c>
    </row>
    <row r="3941" spans="1:10" x14ac:dyDescent="0.3">
      <c r="A3941" s="15">
        <v>45748</v>
      </c>
      <c r="B3941" t="s">
        <v>225</v>
      </c>
      <c r="C3941" t="s">
        <v>110</v>
      </c>
      <c r="D3941" t="s">
        <v>99</v>
      </c>
      <c r="E3941" t="s">
        <v>103</v>
      </c>
      <c r="F3941">
        <v>42200</v>
      </c>
      <c r="G3941" t="s">
        <v>331</v>
      </c>
      <c r="H3941" s="15">
        <v>45292</v>
      </c>
      <c r="I3941">
        <v>42200</v>
      </c>
      <c r="J3941">
        <v>0</v>
      </c>
    </row>
    <row r="3942" spans="1:10" x14ac:dyDescent="0.3">
      <c r="A3942" s="15">
        <v>45748</v>
      </c>
      <c r="B3942" t="s">
        <v>226</v>
      </c>
      <c r="C3942" t="s">
        <v>91</v>
      </c>
      <c r="D3942" t="s">
        <v>82</v>
      </c>
      <c r="E3942" t="s">
        <v>103</v>
      </c>
      <c r="F3942">
        <v>5300</v>
      </c>
      <c r="G3942" t="s">
        <v>331</v>
      </c>
      <c r="H3942" s="15">
        <v>45292</v>
      </c>
      <c r="I3942">
        <v>5300</v>
      </c>
      <c r="J3942">
        <v>0</v>
      </c>
    </row>
    <row r="3943" spans="1:10" x14ac:dyDescent="0.3">
      <c r="A3943" s="15">
        <v>45748</v>
      </c>
      <c r="B3943" t="s">
        <v>227</v>
      </c>
      <c r="C3943" t="s">
        <v>110</v>
      </c>
      <c r="D3943" t="s">
        <v>86</v>
      </c>
      <c r="E3943" t="s">
        <v>87</v>
      </c>
      <c r="F3943">
        <v>25900</v>
      </c>
      <c r="G3943" t="s">
        <v>331</v>
      </c>
      <c r="H3943" s="15">
        <v>45292</v>
      </c>
      <c r="I3943">
        <v>25900</v>
      </c>
      <c r="J3943">
        <v>0</v>
      </c>
    </row>
    <row r="3944" spans="1:10" x14ac:dyDescent="0.3">
      <c r="A3944" s="15">
        <v>45748</v>
      </c>
      <c r="B3944" t="s">
        <v>228</v>
      </c>
      <c r="C3944" t="s">
        <v>91</v>
      </c>
      <c r="D3944" t="s">
        <v>96</v>
      </c>
      <c r="E3944" t="s">
        <v>89</v>
      </c>
      <c r="F3944">
        <v>12000</v>
      </c>
      <c r="G3944" t="s">
        <v>331</v>
      </c>
      <c r="H3944" s="15">
        <v>45292</v>
      </c>
      <c r="I3944">
        <v>12000</v>
      </c>
      <c r="J3944">
        <v>0</v>
      </c>
    </row>
    <row r="3945" spans="1:10" x14ac:dyDescent="0.3">
      <c r="A3945" s="15">
        <v>45748</v>
      </c>
      <c r="B3945" t="s">
        <v>229</v>
      </c>
      <c r="C3945" t="s">
        <v>81</v>
      </c>
      <c r="D3945" t="s">
        <v>82</v>
      </c>
      <c r="E3945" t="s">
        <v>83</v>
      </c>
      <c r="F3945">
        <v>3000</v>
      </c>
      <c r="G3945" t="s">
        <v>331</v>
      </c>
      <c r="H3945" s="15">
        <v>45292</v>
      </c>
      <c r="I3945">
        <v>3000</v>
      </c>
      <c r="J3945">
        <v>0</v>
      </c>
    </row>
    <row r="3946" spans="1:10" x14ac:dyDescent="0.3">
      <c r="A3946" s="15">
        <v>45748</v>
      </c>
      <c r="B3946" t="s">
        <v>230</v>
      </c>
      <c r="C3946" t="s">
        <v>81</v>
      </c>
      <c r="D3946" t="s">
        <v>86</v>
      </c>
      <c r="E3946" t="s">
        <v>101</v>
      </c>
      <c r="F3946">
        <v>3400</v>
      </c>
      <c r="G3946" t="s">
        <v>331</v>
      </c>
      <c r="H3946" s="15">
        <v>45292</v>
      </c>
      <c r="I3946">
        <v>3400</v>
      </c>
      <c r="J3946">
        <v>0</v>
      </c>
    </row>
    <row r="3947" spans="1:10" x14ac:dyDescent="0.3">
      <c r="A3947" s="15">
        <v>45748</v>
      </c>
      <c r="B3947" t="s">
        <v>231</v>
      </c>
      <c r="C3947" t="s">
        <v>91</v>
      </c>
      <c r="D3947" t="s">
        <v>82</v>
      </c>
      <c r="E3947" t="s">
        <v>92</v>
      </c>
      <c r="F3947">
        <v>6900</v>
      </c>
      <c r="G3947" t="s">
        <v>331</v>
      </c>
      <c r="H3947" s="15">
        <v>45292</v>
      </c>
      <c r="I3947">
        <v>6900</v>
      </c>
      <c r="J3947">
        <v>0</v>
      </c>
    </row>
    <row r="3948" spans="1:10" x14ac:dyDescent="0.3">
      <c r="A3948" s="15">
        <v>45748</v>
      </c>
      <c r="B3948" t="s">
        <v>232</v>
      </c>
      <c r="C3948" t="s">
        <v>125</v>
      </c>
      <c r="D3948" t="s">
        <v>86</v>
      </c>
      <c r="E3948" t="s">
        <v>83</v>
      </c>
      <c r="F3948">
        <v>121100</v>
      </c>
      <c r="G3948" t="s">
        <v>331</v>
      </c>
      <c r="H3948" s="15">
        <v>45292</v>
      </c>
      <c r="I3948">
        <v>121100</v>
      </c>
      <c r="J3948">
        <v>0</v>
      </c>
    </row>
    <row r="3949" spans="1:10" x14ac:dyDescent="0.3">
      <c r="A3949" s="15">
        <v>45748</v>
      </c>
      <c r="B3949" t="s">
        <v>233</v>
      </c>
      <c r="C3949" t="s">
        <v>81</v>
      </c>
      <c r="D3949" t="s">
        <v>82</v>
      </c>
      <c r="E3949" t="s">
        <v>87</v>
      </c>
      <c r="F3949">
        <v>3300</v>
      </c>
      <c r="G3949" t="s">
        <v>331</v>
      </c>
      <c r="H3949" s="15">
        <v>45292</v>
      </c>
      <c r="I3949">
        <v>3300</v>
      </c>
      <c r="J3949">
        <v>0</v>
      </c>
    </row>
    <row r="3950" spans="1:10" x14ac:dyDescent="0.3">
      <c r="A3950" s="15">
        <v>45748</v>
      </c>
      <c r="B3950" t="s">
        <v>234</v>
      </c>
      <c r="C3950" t="s">
        <v>110</v>
      </c>
      <c r="D3950" t="s">
        <v>82</v>
      </c>
      <c r="E3950" t="s">
        <v>103</v>
      </c>
      <c r="F3950">
        <v>43400</v>
      </c>
      <c r="G3950" t="s">
        <v>332</v>
      </c>
      <c r="H3950" s="15">
        <v>45292</v>
      </c>
      <c r="I3950">
        <v>41200</v>
      </c>
      <c r="J3950">
        <v>2200</v>
      </c>
    </row>
    <row r="3951" spans="1:10" x14ac:dyDescent="0.3">
      <c r="A3951" s="15">
        <v>45748</v>
      </c>
      <c r="B3951" t="s">
        <v>235</v>
      </c>
      <c r="C3951" t="s">
        <v>91</v>
      </c>
      <c r="D3951" t="s">
        <v>96</v>
      </c>
      <c r="E3951" t="s">
        <v>103</v>
      </c>
      <c r="F3951">
        <v>11100</v>
      </c>
      <c r="G3951" t="s">
        <v>332</v>
      </c>
      <c r="H3951" s="15">
        <v>45292</v>
      </c>
      <c r="I3951">
        <v>10500</v>
      </c>
      <c r="J3951">
        <v>600</v>
      </c>
    </row>
    <row r="3952" spans="1:10" x14ac:dyDescent="0.3">
      <c r="A3952" s="15">
        <v>45748</v>
      </c>
      <c r="B3952" t="s">
        <v>236</v>
      </c>
      <c r="C3952" t="s">
        <v>110</v>
      </c>
      <c r="D3952" t="s">
        <v>82</v>
      </c>
      <c r="E3952" t="s">
        <v>97</v>
      </c>
      <c r="F3952">
        <v>27200</v>
      </c>
      <c r="G3952" t="s">
        <v>331</v>
      </c>
      <c r="H3952" s="15">
        <v>45292</v>
      </c>
      <c r="I3952">
        <v>27200</v>
      </c>
      <c r="J3952">
        <v>0</v>
      </c>
    </row>
    <row r="3953" spans="1:10" x14ac:dyDescent="0.3">
      <c r="A3953" s="15">
        <v>45748</v>
      </c>
      <c r="B3953" t="s">
        <v>237</v>
      </c>
      <c r="C3953" t="s">
        <v>91</v>
      </c>
      <c r="D3953" t="s">
        <v>82</v>
      </c>
      <c r="E3953" t="s">
        <v>83</v>
      </c>
      <c r="F3953">
        <v>8100</v>
      </c>
      <c r="G3953" t="s">
        <v>331</v>
      </c>
      <c r="H3953" s="15">
        <v>45292</v>
      </c>
      <c r="I3953">
        <v>8100</v>
      </c>
      <c r="J3953">
        <v>0</v>
      </c>
    </row>
    <row r="3954" spans="1:10" x14ac:dyDescent="0.3">
      <c r="A3954" s="15">
        <v>45748</v>
      </c>
      <c r="B3954" t="s">
        <v>238</v>
      </c>
      <c r="C3954" t="s">
        <v>81</v>
      </c>
      <c r="D3954" t="s">
        <v>99</v>
      </c>
      <c r="E3954" t="s">
        <v>97</v>
      </c>
      <c r="F3954">
        <v>2300</v>
      </c>
      <c r="G3954" t="s">
        <v>331</v>
      </c>
      <c r="H3954" s="15">
        <v>45292</v>
      </c>
      <c r="I3954">
        <v>2300</v>
      </c>
      <c r="J3954">
        <v>0</v>
      </c>
    </row>
    <row r="3955" spans="1:10" x14ac:dyDescent="0.3">
      <c r="A3955" s="15">
        <v>45748</v>
      </c>
      <c r="B3955" t="s">
        <v>239</v>
      </c>
      <c r="C3955" t="s">
        <v>81</v>
      </c>
      <c r="D3955" t="s">
        <v>82</v>
      </c>
      <c r="E3955" t="s">
        <v>103</v>
      </c>
      <c r="F3955">
        <v>2500</v>
      </c>
      <c r="G3955" t="s">
        <v>331</v>
      </c>
      <c r="H3955" s="15">
        <v>45292</v>
      </c>
      <c r="I3955">
        <v>2500</v>
      </c>
      <c r="J3955">
        <v>0</v>
      </c>
    </row>
    <row r="3956" spans="1:10" x14ac:dyDescent="0.3">
      <c r="A3956" s="15">
        <v>45748</v>
      </c>
      <c r="B3956" t="s">
        <v>240</v>
      </c>
      <c r="C3956" t="s">
        <v>81</v>
      </c>
      <c r="D3956" t="s">
        <v>99</v>
      </c>
      <c r="E3956" t="s">
        <v>103</v>
      </c>
      <c r="F3956">
        <v>2500</v>
      </c>
      <c r="G3956" t="s">
        <v>331</v>
      </c>
      <c r="H3956" s="15">
        <v>45292</v>
      </c>
      <c r="I3956">
        <v>2500</v>
      </c>
      <c r="J3956">
        <v>0</v>
      </c>
    </row>
    <row r="3957" spans="1:10" x14ac:dyDescent="0.3">
      <c r="A3957" s="15">
        <v>45748</v>
      </c>
      <c r="B3957" t="s">
        <v>241</v>
      </c>
      <c r="C3957" t="s">
        <v>91</v>
      </c>
      <c r="D3957" t="s">
        <v>96</v>
      </c>
      <c r="E3957" t="s">
        <v>87</v>
      </c>
      <c r="F3957">
        <v>12100</v>
      </c>
      <c r="G3957" t="s">
        <v>331</v>
      </c>
      <c r="H3957" s="15">
        <v>45292</v>
      </c>
      <c r="I3957">
        <v>12100</v>
      </c>
      <c r="J3957">
        <v>0</v>
      </c>
    </row>
    <row r="3958" spans="1:10" x14ac:dyDescent="0.3">
      <c r="A3958" s="15">
        <v>45748</v>
      </c>
      <c r="B3958" t="s">
        <v>242</v>
      </c>
      <c r="C3958" t="s">
        <v>110</v>
      </c>
      <c r="D3958" t="s">
        <v>99</v>
      </c>
      <c r="E3958" t="s">
        <v>101</v>
      </c>
      <c r="F3958">
        <v>34800</v>
      </c>
      <c r="G3958" t="s">
        <v>331</v>
      </c>
      <c r="H3958" s="15">
        <v>45292</v>
      </c>
      <c r="I3958">
        <v>34800</v>
      </c>
      <c r="J3958">
        <v>0</v>
      </c>
    </row>
    <row r="3959" spans="1:10" x14ac:dyDescent="0.3">
      <c r="A3959" s="15">
        <v>45748</v>
      </c>
      <c r="B3959" t="s">
        <v>244</v>
      </c>
      <c r="C3959" t="s">
        <v>91</v>
      </c>
      <c r="D3959" t="s">
        <v>82</v>
      </c>
      <c r="E3959" t="s">
        <v>92</v>
      </c>
      <c r="F3959">
        <v>7800</v>
      </c>
      <c r="G3959" t="s">
        <v>331</v>
      </c>
      <c r="H3959" s="15">
        <v>45292</v>
      </c>
      <c r="I3959">
        <v>7800</v>
      </c>
      <c r="J3959">
        <v>0</v>
      </c>
    </row>
    <row r="3960" spans="1:10" x14ac:dyDescent="0.3">
      <c r="A3960" s="15">
        <v>45748</v>
      </c>
      <c r="B3960" t="s">
        <v>245</v>
      </c>
      <c r="C3960" t="s">
        <v>81</v>
      </c>
      <c r="D3960" t="s">
        <v>99</v>
      </c>
      <c r="E3960" t="s">
        <v>97</v>
      </c>
      <c r="F3960">
        <v>2600</v>
      </c>
      <c r="G3960" t="s">
        <v>331</v>
      </c>
      <c r="H3960" s="15">
        <v>45292</v>
      </c>
      <c r="I3960">
        <v>2600</v>
      </c>
      <c r="J3960">
        <v>0</v>
      </c>
    </row>
    <row r="3961" spans="1:10" x14ac:dyDescent="0.3">
      <c r="A3961" s="15">
        <v>45748</v>
      </c>
      <c r="B3961" t="s">
        <v>246</v>
      </c>
      <c r="C3961" t="s">
        <v>91</v>
      </c>
      <c r="D3961" t="s">
        <v>86</v>
      </c>
      <c r="E3961" t="s">
        <v>103</v>
      </c>
      <c r="F3961">
        <v>10100</v>
      </c>
      <c r="G3961" t="s">
        <v>331</v>
      </c>
      <c r="H3961" s="15">
        <v>45292</v>
      </c>
      <c r="I3961">
        <v>10100</v>
      </c>
      <c r="J3961">
        <v>0</v>
      </c>
    </row>
    <row r="3962" spans="1:10" x14ac:dyDescent="0.3">
      <c r="A3962" s="15">
        <v>45748</v>
      </c>
      <c r="B3962" t="s">
        <v>247</v>
      </c>
      <c r="C3962" t="s">
        <v>91</v>
      </c>
      <c r="D3962" t="s">
        <v>86</v>
      </c>
      <c r="E3962" t="s">
        <v>89</v>
      </c>
      <c r="F3962">
        <v>7800</v>
      </c>
      <c r="G3962" t="s">
        <v>331</v>
      </c>
      <c r="H3962" s="15">
        <v>45292</v>
      </c>
      <c r="I3962">
        <v>7800</v>
      </c>
      <c r="J3962">
        <v>0</v>
      </c>
    </row>
    <row r="3963" spans="1:10" x14ac:dyDescent="0.3">
      <c r="A3963" s="15">
        <v>45748</v>
      </c>
      <c r="B3963" t="s">
        <v>248</v>
      </c>
      <c r="C3963" t="s">
        <v>81</v>
      </c>
      <c r="D3963" t="s">
        <v>82</v>
      </c>
      <c r="E3963" t="s">
        <v>103</v>
      </c>
      <c r="F3963">
        <v>2100</v>
      </c>
      <c r="G3963" t="s">
        <v>331</v>
      </c>
      <c r="H3963" s="15">
        <v>45292</v>
      </c>
      <c r="I3963">
        <v>2100</v>
      </c>
      <c r="J3963">
        <v>0</v>
      </c>
    </row>
    <row r="3964" spans="1:10" x14ac:dyDescent="0.3">
      <c r="A3964" s="15">
        <v>45748</v>
      </c>
      <c r="B3964" t="s">
        <v>250</v>
      </c>
      <c r="C3964" t="s">
        <v>81</v>
      </c>
      <c r="D3964" t="s">
        <v>86</v>
      </c>
      <c r="E3964" t="s">
        <v>87</v>
      </c>
      <c r="F3964">
        <v>3000</v>
      </c>
      <c r="G3964" t="s">
        <v>331</v>
      </c>
      <c r="H3964" s="15">
        <v>45292</v>
      </c>
      <c r="I3964">
        <v>3000</v>
      </c>
      <c r="J3964">
        <v>0</v>
      </c>
    </row>
    <row r="3965" spans="1:10" x14ac:dyDescent="0.3">
      <c r="A3965" s="15">
        <v>45748</v>
      </c>
      <c r="B3965" t="s">
        <v>251</v>
      </c>
      <c r="C3965" t="s">
        <v>91</v>
      </c>
      <c r="D3965" t="s">
        <v>99</v>
      </c>
      <c r="E3965" t="s">
        <v>103</v>
      </c>
      <c r="F3965">
        <v>8800</v>
      </c>
      <c r="G3965" t="s">
        <v>331</v>
      </c>
      <c r="H3965" s="15">
        <v>45292</v>
      </c>
      <c r="I3965">
        <v>8800</v>
      </c>
      <c r="J3965">
        <v>0</v>
      </c>
    </row>
    <row r="3966" spans="1:10" x14ac:dyDescent="0.3">
      <c r="A3966" s="15">
        <v>45748</v>
      </c>
      <c r="B3966" t="s">
        <v>252</v>
      </c>
      <c r="C3966" t="s">
        <v>81</v>
      </c>
      <c r="D3966" t="s">
        <v>99</v>
      </c>
      <c r="E3966" t="s">
        <v>92</v>
      </c>
      <c r="F3966">
        <v>3400</v>
      </c>
      <c r="G3966" t="s">
        <v>331</v>
      </c>
      <c r="H3966" s="15">
        <v>45292</v>
      </c>
      <c r="I3966">
        <v>3400</v>
      </c>
      <c r="J3966">
        <v>0</v>
      </c>
    </row>
    <row r="3967" spans="1:10" x14ac:dyDescent="0.3">
      <c r="A3967" s="15">
        <v>45748</v>
      </c>
      <c r="B3967" t="s">
        <v>253</v>
      </c>
      <c r="C3967" t="s">
        <v>81</v>
      </c>
      <c r="D3967" t="s">
        <v>96</v>
      </c>
      <c r="E3967" t="s">
        <v>89</v>
      </c>
      <c r="F3967">
        <v>2400</v>
      </c>
      <c r="G3967" t="s">
        <v>331</v>
      </c>
      <c r="H3967" s="15">
        <v>45292</v>
      </c>
      <c r="I3967">
        <v>2400</v>
      </c>
      <c r="J3967">
        <v>0</v>
      </c>
    </row>
    <row r="3968" spans="1:10" x14ac:dyDescent="0.3">
      <c r="A3968" s="15">
        <v>45748</v>
      </c>
      <c r="B3968" t="s">
        <v>254</v>
      </c>
      <c r="C3968" t="s">
        <v>110</v>
      </c>
      <c r="D3968" t="s">
        <v>86</v>
      </c>
      <c r="E3968" t="s">
        <v>103</v>
      </c>
      <c r="F3968">
        <v>56100</v>
      </c>
      <c r="G3968" t="s">
        <v>331</v>
      </c>
      <c r="H3968" s="15">
        <v>45292</v>
      </c>
      <c r="I3968">
        <v>56100</v>
      </c>
      <c r="J3968">
        <v>0</v>
      </c>
    </row>
    <row r="3969" spans="1:10" x14ac:dyDescent="0.3">
      <c r="A3969" s="15">
        <v>45748</v>
      </c>
      <c r="B3969" t="s">
        <v>255</v>
      </c>
      <c r="C3969" t="s">
        <v>91</v>
      </c>
      <c r="D3969" t="s">
        <v>86</v>
      </c>
      <c r="E3969" t="s">
        <v>89</v>
      </c>
      <c r="F3969">
        <v>9900</v>
      </c>
      <c r="G3969" t="s">
        <v>331</v>
      </c>
      <c r="H3969" s="15">
        <v>45292</v>
      </c>
      <c r="I3969">
        <v>9900</v>
      </c>
      <c r="J3969">
        <v>0</v>
      </c>
    </row>
    <row r="3970" spans="1:10" x14ac:dyDescent="0.3">
      <c r="A3970" s="15">
        <v>45748</v>
      </c>
      <c r="B3970" t="s">
        <v>256</v>
      </c>
      <c r="C3970" t="s">
        <v>81</v>
      </c>
      <c r="D3970" t="s">
        <v>82</v>
      </c>
      <c r="E3970" t="s">
        <v>103</v>
      </c>
      <c r="F3970">
        <v>1800</v>
      </c>
      <c r="G3970" t="s">
        <v>331</v>
      </c>
      <c r="H3970" s="15">
        <v>45292</v>
      </c>
      <c r="I3970">
        <v>1800</v>
      </c>
      <c r="J3970">
        <v>0</v>
      </c>
    </row>
    <row r="3971" spans="1:10" x14ac:dyDescent="0.3">
      <c r="A3971" s="15">
        <v>45748</v>
      </c>
      <c r="B3971" t="s">
        <v>257</v>
      </c>
      <c r="C3971" t="s">
        <v>91</v>
      </c>
      <c r="D3971" t="s">
        <v>96</v>
      </c>
      <c r="E3971" t="s">
        <v>87</v>
      </c>
      <c r="F3971">
        <v>8400</v>
      </c>
      <c r="G3971" t="s">
        <v>331</v>
      </c>
      <c r="H3971" s="15">
        <v>45292</v>
      </c>
      <c r="I3971">
        <v>8400</v>
      </c>
      <c r="J3971">
        <v>0</v>
      </c>
    </row>
    <row r="3972" spans="1:10" x14ac:dyDescent="0.3">
      <c r="A3972" s="15">
        <v>45748</v>
      </c>
      <c r="B3972" t="s">
        <v>258</v>
      </c>
      <c r="C3972" t="s">
        <v>125</v>
      </c>
      <c r="D3972" t="s">
        <v>86</v>
      </c>
      <c r="E3972" t="s">
        <v>83</v>
      </c>
      <c r="F3972">
        <v>96300</v>
      </c>
      <c r="G3972" t="s">
        <v>331</v>
      </c>
      <c r="H3972" s="15">
        <v>45292</v>
      </c>
      <c r="I3972">
        <v>96300</v>
      </c>
      <c r="J3972">
        <v>0</v>
      </c>
    </row>
    <row r="3973" spans="1:10" x14ac:dyDescent="0.3">
      <c r="A3973" s="15">
        <v>45748</v>
      </c>
      <c r="B3973" t="s">
        <v>259</v>
      </c>
      <c r="C3973" t="s">
        <v>81</v>
      </c>
      <c r="D3973" t="s">
        <v>86</v>
      </c>
      <c r="E3973" t="s">
        <v>89</v>
      </c>
      <c r="F3973">
        <v>1900</v>
      </c>
      <c r="G3973" t="s">
        <v>331</v>
      </c>
      <c r="H3973" s="15">
        <v>45292</v>
      </c>
      <c r="I3973">
        <v>1900</v>
      </c>
      <c r="J3973">
        <v>0</v>
      </c>
    </row>
    <row r="3974" spans="1:10" x14ac:dyDescent="0.3">
      <c r="A3974" s="15">
        <v>45748</v>
      </c>
      <c r="B3974" t="s">
        <v>260</v>
      </c>
      <c r="C3974" t="s">
        <v>81</v>
      </c>
      <c r="D3974" t="s">
        <v>86</v>
      </c>
      <c r="E3974" t="s">
        <v>97</v>
      </c>
      <c r="F3974">
        <v>2000</v>
      </c>
      <c r="G3974" t="s">
        <v>331</v>
      </c>
      <c r="H3974" s="15">
        <v>45292</v>
      </c>
      <c r="I3974">
        <v>2000</v>
      </c>
      <c r="J3974">
        <v>0</v>
      </c>
    </row>
    <row r="3975" spans="1:10" x14ac:dyDescent="0.3">
      <c r="A3975" s="15">
        <v>45748</v>
      </c>
      <c r="B3975" t="s">
        <v>262</v>
      </c>
      <c r="C3975" t="s">
        <v>91</v>
      </c>
      <c r="D3975" t="s">
        <v>82</v>
      </c>
      <c r="E3975" t="s">
        <v>92</v>
      </c>
      <c r="F3975">
        <v>9400</v>
      </c>
      <c r="G3975" t="s">
        <v>331</v>
      </c>
      <c r="H3975" s="15">
        <v>45292</v>
      </c>
      <c r="I3975">
        <v>9400</v>
      </c>
      <c r="J3975">
        <v>0</v>
      </c>
    </row>
    <row r="3976" spans="1:10" x14ac:dyDescent="0.3">
      <c r="A3976" s="15">
        <v>45748</v>
      </c>
      <c r="B3976" t="s">
        <v>264</v>
      </c>
      <c r="C3976" t="s">
        <v>110</v>
      </c>
      <c r="D3976" t="s">
        <v>86</v>
      </c>
      <c r="E3976" t="s">
        <v>97</v>
      </c>
      <c r="F3976">
        <v>31500</v>
      </c>
      <c r="G3976" t="s">
        <v>331</v>
      </c>
      <c r="H3976" s="15">
        <v>45292</v>
      </c>
      <c r="I3976">
        <v>31500</v>
      </c>
      <c r="J3976">
        <v>0</v>
      </c>
    </row>
    <row r="3977" spans="1:10" x14ac:dyDescent="0.3">
      <c r="A3977" s="15">
        <v>45748</v>
      </c>
      <c r="B3977" t="s">
        <v>265</v>
      </c>
      <c r="C3977" t="s">
        <v>125</v>
      </c>
      <c r="D3977" t="s">
        <v>86</v>
      </c>
      <c r="E3977" t="s">
        <v>101</v>
      </c>
      <c r="F3977">
        <v>92200</v>
      </c>
      <c r="G3977" t="s">
        <v>331</v>
      </c>
      <c r="H3977" s="15">
        <v>45292</v>
      </c>
      <c r="I3977">
        <v>92200</v>
      </c>
      <c r="J3977">
        <v>0</v>
      </c>
    </row>
    <row r="3978" spans="1:10" x14ac:dyDescent="0.3">
      <c r="A3978" s="15">
        <v>45748</v>
      </c>
      <c r="B3978" t="s">
        <v>266</v>
      </c>
      <c r="C3978" t="s">
        <v>81</v>
      </c>
      <c r="D3978" t="s">
        <v>82</v>
      </c>
      <c r="E3978" t="s">
        <v>83</v>
      </c>
      <c r="F3978">
        <v>2200</v>
      </c>
      <c r="G3978" t="s">
        <v>331</v>
      </c>
      <c r="H3978" s="15">
        <v>45292</v>
      </c>
      <c r="I3978">
        <v>2200</v>
      </c>
      <c r="J3978">
        <v>0</v>
      </c>
    </row>
    <row r="3979" spans="1:10" x14ac:dyDescent="0.3">
      <c r="A3979" s="15">
        <v>45748</v>
      </c>
      <c r="B3979" t="s">
        <v>267</v>
      </c>
      <c r="C3979" t="s">
        <v>91</v>
      </c>
      <c r="D3979" t="s">
        <v>82</v>
      </c>
      <c r="E3979" t="s">
        <v>97</v>
      </c>
      <c r="F3979">
        <v>6900</v>
      </c>
      <c r="G3979" t="s">
        <v>331</v>
      </c>
      <c r="H3979" s="15">
        <v>45292</v>
      </c>
      <c r="I3979">
        <v>6900</v>
      </c>
      <c r="J3979">
        <v>0</v>
      </c>
    </row>
    <row r="3980" spans="1:10" x14ac:dyDescent="0.3">
      <c r="A3980" s="15">
        <v>45748</v>
      </c>
      <c r="B3980" t="s">
        <v>272</v>
      </c>
      <c r="C3980" t="s">
        <v>125</v>
      </c>
      <c r="D3980" t="s">
        <v>96</v>
      </c>
      <c r="E3980" t="s">
        <v>103</v>
      </c>
      <c r="F3980">
        <v>101100</v>
      </c>
      <c r="G3980" t="s">
        <v>331</v>
      </c>
      <c r="H3980" s="15">
        <v>45292</v>
      </c>
      <c r="I3980">
        <v>101100</v>
      </c>
      <c r="J3980">
        <v>0</v>
      </c>
    </row>
    <row r="3981" spans="1:10" x14ac:dyDescent="0.3">
      <c r="A3981" s="15">
        <v>45748</v>
      </c>
      <c r="B3981" t="s">
        <v>273</v>
      </c>
      <c r="C3981" t="s">
        <v>81</v>
      </c>
      <c r="D3981" t="s">
        <v>82</v>
      </c>
      <c r="E3981" t="s">
        <v>101</v>
      </c>
      <c r="F3981">
        <v>3300</v>
      </c>
      <c r="G3981" t="s">
        <v>331</v>
      </c>
      <c r="H3981" s="15">
        <v>45292</v>
      </c>
      <c r="I3981">
        <v>3300</v>
      </c>
      <c r="J3981">
        <v>0</v>
      </c>
    </row>
    <row r="3982" spans="1:10" x14ac:dyDescent="0.3">
      <c r="A3982" s="15">
        <v>45748</v>
      </c>
      <c r="B3982" t="s">
        <v>274</v>
      </c>
      <c r="C3982" t="s">
        <v>91</v>
      </c>
      <c r="D3982" t="s">
        <v>99</v>
      </c>
      <c r="E3982" t="s">
        <v>87</v>
      </c>
      <c r="F3982">
        <v>11400</v>
      </c>
      <c r="G3982" t="s">
        <v>331</v>
      </c>
      <c r="H3982" s="15">
        <v>45292</v>
      </c>
      <c r="I3982">
        <v>11400</v>
      </c>
      <c r="J3982">
        <v>0</v>
      </c>
    </row>
    <row r="3983" spans="1:10" x14ac:dyDescent="0.3">
      <c r="A3983" s="15">
        <v>45748</v>
      </c>
      <c r="B3983" t="s">
        <v>276</v>
      </c>
      <c r="C3983" t="s">
        <v>81</v>
      </c>
      <c r="D3983" t="s">
        <v>82</v>
      </c>
      <c r="E3983" t="s">
        <v>103</v>
      </c>
      <c r="F3983">
        <v>3300</v>
      </c>
      <c r="G3983" t="s">
        <v>331</v>
      </c>
      <c r="H3983" s="15">
        <v>45292</v>
      </c>
      <c r="I3983">
        <v>3300</v>
      </c>
      <c r="J3983">
        <v>0</v>
      </c>
    </row>
    <row r="3984" spans="1:10" x14ac:dyDescent="0.3">
      <c r="A3984" s="15">
        <v>45748</v>
      </c>
      <c r="B3984" t="s">
        <v>277</v>
      </c>
      <c r="C3984" t="s">
        <v>91</v>
      </c>
      <c r="D3984" t="s">
        <v>86</v>
      </c>
      <c r="E3984" t="s">
        <v>97</v>
      </c>
      <c r="F3984">
        <v>8000</v>
      </c>
      <c r="G3984" t="s">
        <v>331</v>
      </c>
      <c r="H3984" s="15">
        <v>45292</v>
      </c>
      <c r="I3984">
        <v>8000</v>
      </c>
      <c r="J3984">
        <v>0</v>
      </c>
    </row>
    <row r="3985" spans="1:10" x14ac:dyDescent="0.3">
      <c r="A3985" s="15">
        <v>45748</v>
      </c>
      <c r="B3985" t="s">
        <v>279</v>
      </c>
      <c r="C3985" t="s">
        <v>91</v>
      </c>
      <c r="D3985" t="s">
        <v>99</v>
      </c>
      <c r="E3985" t="s">
        <v>89</v>
      </c>
      <c r="F3985">
        <v>9800</v>
      </c>
      <c r="G3985" t="s">
        <v>331</v>
      </c>
      <c r="H3985" s="15">
        <v>45292</v>
      </c>
      <c r="I3985">
        <v>9800</v>
      </c>
      <c r="J3985">
        <v>0</v>
      </c>
    </row>
    <row r="3986" spans="1:10" x14ac:dyDescent="0.3">
      <c r="A3986" s="15">
        <v>45748</v>
      </c>
      <c r="B3986" t="s">
        <v>280</v>
      </c>
      <c r="C3986" t="s">
        <v>91</v>
      </c>
      <c r="D3986" t="s">
        <v>96</v>
      </c>
      <c r="E3986" t="s">
        <v>83</v>
      </c>
      <c r="F3986">
        <v>6300</v>
      </c>
      <c r="G3986" t="s">
        <v>331</v>
      </c>
      <c r="H3986" s="15">
        <v>45292</v>
      </c>
      <c r="I3986">
        <v>6300</v>
      </c>
      <c r="J3986">
        <v>0</v>
      </c>
    </row>
    <row r="3987" spans="1:10" x14ac:dyDescent="0.3">
      <c r="A3987" s="15">
        <v>45748</v>
      </c>
      <c r="B3987" t="s">
        <v>281</v>
      </c>
      <c r="C3987" t="s">
        <v>110</v>
      </c>
      <c r="D3987" t="s">
        <v>86</v>
      </c>
      <c r="E3987" t="s">
        <v>92</v>
      </c>
      <c r="F3987">
        <v>63400</v>
      </c>
      <c r="G3987" t="s">
        <v>331</v>
      </c>
      <c r="H3987" s="15">
        <v>45292</v>
      </c>
      <c r="I3987">
        <v>63400</v>
      </c>
      <c r="J3987">
        <v>0</v>
      </c>
    </row>
    <row r="3988" spans="1:10" x14ac:dyDescent="0.3">
      <c r="A3988" s="15">
        <v>45748</v>
      </c>
      <c r="B3988" t="s">
        <v>282</v>
      </c>
      <c r="C3988" t="s">
        <v>91</v>
      </c>
      <c r="D3988" t="s">
        <v>86</v>
      </c>
      <c r="E3988" t="s">
        <v>92</v>
      </c>
      <c r="F3988">
        <v>5800</v>
      </c>
      <c r="G3988" t="s">
        <v>331</v>
      </c>
      <c r="H3988" s="15">
        <v>45292</v>
      </c>
      <c r="I3988">
        <v>5800</v>
      </c>
      <c r="J3988">
        <v>0</v>
      </c>
    </row>
    <row r="3989" spans="1:10" x14ac:dyDescent="0.3">
      <c r="A3989" s="15">
        <v>45748</v>
      </c>
      <c r="B3989" t="s">
        <v>283</v>
      </c>
      <c r="C3989" t="s">
        <v>110</v>
      </c>
      <c r="D3989" t="s">
        <v>82</v>
      </c>
      <c r="E3989" t="s">
        <v>87</v>
      </c>
      <c r="F3989">
        <v>34200</v>
      </c>
      <c r="G3989" t="s">
        <v>331</v>
      </c>
      <c r="H3989" s="15">
        <v>45292</v>
      </c>
      <c r="I3989">
        <v>34200</v>
      </c>
      <c r="J3989">
        <v>0</v>
      </c>
    </row>
    <row r="3990" spans="1:10" x14ac:dyDescent="0.3">
      <c r="A3990" s="15">
        <v>45748</v>
      </c>
      <c r="B3990" t="s">
        <v>284</v>
      </c>
      <c r="C3990" t="s">
        <v>81</v>
      </c>
      <c r="D3990" t="s">
        <v>82</v>
      </c>
      <c r="E3990" t="s">
        <v>101</v>
      </c>
      <c r="F3990">
        <v>2400</v>
      </c>
      <c r="G3990" t="s">
        <v>331</v>
      </c>
      <c r="H3990" s="15">
        <v>45292</v>
      </c>
      <c r="I3990">
        <v>2400</v>
      </c>
      <c r="J3990">
        <v>0</v>
      </c>
    </row>
    <row r="3991" spans="1:10" x14ac:dyDescent="0.3">
      <c r="A3991" s="15">
        <v>45748</v>
      </c>
      <c r="B3991" t="s">
        <v>285</v>
      </c>
      <c r="C3991" t="s">
        <v>91</v>
      </c>
      <c r="D3991" t="s">
        <v>82</v>
      </c>
      <c r="E3991" t="s">
        <v>83</v>
      </c>
      <c r="F3991">
        <v>10900</v>
      </c>
      <c r="G3991" t="s">
        <v>331</v>
      </c>
      <c r="H3991" s="15">
        <v>45292</v>
      </c>
      <c r="I3991">
        <v>10900</v>
      </c>
      <c r="J3991">
        <v>0</v>
      </c>
    </row>
    <row r="3992" spans="1:10" x14ac:dyDescent="0.3">
      <c r="A3992" s="15">
        <v>45748</v>
      </c>
      <c r="B3992" t="s">
        <v>286</v>
      </c>
      <c r="C3992" t="s">
        <v>125</v>
      </c>
      <c r="D3992" t="s">
        <v>86</v>
      </c>
      <c r="E3992" t="s">
        <v>92</v>
      </c>
      <c r="F3992">
        <v>92400</v>
      </c>
      <c r="G3992" t="s">
        <v>331</v>
      </c>
      <c r="H3992" s="15">
        <v>45292</v>
      </c>
      <c r="I3992">
        <v>92400</v>
      </c>
      <c r="J3992">
        <v>0</v>
      </c>
    </row>
    <row r="3993" spans="1:10" x14ac:dyDescent="0.3">
      <c r="A3993" s="15">
        <v>45748</v>
      </c>
      <c r="B3993" t="s">
        <v>287</v>
      </c>
      <c r="C3993" t="s">
        <v>81</v>
      </c>
      <c r="D3993" t="s">
        <v>99</v>
      </c>
      <c r="E3993" t="s">
        <v>87</v>
      </c>
      <c r="F3993">
        <v>2300</v>
      </c>
      <c r="G3993" t="s">
        <v>331</v>
      </c>
      <c r="H3993" s="15">
        <v>45292</v>
      </c>
      <c r="I3993">
        <v>2300</v>
      </c>
      <c r="J3993">
        <v>0</v>
      </c>
    </row>
    <row r="3994" spans="1:10" x14ac:dyDescent="0.3">
      <c r="A3994" s="15">
        <v>45748</v>
      </c>
      <c r="B3994" t="s">
        <v>288</v>
      </c>
      <c r="C3994" t="s">
        <v>81</v>
      </c>
      <c r="D3994" t="s">
        <v>99</v>
      </c>
      <c r="E3994" t="s">
        <v>97</v>
      </c>
      <c r="F3994">
        <v>2600</v>
      </c>
      <c r="G3994" t="s">
        <v>331</v>
      </c>
      <c r="H3994" s="15">
        <v>45292</v>
      </c>
      <c r="I3994">
        <v>2600</v>
      </c>
      <c r="J3994">
        <v>0</v>
      </c>
    </row>
    <row r="3995" spans="1:10" x14ac:dyDescent="0.3">
      <c r="A3995" s="15">
        <v>45748</v>
      </c>
      <c r="B3995" t="s">
        <v>289</v>
      </c>
      <c r="C3995" t="s">
        <v>91</v>
      </c>
      <c r="D3995" t="s">
        <v>86</v>
      </c>
      <c r="E3995" t="s">
        <v>101</v>
      </c>
      <c r="F3995">
        <v>9400</v>
      </c>
      <c r="G3995" t="s">
        <v>331</v>
      </c>
      <c r="H3995" s="15">
        <v>45292</v>
      </c>
      <c r="I3995">
        <v>9400</v>
      </c>
      <c r="J3995">
        <v>0</v>
      </c>
    </row>
    <row r="3996" spans="1:10" x14ac:dyDescent="0.3">
      <c r="A3996" s="15">
        <v>45748</v>
      </c>
      <c r="B3996" t="s">
        <v>290</v>
      </c>
      <c r="C3996" t="s">
        <v>81</v>
      </c>
      <c r="D3996" t="s">
        <v>82</v>
      </c>
      <c r="E3996" t="s">
        <v>103</v>
      </c>
      <c r="F3996">
        <v>2500</v>
      </c>
      <c r="G3996" t="s">
        <v>331</v>
      </c>
      <c r="H3996" s="15">
        <v>45292</v>
      </c>
      <c r="I3996">
        <v>2500</v>
      </c>
      <c r="J3996">
        <v>0</v>
      </c>
    </row>
    <row r="3997" spans="1:10" x14ac:dyDescent="0.3">
      <c r="A3997" s="15">
        <v>45748</v>
      </c>
      <c r="B3997" t="s">
        <v>291</v>
      </c>
      <c r="C3997" t="s">
        <v>81</v>
      </c>
      <c r="D3997" t="s">
        <v>82</v>
      </c>
      <c r="E3997" t="s">
        <v>83</v>
      </c>
      <c r="F3997">
        <v>3100</v>
      </c>
      <c r="G3997" t="s">
        <v>331</v>
      </c>
      <c r="H3997" s="15">
        <v>45292</v>
      </c>
      <c r="I3997">
        <v>3100</v>
      </c>
      <c r="J3997">
        <v>0</v>
      </c>
    </row>
    <row r="3998" spans="1:10" x14ac:dyDescent="0.3">
      <c r="A3998" s="15">
        <v>45748</v>
      </c>
      <c r="B3998" t="s">
        <v>292</v>
      </c>
      <c r="C3998" t="s">
        <v>91</v>
      </c>
      <c r="D3998" t="s">
        <v>86</v>
      </c>
      <c r="E3998" t="s">
        <v>89</v>
      </c>
      <c r="F3998">
        <v>8600</v>
      </c>
      <c r="G3998" t="s">
        <v>331</v>
      </c>
      <c r="H3998" s="15">
        <v>45292</v>
      </c>
      <c r="I3998">
        <v>8600</v>
      </c>
      <c r="J3998">
        <v>0</v>
      </c>
    </row>
    <row r="3999" spans="1:10" x14ac:dyDescent="0.3">
      <c r="A3999" s="15">
        <v>45748</v>
      </c>
      <c r="B3999" t="s">
        <v>293</v>
      </c>
      <c r="C3999" t="s">
        <v>81</v>
      </c>
      <c r="D3999" t="s">
        <v>86</v>
      </c>
      <c r="E3999" t="s">
        <v>103</v>
      </c>
      <c r="F3999">
        <v>2200</v>
      </c>
      <c r="G3999" t="s">
        <v>331</v>
      </c>
      <c r="H3999" s="15">
        <v>45292</v>
      </c>
      <c r="I3999">
        <v>2200</v>
      </c>
      <c r="J3999">
        <v>0</v>
      </c>
    </row>
    <row r="4000" spans="1:10" x14ac:dyDescent="0.3">
      <c r="A4000" s="15">
        <v>45748</v>
      </c>
      <c r="B4000" t="s">
        <v>294</v>
      </c>
      <c r="C4000" t="s">
        <v>91</v>
      </c>
      <c r="D4000" t="s">
        <v>82</v>
      </c>
      <c r="E4000" t="s">
        <v>97</v>
      </c>
      <c r="F4000">
        <v>10400</v>
      </c>
      <c r="G4000" t="s">
        <v>331</v>
      </c>
      <c r="H4000" s="15">
        <v>45292</v>
      </c>
      <c r="I4000">
        <v>10400</v>
      </c>
      <c r="J4000">
        <v>0</v>
      </c>
    </row>
    <row r="4001" spans="1:10" x14ac:dyDescent="0.3">
      <c r="A4001" s="15">
        <v>45748</v>
      </c>
      <c r="B4001" t="s">
        <v>295</v>
      </c>
      <c r="C4001" t="s">
        <v>81</v>
      </c>
      <c r="D4001" t="s">
        <v>82</v>
      </c>
      <c r="E4001" t="s">
        <v>103</v>
      </c>
      <c r="F4001">
        <v>2300</v>
      </c>
      <c r="G4001" t="s">
        <v>331</v>
      </c>
      <c r="H4001" s="15">
        <v>45292</v>
      </c>
      <c r="I4001">
        <v>2300</v>
      </c>
      <c r="J4001">
        <v>0</v>
      </c>
    </row>
    <row r="4002" spans="1:10" x14ac:dyDescent="0.3">
      <c r="A4002" s="15">
        <v>45748</v>
      </c>
      <c r="B4002" t="s">
        <v>297</v>
      </c>
      <c r="C4002" t="s">
        <v>91</v>
      </c>
      <c r="D4002" t="s">
        <v>86</v>
      </c>
      <c r="E4002" t="s">
        <v>103</v>
      </c>
      <c r="F4002">
        <v>0</v>
      </c>
      <c r="G4002" t="s">
        <v>333</v>
      </c>
      <c r="H4002" s="15">
        <v>45292</v>
      </c>
      <c r="I4002">
        <v>9100</v>
      </c>
      <c r="J4002">
        <v>-9100</v>
      </c>
    </row>
    <row r="4003" spans="1:10" x14ac:dyDescent="0.3">
      <c r="A4003" s="15">
        <v>45748</v>
      </c>
      <c r="B4003" t="s">
        <v>298</v>
      </c>
      <c r="C4003" t="s">
        <v>81</v>
      </c>
      <c r="D4003" t="s">
        <v>86</v>
      </c>
      <c r="E4003" t="s">
        <v>89</v>
      </c>
      <c r="F4003">
        <v>2700</v>
      </c>
      <c r="G4003" t="s">
        <v>331</v>
      </c>
      <c r="H4003" s="15">
        <v>45292</v>
      </c>
      <c r="I4003">
        <v>2700</v>
      </c>
      <c r="J4003">
        <v>0</v>
      </c>
    </row>
    <row r="4004" spans="1:10" x14ac:dyDescent="0.3">
      <c r="A4004" s="15">
        <v>45748</v>
      </c>
      <c r="B4004" t="s">
        <v>299</v>
      </c>
      <c r="C4004" t="s">
        <v>81</v>
      </c>
      <c r="D4004" t="s">
        <v>99</v>
      </c>
      <c r="E4004" t="s">
        <v>103</v>
      </c>
      <c r="F4004">
        <v>2900</v>
      </c>
      <c r="G4004" t="s">
        <v>331</v>
      </c>
      <c r="H4004" s="15">
        <v>45292</v>
      </c>
      <c r="I4004">
        <v>2900</v>
      </c>
      <c r="J4004">
        <v>0</v>
      </c>
    </row>
    <row r="4005" spans="1:10" x14ac:dyDescent="0.3">
      <c r="A4005" s="15">
        <v>45748</v>
      </c>
      <c r="B4005" t="s">
        <v>300</v>
      </c>
      <c r="C4005" t="s">
        <v>91</v>
      </c>
      <c r="D4005" t="s">
        <v>82</v>
      </c>
      <c r="E4005" t="s">
        <v>89</v>
      </c>
      <c r="F4005">
        <v>11500</v>
      </c>
      <c r="G4005" t="s">
        <v>331</v>
      </c>
      <c r="H4005" s="15">
        <v>45292</v>
      </c>
      <c r="I4005">
        <v>11500</v>
      </c>
      <c r="J4005">
        <v>0</v>
      </c>
    </row>
    <row r="4006" spans="1:10" x14ac:dyDescent="0.3">
      <c r="A4006" s="15">
        <v>45748</v>
      </c>
      <c r="B4006" t="s">
        <v>303</v>
      </c>
      <c r="C4006" t="s">
        <v>81</v>
      </c>
      <c r="D4006" t="s">
        <v>82</v>
      </c>
      <c r="E4006" t="s">
        <v>83</v>
      </c>
      <c r="F4006">
        <v>1400</v>
      </c>
      <c r="G4006" t="s">
        <v>331</v>
      </c>
      <c r="H4006" s="15">
        <v>45292</v>
      </c>
      <c r="I4006">
        <v>1400</v>
      </c>
      <c r="J4006">
        <v>0</v>
      </c>
    </row>
    <row r="4007" spans="1:10" x14ac:dyDescent="0.3">
      <c r="A4007" s="15">
        <v>45748</v>
      </c>
      <c r="B4007" t="s">
        <v>304</v>
      </c>
      <c r="C4007" t="s">
        <v>81</v>
      </c>
      <c r="D4007" t="s">
        <v>86</v>
      </c>
      <c r="E4007" t="s">
        <v>92</v>
      </c>
      <c r="F4007">
        <v>2100</v>
      </c>
      <c r="G4007" t="s">
        <v>331</v>
      </c>
      <c r="H4007" s="15">
        <v>45292</v>
      </c>
      <c r="I4007">
        <v>2100</v>
      </c>
      <c r="J4007">
        <v>0</v>
      </c>
    </row>
    <row r="4008" spans="1:10" x14ac:dyDescent="0.3">
      <c r="A4008" s="15">
        <v>45748</v>
      </c>
      <c r="B4008" t="s">
        <v>306</v>
      </c>
      <c r="C4008" t="s">
        <v>91</v>
      </c>
      <c r="D4008" t="s">
        <v>82</v>
      </c>
      <c r="E4008" t="s">
        <v>87</v>
      </c>
      <c r="F4008">
        <v>11700</v>
      </c>
      <c r="G4008" t="s">
        <v>331</v>
      </c>
      <c r="H4008" s="15">
        <v>45292</v>
      </c>
      <c r="I4008">
        <v>11700</v>
      </c>
      <c r="J4008">
        <v>0</v>
      </c>
    </row>
    <row r="4009" spans="1:10" x14ac:dyDescent="0.3">
      <c r="A4009" s="15">
        <v>45748</v>
      </c>
      <c r="B4009" t="s">
        <v>307</v>
      </c>
      <c r="C4009" t="s">
        <v>81</v>
      </c>
      <c r="D4009" t="s">
        <v>86</v>
      </c>
      <c r="E4009" t="s">
        <v>97</v>
      </c>
      <c r="F4009">
        <v>2600</v>
      </c>
      <c r="G4009" t="s">
        <v>331</v>
      </c>
      <c r="H4009" s="15">
        <v>45292</v>
      </c>
      <c r="I4009">
        <v>2600</v>
      </c>
      <c r="J4009">
        <v>0</v>
      </c>
    </row>
    <row r="4010" spans="1:10" x14ac:dyDescent="0.3">
      <c r="A4010" s="15">
        <v>45748</v>
      </c>
      <c r="B4010" t="s">
        <v>309</v>
      </c>
      <c r="C4010" t="s">
        <v>91</v>
      </c>
      <c r="D4010" t="s">
        <v>82</v>
      </c>
      <c r="E4010" t="s">
        <v>87</v>
      </c>
      <c r="F4010">
        <v>10700</v>
      </c>
      <c r="G4010" t="s">
        <v>331</v>
      </c>
      <c r="H4010" s="15">
        <v>45292</v>
      </c>
      <c r="I4010">
        <v>10700</v>
      </c>
      <c r="J4010">
        <v>0</v>
      </c>
    </row>
    <row r="4011" spans="1:10" x14ac:dyDescent="0.3">
      <c r="A4011" s="15">
        <v>45748</v>
      </c>
      <c r="B4011" t="s">
        <v>310</v>
      </c>
      <c r="C4011" t="s">
        <v>91</v>
      </c>
      <c r="D4011" t="s">
        <v>99</v>
      </c>
      <c r="E4011" t="s">
        <v>87</v>
      </c>
      <c r="F4011">
        <v>10000</v>
      </c>
      <c r="G4011" t="s">
        <v>331</v>
      </c>
      <c r="H4011" s="15">
        <v>45292</v>
      </c>
      <c r="I4011">
        <v>10000</v>
      </c>
      <c r="J4011">
        <v>0</v>
      </c>
    </row>
    <row r="4012" spans="1:10" x14ac:dyDescent="0.3">
      <c r="A4012" s="15">
        <v>45748</v>
      </c>
      <c r="B4012" t="s">
        <v>313</v>
      </c>
      <c r="C4012" t="s">
        <v>91</v>
      </c>
      <c r="D4012" t="s">
        <v>82</v>
      </c>
      <c r="E4012" t="s">
        <v>101</v>
      </c>
      <c r="F4012">
        <v>12700</v>
      </c>
      <c r="G4012" t="s">
        <v>331</v>
      </c>
      <c r="H4012" s="15">
        <v>45292</v>
      </c>
      <c r="I4012">
        <v>12700</v>
      </c>
      <c r="J4012">
        <v>0</v>
      </c>
    </row>
    <row r="4013" spans="1:10" x14ac:dyDescent="0.3">
      <c r="A4013" s="15">
        <v>45748</v>
      </c>
      <c r="B4013" t="s">
        <v>315</v>
      </c>
      <c r="C4013" t="s">
        <v>125</v>
      </c>
      <c r="D4013" t="s">
        <v>86</v>
      </c>
      <c r="E4013" t="s">
        <v>92</v>
      </c>
      <c r="F4013">
        <v>76200</v>
      </c>
      <c r="G4013" t="s">
        <v>331</v>
      </c>
      <c r="H4013" s="15">
        <v>45292</v>
      </c>
      <c r="I4013">
        <v>76200</v>
      </c>
      <c r="J4013">
        <v>0</v>
      </c>
    </row>
    <row r="4014" spans="1:10" x14ac:dyDescent="0.3">
      <c r="A4014" s="15">
        <v>45748</v>
      </c>
      <c r="B4014" t="s">
        <v>316</v>
      </c>
      <c r="C4014" t="s">
        <v>81</v>
      </c>
      <c r="D4014" t="s">
        <v>96</v>
      </c>
      <c r="E4014" t="s">
        <v>92</v>
      </c>
      <c r="F4014">
        <v>2000</v>
      </c>
      <c r="G4014" t="s">
        <v>331</v>
      </c>
      <c r="H4014" s="15">
        <v>45292</v>
      </c>
      <c r="I4014">
        <v>2000</v>
      </c>
      <c r="J4014">
        <v>0</v>
      </c>
    </row>
    <row r="4015" spans="1:10" x14ac:dyDescent="0.3">
      <c r="A4015" s="15">
        <v>45748</v>
      </c>
      <c r="B4015" t="s">
        <v>318</v>
      </c>
      <c r="C4015" t="s">
        <v>110</v>
      </c>
      <c r="D4015" t="s">
        <v>82</v>
      </c>
      <c r="E4015" t="s">
        <v>97</v>
      </c>
      <c r="F4015">
        <v>29600</v>
      </c>
      <c r="G4015" t="s">
        <v>331</v>
      </c>
      <c r="H4015" s="15">
        <v>45292</v>
      </c>
      <c r="I4015">
        <v>29600</v>
      </c>
      <c r="J4015">
        <v>0</v>
      </c>
    </row>
    <row r="4016" spans="1:10" x14ac:dyDescent="0.3">
      <c r="A4016" s="15">
        <v>45748</v>
      </c>
      <c r="B4016" t="s">
        <v>320</v>
      </c>
      <c r="C4016" t="s">
        <v>91</v>
      </c>
      <c r="D4016" t="s">
        <v>86</v>
      </c>
      <c r="E4016" t="s">
        <v>97</v>
      </c>
      <c r="F4016">
        <v>7700</v>
      </c>
      <c r="G4016" t="s">
        <v>331</v>
      </c>
      <c r="H4016" s="15">
        <v>45292</v>
      </c>
      <c r="I4016">
        <v>7700</v>
      </c>
      <c r="J4016">
        <v>0</v>
      </c>
    </row>
    <row r="4017" spans="1:10" x14ac:dyDescent="0.3">
      <c r="A4017" s="15">
        <v>45748</v>
      </c>
      <c r="B4017" t="s">
        <v>321</v>
      </c>
      <c r="C4017" t="s">
        <v>81</v>
      </c>
      <c r="D4017" t="s">
        <v>99</v>
      </c>
      <c r="E4017" t="s">
        <v>101</v>
      </c>
      <c r="F4017">
        <v>3300</v>
      </c>
      <c r="G4017" t="s">
        <v>331</v>
      </c>
      <c r="H4017" s="15">
        <v>45292</v>
      </c>
      <c r="I4017">
        <v>3300</v>
      </c>
      <c r="J4017">
        <v>0</v>
      </c>
    </row>
    <row r="4018" spans="1:10" x14ac:dyDescent="0.3">
      <c r="A4018" s="15">
        <v>45748</v>
      </c>
      <c r="B4018" t="s">
        <v>322</v>
      </c>
      <c r="C4018" t="s">
        <v>81</v>
      </c>
      <c r="D4018" t="s">
        <v>82</v>
      </c>
      <c r="E4018" t="s">
        <v>103</v>
      </c>
      <c r="F4018">
        <v>2000</v>
      </c>
      <c r="G4018" t="s">
        <v>331</v>
      </c>
      <c r="H4018" s="15">
        <v>45292</v>
      </c>
      <c r="I4018">
        <v>2000</v>
      </c>
      <c r="J4018">
        <v>0</v>
      </c>
    </row>
    <row r="4019" spans="1:10" x14ac:dyDescent="0.3">
      <c r="A4019" s="15">
        <v>45748</v>
      </c>
      <c r="B4019" t="s">
        <v>323</v>
      </c>
      <c r="C4019" t="s">
        <v>110</v>
      </c>
      <c r="D4019" t="s">
        <v>82</v>
      </c>
      <c r="E4019" t="s">
        <v>89</v>
      </c>
      <c r="F4019">
        <v>23400</v>
      </c>
      <c r="G4019" t="s">
        <v>331</v>
      </c>
      <c r="H4019" s="15">
        <v>45292</v>
      </c>
      <c r="I4019">
        <v>23400</v>
      </c>
      <c r="J4019">
        <v>0</v>
      </c>
    </row>
    <row r="4020" spans="1:10" x14ac:dyDescent="0.3">
      <c r="A4020" s="15">
        <v>45748</v>
      </c>
      <c r="B4020" t="s">
        <v>324</v>
      </c>
      <c r="C4020" t="s">
        <v>81</v>
      </c>
      <c r="D4020" t="s">
        <v>86</v>
      </c>
      <c r="E4020" t="s">
        <v>87</v>
      </c>
      <c r="F4020">
        <v>2700</v>
      </c>
      <c r="G4020" t="s">
        <v>331</v>
      </c>
      <c r="H4020" s="15">
        <v>45292</v>
      </c>
      <c r="I4020">
        <v>2700</v>
      </c>
      <c r="J4020">
        <v>0</v>
      </c>
    </row>
    <row r="4021" spans="1:10" x14ac:dyDescent="0.3">
      <c r="A4021" s="15">
        <v>45748</v>
      </c>
      <c r="B4021" t="s">
        <v>325</v>
      </c>
      <c r="C4021" t="s">
        <v>91</v>
      </c>
      <c r="D4021" t="s">
        <v>86</v>
      </c>
      <c r="E4021" t="s">
        <v>87</v>
      </c>
      <c r="F4021">
        <v>8800</v>
      </c>
      <c r="G4021" t="s">
        <v>331</v>
      </c>
      <c r="H4021" s="15">
        <v>45292</v>
      </c>
      <c r="I4021">
        <v>8800</v>
      </c>
      <c r="J4021">
        <v>0</v>
      </c>
    </row>
    <row r="4022" spans="1:10" x14ac:dyDescent="0.3">
      <c r="A4022" s="15">
        <v>45748</v>
      </c>
      <c r="B4022" t="s">
        <v>326</v>
      </c>
      <c r="C4022" t="s">
        <v>91</v>
      </c>
      <c r="D4022" t="s">
        <v>86</v>
      </c>
      <c r="E4022" t="s">
        <v>92</v>
      </c>
      <c r="F4022">
        <v>7900</v>
      </c>
      <c r="G4022" t="s">
        <v>331</v>
      </c>
      <c r="H4022" s="15">
        <v>45292</v>
      </c>
      <c r="I4022">
        <v>7900</v>
      </c>
      <c r="J4022">
        <v>0</v>
      </c>
    </row>
    <row r="4023" spans="1:10" x14ac:dyDescent="0.3">
      <c r="A4023" s="15">
        <v>45748</v>
      </c>
      <c r="B4023" t="s">
        <v>327</v>
      </c>
      <c r="C4023" t="s">
        <v>125</v>
      </c>
      <c r="D4023" t="s">
        <v>99</v>
      </c>
      <c r="E4023" t="s">
        <v>97</v>
      </c>
      <c r="F4023">
        <v>77500</v>
      </c>
      <c r="G4023" t="s">
        <v>331</v>
      </c>
      <c r="H4023" s="15">
        <v>45292</v>
      </c>
      <c r="I4023">
        <v>77500</v>
      </c>
      <c r="J4023">
        <v>0</v>
      </c>
    </row>
    <row r="4024" spans="1:10" x14ac:dyDescent="0.3">
      <c r="A4024" s="15">
        <v>45748</v>
      </c>
      <c r="B4024" t="s">
        <v>329</v>
      </c>
      <c r="C4024" t="s">
        <v>81</v>
      </c>
      <c r="D4024" t="s">
        <v>86</v>
      </c>
      <c r="E4024" t="s">
        <v>101</v>
      </c>
      <c r="F4024">
        <v>2200</v>
      </c>
      <c r="G4024" t="s">
        <v>331</v>
      </c>
      <c r="H4024" s="15">
        <v>45292</v>
      </c>
      <c r="I4024">
        <v>2200</v>
      </c>
      <c r="J4024">
        <v>0</v>
      </c>
    </row>
    <row r="4025" spans="1:10" x14ac:dyDescent="0.3">
      <c r="A4025" s="15">
        <v>45748</v>
      </c>
      <c r="B4025" t="s">
        <v>330</v>
      </c>
      <c r="C4025" t="s">
        <v>125</v>
      </c>
      <c r="D4025" t="s">
        <v>86</v>
      </c>
      <c r="E4025" t="s">
        <v>87</v>
      </c>
      <c r="F4025">
        <v>105400</v>
      </c>
      <c r="G4025" t="s">
        <v>331</v>
      </c>
      <c r="H4025" s="15">
        <v>45292</v>
      </c>
      <c r="I4025">
        <v>105400</v>
      </c>
      <c r="J4025">
        <v>0</v>
      </c>
    </row>
    <row r="4026" spans="1:10" x14ac:dyDescent="0.3">
      <c r="A4026" s="15">
        <v>45748</v>
      </c>
      <c r="B4026" t="s">
        <v>335</v>
      </c>
      <c r="C4026" t="s">
        <v>91</v>
      </c>
      <c r="D4026" t="s">
        <v>86</v>
      </c>
      <c r="E4026" t="s">
        <v>89</v>
      </c>
      <c r="F4026">
        <v>7300</v>
      </c>
      <c r="G4026" t="s">
        <v>331</v>
      </c>
      <c r="H4026" s="15">
        <v>45323</v>
      </c>
      <c r="I4026">
        <v>7300</v>
      </c>
      <c r="J4026">
        <v>0</v>
      </c>
    </row>
    <row r="4027" spans="1:10" x14ac:dyDescent="0.3">
      <c r="A4027" s="15">
        <v>45748</v>
      </c>
      <c r="B4027" t="s">
        <v>336</v>
      </c>
      <c r="C4027" t="s">
        <v>81</v>
      </c>
      <c r="D4027" t="s">
        <v>82</v>
      </c>
      <c r="E4027" t="s">
        <v>103</v>
      </c>
      <c r="F4027">
        <v>1500</v>
      </c>
      <c r="G4027" t="s">
        <v>331</v>
      </c>
      <c r="H4027" s="15">
        <v>45323</v>
      </c>
      <c r="I4027">
        <v>1500</v>
      </c>
      <c r="J4027">
        <v>0</v>
      </c>
    </row>
    <row r="4028" spans="1:10" x14ac:dyDescent="0.3">
      <c r="A4028" s="15">
        <v>45748</v>
      </c>
      <c r="B4028" t="s">
        <v>339</v>
      </c>
      <c r="C4028" t="s">
        <v>81</v>
      </c>
      <c r="D4028" t="s">
        <v>82</v>
      </c>
      <c r="E4028" t="s">
        <v>103</v>
      </c>
      <c r="F4028">
        <v>1600</v>
      </c>
      <c r="G4028" t="s">
        <v>331</v>
      </c>
      <c r="H4028" s="15">
        <v>45323</v>
      </c>
      <c r="I4028">
        <v>1600</v>
      </c>
      <c r="J4028">
        <v>0</v>
      </c>
    </row>
    <row r="4029" spans="1:10" x14ac:dyDescent="0.3">
      <c r="A4029" s="15">
        <v>45748</v>
      </c>
      <c r="B4029" t="s">
        <v>340</v>
      </c>
      <c r="C4029" t="s">
        <v>81</v>
      </c>
      <c r="D4029" t="s">
        <v>82</v>
      </c>
      <c r="E4029" t="s">
        <v>87</v>
      </c>
      <c r="F4029">
        <v>1800</v>
      </c>
      <c r="G4029" t="s">
        <v>331</v>
      </c>
      <c r="H4029" s="15">
        <v>45323</v>
      </c>
      <c r="I4029">
        <v>1800</v>
      </c>
      <c r="J4029">
        <v>0</v>
      </c>
    </row>
    <row r="4030" spans="1:10" x14ac:dyDescent="0.3">
      <c r="A4030" s="15">
        <v>45748</v>
      </c>
      <c r="B4030" t="s">
        <v>341</v>
      </c>
      <c r="C4030" t="s">
        <v>110</v>
      </c>
      <c r="D4030" t="s">
        <v>82</v>
      </c>
      <c r="E4030" t="s">
        <v>92</v>
      </c>
      <c r="F4030">
        <v>18800</v>
      </c>
      <c r="G4030" t="s">
        <v>331</v>
      </c>
      <c r="H4030" s="15">
        <v>45323</v>
      </c>
      <c r="I4030">
        <v>18800</v>
      </c>
      <c r="J4030">
        <v>0</v>
      </c>
    </row>
    <row r="4031" spans="1:10" x14ac:dyDescent="0.3">
      <c r="A4031" s="15">
        <v>45748</v>
      </c>
      <c r="B4031" t="s">
        <v>342</v>
      </c>
      <c r="C4031" t="s">
        <v>91</v>
      </c>
      <c r="D4031" t="s">
        <v>82</v>
      </c>
      <c r="E4031" t="s">
        <v>83</v>
      </c>
      <c r="F4031">
        <v>6300</v>
      </c>
      <c r="G4031" t="s">
        <v>331</v>
      </c>
      <c r="H4031" s="15">
        <v>45352</v>
      </c>
      <c r="I4031">
        <v>6300</v>
      </c>
      <c r="J4031">
        <v>0</v>
      </c>
    </row>
    <row r="4032" spans="1:10" x14ac:dyDescent="0.3">
      <c r="A4032" s="15">
        <v>45748</v>
      </c>
      <c r="B4032" t="s">
        <v>343</v>
      </c>
      <c r="C4032" t="s">
        <v>81</v>
      </c>
      <c r="D4032" t="s">
        <v>82</v>
      </c>
      <c r="E4032" t="s">
        <v>89</v>
      </c>
      <c r="F4032">
        <v>2500</v>
      </c>
      <c r="G4032" t="s">
        <v>331</v>
      </c>
      <c r="H4032" s="15">
        <v>45352</v>
      </c>
      <c r="I4032">
        <v>2500</v>
      </c>
      <c r="J4032">
        <v>0</v>
      </c>
    </row>
    <row r="4033" spans="1:10" x14ac:dyDescent="0.3">
      <c r="A4033" s="15">
        <v>45748</v>
      </c>
      <c r="B4033" t="s">
        <v>344</v>
      </c>
      <c r="C4033" t="s">
        <v>110</v>
      </c>
      <c r="D4033" t="s">
        <v>86</v>
      </c>
      <c r="E4033" t="s">
        <v>89</v>
      </c>
      <c r="F4033">
        <v>22300</v>
      </c>
      <c r="G4033" t="s">
        <v>332</v>
      </c>
      <c r="H4033" s="15">
        <v>45352</v>
      </c>
      <c r="I4033">
        <v>21100</v>
      </c>
      <c r="J4033">
        <v>1200</v>
      </c>
    </row>
    <row r="4034" spans="1:10" x14ac:dyDescent="0.3">
      <c r="A4034" s="15">
        <v>45748</v>
      </c>
      <c r="B4034" t="s">
        <v>345</v>
      </c>
      <c r="C4034" t="s">
        <v>91</v>
      </c>
      <c r="D4034" t="s">
        <v>86</v>
      </c>
      <c r="E4034" t="s">
        <v>83</v>
      </c>
      <c r="F4034">
        <v>6900</v>
      </c>
      <c r="G4034" t="s">
        <v>331</v>
      </c>
      <c r="H4034" s="15">
        <v>45352</v>
      </c>
      <c r="I4034">
        <v>6900</v>
      </c>
      <c r="J4034">
        <v>0</v>
      </c>
    </row>
    <row r="4035" spans="1:10" x14ac:dyDescent="0.3">
      <c r="A4035" s="15">
        <v>45748</v>
      </c>
      <c r="B4035" t="s">
        <v>346</v>
      </c>
      <c r="C4035" t="s">
        <v>81</v>
      </c>
      <c r="D4035" t="s">
        <v>86</v>
      </c>
      <c r="E4035" t="s">
        <v>97</v>
      </c>
      <c r="F4035">
        <v>1700</v>
      </c>
      <c r="G4035" t="s">
        <v>331</v>
      </c>
      <c r="H4035" s="15">
        <v>45352</v>
      </c>
      <c r="I4035">
        <v>1700</v>
      </c>
      <c r="J4035">
        <v>0</v>
      </c>
    </row>
    <row r="4036" spans="1:10" x14ac:dyDescent="0.3">
      <c r="A4036" s="15">
        <v>45748</v>
      </c>
      <c r="B4036" t="s">
        <v>347</v>
      </c>
      <c r="C4036" t="s">
        <v>91</v>
      </c>
      <c r="D4036" t="s">
        <v>82</v>
      </c>
      <c r="E4036" t="s">
        <v>83</v>
      </c>
      <c r="F4036">
        <v>4700</v>
      </c>
      <c r="G4036" t="s">
        <v>331</v>
      </c>
      <c r="H4036" s="15">
        <v>45383</v>
      </c>
      <c r="I4036">
        <v>4700</v>
      </c>
      <c r="J4036">
        <v>0</v>
      </c>
    </row>
    <row r="4037" spans="1:10" x14ac:dyDescent="0.3">
      <c r="A4037" s="15">
        <v>45748</v>
      </c>
      <c r="B4037" t="s">
        <v>350</v>
      </c>
      <c r="C4037" t="s">
        <v>91</v>
      </c>
      <c r="D4037" t="s">
        <v>82</v>
      </c>
      <c r="E4037" t="s">
        <v>83</v>
      </c>
      <c r="F4037">
        <v>4800</v>
      </c>
      <c r="G4037" t="s">
        <v>331</v>
      </c>
      <c r="H4037" s="15">
        <v>45383</v>
      </c>
      <c r="I4037">
        <v>4800</v>
      </c>
      <c r="J4037">
        <v>0</v>
      </c>
    </row>
    <row r="4038" spans="1:10" x14ac:dyDescent="0.3">
      <c r="A4038" s="15">
        <v>45748</v>
      </c>
      <c r="B4038" t="s">
        <v>351</v>
      </c>
      <c r="C4038" t="s">
        <v>81</v>
      </c>
      <c r="D4038" t="s">
        <v>86</v>
      </c>
      <c r="E4038" t="s">
        <v>83</v>
      </c>
      <c r="F4038">
        <v>2300</v>
      </c>
      <c r="G4038" t="s">
        <v>331</v>
      </c>
      <c r="H4038" s="15">
        <v>45383</v>
      </c>
      <c r="I4038">
        <v>2300</v>
      </c>
      <c r="J4038">
        <v>0</v>
      </c>
    </row>
    <row r="4039" spans="1:10" x14ac:dyDescent="0.3">
      <c r="A4039" s="15">
        <v>45748</v>
      </c>
      <c r="B4039" t="s">
        <v>352</v>
      </c>
      <c r="C4039" t="s">
        <v>91</v>
      </c>
      <c r="D4039" t="s">
        <v>82</v>
      </c>
      <c r="E4039" t="s">
        <v>89</v>
      </c>
      <c r="F4039">
        <v>7800</v>
      </c>
      <c r="G4039" t="s">
        <v>331</v>
      </c>
      <c r="H4039" s="15">
        <v>45383</v>
      </c>
      <c r="I4039">
        <v>7800</v>
      </c>
      <c r="J4039">
        <v>0</v>
      </c>
    </row>
    <row r="4040" spans="1:10" x14ac:dyDescent="0.3">
      <c r="A4040" s="15">
        <v>45748</v>
      </c>
      <c r="B4040" t="s">
        <v>353</v>
      </c>
      <c r="C4040" t="s">
        <v>81</v>
      </c>
      <c r="D4040" t="s">
        <v>99</v>
      </c>
      <c r="E4040" t="s">
        <v>103</v>
      </c>
      <c r="F4040">
        <v>1200</v>
      </c>
      <c r="G4040" t="s">
        <v>331</v>
      </c>
      <c r="H4040" s="15">
        <v>45383</v>
      </c>
      <c r="I4040">
        <v>1200</v>
      </c>
      <c r="J4040">
        <v>0</v>
      </c>
    </row>
    <row r="4041" spans="1:10" x14ac:dyDescent="0.3">
      <c r="A4041" s="15">
        <v>45748</v>
      </c>
      <c r="B4041" t="s">
        <v>354</v>
      </c>
      <c r="C4041" t="s">
        <v>81</v>
      </c>
      <c r="D4041" t="s">
        <v>82</v>
      </c>
      <c r="E4041" t="s">
        <v>92</v>
      </c>
      <c r="F4041">
        <v>1800</v>
      </c>
      <c r="G4041" t="s">
        <v>331</v>
      </c>
      <c r="H4041" s="15">
        <v>45413</v>
      </c>
      <c r="I4041">
        <v>1800</v>
      </c>
      <c r="J4041">
        <v>0</v>
      </c>
    </row>
    <row r="4042" spans="1:10" x14ac:dyDescent="0.3">
      <c r="A4042" s="15">
        <v>45748</v>
      </c>
      <c r="B4042" t="s">
        <v>355</v>
      </c>
      <c r="C4042" t="s">
        <v>81</v>
      </c>
      <c r="D4042" t="s">
        <v>86</v>
      </c>
      <c r="E4042" t="s">
        <v>97</v>
      </c>
      <c r="F4042">
        <v>2000</v>
      </c>
      <c r="G4042" t="s">
        <v>334</v>
      </c>
      <c r="H4042" s="15">
        <v>45413</v>
      </c>
      <c r="I4042">
        <v>2200</v>
      </c>
      <c r="J4042">
        <v>-200</v>
      </c>
    </row>
    <row r="4043" spans="1:10" x14ac:dyDescent="0.3">
      <c r="A4043" s="15">
        <v>45748</v>
      </c>
      <c r="B4043" t="s">
        <v>356</v>
      </c>
      <c r="C4043" t="s">
        <v>110</v>
      </c>
      <c r="D4043" t="s">
        <v>82</v>
      </c>
      <c r="E4043" t="s">
        <v>97</v>
      </c>
      <c r="F4043">
        <v>33000</v>
      </c>
      <c r="G4043" t="s">
        <v>331</v>
      </c>
      <c r="H4043" s="15">
        <v>45413</v>
      </c>
      <c r="I4043">
        <v>33000</v>
      </c>
      <c r="J4043">
        <v>0</v>
      </c>
    </row>
    <row r="4044" spans="1:10" x14ac:dyDescent="0.3">
      <c r="A4044" s="15">
        <v>45748</v>
      </c>
      <c r="B4044" t="s">
        <v>357</v>
      </c>
      <c r="C4044" t="s">
        <v>125</v>
      </c>
      <c r="D4044" t="s">
        <v>86</v>
      </c>
      <c r="E4044" t="s">
        <v>97</v>
      </c>
      <c r="F4044">
        <v>72100</v>
      </c>
      <c r="G4044" t="s">
        <v>331</v>
      </c>
      <c r="H4044" s="15">
        <v>45413</v>
      </c>
      <c r="I4044">
        <v>72100</v>
      </c>
      <c r="J4044">
        <v>0</v>
      </c>
    </row>
    <row r="4045" spans="1:10" x14ac:dyDescent="0.3">
      <c r="A4045" s="15">
        <v>45748</v>
      </c>
      <c r="B4045" t="s">
        <v>358</v>
      </c>
      <c r="C4045" t="s">
        <v>110</v>
      </c>
      <c r="D4045" t="s">
        <v>86</v>
      </c>
      <c r="E4045" t="s">
        <v>83</v>
      </c>
      <c r="F4045">
        <v>21800</v>
      </c>
      <c r="G4045" t="s">
        <v>331</v>
      </c>
      <c r="H4045" s="15">
        <v>45413</v>
      </c>
      <c r="I4045">
        <v>21800</v>
      </c>
      <c r="J4045">
        <v>0</v>
      </c>
    </row>
    <row r="4046" spans="1:10" x14ac:dyDescent="0.3">
      <c r="A4046" s="15">
        <v>45748</v>
      </c>
      <c r="B4046" t="s">
        <v>359</v>
      </c>
      <c r="C4046" t="s">
        <v>110</v>
      </c>
      <c r="D4046" t="s">
        <v>86</v>
      </c>
      <c r="E4046" t="s">
        <v>101</v>
      </c>
      <c r="F4046">
        <v>31400</v>
      </c>
      <c r="G4046" t="s">
        <v>331</v>
      </c>
      <c r="H4046" s="15">
        <v>45413</v>
      </c>
      <c r="I4046">
        <v>31400</v>
      </c>
      <c r="J4046">
        <v>0</v>
      </c>
    </row>
    <row r="4047" spans="1:10" x14ac:dyDescent="0.3">
      <c r="A4047" s="15">
        <v>45748</v>
      </c>
      <c r="B4047" t="s">
        <v>360</v>
      </c>
      <c r="C4047" t="s">
        <v>91</v>
      </c>
      <c r="D4047" t="s">
        <v>86</v>
      </c>
      <c r="E4047" t="s">
        <v>103</v>
      </c>
      <c r="F4047">
        <v>6300</v>
      </c>
      <c r="G4047" t="s">
        <v>331</v>
      </c>
      <c r="H4047" s="15">
        <v>45444</v>
      </c>
      <c r="I4047">
        <v>6300</v>
      </c>
      <c r="J4047">
        <v>0</v>
      </c>
    </row>
    <row r="4048" spans="1:10" x14ac:dyDescent="0.3">
      <c r="A4048" s="15">
        <v>45748</v>
      </c>
      <c r="B4048" t="s">
        <v>361</v>
      </c>
      <c r="C4048" t="s">
        <v>91</v>
      </c>
      <c r="D4048" t="s">
        <v>86</v>
      </c>
      <c r="E4048" t="s">
        <v>83</v>
      </c>
      <c r="F4048">
        <v>5700</v>
      </c>
      <c r="G4048" t="s">
        <v>331</v>
      </c>
      <c r="H4048" s="15">
        <v>45444</v>
      </c>
      <c r="I4048">
        <v>5700</v>
      </c>
      <c r="J4048">
        <v>0</v>
      </c>
    </row>
    <row r="4049" spans="1:10" x14ac:dyDescent="0.3">
      <c r="A4049" s="15">
        <v>45748</v>
      </c>
      <c r="B4049" t="s">
        <v>362</v>
      </c>
      <c r="C4049" t="s">
        <v>91</v>
      </c>
      <c r="D4049" t="s">
        <v>82</v>
      </c>
      <c r="E4049" t="s">
        <v>101</v>
      </c>
      <c r="F4049">
        <v>5400</v>
      </c>
      <c r="G4049" t="s">
        <v>331</v>
      </c>
      <c r="H4049" s="15">
        <v>45444</v>
      </c>
      <c r="I4049">
        <v>5400</v>
      </c>
      <c r="J4049">
        <v>0</v>
      </c>
    </row>
    <row r="4050" spans="1:10" x14ac:dyDescent="0.3">
      <c r="A4050" s="15">
        <v>45748</v>
      </c>
      <c r="B4050" t="s">
        <v>363</v>
      </c>
      <c r="C4050" t="s">
        <v>91</v>
      </c>
      <c r="D4050" t="s">
        <v>86</v>
      </c>
      <c r="E4050" t="s">
        <v>83</v>
      </c>
      <c r="F4050">
        <v>4400</v>
      </c>
      <c r="G4050" t="s">
        <v>331</v>
      </c>
      <c r="H4050" s="15">
        <v>45444</v>
      </c>
      <c r="I4050">
        <v>4400</v>
      </c>
      <c r="J4050">
        <v>0</v>
      </c>
    </row>
    <row r="4051" spans="1:10" x14ac:dyDescent="0.3">
      <c r="A4051" s="15">
        <v>45748</v>
      </c>
      <c r="B4051" t="s">
        <v>364</v>
      </c>
      <c r="C4051" t="s">
        <v>91</v>
      </c>
      <c r="D4051" t="s">
        <v>82</v>
      </c>
      <c r="E4051" t="s">
        <v>101</v>
      </c>
      <c r="F4051">
        <v>6700</v>
      </c>
      <c r="G4051" t="s">
        <v>331</v>
      </c>
      <c r="H4051" s="15">
        <v>45444</v>
      </c>
      <c r="I4051">
        <v>6700</v>
      </c>
      <c r="J4051">
        <v>0</v>
      </c>
    </row>
    <row r="4052" spans="1:10" x14ac:dyDescent="0.3">
      <c r="A4052" s="15">
        <v>45748</v>
      </c>
      <c r="B4052" t="s">
        <v>366</v>
      </c>
      <c r="C4052" t="s">
        <v>81</v>
      </c>
      <c r="D4052" t="s">
        <v>99</v>
      </c>
      <c r="E4052" t="s">
        <v>92</v>
      </c>
      <c r="F4052">
        <v>1600</v>
      </c>
      <c r="G4052" t="s">
        <v>331</v>
      </c>
      <c r="H4052" s="15">
        <v>45474</v>
      </c>
      <c r="I4052">
        <v>1600</v>
      </c>
      <c r="J4052">
        <v>0</v>
      </c>
    </row>
    <row r="4053" spans="1:10" x14ac:dyDescent="0.3">
      <c r="A4053" s="15">
        <v>45748</v>
      </c>
      <c r="B4053" t="s">
        <v>367</v>
      </c>
      <c r="C4053" t="s">
        <v>91</v>
      </c>
      <c r="D4053" t="s">
        <v>82</v>
      </c>
      <c r="E4053" t="s">
        <v>92</v>
      </c>
      <c r="F4053">
        <v>5000</v>
      </c>
      <c r="G4053" t="s">
        <v>331</v>
      </c>
      <c r="H4053" s="15">
        <v>45474</v>
      </c>
      <c r="I4053">
        <v>5000</v>
      </c>
      <c r="J4053">
        <v>0</v>
      </c>
    </row>
    <row r="4054" spans="1:10" x14ac:dyDescent="0.3">
      <c r="A4054" s="15">
        <v>45748</v>
      </c>
      <c r="B4054" t="s">
        <v>368</v>
      </c>
      <c r="C4054" t="s">
        <v>81</v>
      </c>
      <c r="D4054" t="s">
        <v>86</v>
      </c>
      <c r="E4054" t="s">
        <v>89</v>
      </c>
      <c r="F4054">
        <v>1400</v>
      </c>
      <c r="G4054" t="s">
        <v>331</v>
      </c>
      <c r="H4054" s="15">
        <v>45474</v>
      </c>
      <c r="I4054">
        <v>1400</v>
      </c>
      <c r="J4054">
        <v>0</v>
      </c>
    </row>
    <row r="4055" spans="1:10" x14ac:dyDescent="0.3">
      <c r="A4055" s="15">
        <v>45748</v>
      </c>
      <c r="B4055" t="s">
        <v>369</v>
      </c>
      <c r="C4055" t="s">
        <v>81</v>
      </c>
      <c r="D4055" t="s">
        <v>86</v>
      </c>
      <c r="E4055" t="s">
        <v>83</v>
      </c>
      <c r="F4055">
        <v>2000</v>
      </c>
      <c r="G4055" t="s">
        <v>331</v>
      </c>
      <c r="H4055" s="15">
        <v>45474</v>
      </c>
      <c r="I4055">
        <v>2000</v>
      </c>
      <c r="J4055">
        <v>0</v>
      </c>
    </row>
    <row r="4056" spans="1:10" x14ac:dyDescent="0.3">
      <c r="A4056" s="15">
        <v>45748</v>
      </c>
      <c r="B4056" t="s">
        <v>370</v>
      </c>
      <c r="C4056" t="s">
        <v>81</v>
      </c>
      <c r="D4056" t="s">
        <v>99</v>
      </c>
      <c r="E4056" t="s">
        <v>87</v>
      </c>
      <c r="F4056">
        <v>2100</v>
      </c>
      <c r="G4056" t="s">
        <v>331</v>
      </c>
      <c r="H4056" s="15">
        <v>45474</v>
      </c>
      <c r="I4056">
        <v>2100</v>
      </c>
      <c r="J4056">
        <v>0</v>
      </c>
    </row>
    <row r="4057" spans="1:10" x14ac:dyDescent="0.3">
      <c r="A4057" s="15">
        <v>45748</v>
      </c>
      <c r="B4057" t="s">
        <v>372</v>
      </c>
      <c r="C4057" t="s">
        <v>81</v>
      </c>
      <c r="D4057" t="s">
        <v>86</v>
      </c>
      <c r="E4057" t="s">
        <v>83</v>
      </c>
      <c r="F4057">
        <v>0</v>
      </c>
      <c r="G4057" t="s">
        <v>333</v>
      </c>
      <c r="H4057" s="15">
        <v>45505</v>
      </c>
      <c r="I4057">
        <v>1500</v>
      </c>
      <c r="J4057">
        <v>-1500</v>
      </c>
    </row>
    <row r="4058" spans="1:10" x14ac:dyDescent="0.3">
      <c r="A4058" s="15">
        <v>45748</v>
      </c>
      <c r="B4058" t="s">
        <v>373</v>
      </c>
      <c r="C4058" t="s">
        <v>91</v>
      </c>
      <c r="D4058" t="s">
        <v>99</v>
      </c>
      <c r="E4058" t="s">
        <v>101</v>
      </c>
      <c r="F4058">
        <v>5200</v>
      </c>
      <c r="G4058" t="s">
        <v>331</v>
      </c>
      <c r="H4058" s="15">
        <v>45505</v>
      </c>
      <c r="I4058">
        <v>5200</v>
      </c>
      <c r="J4058">
        <v>0</v>
      </c>
    </row>
    <row r="4059" spans="1:10" x14ac:dyDescent="0.3">
      <c r="A4059" s="15">
        <v>45748</v>
      </c>
      <c r="B4059" t="s">
        <v>374</v>
      </c>
      <c r="C4059" t="s">
        <v>91</v>
      </c>
      <c r="D4059" t="s">
        <v>99</v>
      </c>
      <c r="E4059" t="s">
        <v>87</v>
      </c>
      <c r="F4059">
        <v>5000</v>
      </c>
      <c r="G4059" t="s">
        <v>331</v>
      </c>
      <c r="H4059" s="15">
        <v>45505</v>
      </c>
      <c r="I4059">
        <v>5000</v>
      </c>
      <c r="J4059">
        <v>0</v>
      </c>
    </row>
    <row r="4060" spans="1:10" x14ac:dyDescent="0.3">
      <c r="A4060" s="15">
        <v>45748</v>
      </c>
      <c r="B4060" t="s">
        <v>376</v>
      </c>
      <c r="C4060" t="s">
        <v>110</v>
      </c>
      <c r="D4060" t="s">
        <v>86</v>
      </c>
      <c r="E4060" t="s">
        <v>103</v>
      </c>
      <c r="F4060">
        <v>22900</v>
      </c>
      <c r="G4060" t="s">
        <v>331</v>
      </c>
      <c r="H4060" s="15">
        <v>45505</v>
      </c>
      <c r="I4060">
        <v>22900</v>
      </c>
      <c r="J4060">
        <v>0</v>
      </c>
    </row>
    <row r="4061" spans="1:10" x14ac:dyDescent="0.3">
      <c r="A4061" s="15">
        <v>45748</v>
      </c>
      <c r="B4061" t="s">
        <v>377</v>
      </c>
      <c r="C4061" t="s">
        <v>81</v>
      </c>
      <c r="D4061" t="s">
        <v>99</v>
      </c>
      <c r="E4061" t="s">
        <v>92</v>
      </c>
      <c r="F4061">
        <v>2300</v>
      </c>
      <c r="G4061" t="s">
        <v>331</v>
      </c>
      <c r="H4061" s="15">
        <v>45536</v>
      </c>
      <c r="I4061">
        <v>2300</v>
      </c>
      <c r="J4061">
        <v>0</v>
      </c>
    </row>
    <row r="4062" spans="1:10" x14ac:dyDescent="0.3">
      <c r="A4062" s="15">
        <v>45748</v>
      </c>
      <c r="B4062" t="s">
        <v>378</v>
      </c>
      <c r="C4062" t="s">
        <v>81</v>
      </c>
      <c r="D4062" t="s">
        <v>82</v>
      </c>
      <c r="E4062" t="s">
        <v>92</v>
      </c>
      <c r="F4062">
        <v>2300</v>
      </c>
      <c r="G4062" t="s">
        <v>331</v>
      </c>
      <c r="H4062" s="15">
        <v>45536</v>
      </c>
      <c r="I4062">
        <v>2300</v>
      </c>
      <c r="J4062">
        <v>0</v>
      </c>
    </row>
    <row r="4063" spans="1:10" x14ac:dyDescent="0.3">
      <c r="A4063" s="15">
        <v>45748</v>
      </c>
      <c r="B4063" t="s">
        <v>379</v>
      </c>
      <c r="C4063" t="s">
        <v>81</v>
      </c>
      <c r="D4063" t="s">
        <v>99</v>
      </c>
      <c r="E4063" t="s">
        <v>101</v>
      </c>
      <c r="F4063">
        <v>2600</v>
      </c>
      <c r="G4063" t="s">
        <v>331</v>
      </c>
      <c r="H4063" s="15">
        <v>45536</v>
      </c>
      <c r="I4063">
        <v>2600</v>
      </c>
      <c r="J4063">
        <v>0</v>
      </c>
    </row>
    <row r="4064" spans="1:10" x14ac:dyDescent="0.3">
      <c r="A4064" s="15">
        <v>45748</v>
      </c>
      <c r="B4064" t="s">
        <v>380</v>
      </c>
      <c r="C4064" t="s">
        <v>81</v>
      </c>
      <c r="D4064" t="s">
        <v>82</v>
      </c>
      <c r="E4064" t="s">
        <v>101</v>
      </c>
      <c r="F4064">
        <v>2200</v>
      </c>
      <c r="G4064" t="s">
        <v>331</v>
      </c>
      <c r="H4064" s="15">
        <v>45536</v>
      </c>
      <c r="I4064">
        <v>2200</v>
      </c>
      <c r="J4064">
        <v>0</v>
      </c>
    </row>
    <row r="4065" spans="1:10" x14ac:dyDescent="0.3">
      <c r="A4065" s="15">
        <v>45748</v>
      </c>
      <c r="B4065" t="s">
        <v>381</v>
      </c>
      <c r="C4065" t="s">
        <v>91</v>
      </c>
      <c r="D4065" t="s">
        <v>86</v>
      </c>
      <c r="E4065" t="s">
        <v>92</v>
      </c>
      <c r="F4065">
        <v>4600</v>
      </c>
      <c r="G4065" t="s">
        <v>331</v>
      </c>
      <c r="H4065" s="15">
        <v>45536</v>
      </c>
      <c r="I4065">
        <v>4600</v>
      </c>
      <c r="J4065">
        <v>0</v>
      </c>
    </row>
    <row r="4066" spans="1:10" x14ac:dyDescent="0.3">
      <c r="A4066" s="15">
        <v>45748</v>
      </c>
      <c r="B4066" t="s">
        <v>382</v>
      </c>
      <c r="C4066" t="s">
        <v>81</v>
      </c>
      <c r="D4066" t="s">
        <v>96</v>
      </c>
      <c r="E4066" t="s">
        <v>101</v>
      </c>
      <c r="F4066">
        <v>2100</v>
      </c>
      <c r="G4066" t="s">
        <v>331</v>
      </c>
      <c r="H4066" s="15">
        <v>45536</v>
      </c>
      <c r="I4066">
        <v>2100</v>
      </c>
      <c r="J4066">
        <v>0</v>
      </c>
    </row>
    <row r="4067" spans="1:10" x14ac:dyDescent="0.3">
      <c r="A4067" s="15">
        <v>45748</v>
      </c>
      <c r="B4067" t="s">
        <v>383</v>
      </c>
      <c r="C4067" t="s">
        <v>81</v>
      </c>
      <c r="D4067" t="s">
        <v>82</v>
      </c>
      <c r="E4067" t="s">
        <v>87</v>
      </c>
      <c r="F4067">
        <v>1800</v>
      </c>
      <c r="G4067" t="s">
        <v>331</v>
      </c>
      <c r="H4067" s="15">
        <v>45536</v>
      </c>
      <c r="I4067">
        <v>1800</v>
      </c>
      <c r="J4067">
        <v>0</v>
      </c>
    </row>
    <row r="4068" spans="1:10" x14ac:dyDescent="0.3">
      <c r="A4068" s="15">
        <v>45748</v>
      </c>
      <c r="B4068" t="s">
        <v>384</v>
      </c>
      <c r="C4068" t="s">
        <v>91</v>
      </c>
      <c r="D4068" t="s">
        <v>82</v>
      </c>
      <c r="E4068" t="s">
        <v>103</v>
      </c>
      <c r="F4068">
        <v>5000</v>
      </c>
      <c r="G4068" t="s">
        <v>331</v>
      </c>
      <c r="H4068" s="15">
        <v>45566</v>
      </c>
      <c r="I4068">
        <v>5000</v>
      </c>
      <c r="J4068">
        <v>0</v>
      </c>
    </row>
    <row r="4069" spans="1:10" x14ac:dyDescent="0.3">
      <c r="A4069" s="15">
        <v>45748</v>
      </c>
      <c r="B4069" t="s">
        <v>385</v>
      </c>
      <c r="C4069" t="s">
        <v>91</v>
      </c>
      <c r="D4069" t="s">
        <v>99</v>
      </c>
      <c r="E4069" t="s">
        <v>83</v>
      </c>
      <c r="F4069">
        <v>8300</v>
      </c>
      <c r="G4069" t="s">
        <v>331</v>
      </c>
      <c r="H4069" s="15">
        <v>45566</v>
      </c>
      <c r="I4069">
        <v>8300</v>
      </c>
      <c r="J4069">
        <v>0</v>
      </c>
    </row>
    <row r="4070" spans="1:10" x14ac:dyDescent="0.3">
      <c r="A4070" s="15">
        <v>45748</v>
      </c>
      <c r="B4070" t="s">
        <v>386</v>
      </c>
      <c r="C4070" t="s">
        <v>81</v>
      </c>
      <c r="D4070" t="s">
        <v>82</v>
      </c>
      <c r="E4070" t="s">
        <v>103</v>
      </c>
      <c r="F4070">
        <v>2200</v>
      </c>
      <c r="G4070" t="s">
        <v>331</v>
      </c>
      <c r="H4070" s="15">
        <v>45566</v>
      </c>
      <c r="I4070">
        <v>2200</v>
      </c>
      <c r="J4070">
        <v>0</v>
      </c>
    </row>
    <row r="4071" spans="1:10" x14ac:dyDescent="0.3">
      <c r="A4071" s="15">
        <v>45748</v>
      </c>
      <c r="B4071" t="s">
        <v>387</v>
      </c>
      <c r="C4071" t="s">
        <v>81</v>
      </c>
      <c r="D4071" t="s">
        <v>86</v>
      </c>
      <c r="E4071" t="s">
        <v>92</v>
      </c>
      <c r="F4071">
        <v>1700</v>
      </c>
      <c r="G4071" t="s">
        <v>331</v>
      </c>
      <c r="H4071" s="15">
        <v>45566</v>
      </c>
      <c r="I4071">
        <v>1700</v>
      </c>
      <c r="J4071">
        <v>0</v>
      </c>
    </row>
    <row r="4072" spans="1:10" x14ac:dyDescent="0.3">
      <c r="A4072" s="15">
        <v>45748</v>
      </c>
      <c r="B4072" t="s">
        <v>388</v>
      </c>
      <c r="C4072" t="s">
        <v>81</v>
      </c>
      <c r="D4072" t="s">
        <v>99</v>
      </c>
      <c r="E4072" t="s">
        <v>103</v>
      </c>
      <c r="F4072">
        <v>1700</v>
      </c>
      <c r="G4072" t="s">
        <v>331</v>
      </c>
      <c r="H4072" s="15">
        <v>45566</v>
      </c>
      <c r="I4072">
        <v>1700</v>
      </c>
      <c r="J4072">
        <v>0</v>
      </c>
    </row>
    <row r="4073" spans="1:10" x14ac:dyDescent="0.3">
      <c r="A4073" s="15">
        <v>45748</v>
      </c>
      <c r="B4073" t="s">
        <v>389</v>
      </c>
      <c r="C4073" t="s">
        <v>91</v>
      </c>
      <c r="D4073" t="s">
        <v>82</v>
      </c>
      <c r="E4073" t="s">
        <v>101</v>
      </c>
      <c r="F4073">
        <v>7300</v>
      </c>
      <c r="G4073" t="s">
        <v>331</v>
      </c>
      <c r="H4073" s="15">
        <v>45566</v>
      </c>
      <c r="I4073">
        <v>7300</v>
      </c>
      <c r="J4073">
        <v>0</v>
      </c>
    </row>
    <row r="4074" spans="1:10" x14ac:dyDescent="0.3">
      <c r="A4074" s="15">
        <v>45748</v>
      </c>
      <c r="B4074" t="s">
        <v>390</v>
      </c>
      <c r="C4074" t="s">
        <v>91</v>
      </c>
      <c r="D4074" t="s">
        <v>82</v>
      </c>
      <c r="E4074" t="s">
        <v>89</v>
      </c>
      <c r="F4074">
        <v>6200</v>
      </c>
      <c r="G4074" t="s">
        <v>331</v>
      </c>
      <c r="H4074" s="15">
        <v>45566</v>
      </c>
      <c r="I4074">
        <v>6200</v>
      </c>
      <c r="J4074">
        <v>0</v>
      </c>
    </row>
    <row r="4075" spans="1:10" x14ac:dyDescent="0.3">
      <c r="A4075" s="15">
        <v>45748</v>
      </c>
      <c r="B4075" t="s">
        <v>392</v>
      </c>
      <c r="C4075" t="s">
        <v>91</v>
      </c>
      <c r="D4075" t="s">
        <v>86</v>
      </c>
      <c r="E4075" t="s">
        <v>97</v>
      </c>
      <c r="F4075">
        <v>10000</v>
      </c>
      <c r="G4075" t="s">
        <v>331</v>
      </c>
      <c r="H4075" s="15">
        <v>45597</v>
      </c>
      <c r="I4075">
        <v>10000</v>
      </c>
      <c r="J4075">
        <v>0</v>
      </c>
    </row>
    <row r="4076" spans="1:10" x14ac:dyDescent="0.3">
      <c r="A4076" s="15">
        <v>45748</v>
      </c>
      <c r="B4076" t="s">
        <v>393</v>
      </c>
      <c r="C4076" t="s">
        <v>81</v>
      </c>
      <c r="D4076" t="s">
        <v>82</v>
      </c>
      <c r="E4076" t="s">
        <v>92</v>
      </c>
      <c r="F4076">
        <v>2100</v>
      </c>
      <c r="G4076" t="s">
        <v>331</v>
      </c>
      <c r="H4076" s="15">
        <v>45597</v>
      </c>
      <c r="I4076">
        <v>2100</v>
      </c>
      <c r="J4076">
        <v>0</v>
      </c>
    </row>
    <row r="4077" spans="1:10" x14ac:dyDescent="0.3">
      <c r="A4077" s="15">
        <v>45748</v>
      </c>
      <c r="B4077" t="s">
        <v>394</v>
      </c>
      <c r="C4077" t="s">
        <v>81</v>
      </c>
      <c r="D4077" t="s">
        <v>99</v>
      </c>
      <c r="E4077" t="s">
        <v>87</v>
      </c>
      <c r="F4077">
        <v>1400</v>
      </c>
      <c r="G4077" t="s">
        <v>331</v>
      </c>
      <c r="H4077" s="15">
        <v>45597</v>
      </c>
      <c r="I4077">
        <v>1400</v>
      </c>
      <c r="J4077">
        <v>0</v>
      </c>
    </row>
    <row r="4078" spans="1:10" x14ac:dyDescent="0.3">
      <c r="A4078" s="15">
        <v>45748</v>
      </c>
      <c r="B4078" t="s">
        <v>395</v>
      </c>
      <c r="C4078" t="s">
        <v>81</v>
      </c>
      <c r="D4078" t="s">
        <v>82</v>
      </c>
      <c r="E4078" t="s">
        <v>97</v>
      </c>
      <c r="F4078">
        <v>2200</v>
      </c>
      <c r="G4078" t="s">
        <v>331</v>
      </c>
      <c r="H4078" s="15">
        <v>45627</v>
      </c>
      <c r="I4078">
        <v>2200</v>
      </c>
      <c r="J4078">
        <v>0</v>
      </c>
    </row>
    <row r="4079" spans="1:10" x14ac:dyDescent="0.3">
      <c r="A4079" s="15">
        <v>45748</v>
      </c>
      <c r="B4079" t="s">
        <v>396</v>
      </c>
      <c r="C4079" t="s">
        <v>91</v>
      </c>
      <c r="D4079" t="s">
        <v>82</v>
      </c>
      <c r="E4079" t="s">
        <v>92</v>
      </c>
      <c r="F4079">
        <v>8800</v>
      </c>
      <c r="G4079" t="s">
        <v>331</v>
      </c>
      <c r="H4079" s="15">
        <v>45627</v>
      </c>
      <c r="I4079">
        <v>8800</v>
      </c>
      <c r="J4079">
        <v>0</v>
      </c>
    </row>
    <row r="4080" spans="1:10" x14ac:dyDescent="0.3">
      <c r="A4080" s="15">
        <v>45748</v>
      </c>
      <c r="B4080" t="s">
        <v>397</v>
      </c>
      <c r="C4080" t="s">
        <v>91</v>
      </c>
      <c r="D4080" t="s">
        <v>82</v>
      </c>
      <c r="E4080" t="s">
        <v>83</v>
      </c>
      <c r="F4080">
        <v>5400</v>
      </c>
      <c r="G4080" t="s">
        <v>331</v>
      </c>
      <c r="H4080" s="15">
        <v>45627</v>
      </c>
      <c r="I4080">
        <v>5400</v>
      </c>
      <c r="J4080">
        <v>0</v>
      </c>
    </row>
    <row r="4081" spans="1:10" x14ac:dyDescent="0.3">
      <c r="A4081" s="15">
        <v>45748</v>
      </c>
      <c r="B4081" t="s">
        <v>398</v>
      </c>
      <c r="C4081" t="s">
        <v>81</v>
      </c>
      <c r="D4081" t="s">
        <v>86</v>
      </c>
      <c r="E4081" t="s">
        <v>92</v>
      </c>
      <c r="F4081">
        <v>1600</v>
      </c>
      <c r="G4081" t="s">
        <v>331</v>
      </c>
      <c r="H4081" s="15">
        <v>45627</v>
      </c>
      <c r="I4081">
        <v>1600</v>
      </c>
      <c r="J4081">
        <v>0</v>
      </c>
    </row>
    <row r="4082" spans="1:10" x14ac:dyDescent="0.3">
      <c r="A4082" s="15">
        <v>45748</v>
      </c>
      <c r="B4082" t="s">
        <v>399</v>
      </c>
      <c r="C4082" t="s">
        <v>110</v>
      </c>
      <c r="D4082" t="s">
        <v>82</v>
      </c>
      <c r="E4082" t="s">
        <v>101</v>
      </c>
      <c r="F4082">
        <v>17400</v>
      </c>
      <c r="G4082" t="s">
        <v>331</v>
      </c>
      <c r="H4082" s="15">
        <v>45627</v>
      </c>
      <c r="I4082">
        <v>17400</v>
      </c>
      <c r="J4082">
        <v>0</v>
      </c>
    </row>
    <row r="4083" spans="1:10" x14ac:dyDescent="0.3">
      <c r="A4083" s="15">
        <v>45748</v>
      </c>
      <c r="B4083" t="s">
        <v>400</v>
      </c>
      <c r="C4083" t="s">
        <v>91</v>
      </c>
      <c r="D4083" t="s">
        <v>82</v>
      </c>
      <c r="E4083" t="s">
        <v>103</v>
      </c>
      <c r="F4083">
        <v>4400</v>
      </c>
      <c r="G4083" t="s">
        <v>331</v>
      </c>
      <c r="H4083" s="15">
        <v>45627</v>
      </c>
      <c r="I4083">
        <v>4400</v>
      </c>
      <c r="J4083">
        <v>0</v>
      </c>
    </row>
    <row r="4084" spans="1:10" x14ac:dyDescent="0.3">
      <c r="A4084" s="15">
        <v>45748</v>
      </c>
      <c r="B4084" t="s">
        <v>401</v>
      </c>
      <c r="C4084" t="s">
        <v>81</v>
      </c>
      <c r="D4084" t="s">
        <v>82</v>
      </c>
      <c r="E4084" t="s">
        <v>103</v>
      </c>
      <c r="F4084">
        <v>2200</v>
      </c>
      <c r="G4084" t="s">
        <v>331</v>
      </c>
      <c r="H4084" s="15">
        <v>45658</v>
      </c>
      <c r="I4084">
        <v>2200</v>
      </c>
      <c r="J4084">
        <v>0</v>
      </c>
    </row>
    <row r="4085" spans="1:10" x14ac:dyDescent="0.3">
      <c r="A4085" s="15">
        <v>45748</v>
      </c>
      <c r="B4085" t="s">
        <v>403</v>
      </c>
      <c r="C4085" t="s">
        <v>81</v>
      </c>
      <c r="D4085" t="s">
        <v>82</v>
      </c>
      <c r="E4085" t="s">
        <v>101</v>
      </c>
      <c r="F4085">
        <v>1900</v>
      </c>
      <c r="G4085" t="s">
        <v>331</v>
      </c>
      <c r="H4085" s="15">
        <v>45658</v>
      </c>
      <c r="I4085">
        <v>1900</v>
      </c>
      <c r="J4085">
        <v>0</v>
      </c>
    </row>
    <row r="4086" spans="1:10" x14ac:dyDescent="0.3">
      <c r="A4086" s="15">
        <v>45748</v>
      </c>
      <c r="B4086" t="s">
        <v>404</v>
      </c>
      <c r="C4086" t="s">
        <v>81</v>
      </c>
      <c r="D4086" t="s">
        <v>86</v>
      </c>
      <c r="E4086" t="s">
        <v>83</v>
      </c>
      <c r="F4086">
        <v>2100</v>
      </c>
      <c r="G4086" t="s">
        <v>331</v>
      </c>
      <c r="H4086" s="15">
        <v>45658</v>
      </c>
      <c r="I4086">
        <v>2100</v>
      </c>
      <c r="J4086">
        <v>0</v>
      </c>
    </row>
    <row r="4087" spans="1:10" x14ac:dyDescent="0.3">
      <c r="A4087" s="15">
        <v>45748</v>
      </c>
      <c r="B4087" t="s">
        <v>405</v>
      </c>
      <c r="C4087" t="s">
        <v>81</v>
      </c>
      <c r="D4087" t="s">
        <v>82</v>
      </c>
      <c r="E4087" t="s">
        <v>92</v>
      </c>
      <c r="F4087">
        <v>1500</v>
      </c>
      <c r="G4087" t="s">
        <v>331</v>
      </c>
      <c r="H4087" s="15">
        <v>45658</v>
      </c>
      <c r="I4087">
        <v>1500</v>
      </c>
      <c r="J4087">
        <v>0</v>
      </c>
    </row>
    <row r="4088" spans="1:10" x14ac:dyDescent="0.3">
      <c r="A4088" s="15">
        <v>45748</v>
      </c>
      <c r="B4088" t="s">
        <v>406</v>
      </c>
      <c r="C4088" t="s">
        <v>91</v>
      </c>
      <c r="D4088" t="s">
        <v>86</v>
      </c>
      <c r="E4088" t="s">
        <v>87</v>
      </c>
      <c r="F4088">
        <v>5400</v>
      </c>
      <c r="G4088" t="s">
        <v>331</v>
      </c>
      <c r="H4088" s="15">
        <v>45658</v>
      </c>
      <c r="I4088">
        <v>5400</v>
      </c>
      <c r="J4088">
        <v>0</v>
      </c>
    </row>
    <row r="4089" spans="1:10" x14ac:dyDescent="0.3">
      <c r="A4089" s="15">
        <v>45748</v>
      </c>
      <c r="B4089" t="s">
        <v>407</v>
      </c>
      <c r="C4089" t="s">
        <v>81</v>
      </c>
      <c r="D4089" t="s">
        <v>82</v>
      </c>
      <c r="E4089" t="s">
        <v>92</v>
      </c>
      <c r="F4089">
        <v>2400</v>
      </c>
      <c r="G4089" t="s">
        <v>331</v>
      </c>
      <c r="H4089" s="15">
        <v>45689</v>
      </c>
      <c r="I4089">
        <v>2400</v>
      </c>
      <c r="J4089">
        <v>0</v>
      </c>
    </row>
    <row r="4090" spans="1:10" x14ac:dyDescent="0.3">
      <c r="A4090" s="15">
        <v>45748</v>
      </c>
      <c r="B4090" t="s">
        <v>408</v>
      </c>
      <c r="C4090" t="s">
        <v>91</v>
      </c>
      <c r="D4090" t="s">
        <v>82</v>
      </c>
      <c r="E4090" t="s">
        <v>97</v>
      </c>
      <c r="F4090">
        <v>0</v>
      </c>
      <c r="G4090" t="s">
        <v>333</v>
      </c>
      <c r="H4090" s="15">
        <v>45689</v>
      </c>
      <c r="I4090">
        <v>8300</v>
      </c>
      <c r="J4090">
        <v>-8300</v>
      </c>
    </row>
    <row r="4091" spans="1:10" x14ac:dyDescent="0.3">
      <c r="A4091" s="15">
        <v>45748</v>
      </c>
      <c r="B4091" t="s">
        <v>409</v>
      </c>
      <c r="C4091" t="s">
        <v>81</v>
      </c>
      <c r="D4091" t="s">
        <v>82</v>
      </c>
      <c r="E4091" t="s">
        <v>83</v>
      </c>
      <c r="F4091">
        <v>1700</v>
      </c>
      <c r="G4091" t="s">
        <v>331</v>
      </c>
      <c r="H4091" s="15">
        <v>45689</v>
      </c>
      <c r="I4091">
        <v>1700</v>
      </c>
      <c r="J4091">
        <v>0</v>
      </c>
    </row>
    <row r="4092" spans="1:10" x14ac:dyDescent="0.3">
      <c r="A4092" s="15">
        <v>45748</v>
      </c>
      <c r="B4092" t="s">
        <v>410</v>
      </c>
      <c r="C4092" t="s">
        <v>125</v>
      </c>
      <c r="D4092" t="s">
        <v>82</v>
      </c>
      <c r="E4092" t="s">
        <v>103</v>
      </c>
      <c r="F4092">
        <v>56400</v>
      </c>
      <c r="G4092" t="s">
        <v>331</v>
      </c>
      <c r="H4092" s="15">
        <v>45689</v>
      </c>
      <c r="I4092">
        <v>56400</v>
      </c>
      <c r="J4092">
        <v>0</v>
      </c>
    </row>
    <row r="4093" spans="1:10" x14ac:dyDescent="0.3">
      <c r="A4093" s="15">
        <v>45748</v>
      </c>
      <c r="B4093" t="s">
        <v>411</v>
      </c>
      <c r="C4093" t="s">
        <v>91</v>
      </c>
      <c r="D4093" t="s">
        <v>86</v>
      </c>
      <c r="E4093" t="s">
        <v>92</v>
      </c>
      <c r="F4093">
        <v>7700</v>
      </c>
      <c r="G4093" t="s">
        <v>331</v>
      </c>
      <c r="H4093" s="15">
        <v>45689</v>
      </c>
      <c r="I4093">
        <v>7700</v>
      </c>
      <c r="J4093">
        <v>0</v>
      </c>
    </row>
    <row r="4094" spans="1:10" x14ac:dyDescent="0.3">
      <c r="A4094" s="15">
        <v>45748</v>
      </c>
      <c r="B4094" t="s">
        <v>412</v>
      </c>
      <c r="C4094" t="s">
        <v>81</v>
      </c>
      <c r="D4094" t="s">
        <v>82</v>
      </c>
      <c r="E4094" t="s">
        <v>89</v>
      </c>
      <c r="F4094">
        <v>2200</v>
      </c>
      <c r="G4094" t="s">
        <v>331</v>
      </c>
      <c r="H4094" s="15">
        <v>45717</v>
      </c>
      <c r="I4094">
        <v>2200</v>
      </c>
      <c r="J4094">
        <v>0</v>
      </c>
    </row>
    <row r="4095" spans="1:10" x14ac:dyDescent="0.3">
      <c r="A4095" s="15">
        <v>45748</v>
      </c>
      <c r="B4095" t="s">
        <v>413</v>
      </c>
      <c r="C4095" t="s">
        <v>81</v>
      </c>
      <c r="D4095" t="s">
        <v>99</v>
      </c>
      <c r="E4095" t="s">
        <v>101</v>
      </c>
      <c r="F4095">
        <v>2300</v>
      </c>
      <c r="G4095" t="s">
        <v>331</v>
      </c>
      <c r="H4095" s="15">
        <v>45717</v>
      </c>
      <c r="I4095">
        <v>2300</v>
      </c>
      <c r="J4095">
        <v>0</v>
      </c>
    </row>
    <row r="4096" spans="1:10" x14ac:dyDescent="0.3">
      <c r="A4096" s="15">
        <v>45748</v>
      </c>
      <c r="B4096" t="s">
        <v>414</v>
      </c>
      <c r="C4096" t="s">
        <v>110</v>
      </c>
      <c r="D4096" t="s">
        <v>99</v>
      </c>
      <c r="E4096" t="s">
        <v>89</v>
      </c>
      <c r="F4096">
        <v>33800</v>
      </c>
      <c r="G4096" t="s">
        <v>331</v>
      </c>
      <c r="H4096" s="15">
        <v>45717</v>
      </c>
      <c r="I4096">
        <v>33800</v>
      </c>
      <c r="J4096">
        <v>0</v>
      </c>
    </row>
    <row r="4097" spans="1:10" x14ac:dyDescent="0.3">
      <c r="A4097" s="15">
        <v>45748</v>
      </c>
      <c r="B4097" t="s">
        <v>415</v>
      </c>
      <c r="C4097" t="s">
        <v>81</v>
      </c>
      <c r="D4097" t="s">
        <v>96</v>
      </c>
      <c r="E4097" t="s">
        <v>89</v>
      </c>
      <c r="F4097">
        <v>2100</v>
      </c>
      <c r="G4097" t="s">
        <v>331</v>
      </c>
      <c r="H4097" s="15">
        <v>45717</v>
      </c>
      <c r="I4097">
        <v>2100</v>
      </c>
      <c r="J4097">
        <v>0</v>
      </c>
    </row>
    <row r="4098" spans="1:10" x14ac:dyDescent="0.3">
      <c r="A4098" s="15">
        <v>45748</v>
      </c>
      <c r="B4098" t="s">
        <v>416</v>
      </c>
      <c r="C4098" t="s">
        <v>81</v>
      </c>
      <c r="D4098" t="s">
        <v>99</v>
      </c>
      <c r="E4098" t="s">
        <v>103</v>
      </c>
      <c r="F4098">
        <v>2500</v>
      </c>
      <c r="G4098" t="s">
        <v>331</v>
      </c>
      <c r="H4098" s="15">
        <v>45717</v>
      </c>
      <c r="I4098">
        <v>2500</v>
      </c>
      <c r="J4098">
        <v>0</v>
      </c>
    </row>
    <row r="4099" spans="1:10" x14ac:dyDescent="0.3">
      <c r="A4099" s="15">
        <v>45748</v>
      </c>
      <c r="B4099" t="s">
        <v>417</v>
      </c>
      <c r="C4099" t="s">
        <v>110</v>
      </c>
      <c r="D4099" t="s">
        <v>86</v>
      </c>
      <c r="E4099" t="s">
        <v>92</v>
      </c>
      <c r="F4099">
        <v>35600</v>
      </c>
      <c r="G4099" t="s">
        <v>331</v>
      </c>
      <c r="H4099" s="15">
        <v>45717</v>
      </c>
      <c r="I4099">
        <v>35600</v>
      </c>
      <c r="J4099">
        <v>0</v>
      </c>
    </row>
    <row r="4100" spans="1:10" x14ac:dyDescent="0.3">
      <c r="A4100" s="15">
        <v>45748</v>
      </c>
      <c r="B4100" t="s">
        <v>418</v>
      </c>
      <c r="C4100" t="s">
        <v>81</v>
      </c>
      <c r="D4100" t="s">
        <v>86</v>
      </c>
      <c r="E4100" t="s">
        <v>92</v>
      </c>
      <c r="F4100">
        <v>1600</v>
      </c>
      <c r="G4100" t="s">
        <v>84</v>
      </c>
      <c r="H4100" s="15">
        <v>45748</v>
      </c>
      <c r="I4100">
        <v>0</v>
      </c>
      <c r="J4100">
        <v>1600</v>
      </c>
    </row>
    <row r="4101" spans="1:10" x14ac:dyDescent="0.3">
      <c r="A4101" s="15">
        <v>45748</v>
      </c>
      <c r="B4101" t="s">
        <v>419</v>
      </c>
      <c r="C4101" t="s">
        <v>125</v>
      </c>
      <c r="D4101" t="s">
        <v>96</v>
      </c>
      <c r="E4101" t="s">
        <v>103</v>
      </c>
      <c r="F4101">
        <v>73300</v>
      </c>
      <c r="G4101" t="s">
        <v>84</v>
      </c>
      <c r="H4101" s="15">
        <v>45748</v>
      </c>
      <c r="I4101">
        <v>0</v>
      </c>
      <c r="J4101">
        <v>73300</v>
      </c>
    </row>
    <row r="4102" spans="1:10" x14ac:dyDescent="0.3">
      <c r="A4102" s="15">
        <v>45748</v>
      </c>
      <c r="B4102" t="s">
        <v>420</v>
      </c>
      <c r="C4102" t="s">
        <v>110</v>
      </c>
      <c r="D4102" t="s">
        <v>96</v>
      </c>
      <c r="E4102" t="s">
        <v>103</v>
      </c>
      <c r="F4102">
        <v>20700</v>
      </c>
      <c r="G4102" t="s">
        <v>84</v>
      </c>
      <c r="H4102" s="15">
        <v>45748</v>
      </c>
      <c r="I4102">
        <v>0</v>
      </c>
      <c r="J4102">
        <v>20700</v>
      </c>
    </row>
    <row r="4103" spans="1:10" x14ac:dyDescent="0.3">
      <c r="A4103" s="15">
        <v>45748</v>
      </c>
      <c r="B4103" t="s">
        <v>421</v>
      </c>
      <c r="C4103" t="s">
        <v>110</v>
      </c>
      <c r="D4103" t="s">
        <v>82</v>
      </c>
      <c r="E4103" t="s">
        <v>103</v>
      </c>
      <c r="F4103">
        <v>18800</v>
      </c>
      <c r="G4103" t="s">
        <v>84</v>
      </c>
      <c r="H4103" s="15">
        <v>45748</v>
      </c>
      <c r="I4103">
        <v>0</v>
      </c>
      <c r="J4103">
        <v>18800</v>
      </c>
    </row>
    <row r="4104" spans="1:10" x14ac:dyDescent="0.3">
      <c r="A4104" s="15">
        <v>45748</v>
      </c>
      <c r="B4104" t="s">
        <v>422</v>
      </c>
      <c r="C4104" t="s">
        <v>81</v>
      </c>
      <c r="D4104" t="s">
        <v>82</v>
      </c>
      <c r="E4104" t="s">
        <v>97</v>
      </c>
      <c r="F4104">
        <v>2300</v>
      </c>
      <c r="G4104" t="s">
        <v>84</v>
      </c>
      <c r="H4104" s="15">
        <v>45748</v>
      </c>
      <c r="I4104">
        <v>0</v>
      </c>
      <c r="J4104">
        <v>2300</v>
      </c>
    </row>
    <row r="4105" spans="1:10" x14ac:dyDescent="0.3">
      <c r="A4105" s="15">
        <v>45748</v>
      </c>
      <c r="B4105" t="s">
        <v>423</v>
      </c>
      <c r="C4105" t="s">
        <v>125</v>
      </c>
      <c r="D4105" t="s">
        <v>86</v>
      </c>
      <c r="E4105" t="s">
        <v>97</v>
      </c>
      <c r="F4105">
        <v>52800</v>
      </c>
      <c r="G4105" t="s">
        <v>84</v>
      </c>
      <c r="H4105" s="15">
        <v>45748</v>
      </c>
      <c r="I4105">
        <v>0</v>
      </c>
      <c r="J4105">
        <v>52800</v>
      </c>
    </row>
    <row r="4106" spans="1:10" x14ac:dyDescent="0.3">
      <c r="A4106" s="15">
        <v>45778</v>
      </c>
      <c r="B4106" t="s">
        <v>80</v>
      </c>
      <c r="C4106" t="s">
        <v>81</v>
      </c>
      <c r="D4106" t="s">
        <v>82</v>
      </c>
      <c r="E4106" t="s">
        <v>83</v>
      </c>
      <c r="F4106">
        <v>1900</v>
      </c>
      <c r="G4106" t="s">
        <v>331</v>
      </c>
      <c r="H4106" s="15">
        <v>45292</v>
      </c>
      <c r="I4106">
        <v>1900</v>
      </c>
      <c r="J4106">
        <v>0</v>
      </c>
    </row>
    <row r="4107" spans="1:10" x14ac:dyDescent="0.3">
      <c r="A4107" s="15">
        <v>45778</v>
      </c>
      <c r="B4107" t="s">
        <v>85</v>
      </c>
      <c r="C4107" t="s">
        <v>81</v>
      </c>
      <c r="D4107" t="s">
        <v>86</v>
      </c>
      <c r="E4107" t="s">
        <v>87</v>
      </c>
      <c r="F4107">
        <v>3200</v>
      </c>
      <c r="G4107" t="s">
        <v>331</v>
      </c>
      <c r="H4107" s="15">
        <v>45292</v>
      </c>
      <c r="I4107">
        <v>3200</v>
      </c>
      <c r="J4107">
        <v>0</v>
      </c>
    </row>
    <row r="4108" spans="1:10" x14ac:dyDescent="0.3">
      <c r="A4108" s="15">
        <v>45778</v>
      </c>
      <c r="B4108" t="s">
        <v>88</v>
      </c>
      <c r="C4108" t="s">
        <v>81</v>
      </c>
      <c r="D4108" t="s">
        <v>86</v>
      </c>
      <c r="E4108" t="s">
        <v>89</v>
      </c>
      <c r="F4108">
        <v>2400</v>
      </c>
      <c r="G4108" t="s">
        <v>331</v>
      </c>
      <c r="H4108" s="15">
        <v>45292</v>
      </c>
      <c r="I4108">
        <v>2400</v>
      </c>
      <c r="J4108">
        <v>0</v>
      </c>
    </row>
    <row r="4109" spans="1:10" x14ac:dyDescent="0.3">
      <c r="A4109" s="15">
        <v>45778</v>
      </c>
      <c r="B4109" t="s">
        <v>90</v>
      </c>
      <c r="C4109" t="s">
        <v>91</v>
      </c>
      <c r="D4109" t="s">
        <v>82</v>
      </c>
      <c r="E4109" t="s">
        <v>92</v>
      </c>
      <c r="F4109">
        <v>8300</v>
      </c>
      <c r="G4109" t="s">
        <v>331</v>
      </c>
      <c r="H4109" s="15">
        <v>45292</v>
      </c>
      <c r="I4109">
        <v>8300</v>
      </c>
      <c r="J4109">
        <v>0</v>
      </c>
    </row>
    <row r="4110" spans="1:10" x14ac:dyDescent="0.3">
      <c r="A4110" s="15">
        <v>45778</v>
      </c>
      <c r="B4110" t="s">
        <v>93</v>
      </c>
      <c r="C4110" t="s">
        <v>81</v>
      </c>
      <c r="D4110" t="s">
        <v>86</v>
      </c>
      <c r="E4110" t="s">
        <v>83</v>
      </c>
      <c r="F4110">
        <v>2300</v>
      </c>
      <c r="G4110" t="s">
        <v>331</v>
      </c>
      <c r="H4110" s="15">
        <v>45292</v>
      </c>
      <c r="I4110">
        <v>2300</v>
      </c>
      <c r="J4110">
        <v>0</v>
      </c>
    </row>
    <row r="4111" spans="1:10" x14ac:dyDescent="0.3">
      <c r="A4111" s="15">
        <v>45778</v>
      </c>
      <c r="B4111" t="s">
        <v>94</v>
      </c>
      <c r="C4111" t="s">
        <v>91</v>
      </c>
      <c r="D4111" t="s">
        <v>86</v>
      </c>
      <c r="E4111" t="s">
        <v>83</v>
      </c>
      <c r="F4111">
        <v>8500</v>
      </c>
      <c r="G4111" t="s">
        <v>331</v>
      </c>
      <c r="H4111" s="15">
        <v>45292</v>
      </c>
      <c r="I4111">
        <v>8500</v>
      </c>
      <c r="J4111">
        <v>0</v>
      </c>
    </row>
    <row r="4112" spans="1:10" x14ac:dyDescent="0.3">
      <c r="A4112" s="15">
        <v>45778</v>
      </c>
      <c r="B4112" t="s">
        <v>95</v>
      </c>
      <c r="C4112" t="s">
        <v>81</v>
      </c>
      <c r="D4112" t="s">
        <v>96</v>
      </c>
      <c r="E4112" t="s">
        <v>97</v>
      </c>
      <c r="F4112">
        <v>3100</v>
      </c>
      <c r="G4112" t="s">
        <v>331</v>
      </c>
      <c r="H4112" s="15">
        <v>45292</v>
      </c>
      <c r="I4112">
        <v>3100</v>
      </c>
      <c r="J4112">
        <v>0</v>
      </c>
    </row>
    <row r="4113" spans="1:10" x14ac:dyDescent="0.3">
      <c r="A4113" s="15">
        <v>45778</v>
      </c>
      <c r="B4113" t="s">
        <v>98</v>
      </c>
      <c r="C4113" t="s">
        <v>81</v>
      </c>
      <c r="D4113" t="s">
        <v>99</v>
      </c>
      <c r="E4113" t="s">
        <v>92</v>
      </c>
      <c r="F4113">
        <v>2300</v>
      </c>
      <c r="G4113" t="s">
        <v>331</v>
      </c>
      <c r="H4113" s="15">
        <v>45292</v>
      </c>
      <c r="I4113">
        <v>2300</v>
      </c>
      <c r="J4113">
        <v>0</v>
      </c>
    </row>
    <row r="4114" spans="1:10" x14ac:dyDescent="0.3">
      <c r="A4114" s="15">
        <v>45778</v>
      </c>
      <c r="B4114" t="s">
        <v>100</v>
      </c>
      <c r="C4114" t="s">
        <v>81</v>
      </c>
      <c r="D4114" t="s">
        <v>86</v>
      </c>
      <c r="E4114" t="s">
        <v>101</v>
      </c>
      <c r="F4114">
        <v>1800</v>
      </c>
      <c r="G4114" t="s">
        <v>331</v>
      </c>
      <c r="H4114" s="15">
        <v>45292</v>
      </c>
      <c r="I4114">
        <v>1800</v>
      </c>
      <c r="J4114">
        <v>0</v>
      </c>
    </row>
    <row r="4115" spans="1:10" x14ac:dyDescent="0.3">
      <c r="A4115" s="15">
        <v>45778</v>
      </c>
      <c r="B4115" t="s">
        <v>102</v>
      </c>
      <c r="C4115" t="s">
        <v>81</v>
      </c>
      <c r="D4115" t="s">
        <v>99</v>
      </c>
      <c r="E4115" t="s">
        <v>103</v>
      </c>
      <c r="F4115">
        <v>3300</v>
      </c>
      <c r="G4115" t="s">
        <v>331</v>
      </c>
      <c r="H4115" s="15">
        <v>45292</v>
      </c>
      <c r="I4115">
        <v>3300</v>
      </c>
      <c r="J4115">
        <v>0</v>
      </c>
    </row>
    <row r="4116" spans="1:10" x14ac:dyDescent="0.3">
      <c r="A4116" s="15">
        <v>45778</v>
      </c>
      <c r="B4116" t="s">
        <v>104</v>
      </c>
      <c r="C4116" t="s">
        <v>91</v>
      </c>
      <c r="D4116" t="s">
        <v>99</v>
      </c>
      <c r="E4116" t="s">
        <v>87</v>
      </c>
      <c r="F4116">
        <v>7000</v>
      </c>
      <c r="G4116" t="s">
        <v>331</v>
      </c>
      <c r="H4116" s="15">
        <v>45292</v>
      </c>
      <c r="I4116">
        <v>7000</v>
      </c>
      <c r="J4116">
        <v>0</v>
      </c>
    </row>
    <row r="4117" spans="1:10" x14ac:dyDescent="0.3">
      <c r="A4117" s="15">
        <v>45778</v>
      </c>
      <c r="B4117" t="s">
        <v>105</v>
      </c>
      <c r="C4117" t="s">
        <v>91</v>
      </c>
      <c r="D4117" t="s">
        <v>86</v>
      </c>
      <c r="E4117" t="s">
        <v>89</v>
      </c>
      <c r="F4117">
        <v>12900</v>
      </c>
      <c r="G4117" t="s">
        <v>331</v>
      </c>
      <c r="H4117" s="15">
        <v>45292</v>
      </c>
      <c r="I4117">
        <v>12900</v>
      </c>
      <c r="J4117">
        <v>0</v>
      </c>
    </row>
    <row r="4118" spans="1:10" x14ac:dyDescent="0.3">
      <c r="A4118" s="15">
        <v>45778</v>
      </c>
      <c r="B4118" t="s">
        <v>106</v>
      </c>
      <c r="C4118" t="s">
        <v>81</v>
      </c>
      <c r="D4118" t="s">
        <v>99</v>
      </c>
      <c r="E4118" t="s">
        <v>92</v>
      </c>
      <c r="F4118">
        <v>2700</v>
      </c>
      <c r="G4118" t="s">
        <v>331</v>
      </c>
      <c r="H4118" s="15">
        <v>45292</v>
      </c>
      <c r="I4118">
        <v>2700</v>
      </c>
      <c r="J4118">
        <v>0</v>
      </c>
    </row>
    <row r="4119" spans="1:10" x14ac:dyDescent="0.3">
      <c r="A4119" s="15">
        <v>45778</v>
      </c>
      <c r="B4119" t="s">
        <v>109</v>
      </c>
      <c r="C4119" t="s">
        <v>110</v>
      </c>
      <c r="D4119" t="s">
        <v>82</v>
      </c>
      <c r="E4119" t="s">
        <v>103</v>
      </c>
      <c r="F4119">
        <v>32700</v>
      </c>
      <c r="G4119" t="s">
        <v>331</v>
      </c>
      <c r="H4119" s="15">
        <v>45292</v>
      </c>
      <c r="I4119">
        <v>32700</v>
      </c>
      <c r="J4119">
        <v>0</v>
      </c>
    </row>
    <row r="4120" spans="1:10" x14ac:dyDescent="0.3">
      <c r="A4120" s="15">
        <v>45778</v>
      </c>
      <c r="B4120" t="s">
        <v>111</v>
      </c>
      <c r="C4120" t="s">
        <v>91</v>
      </c>
      <c r="D4120" t="s">
        <v>82</v>
      </c>
      <c r="E4120" t="s">
        <v>83</v>
      </c>
      <c r="F4120">
        <v>8800</v>
      </c>
      <c r="G4120" t="s">
        <v>331</v>
      </c>
      <c r="H4120" s="15">
        <v>45292</v>
      </c>
      <c r="I4120">
        <v>8800</v>
      </c>
      <c r="J4120">
        <v>0</v>
      </c>
    </row>
    <row r="4121" spans="1:10" x14ac:dyDescent="0.3">
      <c r="A4121" s="15">
        <v>45778</v>
      </c>
      <c r="B4121" t="s">
        <v>112</v>
      </c>
      <c r="C4121" t="s">
        <v>91</v>
      </c>
      <c r="D4121" t="s">
        <v>82</v>
      </c>
      <c r="E4121" t="s">
        <v>92</v>
      </c>
      <c r="F4121">
        <v>8600</v>
      </c>
      <c r="G4121" t="s">
        <v>331</v>
      </c>
      <c r="H4121" s="15">
        <v>45292</v>
      </c>
      <c r="I4121">
        <v>8600</v>
      </c>
      <c r="J4121">
        <v>0</v>
      </c>
    </row>
    <row r="4122" spans="1:10" x14ac:dyDescent="0.3">
      <c r="A4122" s="15">
        <v>45778</v>
      </c>
      <c r="B4122" t="s">
        <v>113</v>
      </c>
      <c r="C4122" t="s">
        <v>81</v>
      </c>
      <c r="D4122" t="s">
        <v>96</v>
      </c>
      <c r="E4122" t="s">
        <v>89</v>
      </c>
      <c r="F4122">
        <v>2500</v>
      </c>
      <c r="G4122" t="s">
        <v>331</v>
      </c>
      <c r="H4122" s="15">
        <v>45292</v>
      </c>
      <c r="I4122">
        <v>2500</v>
      </c>
      <c r="J4122">
        <v>0</v>
      </c>
    </row>
    <row r="4123" spans="1:10" x14ac:dyDescent="0.3">
      <c r="A4123" s="15">
        <v>45778</v>
      </c>
      <c r="B4123" t="s">
        <v>114</v>
      </c>
      <c r="C4123" t="s">
        <v>110</v>
      </c>
      <c r="D4123" t="s">
        <v>99</v>
      </c>
      <c r="E4123" t="s">
        <v>97</v>
      </c>
      <c r="F4123">
        <v>46200</v>
      </c>
      <c r="G4123" t="s">
        <v>332</v>
      </c>
      <c r="H4123" s="15">
        <v>45292</v>
      </c>
      <c r="I4123">
        <v>41600</v>
      </c>
      <c r="J4123">
        <v>4600</v>
      </c>
    </row>
    <row r="4124" spans="1:10" x14ac:dyDescent="0.3">
      <c r="A4124" s="15">
        <v>45778</v>
      </c>
      <c r="B4124" t="s">
        <v>115</v>
      </c>
      <c r="C4124" t="s">
        <v>81</v>
      </c>
      <c r="D4124" t="s">
        <v>82</v>
      </c>
      <c r="E4124" t="s">
        <v>101</v>
      </c>
      <c r="F4124">
        <v>2600</v>
      </c>
      <c r="G4124" t="s">
        <v>331</v>
      </c>
      <c r="H4124" s="15">
        <v>45292</v>
      </c>
      <c r="I4124">
        <v>2600</v>
      </c>
      <c r="J4124">
        <v>0</v>
      </c>
    </row>
    <row r="4125" spans="1:10" x14ac:dyDescent="0.3">
      <c r="A4125" s="15">
        <v>45778</v>
      </c>
      <c r="B4125" t="s">
        <v>116</v>
      </c>
      <c r="C4125" t="s">
        <v>81</v>
      </c>
      <c r="D4125" t="s">
        <v>86</v>
      </c>
      <c r="E4125" t="s">
        <v>87</v>
      </c>
      <c r="F4125">
        <v>2900</v>
      </c>
      <c r="G4125" t="s">
        <v>331</v>
      </c>
      <c r="H4125" s="15">
        <v>45292</v>
      </c>
      <c r="I4125">
        <v>2900</v>
      </c>
      <c r="J4125">
        <v>0</v>
      </c>
    </row>
    <row r="4126" spans="1:10" x14ac:dyDescent="0.3">
      <c r="A4126" s="15">
        <v>45778</v>
      </c>
      <c r="B4126" t="s">
        <v>117</v>
      </c>
      <c r="C4126" t="s">
        <v>81</v>
      </c>
      <c r="D4126" t="s">
        <v>86</v>
      </c>
      <c r="E4126" t="s">
        <v>103</v>
      </c>
      <c r="F4126">
        <v>2500</v>
      </c>
      <c r="G4126" t="s">
        <v>331</v>
      </c>
      <c r="H4126" s="15">
        <v>45292</v>
      </c>
      <c r="I4126">
        <v>2500</v>
      </c>
      <c r="J4126">
        <v>0</v>
      </c>
    </row>
    <row r="4127" spans="1:10" x14ac:dyDescent="0.3">
      <c r="A4127" s="15">
        <v>45778</v>
      </c>
      <c r="B4127" t="s">
        <v>119</v>
      </c>
      <c r="C4127" t="s">
        <v>91</v>
      </c>
      <c r="D4127" t="s">
        <v>96</v>
      </c>
      <c r="E4127" t="s">
        <v>89</v>
      </c>
      <c r="F4127">
        <v>12800</v>
      </c>
      <c r="G4127" t="s">
        <v>331</v>
      </c>
      <c r="H4127" s="15">
        <v>45292</v>
      </c>
      <c r="I4127">
        <v>12800</v>
      </c>
      <c r="J4127">
        <v>0</v>
      </c>
    </row>
    <row r="4128" spans="1:10" x14ac:dyDescent="0.3">
      <c r="A4128" s="15">
        <v>45778</v>
      </c>
      <c r="B4128" t="s">
        <v>120</v>
      </c>
      <c r="C4128" t="s">
        <v>81</v>
      </c>
      <c r="D4128" t="s">
        <v>86</v>
      </c>
      <c r="E4128" t="s">
        <v>101</v>
      </c>
      <c r="F4128">
        <v>2200</v>
      </c>
      <c r="G4128" t="s">
        <v>331</v>
      </c>
      <c r="H4128" s="15">
        <v>45292</v>
      </c>
      <c r="I4128">
        <v>2200</v>
      </c>
      <c r="J4128">
        <v>0</v>
      </c>
    </row>
    <row r="4129" spans="1:10" x14ac:dyDescent="0.3">
      <c r="A4129" s="15">
        <v>45778</v>
      </c>
      <c r="B4129" t="s">
        <v>123</v>
      </c>
      <c r="C4129" t="s">
        <v>81</v>
      </c>
      <c r="D4129" t="s">
        <v>82</v>
      </c>
      <c r="E4129" t="s">
        <v>92</v>
      </c>
      <c r="F4129">
        <v>2200</v>
      </c>
      <c r="G4129" t="s">
        <v>331</v>
      </c>
      <c r="H4129" s="15">
        <v>45292</v>
      </c>
      <c r="I4129">
        <v>2200</v>
      </c>
      <c r="J4129">
        <v>0</v>
      </c>
    </row>
    <row r="4130" spans="1:10" x14ac:dyDescent="0.3">
      <c r="A4130" s="15">
        <v>45778</v>
      </c>
      <c r="B4130" t="s">
        <v>124</v>
      </c>
      <c r="C4130" t="s">
        <v>125</v>
      </c>
      <c r="D4130" t="s">
        <v>82</v>
      </c>
      <c r="E4130" t="s">
        <v>97</v>
      </c>
      <c r="F4130">
        <v>67900</v>
      </c>
      <c r="G4130" t="s">
        <v>331</v>
      </c>
      <c r="H4130" s="15">
        <v>45292</v>
      </c>
      <c r="I4130">
        <v>67900</v>
      </c>
      <c r="J4130">
        <v>0</v>
      </c>
    </row>
    <row r="4131" spans="1:10" x14ac:dyDescent="0.3">
      <c r="A4131" s="15">
        <v>45778</v>
      </c>
      <c r="B4131" t="s">
        <v>126</v>
      </c>
      <c r="C4131" t="s">
        <v>91</v>
      </c>
      <c r="D4131" t="s">
        <v>82</v>
      </c>
      <c r="E4131" t="s">
        <v>83</v>
      </c>
      <c r="F4131">
        <v>8800</v>
      </c>
      <c r="G4131" t="s">
        <v>331</v>
      </c>
      <c r="H4131" s="15">
        <v>45292</v>
      </c>
      <c r="I4131">
        <v>8800</v>
      </c>
      <c r="J4131">
        <v>0</v>
      </c>
    </row>
    <row r="4132" spans="1:10" x14ac:dyDescent="0.3">
      <c r="A4132" s="15">
        <v>45778</v>
      </c>
      <c r="B4132" t="s">
        <v>127</v>
      </c>
      <c r="C4132" t="s">
        <v>81</v>
      </c>
      <c r="D4132" t="s">
        <v>82</v>
      </c>
      <c r="E4132" t="s">
        <v>101</v>
      </c>
      <c r="F4132">
        <v>2400</v>
      </c>
      <c r="G4132" t="s">
        <v>331</v>
      </c>
      <c r="H4132" s="15">
        <v>45292</v>
      </c>
      <c r="I4132">
        <v>2400</v>
      </c>
      <c r="J4132">
        <v>0</v>
      </c>
    </row>
    <row r="4133" spans="1:10" x14ac:dyDescent="0.3">
      <c r="A4133" s="15">
        <v>45778</v>
      </c>
      <c r="B4133" t="s">
        <v>128</v>
      </c>
      <c r="C4133" t="s">
        <v>81</v>
      </c>
      <c r="D4133" t="s">
        <v>82</v>
      </c>
      <c r="E4133" t="s">
        <v>92</v>
      </c>
      <c r="F4133">
        <v>1700</v>
      </c>
      <c r="G4133" t="s">
        <v>331</v>
      </c>
      <c r="H4133" s="15">
        <v>45292</v>
      </c>
      <c r="I4133">
        <v>1700</v>
      </c>
      <c r="J4133">
        <v>0</v>
      </c>
    </row>
    <row r="4134" spans="1:10" x14ac:dyDescent="0.3">
      <c r="A4134" s="15">
        <v>45778</v>
      </c>
      <c r="B4134" t="s">
        <v>129</v>
      </c>
      <c r="C4134" t="s">
        <v>110</v>
      </c>
      <c r="D4134" t="s">
        <v>86</v>
      </c>
      <c r="E4134" t="s">
        <v>92</v>
      </c>
      <c r="F4134">
        <v>34200</v>
      </c>
      <c r="G4134" t="s">
        <v>331</v>
      </c>
      <c r="H4134" s="15">
        <v>45292</v>
      </c>
      <c r="I4134">
        <v>34200</v>
      </c>
      <c r="J4134">
        <v>0</v>
      </c>
    </row>
    <row r="4135" spans="1:10" x14ac:dyDescent="0.3">
      <c r="A4135" s="15">
        <v>45778</v>
      </c>
      <c r="B4135" t="s">
        <v>133</v>
      </c>
      <c r="C4135" t="s">
        <v>81</v>
      </c>
      <c r="D4135" t="s">
        <v>96</v>
      </c>
      <c r="E4135" t="s">
        <v>87</v>
      </c>
      <c r="F4135">
        <v>2700</v>
      </c>
      <c r="G4135" t="s">
        <v>331</v>
      </c>
      <c r="H4135" s="15">
        <v>45292</v>
      </c>
      <c r="I4135">
        <v>2700</v>
      </c>
      <c r="J4135">
        <v>0</v>
      </c>
    </row>
    <row r="4136" spans="1:10" x14ac:dyDescent="0.3">
      <c r="A4136" s="15">
        <v>45778</v>
      </c>
      <c r="B4136" t="s">
        <v>134</v>
      </c>
      <c r="C4136" t="s">
        <v>81</v>
      </c>
      <c r="D4136" t="s">
        <v>82</v>
      </c>
      <c r="E4136" t="s">
        <v>92</v>
      </c>
      <c r="F4136">
        <v>2400</v>
      </c>
      <c r="G4136" t="s">
        <v>331</v>
      </c>
      <c r="H4136" s="15">
        <v>45292</v>
      </c>
      <c r="I4136">
        <v>2400</v>
      </c>
      <c r="J4136">
        <v>0</v>
      </c>
    </row>
    <row r="4137" spans="1:10" x14ac:dyDescent="0.3">
      <c r="A4137" s="15">
        <v>45778</v>
      </c>
      <c r="B4137" t="s">
        <v>135</v>
      </c>
      <c r="C4137" t="s">
        <v>81</v>
      </c>
      <c r="D4137" t="s">
        <v>82</v>
      </c>
      <c r="E4137" t="s">
        <v>103</v>
      </c>
      <c r="F4137">
        <v>2200</v>
      </c>
      <c r="G4137" t="s">
        <v>331</v>
      </c>
      <c r="H4137" s="15">
        <v>45292</v>
      </c>
      <c r="I4137">
        <v>2200</v>
      </c>
      <c r="J4137">
        <v>0</v>
      </c>
    </row>
    <row r="4138" spans="1:10" x14ac:dyDescent="0.3">
      <c r="A4138" s="15">
        <v>45778</v>
      </c>
      <c r="B4138" t="s">
        <v>136</v>
      </c>
      <c r="C4138" t="s">
        <v>81</v>
      </c>
      <c r="D4138" t="s">
        <v>82</v>
      </c>
      <c r="E4138" t="s">
        <v>101</v>
      </c>
      <c r="F4138">
        <v>2900</v>
      </c>
      <c r="G4138" t="s">
        <v>331</v>
      </c>
      <c r="H4138" s="15">
        <v>45292</v>
      </c>
      <c r="I4138">
        <v>2900</v>
      </c>
      <c r="J4138">
        <v>0</v>
      </c>
    </row>
    <row r="4139" spans="1:10" x14ac:dyDescent="0.3">
      <c r="A4139" s="15">
        <v>45778</v>
      </c>
      <c r="B4139" t="s">
        <v>138</v>
      </c>
      <c r="C4139" t="s">
        <v>81</v>
      </c>
      <c r="D4139" t="s">
        <v>86</v>
      </c>
      <c r="E4139" t="s">
        <v>97</v>
      </c>
      <c r="F4139">
        <v>3300</v>
      </c>
      <c r="G4139" t="s">
        <v>331</v>
      </c>
      <c r="H4139" s="15">
        <v>45292</v>
      </c>
      <c r="I4139">
        <v>3300</v>
      </c>
      <c r="J4139">
        <v>0</v>
      </c>
    </row>
    <row r="4140" spans="1:10" x14ac:dyDescent="0.3">
      <c r="A4140" s="15">
        <v>45778</v>
      </c>
      <c r="B4140" t="s">
        <v>139</v>
      </c>
      <c r="C4140" t="s">
        <v>91</v>
      </c>
      <c r="D4140" t="s">
        <v>82</v>
      </c>
      <c r="E4140" t="s">
        <v>103</v>
      </c>
      <c r="F4140">
        <v>6800</v>
      </c>
      <c r="G4140" t="s">
        <v>331</v>
      </c>
      <c r="H4140" s="15">
        <v>45292</v>
      </c>
      <c r="I4140">
        <v>6800</v>
      </c>
      <c r="J4140">
        <v>0</v>
      </c>
    </row>
    <row r="4141" spans="1:10" x14ac:dyDescent="0.3">
      <c r="A4141" s="15">
        <v>45778</v>
      </c>
      <c r="B4141" t="s">
        <v>141</v>
      </c>
      <c r="C4141" t="s">
        <v>125</v>
      </c>
      <c r="D4141" t="s">
        <v>99</v>
      </c>
      <c r="E4141" t="s">
        <v>103</v>
      </c>
      <c r="F4141">
        <v>117900</v>
      </c>
      <c r="G4141" t="s">
        <v>331</v>
      </c>
      <c r="H4141" s="15">
        <v>45292</v>
      </c>
      <c r="I4141">
        <v>117900</v>
      </c>
      <c r="J4141">
        <v>0</v>
      </c>
    </row>
    <row r="4142" spans="1:10" x14ac:dyDescent="0.3">
      <c r="A4142" s="15">
        <v>45778</v>
      </c>
      <c r="B4142" t="s">
        <v>142</v>
      </c>
      <c r="C4142" t="s">
        <v>125</v>
      </c>
      <c r="D4142" t="s">
        <v>82</v>
      </c>
      <c r="E4142" t="s">
        <v>92</v>
      </c>
      <c r="F4142">
        <v>103800</v>
      </c>
      <c r="G4142" t="s">
        <v>331</v>
      </c>
      <c r="H4142" s="15">
        <v>45292</v>
      </c>
      <c r="I4142">
        <v>103800</v>
      </c>
      <c r="J4142">
        <v>0</v>
      </c>
    </row>
    <row r="4143" spans="1:10" x14ac:dyDescent="0.3">
      <c r="A4143" s="15">
        <v>45778</v>
      </c>
      <c r="B4143" t="s">
        <v>143</v>
      </c>
      <c r="C4143" t="s">
        <v>91</v>
      </c>
      <c r="D4143" t="s">
        <v>99</v>
      </c>
      <c r="E4143" t="s">
        <v>103</v>
      </c>
      <c r="F4143">
        <v>8000</v>
      </c>
      <c r="G4143" t="s">
        <v>331</v>
      </c>
      <c r="H4143" s="15">
        <v>45292</v>
      </c>
      <c r="I4143">
        <v>8000</v>
      </c>
      <c r="J4143">
        <v>0</v>
      </c>
    </row>
    <row r="4144" spans="1:10" x14ac:dyDescent="0.3">
      <c r="A4144" s="15">
        <v>45778</v>
      </c>
      <c r="B4144" t="s">
        <v>144</v>
      </c>
      <c r="C4144" t="s">
        <v>81</v>
      </c>
      <c r="D4144" t="s">
        <v>82</v>
      </c>
      <c r="E4144" t="s">
        <v>92</v>
      </c>
      <c r="F4144">
        <v>2400</v>
      </c>
      <c r="G4144" t="s">
        <v>331</v>
      </c>
      <c r="H4144" s="15">
        <v>45292</v>
      </c>
      <c r="I4144">
        <v>2400</v>
      </c>
      <c r="J4144">
        <v>0</v>
      </c>
    </row>
    <row r="4145" spans="1:10" x14ac:dyDescent="0.3">
      <c r="A4145" s="15">
        <v>45778</v>
      </c>
      <c r="B4145" t="s">
        <v>145</v>
      </c>
      <c r="C4145" t="s">
        <v>91</v>
      </c>
      <c r="D4145" t="s">
        <v>82</v>
      </c>
      <c r="E4145" t="s">
        <v>87</v>
      </c>
      <c r="F4145">
        <v>8200</v>
      </c>
      <c r="G4145" t="s">
        <v>331</v>
      </c>
      <c r="H4145" s="15">
        <v>45292</v>
      </c>
      <c r="I4145">
        <v>8200</v>
      </c>
      <c r="J4145">
        <v>0</v>
      </c>
    </row>
    <row r="4146" spans="1:10" x14ac:dyDescent="0.3">
      <c r="A4146" s="15">
        <v>45778</v>
      </c>
      <c r="B4146" t="s">
        <v>146</v>
      </c>
      <c r="C4146" t="s">
        <v>91</v>
      </c>
      <c r="D4146" t="s">
        <v>86</v>
      </c>
      <c r="E4146" t="s">
        <v>87</v>
      </c>
      <c r="F4146">
        <v>9200</v>
      </c>
      <c r="G4146" t="s">
        <v>331</v>
      </c>
      <c r="H4146" s="15">
        <v>45292</v>
      </c>
      <c r="I4146">
        <v>9200</v>
      </c>
      <c r="J4146">
        <v>0</v>
      </c>
    </row>
    <row r="4147" spans="1:10" x14ac:dyDescent="0.3">
      <c r="A4147" s="15">
        <v>45778</v>
      </c>
      <c r="B4147" t="s">
        <v>148</v>
      </c>
      <c r="C4147" t="s">
        <v>110</v>
      </c>
      <c r="D4147" t="s">
        <v>86</v>
      </c>
      <c r="E4147" t="s">
        <v>89</v>
      </c>
      <c r="F4147">
        <v>25100</v>
      </c>
      <c r="G4147" t="s">
        <v>331</v>
      </c>
      <c r="H4147" s="15">
        <v>45292</v>
      </c>
      <c r="I4147">
        <v>25100</v>
      </c>
      <c r="J4147">
        <v>0</v>
      </c>
    </row>
    <row r="4148" spans="1:10" x14ac:dyDescent="0.3">
      <c r="A4148" s="15">
        <v>45778</v>
      </c>
      <c r="B4148" t="s">
        <v>149</v>
      </c>
      <c r="C4148" t="s">
        <v>110</v>
      </c>
      <c r="D4148" t="s">
        <v>82</v>
      </c>
      <c r="E4148" t="s">
        <v>103</v>
      </c>
      <c r="F4148">
        <v>31000</v>
      </c>
      <c r="G4148" t="s">
        <v>331</v>
      </c>
      <c r="H4148" s="15">
        <v>45292</v>
      </c>
      <c r="I4148">
        <v>31000</v>
      </c>
      <c r="J4148">
        <v>0</v>
      </c>
    </row>
    <row r="4149" spans="1:10" x14ac:dyDescent="0.3">
      <c r="A4149" s="15">
        <v>45778</v>
      </c>
      <c r="B4149" t="s">
        <v>151</v>
      </c>
      <c r="C4149" t="s">
        <v>91</v>
      </c>
      <c r="D4149" t="s">
        <v>82</v>
      </c>
      <c r="E4149" t="s">
        <v>97</v>
      </c>
      <c r="F4149">
        <v>6800</v>
      </c>
      <c r="G4149" t="s">
        <v>331</v>
      </c>
      <c r="H4149" s="15">
        <v>45292</v>
      </c>
      <c r="I4149">
        <v>6800</v>
      </c>
      <c r="J4149">
        <v>0</v>
      </c>
    </row>
    <row r="4150" spans="1:10" x14ac:dyDescent="0.3">
      <c r="A4150" s="15">
        <v>45778</v>
      </c>
      <c r="B4150" t="s">
        <v>153</v>
      </c>
      <c r="C4150" t="s">
        <v>110</v>
      </c>
      <c r="D4150" t="s">
        <v>99</v>
      </c>
      <c r="E4150" t="s">
        <v>87</v>
      </c>
      <c r="F4150">
        <v>31500</v>
      </c>
      <c r="G4150" t="s">
        <v>331</v>
      </c>
      <c r="H4150" s="15">
        <v>45292</v>
      </c>
      <c r="I4150">
        <v>31500</v>
      </c>
      <c r="J4150">
        <v>0</v>
      </c>
    </row>
    <row r="4151" spans="1:10" x14ac:dyDescent="0.3">
      <c r="A4151" s="15">
        <v>45778</v>
      </c>
      <c r="B4151" t="s">
        <v>154</v>
      </c>
      <c r="C4151" t="s">
        <v>91</v>
      </c>
      <c r="D4151" t="s">
        <v>86</v>
      </c>
      <c r="E4151" t="s">
        <v>103</v>
      </c>
      <c r="F4151">
        <v>8800</v>
      </c>
      <c r="G4151" t="s">
        <v>331</v>
      </c>
      <c r="H4151" s="15">
        <v>45292</v>
      </c>
      <c r="I4151">
        <v>8800</v>
      </c>
      <c r="J4151">
        <v>0</v>
      </c>
    </row>
    <row r="4152" spans="1:10" x14ac:dyDescent="0.3">
      <c r="A4152" s="15">
        <v>45778</v>
      </c>
      <c r="B4152" t="s">
        <v>155</v>
      </c>
      <c r="C4152" t="s">
        <v>91</v>
      </c>
      <c r="D4152" t="s">
        <v>82</v>
      </c>
      <c r="E4152" t="s">
        <v>92</v>
      </c>
      <c r="F4152">
        <v>7100</v>
      </c>
      <c r="G4152" t="s">
        <v>331</v>
      </c>
      <c r="H4152" s="15">
        <v>45292</v>
      </c>
      <c r="I4152">
        <v>7100</v>
      </c>
      <c r="J4152">
        <v>0</v>
      </c>
    </row>
    <row r="4153" spans="1:10" x14ac:dyDescent="0.3">
      <c r="A4153" s="15">
        <v>45778</v>
      </c>
      <c r="B4153" t="s">
        <v>156</v>
      </c>
      <c r="C4153" t="s">
        <v>81</v>
      </c>
      <c r="D4153" t="s">
        <v>86</v>
      </c>
      <c r="E4153" t="s">
        <v>101</v>
      </c>
      <c r="F4153">
        <v>2300</v>
      </c>
      <c r="G4153" t="s">
        <v>331</v>
      </c>
      <c r="H4153" s="15">
        <v>45292</v>
      </c>
      <c r="I4153">
        <v>2300</v>
      </c>
      <c r="J4153">
        <v>0</v>
      </c>
    </row>
    <row r="4154" spans="1:10" x14ac:dyDescent="0.3">
      <c r="A4154" s="15">
        <v>45778</v>
      </c>
      <c r="B4154" t="s">
        <v>157</v>
      </c>
      <c r="C4154" t="s">
        <v>81</v>
      </c>
      <c r="D4154" t="s">
        <v>82</v>
      </c>
      <c r="E4154" t="s">
        <v>92</v>
      </c>
      <c r="F4154">
        <v>1800</v>
      </c>
      <c r="G4154" t="s">
        <v>331</v>
      </c>
      <c r="H4154" s="15">
        <v>45292</v>
      </c>
      <c r="I4154">
        <v>1800</v>
      </c>
      <c r="J4154">
        <v>0</v>
      </c>
    </row>
    <row r="4155" spans="1:10" x14ac:dyDescent="0.3">
      <c r="A4155" s="15">
        <v>45778</v>
      </c>
      <c r="B4155" t="s">
        <v>158</v>
      </c>
      <c r="C4155" t="s">
        <v>91</v>
      </c>
      <c r="D4155" t="s">
        <v>96</v>
      </c>
      <c r="E4155" t="s">
        <v>83</v>
      </c>
      <c r="F4155">
        <v>12600</v>
      </c>
      <c r="G4155" t="s">
        <v>331</v>
      </c>
      <c r="H4155" s="15">
        <v>45292</v>
      </c>
      <c r="I4155">
        <v>12600</v>
      </c>
      <c r="J4155">
        <v>0</v>
      </c>
    </row>
    <row r="4156" spans="1:10" x14ac:dyDescent="0.3">
      <c r="A4156" s="15">
        <v>45778</v>
      </c>
      <c r="B4156" t="s">
        <v>159</v>
      </c>
      <c r="C4156" t="s">
        <v>81</v>
      </c>
      <c r="D4156" t="s">
        <v>86</v>
      </c>
      <c r="E4156" t="s">
        <v>87</v>
      </c>
      <c r="F4156">
        <v>2400</v>
      </c>
      <c r="G4156" t="s">
        <v>331</v>
      </c>
      <c r="H4156" s="15">
        <v>45292</v>
      </c>
      <c r="I4156">
        <v>2400</v>
      </c>
      <c r="J4156">
        <v>0</v>
      </c>
    </row>
    <row r="4157" spans="1:10" x14ac:dyDescent="0.3">
      <c r="A4157" s="15">
        <v>45778</v>
      </c>
      <c r="B4157" t="s">
        <v>161</v>
      </c>
      <c r="C4157" t="s">
        <v>91</v>
      </c>
      <c r="D4157" t="s">
        <v>99</v>
      </c>
      <c r="E4157" t="s">
        <v>83</v>
      </c>
      <c r="F4157">
        <v>10700</v>
      </c>
      <c r="G4157" t="s">
        <v>331</v>
      </c>
      <c r="H4157" s="15">
        <v>45292</v>
      </c>
      <c r="I4157">
        <v>10700</v>
      </c>
      <c r="J4157">
        <v>0</v>
      </c>
    </row>
    <row r="4158" spans="1:10" x14ac:dyDescent="0.3">
      <c r="A4158" s="15">
        <v>45778</v>
      </c>
      <c r="B4158" t="s">
        <v>162</v>
      </c>
      <c r="C4158" t="s">
        <v>91</v>
      </c>
      <c r="D4158" t="s">
        <v>82</v>
      </c>
      <c r="E4158" t="s">
        <v>103</v>
      </c>
      <c r="F4158">
        <v>12700</v>
      </c>
      <c r="G4158" t="s">
        <v>331</v>
      </c>
      <c r="H4158" s="15">
        <v>45292</v>
      </c>
      <c r="I4158">
        <v>12700</v>
      </c>
      <c r="J4158">
        <v>0</v>
      </c>
    </row>
    <row r="4159" spans="1:10" x14ac:dyDescent="0.3">
      <c r="A4159" s="15">
        <v>45778</v>
      </c>
      <c r="B4159" t="s">
        <v>164</v>
      </c>
      <c r="C4159" t="s">
        <v>81</v>
      </c>
      <c r="D4159" t="s">
        <v>99</v>
      </c>
      <c r="E4159" t="s">
        <v>89</v>
      </c>
      <c r="F4159">
        <v>2800</v>
      </c>
      <c r="G4159" t="s">
        <v>331</v>
      </c>
      <c r="H4159" s="15">
        <v>45292</v>
      </c>
      <c r="I4159">
        <v>2800</v>
      </c>
      <c r="J4159">
        <v>0</v>
      </c>
    </row>
    <row r="4160" spans="1:10" x14ac:dyDescent="0.3">
      <c r="A4160" s="15">
        <v>45778</v>
      </c>
      <c r="B4160" t="s">
        <v>165</v>
      </c>
      <c r="C4160" t="s">
        <v>81</v>
      </c>
      <c r="D4160" t="s">
        <v>82</v>
      </c>
      <c r="E4160" t="s">
        <v>97</v>
      </c>
      <c r="F4160">
        <v>2700</v>
      </c>
      <c r="G4160" t="s">
        <v>331</v>
      </c>
      <c r="H4160" s="15">
        <v>45292</v>
      </c>
      <c r="I4160">
        <v>2700</v>
      </c>
      <c r="J4160">
        <v>0</v>
      </c>
    </row>
    <row r="4161" spans="1:10" x14ac:dyDescent="0.3">
      <c r="A4161" s="15">
        <v>45778</v>
      </c>
      <c r="B4161" t="s">
        <v>166</v>
      </c>
      <c r="C4161" t="s">
        <v>81</v>
      </c>
      <c r="D4161" t="s">
        <v>99</v>
      </c>
      <c r="E4161" t="s">
        <v>103</v>
      </c>
      <c r="F4161">
        <v>2600</v>
      </c>
      <c r="G4161" t="s">
        <v>331</v>
      </c>
      <c r="H4161" s="15">
        <v>45292</v>
      </c>
      <c r="I4161">
        <v>2600</v>
      </c>
      <c r="J4161">
        <v>0</v>
      </c>
    </row>
    <row r="4162" spans="1:10" x14ac:dyDescent="0.3">
      <c r="A4162" s="15">
        <v>45778</v>
      </c>
      <c r="B4162" t="s">
        <v>167</v>
      </c>
      <c r="C4162" t="s">
        <v>81</v>
      </c>
      <c r="D4162" t="s">
        <v>82</v>
      </c>
      <c r="E4162" t="s">
        <v>97</v>
      </c>
      <c r="F4162">
        <v>1900</v>
      </c>
      <c r="G4162" t="s">
        <v>334</v>
      </c>
      <c r="H4162" s="15">
        <v>45292</v>
      </c>
      <c r="I4162">
        <v>2100</v>
      </c>
      <c r="J4162">
        <v>-200</v>
      </c>
    </row>
    <row r="4163" spans="1:10" x14ac:dyDescent="0.3">
      <c r="A4163" s="15">
        <v>45778</v>
      </c>
      <c r="B4163" t="s">
        <v>168</v>
      </c>
      <c r="C4163" t="s">
        <v>91</v>
      </c>
      <c r="D4163" t="s">
        <v>86</v>
      </c>
      <c r="E4163" t="s">
        <v>103</v>
      </c>
      <c r="F4163">
        <v>12300</v>
      </c>
      <c r="G4163" t="s">
        <v>331</v>
      </c>
      <c r="H4163" s="15">
        <v>45292</v>
      </c>
      <c r="I4163">
        <v>12300</v>
      </c>
      <c r="J4163">
        <v>0</v>
      </c>
    </row>
    <row r="4164" spans="1:10" x14ac:dyDescent="0.3">
      <c r="A4164" s="15">
        <v>45778</v>
      </c>
      <c r="B4164" t="s">
        <v>169</v>
      </c>
      <c r="C4164" t="s">
        <v>81</v>
      </c>
      <c r="D4164" t="s">
        <v>86</v>
      </c>
      <c r="E4164" t="s">
        <v>103</v>
      </c>
      <c r="F4164">
        <v>2200</v>
      </c>
      <c r="G4164" t="s">
        <v>331</v>
      </c>
      <c r="H4164" s="15">
        <v>45292</v>
      </c>
      <c r="I4164">
        <v>2200</v>
      </c>
      <c r="J4164">
        <v>0</v>
      </c>
    </row>
    <row r="4165" spans="1:10" x14ac:dyDescent="0.3">
      <c r="A4165" s="15">
        <v>45778</v>
      </c>
      <c r="B4165" t="s">
        <v>170</v>
      </c>
      <c r="C4165" t="s">
        <v>91</v>
      </c>
      <c r="D4165" t="s">
        <v>99</v>
      </c>
      <c r="E4165" t="s">
        <v>83</v>
      </c>
      <c r="F4165">
        <v>6500</v>
      </c>
      <c r="G4165" t="s">
        <v>331</v>
      </c>
      <c r="H4165" s="15">
        <v>45292</v>
      </c>
      <c r="I4165">
        <v>6500</v>
      </c>
      <c r="J4165">
        <v>0</v>
      </c>
    </row>
    <row r="4166" spans="1:10" x14ac:dyDescent="0.3">
      <c r="A4166" s="15">
        <v>45778</v>
      </c>
      <c r="B4166" t="s">
        <v>171</v>
      </c>
      <c r="C4166" t="s">
        <v>81</v>
      </c>
      <c r="D4166" t="s">
        <v>99</v>
      </c>
      <c r="E4166" t="s">
        <v>97</v>
      </c>
      <c r="F4166">
        <v>1700</v>
      </c>
      <c r="G4166" t="s">
        <v>331</v>
      </c>
      <c r="H4166" s="15">
        <v>45292</v>
      </c>
      <c r="I4166">
        <v>1700</v>
      </c>
      <c r="J4166">
        <v>0</v>
      </c>
    </row>
    <row r="4167" spans="1:10" x14ac:dyDescent="0.3">
      <c r="A4167" s="15">
        <v>45778</v>
      </c>
      <c r="B4167" t="s">
        <v>174</v>
      </c>
      <c r="C4167" t="s">
        <v>81</v>
      </c>
      <c r="D4167" t="s">
        <v>82</v>
      </c>
      <c r="E4167" t="s">
        <v>92</v>
      </c>
      <c r="F4167">
        <v>2400</v>
      </c>
      <c r="G4167" t="s">
        <v>331</v>
      </c>
      <c r="H4167" s="15">
        <v>45292</v>
      </c>
      <c r="I4167">
        <v>2400</v>
      </c>
      <c r="J4167">
        <v>0</v>
      </c>
    </row>
    <row r="4168" spans="1:10" x14ac:dyDescent="0.3">
      <c r="A4168" s="15">
        <v>45778</v>
      </c>
      <c r="B4168" t="s">
        <v>175</v>
      </c>
      <c r="C4168" t="s">
        <v>91</v>
      </c>
      <c r="D4168" t="s">
        <v>96</v>
      </c>
      <c r="E4168" t="s">
        <v>83</v>
      </c>
      <c r="F4168">
        <v>8800</v>
      </c>
      <c r="G4168" t="s">
        <v>331</v>
      </c>
      <c r="H4168" s="15">
        <v>45292</v>
      </c>
      <c r="I4168">
        <v>8800</v>
      </c>
      <c r="J4168">
        <v>0</v>
      </c>
    </row>
    <row r="4169" spans="1:10" x14ac:dyDescent="0.3">
      <c r="A4169" s="15">
        <v>45778</v>
      </c>
      <c r="B4169" t="s">
        <v>176</v>
      </c>
      <c r="C4169" t="s">
        <v>81</v>
      </c>
      <c r="D4169" t="s">
        <v>99</v>
      </c>
      <c r="E4169" t="s">
        <v>92</v>
      </c>
      <c r="F4169">
        <v>2900</v>
      </c>
      <c r="G4169" t="s">
        <v>331</v>
      </c>
      <c r="H4169" s="15">
        <v>45292</v>
      </c>
      <c r="I4169">
        <v>2900</v>
      </c>
      <c r="J4169">
        <v>0</v>
      </c>
    </row>
    <row r="4170" spans="1:10" x14ac:dyDescent="0.3">
      <c r="A4170" s="15">
        <v>45778</v>
      </c>
      <c r="B4170" t="s">
        <v>177</v>
      </c>
      <c r="C4170" t="s">
        <v>81</v>
      </c>
      <c r="D4170" t="s">
        <v>96</v>
      </c>
      <c r="E4170" t="s">
        <v>83</v>
      </c>
      <c r="F4170">
        <v>2900</v>
      </c>
      <c r="G4170" t="s">
        <v>331</v>
      </c>
      <c r="H4170" s="15">
        <v>45292</v>
      </c>
      <c r="I4170">
        <v>2900</v>
      </c>
      <c r="J4170">
        <v>0</v>
      </c>
    </row>
    <row r="4171" spans="1:10" x14ac:dyDescent="0.3">
      <c r="A4171" s="15">
        <v>45778</v>
      </c>
      <c r="B4171" t="s">
        <v>178</v>
      </c>
      <c r="C4171" t="s">
        <v>91</v>
      </c>
      <c r="D4171" t="s">
        <v>82</v>
      </c>
      <c r="E4171" t="s">
        <v>89</v>
      </c>
      <c r="F4171">
        <v>8400</v>
      </c>
      <c r="G4171" t="s">
        <v>331</v>
      </c>
      <c r="H4171" s="15">
        <v>45292</v>
      </c>
      <c r="I4171">
        <v>8400</v>
      </c>
      <c r="J4171">
        <v>0</v>
      </c>
    </row>
    <row r="4172" spans="1:10" x14ac:dyDescent="0.3">
      <c r="A4172" s="15">
        <v>45778</v>
      </c>
      <c r="B4172" t="s">
        <v>179</v>
      </c>
      <c r="C4172" t="s">
        <v>110</v>
      </c>
      <c r="D4172" t="s">
        <v>86</v>
      </c>
      <c r="E4172" t="s">
        <v>87</v>
      </c>
      <c r="F4172">
        <v>30000</v>
      </c>
      <c r="G4172" t="s">
        <v>331</v>
      </c>
      <c r="H4172" s="15">
        <v>45292</v>
      </c>
      <c r="I4172">
        <v>30000</v>
      </c>
      <c r="J4172">
        <v>0</v>
      </c>
    </row>
    <row r="4173" spans="1:10" x14ac:dyDescent="0.3">
      <c r="A4173" s="15">
        <v>45778</v>
      </c>
      <c r="B4173" t="s">
        <v>180</v>
      </c>
      <c r="C4173" t="s">
        <v>91</v>
      </c>
      <c r="D4173" t="s">
        <v>86</v>
      </c>
      <c r="E4173" t="s">
        <v>83</v>
      </c>
      <c r="F4173">
        <v>8500</v>
      </c>
      <c r="G4173" t="s">
        <v>331</v>
      </c>
      <c r="H4173" s="15">
        <v>45292</v>
      </c>
      <c r="I4173">
        <v>8500</v>
      </c>
      <c r="J4173">
        <v>0</v>
      </c>
    </row>
    <row r="4174" spans="1:10" x14ac:dyDescent="0.3">
      <c r="A4174" s="15">
        <v>45778</v>
      </c>
      <c r="B4174" t="s">
        <v>181</v>
      </c>
      <c r="C4174" t="s">
        <v>91</v>
      </c>
      <c r="D4174" t="s">
        <v>82</v>
      </c>
      <c r="E4174" t="s">
        <v>97</v>
      </c>
      <c r="F4174">
        <v>10100</v>
      </c>
      <c r="G4174" t="s">
        <v>331</v>
      </c>
      <c r="H4174" s="15">
        <v>45292</v>
      </c>
      <c r="I4174">
        <v>10100</v>
      </c>
      <c r="J4174">
        <v>0</v>
      </c>
    </row>
    <row r="4175" spans="1:10" x14ac:dyDescent="0.3">
      <c r="A4175" s="15">
        <v>45778</v>
      </c>
      <c r="B4175" t="s">
        <v>182</v>
      </c>
      <c r="C4175" t="s">
        <v>125</v>
      </c>
      <c r="D4175" t="s">
        <v>82</v>
      </c>
      <c r="E4175" t="s">
        <v>92</v>
      </c>
      <c r="F4175">
        <v>93100</v>
      </c>
      <c r="G4175" t="s">
        <v>331</v>
      </c>
      <c r="H4175" s="15">
        <v>45292</v>
      </c>
      <c r="I4175">
        <v>93100</v>
      </c>
      <c r="J4175">
        <v>0</v>
      </c>
    </row>
    <row r="4176" spans="1:10" x14ac:dyDescent="0.3">
      <c r="A4176" s="15">
        <v>45778</v>
      </c>
      <c r="B4176" t="s">
        <v>183</v>
      </c>
      <c r="C4176" t="s">
        <v>91</v>
      </c>
      <c r="D4176" t="s">
        <v>96</v>
      </c>
      <c r="E4176" t="s">
        <v>92</v>
      </c>
      <c r="F4176">
        <v>9500</v>
      </c>
      <c r="G4176" t="s">
        <v>331</v>
      </c>
      <c r="H4176" s="15">
        <v>45292</v>
      </c>
      <c r="I4176">
        <v>9500</v>
      </c>
      <c r="J4176">
        <v>0</v>
      </c>
    </row>
    <row r="4177" spans="1:10" x14ac:dyDescent="0.3">
      <c r="A4177" s="15">
        <v>45778</v>
      </c>
      <c r="B4177" t="s">
        <v>184</v>
      </c>
      <c r="C4177" t="s">
        <v>81</v>
      </c>
      <c r="D4177" t="s">
        <v>82</v>
      </c>
      <c r="E4177" t="s">
        <v>83</v>
      </c>
      <c r="F4177">
        <v>2600</v>
      </c>
      <c r="G4177" t="s">
        <v>331</v>
      </c>
      <c r="H4177" s="15">
        <v>45292</v>
      </c>
      <c r="I4177">
        <v>2600</v>
      </c>
      <c r="J4177">
        <v>0</v>
      </c>
    </row>
    <row r="4178" spans="1:10" x14ac:dyDescent="0.3">
      <c r="A4178" s="15">
        <v>45778</v>
      </c>
      <c r="B4178" t="s">
        <v>185</v>
      </c>
      <c r="C4178" t="s">
        <v>81</v>
      </c>
      <c r="D4178" t="s">
        <v>96</v>
      </c>
      <c r="E4178" t="s">
        <v>97</v>
      </c>
      <c r="F4178">
        <v>1900</v>
      </c>
      <c r="G4178" t="s">
        <v>331</v>
      </c>
      <c r="H4178" s="15">
        <v>45292</v>
      </c>
      <c r="I4178">
        <v>1900</v>
      </c>
      <c r="J4178">
        <v>0</v>
      </c>
    </row>
    <row r="4179" spans="1:10" x14ac:dyDescent="0.3">
      <c r="A4179" s="15">
        <v>45778</v>
      </c>
      <c r="B4179" t="s">
        <v>186</v>
      </c>
      <c r="C4179" t="s">
        <v>91</v>
      </c>
      <c r="D4179" t="s">
        <v>82</v>
      </c>
      <c r="E4179" t="s">
        <v>103</v>
      </c>
      <c r="F4179">
        <v>13900</v>
      </c>
      <c r="G4179" t="s">
        <v>331</v>
      </c>
      <c r="H4179" s="15">
        <v>45292</v>
      </c>
      <c r="I4179">
        <v>13900</v>
      </c>
      <c r="J4179">
        <v>0</v>
      </c>
    </row>
    <row r="4180" spans="1:10" x14ac:dyDescent="0.3">
      <c r="A4180" s="15">
        <v>45778</v>
      </c>
      <c r="B4180" t="s">
        <v>187</v>
      </c>
      <c r="C4180" t="s">
        <v>110</v>
      </c>
      <c r="D4180" t="s">
        <v>86</v>
      </c>
      <c r="E4180" t="s">
        <v>97</v>
      </c>
      <c r="F4180">
        <v>26700</v>
      </c>
      <c r="G4180" t="s">
        <v>331</v>
      </c>
      <c r="H4180" s="15">
        <v>45292</v>
      </c>
      <c r="I4180">
        <v>26700</v>
      </c>
      <c r="J4180">
        <v>0</v>
      </c>
    </row>
    <row r="4181" spans="1:10" x14ac:dyDescent="0.3">
      <c r="A4181" s="15">
        <v>45778</v>
      </c>
      <c r="B4181" t="s">
        <v>188</v>
      </c>
      <c r="C4181" t="s">
        <v>91</v>
      </c>
      <c r="D4181" t="s">
        <v>82</v>
      </c>
      <c r="E4181" t="s">
        <v>92</v>
      </c>
      <c r="F4181">
        <v>9900</v>
      </c>
      <c r="G4181" t="s">
        <v>331</v>
      </c>
      <c r="H4181" s="15">
        <v>45292</v>
      </c>
      <c r="I4181">
        <v>9900</v>
      </c>
      <c r="J4181">
        <v>0</v>
      </c>
    </row>
    <row r="4182" spans="1:10" x14ac:dyDescent="0.3">
      <c r="A4182" s="15">
        <v>45778</v>
      </c>
      <c r="B4182" t="s">
        <v>189</v>
      </c>
      <c r="C4182" t="s">
        <v>81</v>
      </c>
      <c r="D4182" t="s">
        <v>86</v>
      </c>
      <c r="E4182" t="s">
        <v>103</v>
      </c>
      <c r="F4182">
        <v>2000</v>
      </c>
      <c r="G4182" t="s">
        <v>331</v>
      </c>
      <c r="H4182" s="15">
        <v>45292</v>
      </c>
      <c r="I4182">
        <v>2000</v>
      </c>
      <c r="J4182">
        <v>0</v>
      </c>
    </row>
    <row r="4183" spans="1:10" x14ac:dyDescent="0.3">
      <c r="A4183" s="15">
        <v>45778</v>
      </c>
      <c r="B4183" t="s">
        <v>190</v>
      </c>
      <c r="C4183" t="s">
        <v>81</v>
      </c>
      <c r="D4183" t="s">
        <v>99</v>
      </c>
      <c r="E4183" t="s">
        <v>89</v>
      </c>
      <c r="F4183">
        <v>1900</v>
      </c>
      <c r="G4183" t="s">
        <v>331</v>
      </c>
      <c r="H4183" s="15">
        <v>45292</v>
      </c>
      <c r="I4183">
        <v>1900</v>
      </c>
      <c r="J4183">
        <v>0</v>
      </c>
    </row>
    <row r="4184" spans="1:10" x14ac:dyDescent="0.3">
      <c r="A4184" s="15">
        <v>45778</v>
      </c>
      <c r="B4184" t="s">
        <v>191</v>
      </c>
      <c r="C4184" t="s">
        <v>91</v>
      </c>
      <c r="D4184" t="s">
        <v>86</v>
      </c>
      <c r="E4184" t="s">
        <v>87</v>
      </c>
      <c r="F4184">
        <v>6900</v>
      </c>
      <c r="G4184" t="s">
        <v>331</v>
      </c>
      <c r="H4184" s="15">
        <v>45292</v>
      </c>
      <c r="I4184">
        <v>6900</v>
      </c>
      <c r="J4184">
        <v>0</v>
      </c>
    </row>
    <row r="4185" spans="1:10" x14ac:dyDescent="0.3">
      <c r="A4185" s="15">
        <v>45778</v>
      </c>
      <c r="B4185" t="s">
        <v>192</v>
      </c>
      <c r="C4185" t="s">
        <v>81</v>
      </c>
      <c r="D4185" t="s">
        <v>82</v>
      </c>
      <c r="E4185" t="s">
        <v>97</v>
      </c>
      <c r="F4185">
        <v>3000</v>
      </c>
      <c r="G4185" t="s">
        <v>332</v>
      </c>
      <c r="H4185" s="15">
        <v>45292</v>
      </c>
      <c r="I4185">
        <v>2700</v>
      </c>
      <c r="J4185">
        <v>300</v>
      </c>
    </row>
    <row r="4186" spans="1:10" x14ac:dyDescent="0.3">
      <c r="A4186" s="15">
        <v>45778</v>
      </c>
      <c r="B4186" t="s">
        <v>193</v>
      </c>
      <c r="C4186" t="s">
        <v>81</v>
      </c>
      <c r="D4186" t="s">
        <v>82</v>
      </c>
      <c r="E4186" t="s">
        <v>87</v>
      </c>
      <c r="F4186">
        <v>3200</v>
      </c>
      <c r="G4186" t="s">
        <v>331</v>
      </c>
      <c r="H4186" s="15">
        <v>45292</v>
      </c>
      <c r="I4186">
        <v>3200</v>
      </c>
      <c r="J4186">
        <v>0</v>
      </c>
    </row>
    <row r="4187" spans="1:10" x14ac:dyDescent="0.3">
      <c r="A4187" s="15">
        <v>45778</v>
      </c>
      <c r="B4187" t="s">
        <v>194</v>
      </c>
      <c r="C4187" t="s">
        <v>91</v>
      </c>
      <c r="D4187" t="s">
        <v>82</v>
      </c>
      <c r="E4187" t="s">
        <v>101</v>
      </c>
      <c r="F4187">
        <v>11200</v>
      </c>
      <c r="G4187" t="s">
        <v>331</v>
      </c>
      <c r="H4187" s="15">
        <v>45292</v>
      </c>
      <c r="I4187">
        <v>11200</v>
      </c>
      <c r="J4187">
        <v>0</v>
      </c>
    </row>
    <row r="4188" spans="1:10" x14ac:dyDescent="0.3">
      <c r="A4188" s="15">
        <v>45778</v>
      </c>
      <c r="B4188" t="s">
        <v>195</v>
      </c>
      <c r="C4188" t="s">
        <v>91</v>
      </c>
      <c r="D4188" t="s">
        <v>86</v>
      </c>
      <c r="E4188" t="s">
        <v>97</v>
      </c>
      <c r="F4188">
        <v>6800</v>
      </c>
      <c r="G4188" t="s">
        <v>331</v>
      </c>
      <c r="H4188" s="15">
        <v>45292</v>
      </c>
      <c r="I4188">
        <v>6800</v>
      </c>
      <c r="J4188">
        <v>0</v>
      </c>
    </row>
    <row r="4189" spans="1:10" x14ac:dyDescent="0.3">
      <c r="A4189" s="15">
        <v>45778</v>
      </c>
      <c r="B4189" t="s">
        <v>196</v>
      </c>
      <c r="C4189" t="s">
        <v>81</v>
      </c>
      <c r="D4189" t="s">
        <v>86</v>
      </c>
      <c r="E4189" t="s">
        <v>87</v>
      </c>
      <c r="F4189">
        <v>2600</v>
      </c>
      <c r="G4189" t="s">
        <v>331</v>
      </c>
      <c r="H4189" s="15">
        <v>45292</v>
      </c>
      <c r="I4189">
        <v>2600</v>
      </c>
      <c r="J4189">
        <v>0</v>
      </c>
    </row>
    <row r="4190" spans="1:10" x14ac:dyDescent="0.3">
      <c r="A4190" s="15">
        <v>45778</v>
      </c>
      <c r="B4190" t="s">
        <v>197</v>
      </c>
      <c r="C4190" t="s">
        <v>91</v>
      </c>
      <c r="D4190" t="s">
        <v>82</v>
      </c>
      <c r="E4190" t="s">
        <v>89</v>
      </c>
      <c r="F4190">
        <v>12000</v>
      </c>
      <c r="G4190" t="s">
        <v>331</v>
      </c>
      <c r="H4190" s="15">
        <v>45292</v>
      </c>
      <c r="I4190">
        <v>12000</v>
      </c>
      <c r="J4190">
        <v>0</v>
      </c>
    </row>
    <row r="4191" spans="1:10" x14ac:dyDescent="0.3">
      <c r="A4191" s="15">
        <v>45778</v>
      </c>
      <c r="B4191" t="s">
        <v>198</v>
      </c>
      <c r="C4191" t="s">
        <v>81</v>
      </c>
      <c r="D4191" t="s">
        <v>82</v>
      </c>
      <c r="E4191" t="s">
        <v>89</v>
      </c>
      <c r="F4191">
        <v>2900</v>
      </c>
      <c r="G4191" t="s">
        <v>331</v>
      </c>
      <c r="H4191" s="15">
        <v>45292</v>
      </c>
      <c r="I4191">
        <v>2900</v>
      </c>
      <c r="J4191">
        <v>0</v>
      </c>
    </row>
    <row r="4192" spans="1:10" x14ac:dyDescent="0.3">
      <c r="A4192" s="15">
        <v>45778</v>
      </c>
      <c r="B4192" t="s">
        <v>199</v>
      </c>
      <c r="C4192" t="s">
        <v>81</v>
      </c>
      <c r="D4192" t="s">
        <v>86</v>
      </c>
      <c r="E4192" t="s">
        <v>89</v>
      </c>
      <c r="F4192">
        <v>2200</v>
      </c>
      <c r="G4192" t="s">
        <v>331</v>
      </c>
      <c r="H4192" s="15">
        <v>45292</v>
      </c>
      <c r="I4192">
        <v>2200</v>
      </c>
      <c r="J4192">
        <v>0</v>
      </c>
    </row>
    <row r="4193" spans="1:10" x14ac:dyDescent="0.3">
      <c r="A4193" s="15">
        <v>45778</v>
      </c>
      <c r="B4193" t="s">
        <v>200</v>
      </c>
      <c r="C4193" t="s">
        <v>91</v>
      </c>
      <c r="D4193" t="s">
        <v>86</v>
      </c>
      <c r="E4193" t="s">
        <v>92</v>
      </c>
      <c r="F4193">
        <v>8800</v>
      </c>
      <c r="G4193" t="s">
        <v>331</v>
      </c>
      <c r="H4193" s="15">
        <v>45292</v>
      </c>
      <c r="I4193">
        <v>8800</v>
      </c>
      <c r="J4193">
        <v>0</v>
      </c>
    </row>
    <row r="4194" spans="1:10" x14ac:dyDescent="0.3">
      <c r="A4194" s="15">
        <v>45778</v>
      </c>
      <c r="B4194" t="s">
        <v>201</v>
      </c>
      <c r="C4194" t="s">
        <v>81</v>
      </c>
      <c r="D4194" t="s">
        <v>86</v>
      </c>
      <c r="E4194" t="s">
        <v>83</v>
      </c>
      <c r="F4194">
        <v>1800</v>
      </c>
      <c r="G4194" t="s">
        <v>331</v>
      </c>
      <c r="H4194" s="15">
        <v>45292</v>
      </c>
      <c r="I4194">
        <v>1800</v>
      </c>
      <c r="J4194">
        <v>0</v>
      </c>
    </row>
    <row r="4195" spans="1:10" x14ac:dyDescent="0.3">
      <c r="A4195" s="15">
        <v>45778</v>
      </c>
      <c r="B4195" t="s">
        <v>202</v>
      </c>
      <c r="C4195" t="s">
        <v>91</v>
      </c>
      <c r="D4195" t="s">
        <v>82</v>
      </c>
      <c r="E4195" t="s">
        <v>92</v>
      </c>
      <c r="F4195">
        <v>11000</v>
      </c>
      <c r="G4195" t="s">
        <v>331</v>
      </c>
      <c r="H4195" s="15">
        <v>45292</v>
      </c>
      <c r="I4195">
        <v>11000</v>
      </c>
      <c r="J4195">
        <v>0</v>
      </c>
    </row>
    <row r="4196" spans="1:10" x14ac:dyDescent="0.3">
      <c r="A4196" s="15">
        <v>45778</v>
      </c>
      <c r="B4196" t="s">
        <v>203</v>
      </c>
      <c r="C4196" t="s">
        <v>110</v>
      </c>
      <c r="D4196" t="s">
        <v>86</v>
      </c>
      <c r="E4196" t="s">
        <v>92</v>
      </c>
      <c r="F4196">
        <v>27900</v>
      </c>
      <c r="G4196" t="s">
        <v>331</v>
      </c>
      <c r="H4196" s="15">
        <v>45292</v>
      </c>
      <c r="I4196">
        <v>27900</v>
      </c>
      <c r="J4196">
        <v>0</v>
      </c>
    </row>
    <row r="4197" spans="1:10" x14ac:dyDescent="0.3">
      <c r="A4197" s="15">
        <v>45778</v>
      </c>
      <c r="B4197" t="s">
        <v>204</v>
      </c>
      <c r="C4197" t="s">
        <v>81</v>
      </c>
      <c r="D4197" t="s">
        <v>82</v>
      </c>
      <c r="E4197" t="s">
        <v>87</v>
      </c>
      <c r="F4197">
        <v>1900</v>
      </c>
      <c r="G4197" t="s">
        <v>331</v>
      </c>
      <c r="H4197" s="15">
        <v>45292</v>
      </c>
      <c r="I4197">
        <v>1900</v>
      </c>
      <c r="J4197">
        <v>0</v>
      </c>
    </row>
    <row r="4198" spans="1:10" x14ac:dyDescent="0.3">
      <c r="A4198" s="15">
        <v>45778</v>
      </c>
      <c r="B4198" t="s">
        <v>205</v>
      </c>
      <c r="C4198" t="s">
        <v>91</v>
      </c>
      <c r="D4198" t="s">
        <v>86</v>
      </c>
      <c r="E4198" t="s">
        <v>103</v>
      </c>
      <c r="F4198">
        <v>9800</v>
      </c>
      <c r="G4198" t="s">
        <v>331</v>
      </c>
      <c r="H4198" s="15">
        <v>45292</v>
      </c>
      <c r="I4198">
        <v>9800</v>
      </c>
      <c r="J4198">
        <v>0</v>
      </c>
    </row>
    <row r="4199" spans="1:10" x14ac:dyDescent="0.3">
      <c r="A4199" s="15">
        <v>45778</v>
      </c>
      <c r="B4199" t="s">
        <v>206</v>
      </c>
      <c r="C4199" t="s">
        <v>81</v>
      </c>
      <c r="D4199" t="s">
        <v>86</v>
      </c>
      <c r="E4199" t="s">
        <v>89</v>
      </c>
      <c r="F4199">
        <v>3000</v>
      </c>
      <c r="G4199" t="s">
        <v>331</v>
      </c>
      <c r="H4199" s="15">
        <v>45292</v>
      </c>
      <c r="I4199">
        <v>3000</v>
      </c>
      <c r="J4199">
        <v>0</v>
      </c>
    </row>
    <row r="4200" spans="1:10" x14ac:dyDescent="0.3">
      <c r="A4200" s="15">
        <v>45778</v>
      </c>
      <c r="B4200" t="s">
        <v>207</v>
      </c>
      <c r="C4200" t="s">
        <v>81</v>
      </c>
      <c r="D4200" t="s">
        <v>82</v>
      </c>
      <c r="E4200" t="s">
        <v>89</v>
      </c>
      <c r="F4200">
        <v>3500</v>
      </c>
      <c r="G4200" t="s">
        <v>331</v>
      </c>
      <c r="H4200" s="15">
        <v>45292</v>
      </c>
      <c r="I4200">
        <v>3500</v>
      </c>
      <c r="J4200">
        <v>0</v>
      </c>
    </row>
    <row r="4201" spans="1:10" x14ac:dyDescent="0.3">
      <c r="A4201" s="15">
        <v>45778</v>
      </c>
      <c r="B4201" t="s">
        <v>208</v>
      </c>
      <c r="C4201" t="s">
        <v>91</v>
      </c>
      <c r="D4201" t="s">
        <v>99</v>
      </c>
      <c r="E4201" t="s">
        <v>89</v>
      </c>
      <c r="F4201">
        <v>7300</v>
      </c>
      <c r="G4201" t="s">
        <v>331</v>
      </c>
      <c r="H4201" s="15">
        <v>45292</v>
      </c>
      <c r="I4201">
        <v>7300</v>
      </c>
      <c r="J4201">
        <v>0</v>
      </c>
    </row>
    <row r="4202" spans="1:10" x14ac:dyDescent="0.3">
      <c r="A4202" s="15">
        <v>45778</v>
      </c>
      <c r="B4202" t="s">
        <v>209</v>
      </c>
      <c r="C4202" t="s">
        <v>81</v>
      </c>
      <c r="D4202" t="s">
        <v>86</v>
      </c>
      <c r="E4202" t="s">
        <v>83</v>
      </c>
      <c r="F4202">
        <v>3100</v>
      </c>
      <c r="G4202" t="s">
        <v>331</v>
      </c>
      <c r="H4202" s="15">
        <v>45292</v>
      </c>
      <c r="I4202">
        <v>3100</v>
      </c>
      <c r="J4202">
        <v>0</v>
      </c>
    </row>
    <row r="4203" spans="1:10" x14ac:dyDescent="0.3">
      <c r="A4203" s="15">
        <v>45778</v>
      </c>
      <c r="B4203" t="s">
        <v>210</v>
      </c>
      <c r="C4203" t="s">
        <v>125</v>
      </c>
      <c r="D4203" t="s">
        <v>96</v>
      </c>
      <c r="E4203" t="s">
        <v>89</v>
      </c>
      <c r="F4203">
        <v>90300</v>
      </c>
      <c r="G4203" t="s">
        <v>331</v>
      </c>
      <c r="H4203" s="15">
        <v>45292</v>
      </c>
      <c r="I4203">
        <v>90300</v>
      </c>
      <c r="J4203">
        <v>0</v>
      </c>
    </row>
    <row r="4204" spans="1:10" x14ac:dyDescent="0.3">
      <c r="A4204" s="15">
        <v>45778</v>
      </c>
      <c r="B4204" t="s">
        <v>211</v>
      </c>
      <c r="C4204" t="s">
        <v>110</v>
      </c>
      <c r="D4204" t="s">
        <v>82</v>
      </c>
      <c r="E4204" t="s">
        <v>92</v>
      </c>
      <c r="F4204">
        <v>28900</v>
      </c>
      <c r="G4204" t="s">
        <v>331</v>
      </c>
      <c r="H4204" s="15">
        <v>45292</v>
      </c>
      <c r="I4204">
        <v>28900</v>
      </c>
      <c r="J4204">
        <v>0</v>
      </c>
    </row>
    <row r="4205" spans="1:10" x14ac:dyDescent="0.3">
      <c r="A4205" s="15">
        <v>45778</v>
      </c>
      <c r="B4205" t="s">
        <v>213</v>
      </c>
      <c r="C4205" t="s">
        <v>81</v>
      </c>
      <c r="D4205" t="s">
        <v>82</v>
      </c>
      <c r="E4205" t="s">
        <v>97</v>
      </c>
      <c r="F4205">
        <v>3300</v>
      </c>
      <c r="G4205" t="s">
        <v>331</v>
      </c>
      <c r="H4205" s="15">
        <v>45292</v>
      </c>
      <c r="I4205">
        <v>3300</v>
      </c>
      <c r="J4205">
        <v>0</v>
      </c>
    </row>
    <row r="4206" spans="1:10" x14ac:dyDescent="0.3">
      <c r="A4206" s="15">
        <v>45778</v>
      </c>
      <c r="B4206" t="s">
        <v>214</v>
      </c>
      <c r="C4206" t="s">
        <v>91</v>
      </c>
      <c r="D4206" t="s">
        <v>82</v>
      </c>
      <c r="E4206" t="s">
        <v>89</v>
      </c>
      <c r="F4206">
        <v>8700</v>
      </c>
      <c r="G4206" t="s">
        <v>331</v>
      </c>
      <c r="H4206" s="15">
        <v>45292</v>
      </c>
      <c r="I4206">
        <v>8700</v>
      </c>
      <c r="J4206">
        <v>0</v>
      </c>
    </row>
    <row r="4207" spans="1:10" x14ac:dyDescent="0.3">
      <c r="A4207" s="15">
        <v>45778</v>
      </c>
      <c r="B4207" t="s">
        <v>216</v>
      </c>
      <c r="C4207" t="s">
        <v>81</v>
      </c>
      <c r="D4207" t="s">
        <v>82</v>
      </c>
      <c r="E4207" t="s">
        <v>97</v>
      </c>
      <c r="F4207">
        <v>3500</v>
      </c>
      <c r="G4207" t="s">
        <v>331</v>
      </c>
      <c r="H4207" s="15">
        <v>45292</v>
      </c>
      <c r="I4207">
        <v>3500</v>
      </c>
      <c r="J4207">
        <v>0</v>
      </c>
    </row>
    <row r="4208" spans="1:10" x14ac:dyDescent="0.3">
      <c r="A4208" s="15">
        <v>45778</v>
      </c>
      <c r="B4208" t="s">
        <v>217</v>
      </c>
      <c r="C4208" t="s">
        <v>91</v>
      </c>
      <c r="D4208" t="s">
        <v>82</v>
      </c>
      <c r="E4208" t="s">
        <v>97</v>
      </c>
      <c r="F4208">
        <v>9000</v>
      </c>
      <c r="G4208" t="s">
        <v>331</v>
      </c>
      <c r="H4208" s="15">
        <v>45292</v>
      </c>
      <c r="I4208">
        <v>9000</v>
      </c>
      <c r="J4208">
        <v>0</v>
      </c>
    </row>
    <row r="4209" spans="1:10" x14ac:dyDescent="0.3">
      <c r="A4209" s="15">
        <v>45778</v>
      </c>
      <c r="B4209" t="s">
        <v>218</v>
      </c>
      <c r="C4209" t="s">
        <v>110</v>
      </c>
      <c r="D4209" t="s">
        <v>99</v>
      </c>
      <c r="E4209" t="s">
        <v>92</v>
      </c>
      <c r="F4209">
        <v>32200</v>
      </c>
      <c r="G4209" t="s">
        <v>331</v>
      </c>
      <c r="H4209" s="15">
        <v>45292</v>
      </c>
      <c r="I4209">
        <v>32200</v>
      </c>
      <c r="J4209">
        <v>0</v>
      </c>
    </row>
    <row r="4210" spans="1:10" x14ac:dyDescent="0.3">
      <c r="A4210" s="15">
        <v>45778</v>
      </c>
      <c r="B4210" t="s">
        <v>219</v>
      </c>
      <c r="C4210" t="s">
        <v>81</v>
      </c>
      <c r="D4210" t="s">
        <v>99</v>
      </c>
      <c r="E4210" t="s">
        <v>89</v>
      </c>
      <c r="F4210">
        <v>2500</v>
      </c>
      <c r="G4210" t="s">
        <v>331</v>
      </c>
      <c r="H4210" s="15">
        <v>45292</v>
      </c>
      <c r="I4210">
        <v>2500</v>
      </c>
      <c r="J4210">
        <v>0</v>
      </c>
    </row>
    <row r="4211" spans="1:10" x14ac:dyDescent="0.3">
      <c r="A4211" s="15">
        <v>45778</v>
      </c>
      <c r="B4211" t="s">
        <v>220</v>
      </c>
      <c r="C4211" t="s">
        <v>110</v>
      </c>
      <c r="D4211" t="s">
        <v>82</v>
      </c>
      <c r="E4211" t="s">
        <v>89</v>
      </c>
      <c r="F4211">
        <v>30800</v>
      </c>
      <c r="G4211" t="s">
        <v>331</v>
      </c>
      <c r="H4211" s="15">
        <v>45292</v>
      </c>
      <c r="I4211">
        <v>30800</v>
      </c>
      <c r="J4211">
        <v>0</v>
      </c>
    </row>
    <row r="4212" spans="1:10" x14ac:dyDescent="0.3">
      <c r="A4212" s="15">
        <v>45778</v>
      </c>
      <c r="B4212" t="s">
        <v>221</v>
      </c>
      <c r="C4212" t="s">
        <v>91</v>
      </c>
      <c r="D4212" t="s">
        <v>96</v>
      </c>
      <c r="E4212" t="s">
        <v>83</v>
      </c>
      <c r="F4212">
        <v>0</v>
      </c>
      <c r="G4212" t="s">
        <v>333</v>
      </c>
      <c r="H4212" s="15">
        <v>45292</v>
      </c>
      <c r="I4212">
        <v>9100</v>
      </c>
      <c r="J4212">
        <v>-9100</v>
      </c>
    </row>
    <row r="4213" spans="1:10" x14ac:dyDescent="0.3">
      <c r="A4213" s="15">
        <v>45778</v>
      </c>
      <c r="B4213" t="s">
        <v>224</v>
      </c>
      <c r="C4213" t="s">
        <v>91</v>
      </c>
      <c r="D4213" t="s">
        <v>82</v>
      </c>
      <c r="E4213" t="s">
        <v>101</v>
      </c>
      <c r="F4213">
        <v>10600</v>
      </c>
      <c r="G4213" t="s">
        <v>331</v>
      </c>
      <c r="H4213" s="15">
        <v>45292</v>
      </c>
      <c r="I4213">
        <v>10600</v>
      </c>
      <c r="J4213">
        <v>0</v>
      </c>
    </row>
    <row r="4214" spans="1:10" x14ac:dyDescent="0.3">
      <c r="A4214" s="15">
        <v>45778</v>
      </c>
      <c r="B4214" t="s">
        <v>225</v>
      </c>
      <c r="C4214" t="s">
        <v>110</v>
      </c>
      <c r="D4214" t="s">
        <v>99</v>
      </c>
      <c r="E4214" t="s">
        <v>103</v>
      </c>
      <c r="F4214">
        <v>42200</v>
      </c>
      <c r="G4214" t="s">
        <v>331</v>
      </c>
      <c r="H4214" s="15">
        <v>45292</v>
      </c>
      <c r="I4214">
        <v>42200</v>
      </c>
      <c r="J4214">
        <v>0</v>
      </c>
    </row>
    <row r="4215" spans="1:10" x14ac:dyDescent="0.3">
      <c r="A4215" s="15">
        <v>45778</v>
      </c>
      <c r="B4215" t="s">
        <v>226</v>
      </c>
      <c r="C4215" t="s">
        <v>91</v>
      </c>
      <c r="D4215" t="s">
        <v>82</v>
      </c>
      <c r="E4215" t="s">
        <v>103</v>
      </c>
      <c r="F4215">
        <v>5300</v>
      </c>
      <c r="G4215" t="s">
        <v>331</v>
      </c>
      <c r="H4215" s="15">
        <v>45292</v>
      </c>
      <c r="I4215">
        <v>5300</v>
      </c>
      <c r="J4215">
        <v>0</v>
      </c>
    </row>
    <row r="4216" spans="1:10" x14ac:dyDescent="0.3">
      <c r="A4216" s="15">
        <v>45778</v>
      </c>
      <c r="B4216" t="s">
        <v>227</v>
      </c>
      <c r="C4216" t="s">
        <v>110</v>
      </c>
      <c r="D4216" t="s">
        <v>86</v>
      </c>
      <c r="E4216" t="s">
        <v>87</v>
      </c>
      <c r="F4216">
        <v>25900</v>
      </c>
      <c r="G4216" t="s">
        <v>331</v>
      </c>
      <c r="H4216" s="15">
        <v>45292</v>
      </c>
      <c r="I4216">
        <v>25900</v>
      </c>
      <c r="J4216">
        <v>0</v>
      </c>
    </row>
    <row r="4217" spans="1:10" x14ac:dyDescent="0.3">
      <c r="A4217" s="15">
        <v>45778</v>
      </c>
      <c r="B4217" t="s">
        <v>228</v>
      </c>
      <c r="C4217" t="s">
        <v>91</v>
      </c>
      <c r="D4217" t="s">
        <v>96</v>
      </c>
      <c r="E4217" t="s">
        <v>89</v>
      </c>
      <c r="F4217">
        <v>12000</v>
      </c>
      <c r="G4217" t="s">
        <v>331</v>
      </c>
      <c r="H4217" s="15">
        <v>45292</v>
      </c>
      <c r="I4217">
        <v>12000</v>
      </c>
      <c r="J4217">
        <v>0</v>
      </c>
    </row>
    <row r="4218" spans="1:10" x14ac:dyDescent="0.3">
      <c r="A4218" s="15">
        <v>45778</v>
      </c>
      <c r="B4218" t="s">
        <v>229</v>
      </c>
      <c r="C4218" t="s">
        <v>81</v>
      </c>
      <c r="D4218" t="s">
        <v>82</v>
      </c>
      <c r="E4218" t="s">
        <v>83</v>
      </c>
      <c r="F4218">
        <v>3000</v>
      </c>
      <c r="G4218" t="s">
        <v>331</v>
      </c>
      <c r="H4218" s="15">
        <v>45292</v>
      </c>
      <c r="I4218">
        <v>3000</v>
      </c>
      <c r="J4218">
        <v>0</v>
      </c>
    </row>
    <row r="4219" spans="1:10" x14ac:dyDescent="0.3">
      <c r="A4219" s="15">
        <v>45778</v>
      </c>
      <c r="B4219" t="s">
        <v>230</v>
      </c>
      <c r="C4219" t="s">
        <v>81</v>
      </c>
      <c r="D4219" t="s">
        <v>86</v>
      </c>
      <c r="E4219" t="s">
        <v>101</v>
      </c>
      <c r="F4219">
        <v>3400</v>
      </c>
      <c r="G4219" t="s">
        <v>331</v>
      </c>
      <c r="H4219" s="15">
        <v>45292</v>
      </c>
      <c r="I4219">
        <v>3400</v>
      </c>
      <c r="J4219">
        <v>0</v>
      </c>
    </row>
    <row r="4220" spans="1:10" x14ac:dyDescent="0.3">
      <c r="A4220" s="15">
        <v>45778</v>
      </c>
      <c r="B4220" t="s">
        <v>231</v>
      </c>
      <c r="C4220" t="s">
        <v>91</v>
      </c>
      <c r="D4220" t="s">
        <v>82</v>
      </c>
      <c r="E4220" t="s">
        <v>92</v>
      </c>
      <c r="F4220">
        <v>6900</v>
      </c>
      <c r="G4220" t="s">
        <v>331</v>
      </c>
      <c r="H4220" s="15">
        <v>45292</v>
      </c>
      <c r="I4220">
        <v>6900</v>
      </c>
      <c r="J4220">
        <v>0</v>
      </c>
    </row>
    <row r="4221" spans="1:10" x14ac:dyDescent="0.3">
      <c r="A4221" s="15">
        <v>45778</v>
      </c>
      <c r="B4221" t="s">
        <v>232</v>
      </c>
      <c r="C4221" t="s">
        <v>125</v>
      </c>
      <c r="D4221" t="s">
        <v>86</v>
      </c>
      <c r="E4221" t="s">
        <v>83</v>
      </c>
      <c r="F4221">
        <v>121100</v>
      </c>
      <c r="G4221" t="s">
        <v>331</v>
      </c>
      <c r="H4221" s="15">
        <v>45292</v>
      </c>
      <c r="I4221">
        <v>121100</v>
      </c>
      <c r="J4221">
        <v>0</v>
      </c>
    </row>
    <row r="4222" spans="1:10" x14ac:dyDescent="0.3">
      <c r="A4222" s="15">
        <v>45778</v>
      </c>
      <c r="B4222" t="s">
        <v>233</v>
      </c>
      <c r="C4222" t="s">
        <v>81</v>
      </c>
      <c r="D4222" t="s">
        <v>82</v>
      </c>
      <c r="E4222" t="s">
        <v>87</v>
      </c>
      <c r="F4222">
        <v>3300</v>
      </c>
      <c r="G4222" t="s">
        <v>331</v>
      </c>
      <c r="H4222" s="15">
        <v>45292</v>
      </c>
      <c r="I4222">
        <v>3300</v>
      </c>
      <c r="J4222">
        <v>0</v>
      </c>
    </row>
    <row r="4223" spans="1:10" x14ac:dyDescent="0.3">
      <c r="A4223" s="15">
        <v>45778</v>
      </c>
      <c r="B4223" t="s">
        <v>234</v>
      </c>
      <c r="C4223" t="s">
        <v>110</v>
      </c>
      <c r="D4223" t="s">
        <v>82</v>
      </c>
      <c r="E4223" t="s">
        <v>103</v>
      </c>
      <c r="F4223">
        <v>43400</v>
      </c>
      <c r="G4223" t="s">
        <v>331</v>
      </c>
      <c r="H4223" s="15">
        <v>45292</v>
      </c>
      <c r="I4223">
        <v>43400</v>
      </c>
      <c r="J4223">
        <v>0</v>
      </c>
    </row>
    <row r="4224" spans="1:10" x14ac:dyDescent="0.3">
      <c r="A4224" s="15">
        <v>45778</v>
      </c>
      <c r="B4224" t="s">
        <v>235</v>
      </c>
      <c r="C4224" t="s">
        <v>91</v>
      </c>
      <c r="D4224" t="s">
        <v>96</v>
      </c>
      <c r="E4224" t="s">
        <v>103</v>
      </c>
      <c r="F4224">
        <v>11100</v>
      </c>
      <c r="G4224" t="s">
        <v>331</v>
      </c>
      <c r="H4224" s="15">
        <v>45292</v>
      </c>
      <c r="I4224">
        <v>11100</v>
      </c>
      <c r="J4224">
        <v>0</v>
      </c>
    </row>
    <row r="4225" spans="1:10" x14ac:dyDescent="0.3">
      <c r="A4225" s="15">
        <v>45778</v>
      </c>
      <c r="B4225" t="s">
        <v>236</v>
      </c>
      <c r="C4225" t="s">
        <v>110</v>
      </c>
      <c r="D4225" t="s">
        <v>82</v>
      </c>
      <c r="E4225" t="s">
        <v>97</v>
      </c>
      <c r="F4225">
        <v>27200</v>
      </c>
      <c r="G4225" t="s">
        <v>331</v>
      </c>
      <c r="H4225" s="15">
        <v>45292</v>
      </c>
      <c r="I4225">
        <v>27200</v>
      </c>
      <c r="J4225">
        <v>0</v>
      </c>
    </row>
    <row r="4226" spans="1:10" x14ac:dyDescent="0.3">
      <c r="A4226" s="15">
        <v>45778</v>
      </c>
      <c r="B4226" t="s">
        <v>237</v>
      </c>
      <c r="C4226" t="s">
        <v>91</v>
      </c>
      <c r="D4226" t="s">
        <v>82</v>
      </c>
      <c r="E4226" t="s">
        <v>83</v>
      </c>
      <c r="F4226">
        <v>8100</v>
      </c>
      <c r="G4226" t="s">
        <v>331</v>
      </c>
      <c r="H4226" s="15">
        <v>45292</v>
      </c>
      <c r="I4226">
        <v>8100</v>
      </c>
      <c r="J4226">
        <v>0</v>
      </c>
    </row>
    <row r="4227" spans="1:10" x14ac:dyDescent="0.3">
      <c r="A4227" s="15">
        <v>45778</v>
      </c>
      <c r="B4227" t="s">
        <v>238</v>
      </c>
      <c r="C4227" t="s">
        <v>81</v>
      </c>
      <c r="D4227" t="s">
        <v>99</v>
      </c>
      <c r="E4227" t="s">
        <v>97</v>
      </c>
      <c r="F4227">
        <v>2300</v>
      </c>
      <c r="G4227" t="s">
        <v>331</v>
      </c>
      <c r="H4227" s="15">
        <v>45292</v>
      </c>
      <c r="I4227">
        <v>2300</v>
      </c>
      <c r="J4227">
        <v>0</v>
      </c>
    </row>
    <row r="4228" spans="1:10" x14ac:dyDescent="0.3">
      <c r="A4228" s="15">
        <v>45778</v>
      </c>
      <c r="B4228" t="s">
        <v>239</v>
      </c>
      <c r="C4228" t="s">
        <v>81</v>
      </c>
      <c r="D4228" t="s">
        <v>82</v>
      </c>
      <c r="E4228" t="s">
        <v>103</v>
      </c>
      <c r="F4228">
        <v>2500</v>
      </c>
      <c r="G4228" t="s">
        <v>331</v>
      </c>
      <c r="H4228" s="15">
        <v>45292</v>
      </c>
      <c r="I4228">
        <v>2500</v>
      </c>
      <c r="J4228">
        <v>0</v>
      </c>
    </row>
    <row r="4229" spans="1:10" x14ac:dyDescent="0.3">
      <c r="A4229" s="15">
        <v>45778</v>
      </c>
      <c r="B4229" t="s">
        <v>240</v>
      </c>
      <c r="C4229" t="s">
        <v>81</v>
      </c>
      <c r="D4229" t="s">
        <v>99</v>
      </c>
      <c r="E4229" t="s">
        <v>103</v>
      </c>
      <c r="F4229">
        <v>2500</v>
      </c>
      <c r="G4229" t="s">
        <v>331</v>
      </c>
      <c r="H4229" s="15">
        <v>45292</v>
      </c>
      <c r="I4229">
        <v>2500</v>
      </c>
      <c r="J4229">
        <v>0</v>
      </c>
    </row>
    <row r="4230" spans="1:10" x14ac:dyDescent="0.3">
      <c r="A4230" s="15">
        <v>45778</v>
      </c>
      <c r="B4230" t="s">
        <v>241</v>
      </c>
      <c r="C4230" t="s">
        <v>91</v>
      </c>
      <c r="D4230" t="s">
        <v>96</v>
      </c>
      <c r="E4230" t="s">
        <v>87</v>
      </c>
      <c r="F4230">
        <v>12100</v>
      </c>
      <c r="G4230" t="s">
        <v>331</v>
      </c>
      <c r="H4230" s="15">
        <v>45292</v>
      </c>
      <c r="I4230">
        <v>12100</v>
      </c>
      <c r="J4230">
        <v>0</v>
      </c>
    </row>
    <row r="4231" spans="1:10" x14ac:dyDescent="0.3">
      <c r="A4231" s="15">
        <v>45778</v>
      </c>
      <c r="B4231" t="s">
        <v>242</v>
      </c>
      <c r="C4231" t="s">
        <v>110</v>
      </c>
      <c r="D4231" t="s">
        <v>99</v>
      </c>
      <c r="E4231" t="s">
        <v>101</v>
      </c>
      <c r="F4231">
        <v>34800</v>
      </c>
      <c r="G4231" t="s">
        <v>331</v>
      </c>
      <c r="H4231" s="15">
        <v>45292</v>
      </c>
      <c r="I4231">
        <v>34800</v>
      </c>
      <c r="J4231">
        <v>0</v>
      </c>
    </row>
    <row r="4232" spans="1:10" x14ac:dyDescent="0.3">
      <c r="A4232" s="15">
        <v>45778</v>
      </c>
      <c r="B4232" t="s">
        <v>244</v>
      </c>
      <c r="C4232" t="s">
        <v>91</v>
      </c>
      <c r="D4232" t="s">
        <v>82</v>
      </c>
      <c r="E4232" t="s">
        <v>92</v>
      </c>
      <c r="F4232">
        <v>7800</v>
      </c>
      <c r="G4232" t="s">
        <v>331</v>
      </c>
      <c r="H4232" s="15">
        <v>45292</v>
      </c>
      <c r="I4232">
        <v>7800</v>
      </c>
      <c r="J4232">
        <v>0</v>
      </c>
    </row>
    <row r="4233" spans="1:10" x14ac:dyDescent="0.3">
      <c r="A4233" s="15">
        <v>45778</v>
      </c>
      <c r="B4233" t="s">
        <v>245</v>
      </c>
      <c r="C4233" t="s">
        <v>81</v>
      </c>
      <c r="D4233" t="s">
        <v>99</v>
      </c>
      <c r="E4233" t="s">
        <v>97</v>
      </c>
      <c r="F4233">
        <v>2600</v>
      </c>
      <c r="G4233" t="s">
        <v>331</v>
      </c>
      <c r="H4233" s="15">
        <v>45292</v>
      </c>
      <c r="I4233">
        <v>2600</v>
      </c>
      <c r="J4233">
        <v>0</v>
      </c>
    </row>
    <row r="4234" spans="1:10" x14ac:dyDescent="0.3">
      <c r="A4234" s="15">
        <v>45778</v>
      </c>
      <c r="B4234" t="s">
        <v>246</v>
      </c>
      <c r="C4234" t="s">
        <v>91</v>
      </c>
      <c r="D4234" t="s">
        <v>86</v>
      </c>
      <c r="E4234" t="s">
        <v>103</v>
      </c>
      <c r="F4234">
        <v>10100</v>
      </c>
      <c r="G4234" t="s">
        <v>331</v>
      </c>
      <c r="H4234" s="15">
        <v>45292</v>
      </c>
      <c r="I4234">
        <v>10100</v>
      </c>
      <c r="J4234">
        <v>0</v>
      </c>
    </row>
    <row r="4235" spans="1:10" x14ac:dyDescent="0.3">
      <c r="A4235" s="15">
        <v>45778</v>
      </c>
      <c r="B4235" t="s">
        <v>247</v>
      </c>
      <c r="C4235" t="s">
        <v>91</v>
      </c>
      <c r="D4235" t="s">
        <v>86</v>
      </c>
      <c r="E4235" t="s">
        <v>89</v>
      </c>
      <c r="F4235">
        <v>7800</v>
      </c>
      <c r="G4235" t="s">
        <v>331</v>
      </c>
      <c r="H4235" s="15">
        <v>45292</v>
      </c>
      <c r="I4235">
        <v>7800</v>
      </c>
      <c r="J4235">
        <v>0</v>
      </c>
    </row>
    <row r="4236" spans="1:10" x14ac:dyDescent="0.3">
      <c r="A4236" s="15">
        <v>45778</v>
      </c>
      <c r="B4236" t="s">
        <v>248</v>
      </c>
      <c r="C4236" t="s">
        <v>81</v>
      </c>
      <c r="D4236" t="s">
        <v>82</v>
      </c>
      <c r="E4236" t="s">
        <v>103</v>
      </c>
      <c r="F4236">
        <v>2100</v>
      </c>
      <c r="G4236" t="s">
        <v>331</v>
      </c>
      <c r="H4236" s="15">
        <v>45292</v>
      </c>
      <c r="I4236">
        <v>2100</v>
      </c>
      <c r="J4236">
        <v>0</v>
      </c>
    </row>
    <row r="4237" spans="1:10" x14ac:dyDescent="0.3">
      <c r="A4237" s="15">
        <v>45778</v>
      </c>
      <c r="B4237" t="s">
        <v>250</v>
      </c>
      <c r="C4237" t="s">
        <v>81</v>
      </c>
      <c r="D4237" t="s">
        <v>86</v>
      </c>
      <c r="E4237" t="s">
        <v>87</v>
      </c>
      <c r="F4237">
        <v>3000</v>
      </c>
      <c r="G4237" t="s">
        <v>331</v>
      </c>
      <c r="H4237" s="15">
        <v>45292</v>
      </c>
      <c r="I4237">
        <v>3000</v>
      </c>
      <c r="J4237">
        <v>0</v>
      </c>
    </row>
    <row r="4238" spans="1:10" x14ac:dyDescent="0.3">
      <c r="A4238" s="15">
        <v>45778</v>
      </c>
      <c r="B4238" t="s">
        <v>251</v>
      </c>
      <c r="C4238" t="s">
        <v>91</v>
      </c>
      <c r="D4238" t="s">
        <v>99</v>
      </c>
      <c r="E4238" t="s">
        <v>103</v>
      </c>
      <c r="F4238">
        <v>8800</v>
      </c>
      <c r="G4238" t="s">
        <v>331</v>
      </c>
      <c r="H4238" s="15">
        <v>45292</v>
      </c>
      <c r="I4238">
        <v>8800</v>
      </c>
      <c r="J4238">
        <v>0</v>
      </c>
    </row>
    <row r="4239" spans="1:10" x14ac:dyDescent="0.3">
      <c r="A4239" s="15">
        <v>45778</v>
      </c>
      <c r="B4239" t="s">
        <v>252</v>
      </c>
      <c r="C4239" t="s">
        <v>81</v>
      </c>
      <c r="D4239" t="s">
        <v>99</v>
      </c>
      <c r="E4239" t="s">
        <v>92</v>
      </c>
      <c r="F4239">
        <v>3400</v>
      </c>
      <c r="G4239" t="s">
        <v>331</v>
      </c>
      <c r="H4239" s="15">
        <v>45292</v>
      </c>
      <c r="I4239">
        <v>3400</v>
      </c>
      <c r="J4239">
        <v>0</v>
      </c>
    </row>
    <row r="4240" spans="1:10" x14ac:dyDescent="0.3">
      <c r="A4240" s="15">
        <v>45778</v>
      </c>
      <c r="B4240" t="s">
        <v>253</v>
      </c>
      <c r="C4240" t="s">
        <v>81</v>
      </c>
      <c r="D4240" t="s">
        <v>96</v>
      </c>
      <c r="E4240" t="s">
        <v>89</v>
      </c>
      <c r="F4240">
        <v>2400</v>
      </c>
      <c r="G4240" t="s">
        <v>331</v>
      </c>
      <c r="H4240" s="15">
        <v>45292</v>
      </c>
      <c r="I4240">
        <v>2400</v>
      </c>
      <c r="J4240">
        <v>0</v>
      </c>
    </row>
    <row r="4241" spans="1:10" x14ac:dyDescent="0.3">
      <c r="A4241" s="15">
        <v>45778</v>
      </c>
      <c r="B4241" t="s">
        <v>254</v>
      </c>
      <c r="C4241" t="s">
        <v>110</v>
      </c>
      <c r="D4241" t="s">
        <v>86</v>
      </c>
      <c r="E4241" t="s">
        <v>103</v>
      </c>
      <c r="F4241">
        <v>56100</v>
      </c>
      <c r="G4241" t="s">
        <v>331</v>
      </c>
      <c r="H4241" s="15">
        <v>45292</v>
      </c>
      <c r="I4241">
        <v>56100</v>
      </c>
      <c r="J4241">
        <v>0</v>
      </c>
    </row>
    <row r="4242" spans="1:10" x14ac:dyDescent="0.3">
      <c r="A4242" s="15">
        <v>45778</v>
      </c>
      <c r="B4242" t="s">
        <v>255</v>
      </c>
      <c r="C4242" t="s">
        <v>91</v>
      </c>
      <c r="D4242" t="s">
        <v>86</v>
      </c>
      <c r="E4242" t="s">
        <v>89</v>
      </c>
      <c r="F4242">
        <v>9900</v>
      </c>
      <c r="G4242" t="s">
        <v>331</v>
      </c>
      <c r="H4242" s="15">
        <v>45292</v>
      </c>
      <c r="I4242">
        <v>9900</v>
      </c>
      <c r="J4242">
        <v>0</v>
      </c>
    </row>
    <row r="4243" spans="1:10" x14ac:dyDescent="0.3">
      <c r="A4243" s="15">
        <v>45778</v>
      </c>
      <c r="B4243" t="s">
        <v>256</v>
      </c>
      <c r="C4243" t="s">
        <v>81</v>
      </c>
      <c r="D4243" t="s">
        <v>82</v>
      </c>
      <c r="E4243" t="s">
        <v>103</v>
      </c>
      <c r="F4243">
        <v>1800</v>
      </c>
      <c r="G4243" t="s">
        <v>331</v>
      </c>
      <c r="H4243" s="15">
        <v>45292</v>
      </c>
      <c r="I4243">
        <v>1800</v>
      </c>
      <c r="J4243">
        <v>0</v>
      </c>
    </row>
    <row r="4244" spans="1:10" x14ac:dyDescent="0.3">
      <c r="A4244" s="15">
        <v>45778</v>
      </c>
      <c r="B4244" t="s">
        <v>257</v>
      </c>
      <c r="C4244" t="s">
        <v>91</v>
      </c>
      <c r="D4244" t="s">
        <v>96</v>
      </c>
      <c r="E4244" t="s">
        <v>87</v>
      </c>
      <c r="F4244">
        <v>9500</v>
      </c>
      <c r="G4244" t="s">
        <v>332</v>
      </c>
      <c r="H4244" s="15">
        <v>45292</v>
      </c>
      <c r="I4244">
        <v>8400</v>
      </c>
      <c r="J4244">
        <v>1100</v>
      </c>
    </row>
    <row r="4245" spans="1:10" x14ac:dyDescent="0.3">
      <c r="A4245" s="15">
        <v>45778</v>
      </c>
      <c r="B4245" t="s">
        <v>258</v>
      </c>
      <c r="C4245" t="s">
        <v>125</v>
      </c>
      <c r="D4245" t="s">
        <v>86</v>
      </c>
      <c r="E4245" t="s">
        <v>83</v>
      </c>
      <c r="F4245">
        <v>96300</v>
      </c>
      <c r="G4245" t="s">
        <v>331</v>
      </c>
      <c r="H4245" s="15">
        <v>45292</v>
      </c>
      <c r="I4245">
        <v>96300</v>
      </c>
      <c r="J4245">
        <v>0</v>
      </c>
    </row>
    <row r="4246" spans="1:10" x14ac:dyDescent="0.3">
      <c r="A4246" s="15">
        <v>45778</v>
      </c>
      <c r="B4246" t="s">
        <v>259</v>
      </c>
      <c r="C4246" t="s">
        <v>81</v>
      </c>
      <c r="D4246" t="s">
        <v>86</v>
      </c>
      <c r="E4246" t="s">
        <v>89</v>
      </c>
      <c r="F4246">
        <v>1900</v>
      </c>
      <c r="G4246" t="s">
        <v>331</v>
      </c>
      <c r="H4246" s="15">
        <v>45292</v>
      </c>
      <c r="I4246">
        <v>1900</v>
      </c>
      <c r="J4246">
        <v>0</v>
      </c>
    </row>
    <row r="4247" spans="1:10" x14ac:dyDescent="0.3">
      <c r="A4247" s="15">
        <v>45778</v>
      </c>
      <c r="B4247" t="s">
        <v>260</v>
      </c>
      <c r="C4247" t="s">
        <v>81</v>
      </c>
      <c r="D4247" t="s">
        <v>86</v>
      </c>
      <c r="E4247" t="s">
        <v>97</v>
      </c>
      <c r="F4247">
        <v>2000</v>
      </c>
      <c r="G4247" t="s">
        <v>331</v>
      </c>
      <c r="H4247" s="15">
        <v>45292</v>
      </c>
      <c r="I4247">
        <v>2000</v>
      </c>
      <c r="J4247">
        <v>0</v>
      </c>
    </row>
    <row r="4248" spans="1:10" x14ac:dyDescent="0.3">
      <c r="A4248" s="15">
        <v>45778</v>
      </c>
      <c r="B4248" t="s">
        <v>262</v>
      </c>
      <c r="C4248" t="s">
        <v>91</v>
      </c>
      <c r="D4248" t="s">
        <v>82</v>
      </c>
      <c r="E4248" t="s">
        <v>92</v>
      </c>
      <c r="F4248">
        <v>9400</v>
      </c>
      <c r="G4248" t="s">
        <v>331</v>
      </c>
      <c r="H4248" s="15">
        <v>45292</v>
      </c>
      <c r="I4248">
        <v>9400</v>
      </c>
      <c r="J4248">
        <v>0</v>
      </c>
    </row>
    <row r="4249" spans="1:10" x14ac:dyDescent="0.3">
      <c r="A4249" s="15">
        <v>45778</v>
      </c>
      <c r="B4249" t="s">
        <v>264</v>
      </c>
      <c r="C4249" t="s">
        <v>110</v>
      </c>
      <c r="D4249" t="s">
        <v>86</v>
      </c>
      <c r="E4249" t="s">
        <v>97</v>
      </c>
      <c r="F4249">
        <v>31500</v>
      </c>
      <c r="G4249" t="s">
        <v>331</v>
      </c>
      <c r="H4249" s="15">
        <v>45292</v>
      </c>
      <c r="I4249">
        <v>31500</v>
      </c>
      <c r="J4249">
        <v>0</v>
      </c>
    </row>
    <row r="4250" spans="1:10" x14ac:dyDescent="0.3">
      <c r="A4250" s="15">
        <v>45778</v>
      </c>
      <c r="B4250" t="s">
        <v>265</v>
      </c>
      <c r="C4250" t="s">
        <v>125</v>
      </c>
      <c r="D4250" t="s">
        <v>86</v>
      </c>
      <c r="E4250" t="s">
        <v>101</v>
      </c>
      <c r="F4250">
        <v>92200</v>
      </c>
      <c r="G4250" t="s">
        <v>331</v>
      </c>
      <c r="H4250" s="15">
        <v>45292</v>
      </c>
      <c r="I4250">
        <v>92200</v>
      </c>
      <c r="J4250">
        <v>0</v>
      </c>
    </row>
    <row r="4251" spans="1:10" x14ac:dyDescent="0.3">
      <c r="A4251" s="15">
        <v>45778</v>
      </c>
      <c r="B4251" t="s">
        <v>266</v>
      </c>
      <c r="C4251" t="s">
        <v>81</v>
      </c>
      <c r="D4251" t="s">
        <v>82</v>
      </c>
      <c r="E4251" t="s">
        <v>83</v>
      </c>
      <c r="F4251">
        <v>2200</v>
      </c>
      <c r="G4251" t="s">
        <v>331</v>
      </c>
      <c r="H4251" s="15">
        <v>45292</v>
      </c>
      <c r="I4251">
        <v>2200</v>
      </c>
      <c r="J4251">
        <v>0</v>
      </c>
    </row>
    <row r="4252" spans="1:10" x14ac:dyDescent="0.3">
      <c r="A4252" s="15">
        <v>45778</v>
      </c>
      <c r="B4252" t="s">
        <v>267</v>
      </c>
      <c r="C4252" t="s">
        <v>91</v>
      </c>
      <c r="D4252" t="s">
        <v>82</v>
      </c>
      <c r="E4252" t="s">
        <v>97</v>
      </c>
      <c r="F4252">
        <v>6900</v>
      </c>
      <c r="G4252" t="s">
        <v>331</v>
      </c>
      <c r="H4252" s="15">
        <v>45292</v>
      </c>
      <c r="I4252">
        <v>6900</v>
      </c>
      <c r="J4252">
        <v>0</v>
      </c>
    </row>
    <row r="4253" spans="1:10" x14ac:dyDescent="0.3">
      <c r="A4253" s="15">
        <v>45778</v>
      </c>
      <c r="B4253" t="s">
        <v>272</v>
      </c>
      <c r="C4253" t="s">
        <v>125</v>
      </c>
      <c r="D4253" t="s">
        <v>96</v>
      </c>
      <c r="E4253" t="s">
        <v>103</v>
      </c>
      <c r="F4253">
        <v>101100</v>
      </c>
      <c r="G4253" t="s">
        <v>331</v>
      </c>
      <c r="H4253" s="15">
        <v>45292</v>
      </c>
      <c r="I4253">
        <v>101100</v>
      </c>
      <c r="J4253">
        <v>0</v>
      </c>
    </row>
    <row r="4254" spans="1:10" x14ac:dyDescent="0.3">
      <c r="A4254" s="15">
        <v>45778</v>
      </c>
      <c r="B4254" t="s">
        <v>273</v>
      </c>
      <c r="C4254" t="s">
        <v>81</v>
      </c>
      <c r="D4254" t="s">
        <v>82</v>
      </c>
      <c r="E4254" t="s">
        <v>101</v>
      </c>
      <c r="F4254">
        <v>3300</v>
      </c>
      <c r="G4254" t="s">
        <v>331</v>
      </c>
      <c r="H4254" s="15">
        <v>45292</v>
      </c>
      <c r="I4254">
        <v>3300</v>
      </c>
      <c r="J4254">
        <v>0</v>
      </c>
    </row>
    <row r="4255" spans="1:10" x14ac:dyDescent="0.3">
      <c r="A4255" s="15">
        <v>45778</v>
      </c>
      <c r="B4255" t="s">
        <v>274</v>
      </c>
      <c r="C4255" t="s">
        <v>91</v>
      </c>
      <c r="D4255" t="s">
        <v>99</v>
      </c>
      <c r="E4255" t="s">
        <v>87</v>
      </c>
      <c r="F4255">
        <v>11400</v>
      </c>
      <c r="G4255" t="s">
        <v>331</v>
      </c>
      <c r="H4255" s="15">
        <v>45292</v>
      </c>
      <c r="I4255">
        <v>11400</v>
      </c>
      <c r="J4255">
        <v>0</v>
      </c>
    </row>
    <row r="4256" spans="1:10" x14ac:dyDescent="0.3">
      <c r="A4256" s="15">
        <v>45778</v>
      </c>
      <c r="B4256" t="s">
        <v>276</v>
      </c>
      <c r="C4256" t="s">
        <v>81</v>
      </c>
      <c r="D4256" t="s">
        <v>82</v>
      </c>
      <c r="E4256" t="s">
        <v>103</v>
      </c>
      <c r="F4256">
        <v>3300</v>
      </c>
      <c r="G4256" t="s">
        <v>331</v>
      </c>
      <c r="H4256" s="15">
        <v>45292</v>
      </c>
      <c r="I4256">
        <v>3300</v>
      </c>
      <c r="J4256">
        <v>0</v>
      </c>
    </row>
    <row r="4257" spans="1:10" x14ac:dyDescent="0.3">
      <c r="A4257" s="15">
        <v>45778</v>
      </c>
      <c r="B4257" t="s">
        <v>277</v>
      </c>
      <c r="C4257" t="s">
        <v>91</v>
      </c>
      <c r="D4257" t="s">
        <v>86</v>
      </c>
      <c r="E4257" t="s">
        <v>97</v>
      </c>
      <c r="F4257">
        <v>8000</v>
      </c>
      <c r="G4257" t="s">
        <v>331</v>
      </c>
      <c r="H4257" s="15">
        <v>45292</v>
      </c>
      <c r="I4257">
        <v>8000</v>
      </c>
      <c r="J4257">
        <v>0</v>
      </c>
    </row>
    <row r="4258" spans="1:10" x14ac:dyDescent="0.3">
      <c r="A4258" s="15">
        <v>45778</v>
      </c>
      <c r="B4258" t="s">
        <v>279</v>
      </c>
      <c r="C4258" t="s">
        <v>91</v>
      </c>
      <c r="D4258" t="s">
        <v>99</v>
      </c>
      <c r="E4258" t="s">
        <v>89</v>
      </c>
      <c r="F4258">
        <v>9800</v>
      </c>
      <c r="G4258" t="s">
        <v>331</v>
      </c>
      <c r="H4258" s="15">
        <v>45292</v>
      </c>
      <c r="I4258">
        <v>9800</v>
      </c>
      <c r="J4258">
        <v>0</v>
      </c>
    </row>
    <row r="4259" spans="1:10" x14ac:dyDescent="0.3">
      <c r="A4259" s="15">
        <v>45778</v>
      </c>
      <c r="B4259" t="s">
        <v>280</v>
      </c>
      <c r="C4259" t="s">
        <v>91</v>
      </c>
      <c r="D4259" t="s">
        <v>96</v>
      </c>
      <c r="E4259" t="s">
        <v>83</v>
      </c>
      <c r="F4259">
        <v>6300</v>
      </c>
      <c r="G4259" t="s">
        <v>331</v>
      </c>
      <c r="H4259" s="15">
        <v>45292</v>
      </c>
      <c r="I4259">
        <v>6300</v>
      </c>
      <c r="J4259">
        <v>0</v>
      </c>
    </row>
    <row r="4260" spans="1:10" x14ac:dyDescent="0.3">
      <c r="A4260" s="15">
        <v>45778</v>
      </c>
      <c r="B4260" t="s">
        <v>281</v>
      </c>
      <c r="C4260" t="s">
        <v>110</v>
      </c>
      <c r="D4260" t="s">
        <v>86</v>
      </c>
      <c r="E4260" t="s">
        <v>92</v>
      </c>
      <c r="F4260">
        <v>63400</v>
      </c>
      <c r="G4260" t="s">
        <v>331</v>
      </c>
      <c r="H4260" s="15">
        <v>45292</v>
      </c>
      <c r="I4260">
        <v>63400</v>
      </c>
      <c r="J4260">
        <v>0</v>
      </c>
    </row>
    <row r="4261" spans="1:10" x14ac:dyDescent="0.3">
      <c r="A4261" s="15">
        <v>45778</v>
      </c>
      <c r="B4261" t="s">
        <v>282</v>
      </c>
      <c r="C4261" t="s">
        <v>91</v>
      </c>
      <c r="D4261" t="s">
        <v>86</v>
      </c>
      <c r="E4261" t="s">
        <v>92</v>
      </c>
      <c r="F4261">
        <v>5800</v>
      </c>
      <c r="G4261" t="s">
        <v>331</v>
      </c>
      <c r="H4261" s="15">
        <v>45292</v>
      </c>
      <c r="I4261">
        <v>5800</v>
      </c>
      <c r="J4261">
        <v>0</v>
      </c>
    </row>
    <row r="4262" spans="1:10" x14ac:dyDescent="0.3">
      <c r="A4262" s="15">
        <v>45778</v>
      </c>
      <c r="B4262" t="s">
        <v>283</v>
      </c>
      <c r="C4262" t="s">
        <v>110</v>
      </c>
      <c r="D4262" t="s">
        <v>82</v>
      </c>
      <c r="E4262" t="s">
        <v>87</v>
      </c>
      <c r="F4262">
        <v>34200</v>
      </c>
      <c r="G4262" t="s">
        <v>331</v>
      </c>
      <c r="H4262" s="15">
        <v>45292</v>
      </c>
      <c r="I4262">
        <v>34200</v>
      </c>
      <c r="J4262">
        <v>0</v>
      </c>
    </row>
    <row r="4263" spans="1:10" x14ac:dyDescent="0.3">
      <c r="A4263" s="15">
        <v>45778</v>
      </c>
      <c r="B4263" t="s">
        <v>284</v>
      </c>
      <c r="C4263" t="s">
        <v>81</v>
      </c>
      <c r="D4263" t="s">
        <v>82</v>
      </c>
      <c r="E4263" t="s">
        <v>101</v>
      </c>
      <c r="F4263">
        <v>2400</v>
      </c>
      <c r="G4263" t="s">
        <v>331</v>
      </c>
      <c r="H4263" s="15">
        <v>45292</v>
      </c>
      <c r="I4263">
        <v>2400</v>
      </c>
      <c r="J4263">
        <v>0</v>
      </c>
    </row>
    <row r="4264" spans="1:10" x14ac:dyDescent="0.3">
      <c r="A4264" s="15">
        <v>45778</v>
      </c>
      <c r="B4264" t="s">
        <v>285</v>
      </c>
      <c r="C4264" t="s">
        <v>91</v>
      </c>
      <c r="D4264" t="s">
        <v>82</v>
      </c>
      <c r="E4264" t="s">
        <v>83</v>
      </c>
      <c r="F4264">
        <v>10900</v>
      </c>
      <c r="G4264" t="s">
        <v>331</v>
      </c>
      <c r="H4264" s="15">
        <v>45292</v>
      </c>
      <c r="I4264">
        <v>10900</v>
      </c>
      <c r="J4264">
        <v>0</v>
      </c>
    </row>
    <row r="4265" spans="1:10" x14ac:dyDescent="0.3">
      <c r="A4265" s="15">
        <v>45778</v>
      </c>
      <c r="B4265" t="s">
        <v>286</v>
      </c>
      <c r="C4265" t="s">
        <v>125</v>
      </c>
      <c r="D4265" t="s">
        <v>86</v>
      </c>
      <c r="E4265" t="s">
        <v>92</v>
      </c>
      <c r="F4265">
        <v>92400</v>
      </c>
      <c r="G4265" t="s">
        <v>331</v>
      </c>
      <c r="H4265" s="15">
        <v>45292</v>
      </c>
      <c r="I4265">
        <v>92400</v>
      </c>
      <c r="J4265">
        <v>0</v>
      </c>
    </row>
    <row r="4266" spans="1:10" x14ac:dyDescent="0.3">
      <c r="A4266" s="15">
        <v>45778</v>
      </c>
      <c r="B4266" t="s">
        <v>287</v>
      </c>
      <c r="C4266" t="s">
        <v>81</v>
      </c>
      <c r="D4266" t="s">
        <v>99</v>
      </c>
      <c r="E4266" t="s">
        <v>87</v>
      </c>
      <c r="F4266">
        <v>2300</v>
      </c>
      <c r="G4266" t="s">
        <v>331</v>
      </c>
      <c r="H4266" s="15">
        <v>45292</v>
      </c>
      <c r="I4266">
        <v>2300</v>
      </c>
      <c r="J4266">
        <v>0</v>
      </c>
    </row>
    <row r="4267" spans="1:10" x14ac:dyDescent="0.3">
      <c r="A4267" s="15">
        <v>45778</v>
      </c>
      <c r="B4267" t="s">
        <v>288</v>
      </c>
      <c r="C4267" t="s">
        <v>81</v>
      </c>
      <c r="D4267" t="s">
        <v>99</v>
      </c>
      <c r="E4267" t="s">
        <v>97</v>
      </c>
      <c r="F4267">
        <v>2600</v>
      </c>
      <c r="G4267" t="s">
        <v>331</v>
      </c>
      <c r="H4267" s="15">
        <v>45292</v>
      </c>
      <c r="I4267">
        <v>2600</v>
      </c>
      <c r="J4267">
        <v>0</v>
      </c>
    </row>
    <row r="4268" spans="1:10" x14ac:dyDescent="0.3">
      <c r="A4268" s="15">
        <v>45778</v>
      </c>
      <c r="B4268" t="s">
        <v>289</v>
      </c>
      <c r="C4268" t="s">
        <v>91</v>
      </c>
      <c r="D4268" t="s">
        <v>86</v>
      </c>
      <c r="E4268" t="s">
        <v>101</v>
      </c>
      <c r="F4268">
        <v>9400</v>
      </c>
      <c r="G4268" t="s">
        <v>331</v>
      </c>
      <c r="H4268" s="15">
        <v>45292</v>
      </c>
      <c r="I4268">
        <v>9400</v>
      </c>
      <c r="J4268">
        <v>0</v>
      </c>
    </row>
    <row r="4269" spans="1:10" x14ac:dyDescent="0.3">
      <c r="A4269" s="15">
        <v>45778</v>
      </c>
      <c r="B4269" t="s">
        <v>290</v>
      </c>
      <c r="C4269" t="s">
        <v>81</v>
      </c>
      <c r="D4269" t="s">
        <v>82</v>
      </c>
      <c r="E4269" t="s">
        <v>103</v>
      </c>
      <c r="F4269">
        <v>2500</v>
      </c>
      <c r="G4269" t="s">
        <v>331</v>
      </c>
      <c r="H4269" s="15">
        <v>45292</v>
      </c>
      <c r="I4269">
        <v>2500</v>
      </c>
      <c r="J4269">
        <v>0</v>
      </c>
    </row>
    <row r="4270" spans="1:10" x14ac:dyDescent="0.3">
      <c r="A4270" s="15">
        <v>45778</v>
      </c>
      <c r="B4270" t="s">
        <v>291</v>
      </c>
      <c r="C4270" t="s">
        <v>81</v>
      </c>
      <c r="D4270" t="s">
        <v>82</v>
      </c>
      <c r="E4270" t="s">
        <v>83</v>
      </c>
      <c r="F4270">
        <v>3100</v>
      </c>
      <c r="G4270" t="s">
        <v>331</v>
      </c>
      <c r="H4270" s="15">
        <v>45292</v>
      </c>
      <c r="I4270">
        <v>3100</v>
      </c>
      <c r="J4270">
        <v>0</v>
      </c>
    </row>
    <row r="4271" spans="1:10" x14ac:dyDescent="0.3">
      <c r="A4271" s="15">
        <v>45778</v>
      </c>
      <c r="B4271" t="s">
        <v>292</v>
      </c>
      <c r="C4271" t="s">
        <v>91</v>
      </c>
      <c r="D4271" t="s">
        <v>86</v>
      </c>
      <c r="E4271" t="s">
        <v>89</v>
      </c>
      <c r="F4271">
        <v>8600</v>
      </c>
      <c r="G4271" t="s">
        <v>331</v>
      </c>
      <c r="H4271" s="15">
        <v>45292</v>
      </c>
      <c r="I4271">
        <v>8600</v>
      </c>
      <c r="J4271">
        <v>0</v>
      </c>
    </row>
    <row r="4272" spans="1:10" x14ac:dyDescent="0.3">
      <c r="A4272" s="15">
        <v>45778</v>
      </c>
      <c r="B4272" t="s">
        <v>293</v>
      </c>
      <c r="C4272" t="s">
        <v>81</v>
      </c>
      <c r="D4272" t="s">
        <v>86</v>
      </c>
      <c r="E4272" t="s">
        <v>103</v>
      </c>
      <c r="F4272">
        <v>2200</v>
      </c>
      <c r="G4272" t="s">
        <v>331</v>
      </c>
      <c r="H4272" s="15">
        <v>45292</v>
      </c>
      <c r="I4272">
        <v>2200</v>
      </c>
      <c r="J4272">
        <v>0</v>
      </c>
    </row>
    <row r="4273" spans="1:10" x14ac:dyDescent="0.3">
      <c r="A4273" s="15">
        <v>45778</v>
      </c>
      <c r="B4273" t="s">
        <v>294</v>
      </c>
      <c r="C4273" t="s">
        <v>91</v>
      </c>
      <c r="D4273" t="s">
        <v>82</v>
      </c>
      <c r="E4273" t="s">
        <v>97</v>
      </c>
      <c r="F4273">
        <v>10400</v>
      </c>
      <c r="G4273" t="s">
        <v>331</v>
      </c>
      <c r="H4273" s="15">
        <v>45292</v>
      </c>
      <c r="I4273">
        <v>10400</v>
      </c>
      <c r="J4273">
        <v>0</v>
      </c>
    </row>
    <row r="4274" spans="1:10" x14ac:dyDescent="0.3">
      <c r="A4274" s="15">
        <v>45778</v>
      </c>
      <c r="B4274" t="s">
        <v>295</v>
      </c>
      <c r="C4274" t="s">
        <v>81</v>
      </c>
      <c r="D4274" t="s">
        <v>82</v>
      </c>
      <c r="E4274" t="s">
        <v>103</v>
      </c>
      <c r="F4274">
        <v>2300</v>
      </c>
      <c r="G4274" t="s">
        <v>331</v>
      </c>
      <c r="H4274" s="15">
        <v>45292</v>
      </c>
      <c r="I4274">
        <v>2300</v>
      </c>
      <c r="J4274">
        <v>0</v>
      </c>
    </row>
    <row r="4275" spans="1:10" x14ac:dyDescent="0.3">
      <c r="A4275" s="15">
        <v>45778</v>
      </c>
      <c r="B4275" t="s">
        <v>298</v>
      </c>
      <c r="C4275" t="s">
        <v>81</v>
      </c>
      <c r="D4275" t="s">
        <v>86</v>
      </c>
      <c r="E4275" t="s">
        <v>89</v>
      </c>
      <c r="F4275">
        <v>2700</v>
      </c>
      <c r="G4275" t="s">
        <v>331</v>
      </c>
      <c r="H4275" s="15">
        <v>45292</v>
      </c>
      <c r="I4275">
        <v>2700</v>
      </c>
      <c r="J4275">
        <v>0</v>
      </c>
    </row>
    <row r="4276" spans="1:10" x14ac:dyDescent="0.3">
      <c r="A4276" s="15">
        <v>45778</v>
      </c>
      <c r="B4276" t="s">
        <v>299</v>
      </c>
      <c r="C4276" t="s">
        <v>81</v>
      </c>
      <c r="D4276" t="s">
        <v>99</v>
      </c>
      <c r="E4276" t="s">
        <v>103</v>
      </c>
      <c r="F4276">
        <v>2900</v>
      </c>
      <c r="G4276" t="s">
        <v>331</v>
      </c>
      <c r="H4276" s="15">
        <v>45292</v>
      </c>
      <c r="I4276">
        <v>2900</v>
      </c>
      <c r="J4276">
        <v>0</v>
      </c>
    </row>
    <row r="4277" spans="1:10" x14ac:dyDescent="0.3">
      <c r="A4277" s="15">
        <v>45778</v>
      </c>
      <c r="B4277" t="s">
        <v>300</v>
      </c>
      <c r="C4277" t="s">
        <v>91</v>
      </c>
      <c r="D4277" t="s">
        <v>82</v>
      </c>
      <c r="E4277" t="s">
        <v>89</v>
      </c>
      <c r="F4277">
        <v>11500</v>
      </c>
      <c r="G4277" t="s">
        <v>331</v>
      </c>
      <c r="H4277" s="15">
        <v>45292</v>
      </c>
      <c r="I4277">
        <v>11500</v>
      </c>
      <c r="J4277">
        <v>0</v>
      </c>
    </row>
    <row r="4278" spans="1:10" x14ac:dyDescent="0.3">
      <c r="A4278" s="15">
        <v>45778</v>
      </c>
      <c r="B4278" t="s">
        <v>303</v>
      </c>
      <c r="C4278" t="s">
        <v>81</v>
      </c>
      <c r="D4278" t="s">
        <v>82</v>
      </c>
      <c r="E4278" t="s">
        <v>83</v>
      </c>
      <c r="F4278">
        <v>1400</v>
      </c>
      <c r="G4278" t="s">
        <v>331</v>
      </c>
      <c r="H4278" s="15">
        <v>45292</v>
      </c>
      <c r="I4278">
        <v>1400</v>
      </c>
      <c r="J4278">
        <v>0</v>
      </c>
    </row>
    <row r="4279" spans="1:10" x14ac:dyDescent="0.3">
      <c r="A4279" s="15">
        <v>45778</v>
      </c>
      <c r="B4279" t="s">
        <v>304</v>
      </c>
      <c r="C4279" t="s">
        <v>81</v>
      </c>
      <c r="D4279" t="s">
        <v>86</v>
      </c>
      <c r="E4279" t="s">
        <v>92</v>
      </c>
      <c r="F4279">
        <v>2100</v>
      </c>
      <c r="G4279" t="s">
        <v>331</v>
      </c>
      <c r="H4279" s="15">
        <v>45292</v>
      </c>
      <c r="I4279">
        <v>2100</v>
      </c>
      <c r="J4279">
        <v>0</v>
      </c>
    </row>
    <row r="4280" spans="1:10" x14ac:dyDescent="0.3">
      <c r="A4280" s="15">
        <v>45778</v>
      </c>
      <c r="B4280" t="s">
        <v>306</v>
      </c>
      <c r="C4280" t="s">
        <v>91</v>
      </c>
      <c r="D4280" t="s">
        <v>82</v>
      </c>
      <c r="E4280" t="s">
        <v>87</v>
      </c>
      <c r="F4280">
        <v>11700</v>
      </c>
      <c r="G4280" t="s">
        <v>331</v>
      </c>
      <c r="H4280" s="15">
        <v>45292</v>
      </c>
      <c r="I4280">
        <v>11700</v>
      </c>
      <c r="J4280">
        <v>0</v>
      </c>
    </row>
    <row r="4281" spans="1:10" x14ac:dyDescent="0.3">
      <c r="A4281" s="15">
        <v>45778</v>
      </c>
      <c r="B4281" t="s">
        <v>307</v>
      </c>
      <c r="C4281" t="s">
        <v>81</v>
      </c>
      <c r="D4281" t="s">
        <v>86</v>
      </c>
      <c r="E4281" t="s">
        <v>97</v>
      </c>
      <c r="F4281">
        <v>2600</v>
      </c>
      <c r="G4281" t="s">
        <v>331</v>
      </c>
      <c r="H4281" s="15">
        <v>45292</v>
      </c>
      <c r="I4281">
        <v>2600</v>
      </c>
      <c r="J4281">
        <v>0</v>
      </c>
    </row>
    <row r="4282" spans="1:10" x14ac:dyDescent="0.3">
      <c r="A4282" s="15">
        <v>45778</v>
      </c>
      <c r="B4282" t="s">
        <v>309</v>
      </c>
      <c r="C4282" t="s">
        <v>91</v>
      </c>
      <c r="D4282" t="s">
        <v>82</v>
      </c>
      <c r="E4282" t="s">
        <v>87</v>
      </c>
      <c r="F4282">
        <v>10700</v>
      </c>
      <c r="G4282" t="s">
        <v>331</v>
      </c>
      <c r="H4282" s="15">
        <v>45292</v>
      </c>
      <c r="I4282">
        <v>10700</v>
      </c>
      <c r="J4282">
        <v>0</v>
      </c>
    </row>
    <row r="4283" spans="1:10" x14ac:dyDescent="0.3">
      <c r="A4283" s="15">
        <v>45778</v>
      </c>
      <c r="B4283" t="s">
        <v>310</v>
      </c>
      <c r="C4283" t="s">
        <v>91</v>
      </c>
      <c r="D4283" t="s">
        <v>99</v>
      </c>
      <c r="E4283" t="s">
        <v>87</v>
      </c>
      <c r="F4283">
        <v>10000</v>
      </c>
      <c r="G4283" t="s">
        <v>331</v>
      </c>
      <c r="H4283" s="15">
        <v>45292</v>
      </c>
      <c r="I4283">
        <v>10000</v>
      </c>
      <c r="J4283">
        <v>0</v>
      </c>
    </row>
    <row r="4284" spans="1:10" x14ac:dyDescent="0.3">
      <c r="A4284" s="15">
        <v>45778</v>
      </c>
      <c r="B4284" t="s">
        <v>313</v>
      </c>
      <c r="C4284" t="s">
        <v>91</v>
      </c>
      <c r="D4284" t="s">
        <v>82</v>
      </c>
      <c r="E4284" t="s">
        <v>101</v>
      </c>
      <c r="F4284">
        <v>12700</v>
      </c>
      <c r="G4284" t="s">
        <v>331</v>
      </c>
      <c r="H4284" s="15">
        <v>45292</v>
      </c>
      <c r="I4284">
        <v>12700</v>
      </c>
      <c r="J4284">
        <v>0</v>
      </c>
    </row>
    <row r="4285" spans="1:10" x14ac:dyDescent="0.3">
      <c r="A4285" s="15">
        <v>45778</v>
      </c>
      <c r="B4285" t="s">
        <v>315</v>
      </c>
      <c r="C4285" t="s">
        <v>125</v>
      </c>
      <c r="D4285" t="s">
        <v>86</v>
      </c>
      <c r="E4285" t="s">
        <v>92</v>
      </c>
      <c r="F4285">
        <v>76200</v>
      </c>
      <c r="G4285" t="s">
        <v>331</v>
      </c>
      <c r="H4285" s="15">
        <v>45292</v>
      </c>
      <c r="I4285">
        <v>76200</v>
      </c>
      <c r="J4285">
        <v>0</v>
      </c>
    </row>
    <row r="4286" spans="1:10" x14ac:dyDescent="0.3">
      <c r="A4286" s="15">
        <v>45778</v>
      </c>
      <c r="B4286" t="s">
        <v>316</v>
      </c>
      <c r="C4286" t="s">
        <v>81</v>
      </c>
      <c r="D4286" t="s">
        <v>96</v>
      </c>
      <c r="E4286" t="s">
        <v>92</v>
      </c>
      <c r="F4286">
        <v>2000</v>
      </c>
      <c r="G4286" t="s">
        <v>331</v>
      </c>
      <c r="H4286" s="15">
        <v>45292</v>
      </c>
      <c r="I4286">
        <v>2000</v>
      </c>
      <c r="J4286">
        <v>0</v>
      </c>
    </row>
    <row r="4287" spans="1:10" x14ac:dyDescent="0.3">
      <c r="A4287" s="15">
        <v>45778</v>
      </c>
      <c r="B4287" t="s">
        <v>318</v>
      </c>
      <c r="C4287" t="s">
        <v>110</v>
      </c>
      <c r="D4287" t="s">
        <v>82</v>
      </c>
      <c r="E4287" t="s">
        <v>97</v>
      </c>
      <c r="F4287">
        <v>29600</v>
      </c>
      <c r="G4287" t="s">
        <v>331</v>
      </c>
      <c r="H4287" s="15">
        <v>45292</v>
      </c>
      <c r="I4287">
        <v>29600</v>
      </c>
      <c r="J4287">
        <v>0</v>
      </c>
    </row>
    <row r="4288" spans="1:10" x14ac:dyDescent="0.3">
      <c r="A4288" s="15">
        <v>45778</v>
      </c>
      <c r="B4288" t="s">
        <v>320</v>
      </c>
      <c r="C4288" t="s">
        <v>91</v>
      </c>
      <c r="D4288" t="s">
        <v>86</v>
      </c>
      <c r="E4288" t="s">
        <v>97</v>
      </c>
      <c r="F4288">
        <v>7700</v>
      </c>
      <c r="G4288" t="s">
        <v>331</v>
      </c>
      <c r="H4288" s="15">
        <v>45292</v>
      </c>
      <c r="I4288">
        <v>7700</v>
      </c>
      <c r="J4288">
        <v>0</v>
      </c>
    </row>
    <row r="4289" spans="1:10" x14ac:dyDescent="0.3">
      <c r="A4289" s="15">
        <v>45778</v>
      </c>
      <c r="B4289" t="s">
        <v>321</v>
      </c>
      <c r="C4289" t="s">
        <v>81</v>
      </c>
      <c r="D4289" t="s">
        <v>99</v>
      </c>
      <c r="E4289" t="s">
        <v>101</v>
      </c>
      <c r="F4289">
        <v>3300</v>
      </c>
      <c r="G4289" t="s">
        <v>331</v>
      </c>
      <c r="H4289" s="15">
        <v>45292</v>
      </c>
      <c r="I4289">
        <v>3300</v>
      </c>
      <c r="J4289">
        <v>0</v>
      </c>
    </row>
    <row r="4290" spans="1:10" x14ac:dyDescent="0.3">
      <c r="A4290" s="15">
        <v>45778</v>
      </c>
      <c r="B4290" t="s">
        <v>322</v>
      </c>
      <c r="C4290" t="s">
        <v>81</v>
      </c>
      <c r="D4290" t="s">
        <v>82</v>
      </c>
      <c r="E4290" t="s">
        <v>103</v>
      </c>
      <c r="F4290">
        <v>2000</v>
      </c>
      <c r="G4290" t="s">
        <v>331</v>
      </c>
      <c r="H4290" s="15">
        <v>45292</v>
      </c>
      <c r="I4290">
        <v>2000</v>
      </c>
      <c r="J4290">
        <v>0</v>
      </c>
    </row>
    <row r="4291" spans="1:10" x14ac:dyDescent="0.3">
      <c r="A4291" s="15">
        <v>45778</v>
      </c>
      <c r="B4291" t="s">
        <v>323</v>
      </c>
      <c r="C4291" t="s">
        <v>110</v>
      </c>
      <c r="D4291" t="s">
        <v>82</v>
      </c>
      <c r="E4291" t="s">
        <v>89</v>
      </c>
      <c r="F4291">
        <v>23400</v>
      </c>
      <c r="G4291" t="s">
        <v>331</v>
      </c>
      <c r="H4291" s="15">
        <v>45292</v>
      </c>
      <c r="I4291">
        <v>23400</v>
      </c>
      <c r="J4291">
        <v>0</v>
      </c>
    </row>
    <row r="4292" spans="1:10" x14ac:dyDescent="0.3">
      <c r="A4292" s="15">
        <v>45778</v>
      </c>
      <c r="B4292" t="s">
        <v>324</v>
      </c>
      <c r="C4292" t="s">
        <v>81</v>
      </c>
      <c r="D4292" t="s">
        <v>86</v>
      </c>
      <c r="E4292" t="s">
        <v>87</v>
      </c>
      <c r="F4292">
        <v>2700</v>
      </c>
      <c r="G4292" t="s">
        <v>331</v>
      </c>
      <c r="H4292" s="15">
        <v>45292</v>
      </c>
      <c r="I4292">
        <v>2700</v>
      </c>
      <c r="J4292">
        <v>0</v>
      </c>
    </row>
    <row r="4293" spans="1:10" x14ac:dyDescent="0.3">
      <c r="A4293" s="15">
        <v>45778</v>
      </c>
      <c r="B4293" t="s">
        <v>325</v>
      </c>
      <c r="C4293" t="s">
        <v>91</v>
      </c>
      <c r="D4293" t="s">
        <v>86</v>
      </c>
      <c r="E4293" t="s">
        <v>87</v>
      </c>
      <c r="F4293">
        <v>8800</v>
      </c>
      <c r="G4293" t="s">
        <v>331</v>
      </c>
      <c r="H4293" s="15">
        <v>45292</v>
      </c>
      <c r="I4293">
        <v>8800</v>
      </c>
      <c r="J4293">
        <v>0</v>
      </c>
    </row>
    <row r="4294" spans="1:10" x14ac:dyDescent="0.3">
      <c r="A4294" s="15">
        <v>45778</v>
      </c>
      <c r="B4294" t="s">
        <v>326</v>
      </c>
      <c r="C4294" t="s">
        <v>91</v>
      </c>
      <c r="D4294" t="s">
        <v>86</v>
      </c>
      <c r="E4294" t="s">
        <v>92</v>
      </c>
      <c r="F4294">
        <v>7900</v>
      </c>
      <c r="G4294" t="s">
        <v>331</v>
      </c>
      <c r="H4294" s="15">
        <v>45292</v>
      </c>
      <c r="I4294">
        <v>7900</v>
      </c>
      <c r="J4294">
        <v>0</v>
      </c>
    </row>
    <row r="4295" spans="1:10" x14ac:dyDescent="0.3">
      <c r="A4295" s="15">
        <v>45778</v>
      </c>
      <c r="B4295" t="s">
        <v>327</v>
      </c>
      <c r="C4295" t="s">
        <v>125</v>
      </c>
      <c r="D4295" t="s">
        <v>99</v>
      </c>
      <c r="E4295" t="s">
        <v>97</v>
      </c>
      <c r="F4295">
        <v>77500</v>
      </c>
      <c r="G4295" t="s">
        <v>331</v>
      </c>
      <c r="H4295" s="15">
        <v>45292</v>
      </c>
      <c r="I4295">
        <v>77500</v>
      </c>
      <c r="J4295">
        <v>0</v>
      </c>
    </row>
    <row r="4296" spans="1:10" x14ac:dyDescent="0.3">
      <c r="A4296" s="15">
        <v>45778</v>
      </c>
      <c r="B4296" t="s">
        <v>329</v>
      </c>
      <c r="C4296" t="s">
        <v>81</v>
      </c>
      <c r="D4296" t="s">
        <v>86</v>
      </c>
      <c r="E4296" t="s">
        <v>101</v>
      </c>
      <c r="F4296">
        <v>2200</v>
      </c>
      <c r="G4296" t="s">
        <v>331</v>
      </c>
      <c r="H4296" s="15">
        <v>45292</v>
      </c>
      <c r="I4296">
        <v>2200</v>
      </c>
      <c r="J4296">
        <v>0</v>
      </c>
    </row>
    <row r="4297" spans="1:10" x14ac:dyDescent="0.3">
      <c r="A4297" s="15">
        <v>45778</v>
      </c>
      <c r="B4297" t="s">
        <v>330</v>
      </c>
      <c r="C4297" t="s">
        <v>125</v>
      </c>
      <c r="D4297" t="s">
        <v>86</v>
      </c>
      <c r="E4297" t="s">
        <v>87</v>
      </c>
      <c r="F4297">
        <v>105400</v>
      </c>
      <c r="G4297" t="s">
        <v>331</v>
      </c>
      <c r="H4297" s="15">
        <v>45292</v>
      </c>
      <c r="I4297">
        <v>105400</v>
      </c>
      <c r="J4297">
        <v>0</v>
      </c>
    </row>
    <row r="4298" spans="1:10" x14ac:dyDescent="0.3">
      <c r="A4298" s="15">
        <v>45778</v>
      </c>
      <c r="B4298" t="s">
        <v>335</v>
      </c>
      <c r="C4298" t="s">
        <v>91</v>
      </c>
      <c r="D4298" t="s">
        <v>86</v>
      </c>
      <c r="E4298" t="s">
        <v>89</v>
      </c>
      <c r="F4298">
        <v>7300</v>
      </c>
      <c r="G4298" t="s">
        <v>331</v>
      </c>
      <c r="H4298" s="15">
        <v>45323</v>
      </c>
      <c r="I4298">
        <v>7300</v>
      </c>
      <c r="J4298">
        <v>0</v>
      </c>
    </row>
    <row r="4299" spans="1:10" x14ac:dyDescent="0.3">
      <c r="A4299" s="15">
        <v>45778</v>
      </c>
      <c r="B4299" t="s">
        <v>336</v>
      </c>
      <c r="C4299" t="s">
        <v>81</v>
      </c>
      <c r="D4299" t="s">
        <v>82</v>
      </c>
      <c r="E4299" t="s">
        <v>103</v>
      </c>
      <c r="F4299">
        <v>1500</v>
      </c>
      <c r="G4299" t="s">
        <v>331</v>
      </c>
      <c r="H4299" s="15">
        <v>45323</v>
      </c>
      <c r="I4299">
        <v>1500</v>
      </c>
      <c r="J4299">
        <v>0</v>
      </c>
    </row>
    <row r="4300" spans="1:10" x14ac:dyDescent="0.3">
      <c r="A4300" s="15">
        <v>45778</v>
      </c>
      <c r="B4300" t="s">
        <v>339</v>
      </c>
      <c r="C4300" t="s">
        <v>81</v>
      </c>
      <c r="D4300" t="s">
        <v>82</v>
      </c>
      <c r="E4300" t="s">
        <v>103</v>
      </c>
      <c r="F4300">
        <v>1600</v>
      </c>
      <c r="G4300" t="s">
        <v>331</v>
      </c>
      <c r="H4300" s="15">
        <v>45323</v>
      </c>
      <c r="I4300">
        <v>1600</v>
      </c>
      <c r="J4300">
        <v>0</v>
      </c>
    </row>
    <row r="4301" spans="1:10" x14ac:dyDescent="0.3">
      <c r="A4301" s="15">
        <v>45778</v>
      </c>
      <c r="B4301" t="s">
        <v>340</v>
      </c>
      <c r="C4301" t="s">
        <v>81</v>
      </c>
      <c r="D4301" t="s">
        <v>82</v>
      </c>
      <c r="E4301" t="s">
        <v>87</v>
      </c>
      <c r="F4301">
        <v>1800</v>
      </c>
      <c r="G4301" t="s">
        <v>331</v>
      </c>
      <c r="H4301" s="15">
        <v>45323</v>
      </c>
      <c r="I4301">
        <v>1800</v>
      </c>
      <c r="J4301">
        <v>0</v>
      </c>
    </row>
    <row r="4302" spans="1:10" x14ac:dyDescent="0.3">
      <c r="A4302" s="15">
        <v>45778</v>
      </c>
      <c r="B4302" t="s">
        <v>341</v>
      </c>
      <c r="C4302" t="s">
        <v>110</v>
      </c>
      <c r="D4302" t="s">
        <v>82</v>
      </c>
      <c r="E4302" t="s">
        <v>92</v>
      </c>
      <c r="F4302">
        <v>18800</v>
      </c>
      <c r="G4302" t="s">
        <v>331</v>
      </c>
      <c r="H4302" s="15">
        <v>45323</v>
      </c>
      <c r="I4302">
        <v>18800</v>
      </c>
      <c r="J4302">
        <v>0</v>
      </c>
    </row>
    <row r="4303" spans="1:10" x14ac:dyDescent="0.3">
      <c r="A4303" s="15">
        <v>45778</v>
      </c>
      <c r="B4303" t="s">
        <v>342</v>
      </c>
      <c r="C4303" t="s">
        <v>91</v>
      </c>
      <c r="D4303" t="s">
        <v>82</v>
      </c>
      <c r="E4303" t="s">
        <v>83</v>
      </c>
      <c r="F4303">
        <v>6300</v>
      </c>
      <c r="G4303" t="s">
        <v>331</v>
      </c>
      <c r="H4303" s="15">
        <v>45352</v>
      </c>
      <c r="I4303">
        <v>6300</v>
      </c>
      <c r="J4303">
        <v>0</v>
      </c>
    </row>
    <row r="4304" spans="1:10" x14ac:dyDescent="0.3">
      <c r="A4304" s="15">
        <v>45778</v>
      </c>
      <c r="B4304" t="s">
        <v>343</v>
      </c>
      <c r="C4304" t="s">
        <v>81</v>
      </c>
      <c r="D4304" t="s">
        <v>82</v>
      </c>
      <c r="E4304" t="s">
        <v>89</v>
      </c>
      <c r="F4304">
        <v>2500</v>
      </c>
      <c r="G4304" t="s">
        <v>331</v>
      </c>
      <c r="H4304" s="15">
        <v>45352</v>
      </c>
      <c r="I4304">
        <v>2500</v>
      </c>
      <c r="J4304">
        <v>0</v>
      </c>
    </row>
    <row r="4305" spans="1:10" x14ac:dyDescent="0.3">
      <c r="A4305" s="15">
        <v>45778</v>
      </c>
      <c r="B4305" t="s">
        <v>344</v>
      </c>
      <c r="C4305" t="s">
        <v>110</v>
      </c>
      <c r="D4305" t="s">
        <v>86</v>
      </c>
      <c r="E4305" t="s">
        <v>89</v>
      </c>
      <c r="F4305">
        <v>22300</v>
      </c>
      <c r="G4305" t="s">
        <v>331</v>
      </c>
      <c r="H4305" s="15">
        <v>45352</v>
      </c>
      <c r="I4305">
        <v>22300</v>
      </c>
      <c r="J4305">
        <v>0</v>
      </c>
    </row>
    <row r="4306" spans="1:10" x14ac:dyDescent="0.3">
      <c r="A4306" s="15">
        <v>45778</v>
      </c>
      <c r="B4306" t="s">
        <v>345</v>
      </c>
      <c r="C4306" t="s">
        <v>91</v>
      </c>
      <c r="D4306" t="s">
        <v>86</v>
      </c>
      <c r="E4306" t="s">
        <v>83</v>
      </c>
      <c r="F4306">
        <v>7900</v>
      </c>
      <c r="G4306" t="s">
        <v>332</v>
      </c>
      <c r="H4306" s="15">
        <v>45352</v>
      </c>
      <c r="I4306">
        <v>6900</v>
      </c>
      <c r="J4306">
        <v>1000</v>
      </c>
    </row>
    <row r="4307" spans="1:10" x14ac:dyDescent="0.3">
      <c r="A4307" s="15">
        <v>45778</v>
      </c>
      <c r="B4307" t="s">
        <v>346</v>
      </c>
      <c r="C4307" t="s">
        <v>81</v>
      </c>
      <c r="D4307" t="s">
        <v>86</v>
      </c>
      <c r="E4307" t="s">
        <v>97</v>
      </c>
      <c r="F4307">
        <v>1700</v>
      </c>
      <c r="G4307" t="s">
        <v>331</v>
      </c>
      <c r="H4307" s="15">
        <v>45352</v>
      </c>
      <c r="I4307">
        <v>1700</v>
      </c>
      <c r="J4307">
        <v>0</v>
      </c>
    </row>
    <row r="4308" spans="1:10" x14ac:dyDescent="0.3">
      <c r="A4308" s="15">
        <v>45778</v>
      </c>
      <c r="B4308" t="s">
        <v>347</v>
      </c>
      <c r="C4308" t="s">
        <v>91</v>
      </c>
      <c r="D4308" t="s">
        <v>82</v>
      </c>
      <c r="E4308" t="s">
        <v>83</v>
      </c>
      <c r="F4308">
        <v>4700</v>
      </c>
      <c r="G4308" t="s">
        <v>331</v>
      </c>
      <c r="H4308" s="15">
        <v>45383</v>
      </c>
      <c r="I4308">
        <v>4700</v>
      </c>
      <c r="J4308">
        <v>0</v>
      </c>
    </row>
    <row r="4309" spans="1:10" x14ac:dyDescent="0.3">
      <c r="A4309" s="15">
        <v>45778</v>
      </c>
      <c r="B4309" t="s">
        <v>350</v>
      </c>
      <c r="C4309" t="s">
        <v>91</v>
      </c>
      <c r="D4309" t="s">
        <v>82</v>
      </c>
      <c r="E4309" t="s">
        <v>83</v>
      </c>
      <c r="F4309">
        <v>4800</v>
      </c>
      <c r="G4309" t="s">
        <v>331</v>
      </c>
      <c r="H4309" s="15">
        <v>45383</v>
      </c>
      <c r="I4309">
        <v>4800</v>
      </c>
      <c r="J4309">
        <v>0</v>
      </c>
    </row>
    <row r="4310" spans="1:10" x14ac:dyDescent="0.3">
      <c r="A4310" s="15">
        <v>45778</v>
      </c>
      <c r="B4310" t="s">
        <v>351</v>
      </c>
      <c r="C4310" t="s">
        <v>81</v>
      </c>
      <c r="D4310" t="s">
        <v>86</v>
      </c>
      <c r="E4310" t="s">
        <v>83</v>
      </c>
      <c r="F4310">
        <v>2300</v>
      </c>
      <c r="G4310" t="s">
        <v>331</v>
      </c>
      <c r="H4310" s="15">
        <v>45383</v>
      </c>
      <c r="I4310">
        <v>2300</v>
      </c>
      <c r="J4310">
        <v>0</v>
      </c>
    </row>
    <row r="4311" spans="1:10" x14ac:dyDescent="0.3">
      <c r="A4311" s="15">
        <v>45778</v>
      </c>
      <c r="B4311" t="s">
        <v>352</v>
      </c>
      <c r="C4311" t="s">
        <v>91</v>
      </c>
      <c r="D4311" t="s">
        <v>82</v>
      </c>
      <c r="E4311" t="s">
        <v>89</v>
      </c>
      <c r="F4311">
        <v>8800</v>
      </c>
      <c r="G4311" t="s">
        <v>332</v>
      </c>
      <c r="H4311" s="15">
        <v>45383</v>
      </c>
      <c r="I4311">
        <v>7800</v>
      </c>
      <c r="J4311">
        <v>1000</v>
      </c>
    </row>
    <row r="4312" spans="1:10" x14ac:dyDescent="0.3">
      <c r="A4312" s="15">
        <v>45778</v>
      </c>
      <c r="B4312" t="s">
        <v>353</v>
      </c>
      <c r="C4312" t="s">
        <v>81</v>
      </c>
      <c r="D4312" t="s">
        <v>99</v>
      </c>
      <c r="E4312" t="s">
        <v>103</v>
      </c>
      <c r="F4312">
        <v>1200</v>
      </c>
      <c r="G4312" t="s">
        <v>331</v>
      </c>
      <c r="H4312" s="15">
        <v>45383</v>
      </c>
      <c r="I4312">
        <v>1200</v>
      </c>
      <c r="J4312">
        <v>0</v>
      </c>
    </row>
    <row r="4313" spans="1:10" x14ac:dyDescent="0.3">
      <c r="A4313" s="15">
        <v>45778</v>
      </c>
      <c r="B4313" t="s">
        <v>354</v>
      </c>
      <c r="C4313" t="s">
        <v>81</v>
      </c>
      <c r="D4313" t="s">
        <v>82</v>
      </c>
      <c r="E4313" t="s">
        <v>92</v>
      </c>
      <c r="F4313">
        <v>1800</v>
      </c>
      <c r="G4313" t="s">
        <v>331</v>
      </c>
      <c r="H4313" s="15">
        <v>45413</v>
      </c>
      <c r="I4313">
        <v>1800</v>
      </c>
      <c r="J4313">
        <v>0</v>
      </c>
    </row>
    <row r="4314" spans="1:10" x14ac:dyDescent="0.3">
      <c r="A4314" s="15">
        <v>45778</v>
      </c>
      <c r="B4314" t="s">
        <v>355</v>
      </c>
      <c r="C4314" t="s">
        <v>81</v>
      </c>
      <c r="D4314" t="s">
        <v>86</v>
      </c>
      <c r="E4314" t="s">
        <v>97</v>
      </c>
      <c r="F4314">
        <v>2000</v>
      </c>
      <c r="G4314" t="s">
        <v>331</v>
      </c>
      <c r="H4314" s="15">
        <v>45413</v>
      </c>
      <c r="I4314">
        <v>2000</v>
      </c>
      <c r="J4314">
        <v>0</v>
      </c>
    </row>
    <row r="4315" spans="1:10" x14ac:dyDescent="0.3">
      <c r="A4315" s="15">
        <v>45778</v>
      </c>
      <c r="B4315" t="s">
        <v>356</v>
      </c>
      <c r="C4315" t="s">
        <v>110</v>
      </c>
      <c r="D4315" t="s">
        <v>82</v>
      </c>
      <c r="E4315" t="s">
        <v>97</v>
      </c>
      <c r="F4315">
        <v>33000</v>
      </c>
      <c r="G4315" t="s">
        <v>331</v>
      </c>
      <c r="H4315" s="15">
        <v>45413</v>
      </c>
      <c r="I4315">
        <v>33000</v>
      </c>
      <c r="J4315">
        <v>0</v>
      </c>
    </row>
    <row r="4316" spans="1:10" x14ac:dyDescent="0.3">
      <c r="A4316" s="15">
        <v>45778</v>
      </c>
      <c r="B4316" t="s">
        <v>357</v>
      </c>
      <c r="C4316" t="s">
        <v>125</v>
      </c>
      <c r="D4316" t="s">
        <v>86</v>
      </c>
      <c r="E4316" t="s">
        <v>97</v>
      </c>
      <c r="F4316">
        <v>83400</v>
      </c>
      <c r="G4316" t="s">
        <v>332</v>
      </c>
      <c r="H4316" s="15">
        <v>45413</v>
      </c>
      <c r="I4316">
        <v>72100</v>
      </c>
      <c r="J4316">
        <v>11300</v>
      </c>
    </row>
    <row r="4317" spans="1:10" x14ac:dyDescent="0.3">
      <c r="A4317" s="15">
        <v>45778</v>
      </c>
      <c r="B4317" t="s">
        <v>358</v>
      </c>
      <c r="C4317" t="s">
        <v>110</v>
      </c>
      <c r="D4317" t="s">
        <v>86</v>
      </c>
      <c r="E4317" t="s">
        <v>83</v>
      </c>
      <c r="F4317">
        <v>24100</v>
      </c>
      <c r="G4317" t="s">
        <v>332</v>
      </c>
      <c r="H4317" s="15">
        <v>45413</v>
      </c>
      <c r="I4317">
        <v>21800</v>
      </c>
      <c r="J4317">
        <v>2300</v>
      </c>
    </row>
    <row r="4318" spans="1:10" x14ac:dyDescent="0.3">
      <c r="A4318" s="15">
        <v>45778</v>
      </c>
      <c r="B4318" t="s">
        <v>359</v>
      </c>
      <c r="C4318" t="s">
        <v>110</v>
      </c>
      <c r="D4318" t="s">
        <v>86</v>
      </c>
      <c r="E4318" t="s">
        <v>101</v>
      </c>
      <c r="F4318">
        <v>31400</v>
      </c>
      <c r="G4318" t="s">
        <v>331</v>
      </c>
      <c r="H4318" s="15">
        <v>45413</v>
      </c>
      <c r="I4318">
        <v>31400</v>
      </c>
      <c r="J4318">
        <v>0</v>
      </c>
    </row>
    <row r="4319" spans="1:10" x14ac:dyDescent="0.3">
      <c r="A4319" s="15">
        <v>45778</v>
      </c>
      <c r="B4319" t="s">
        <v>360</v>
      </c>
      <c r="C4319" t="s">
        <v>91</v>
      </c>
      <c r="D4319" t="s">
        <v>86</v>
      </c>
      <c r="E4319" t="s">
        <v>103</v>
      </c>
      <c r="F4319">
        <v>6300</v>
      </c>
      <c r="G4319" t="s">
        <v>331</v>
      </c>
      <c r="H4319" s="15">
        <v>45444</v>
      </c>
      <c r="I4319">
        <v>6300</v>
      </c>
      <c r="J4319">
        <v>0</v>
      </c>
    </row>
    <row r="4320" spans="1:10" x14ac:dyDescent="0.3">
      <c r="A4320" s="15">
        <v>45778</v>
      </c>
      <c r="B4320" t="s">
        <v>361</v>
      </c>
      <c r="C4320" t="s">
        <v>91</v>
      </c>
      <c r="D4320" t="s">
        <v>86</v>
      </c>
      <c r="E4320" t="s">
        <v>83</v>
      </c>
      <c r="F4320">
        <v>5700</v>
      </c>
      <c r="G4320" t="s">
        <v>331</v>
      </c>
      <c r="H4320" s="15">
        <v>45444</v>
      </c>
      <c r="I4320">
        <v>5700</v>
      </c>
      <c r="J4320">
        <v>0</v>
      </c>
    </row>
    <row r="4321" spans="1:10" x14ac:dyDescent="0.3">
      <c r="A4321" s="15">
        <v>45778</v>
      </c>
      <c r="B4321" t="s">
        <v>362</v>
      </c>
      <c r="C4321" t="s">
        <v>91</v>
      </c>
      <c r="D4321" t="s">
        <v>82</v>
      </c>
      <c r="E4321" t="s">
        <v>101</v>
      </c>
      <c r="F4321">
        <v>5400</v>
      </c>
      <c r="G4321" t="s">
        <v>331</v>
      </c>
      <c r="H4321" s="15">
        <v>45444</v>
      </c>
      <c r="I4321">
        <v>5400</v>
      </c>
      <c r="J4321">
        <v>0</v>
      </c>
    </row>
    <row r="4322" spans="1:10" x14ac:dyDescent="0.3">
      <c r="A4322" s="15">
        <v>45778</v>
      </c>
      <c r="B4322" t="s">
        <v>363</v>
      </c>
      <c r="C4322" t="s">
        <v>91</v>
      </c>
      <c r="D4322" t="s">
        <v>86</v>
      </c>
      <c r="E4322" t="s">
        <v>83</v>
      </c>
      <c r="F4322">
        <v>4400</v>
      </c>
      <c r="G4322" t="s">
        <v>331</v>
      </c>
      <c r="H4322" s="15">
        <v>45444</v>
      </c>
      <c r="I4322">
        <v>4400</v>
      </c>
      <c r="J4322">
        <v>0</v>
      </c>
    </row>
    <row r="4323" spans="1:10" x14ac:dyDescent="0.3">
      <c r="A4323" s="15">
        <v>45778</v>
      </c>
      <c r="B4323" t="s">
        <v>364</v>
      </c>
      <c r="C4323" t="s">
        <v>91</v>
      </c>
      <c r="D4323" t="s">
        <v>82</v>
      </c>
      <c r="E4323" t="s">
        <v>101</v>
      </c>
      <c r="F4323">
        <v>6700</v>
      </c>
      <c r="G4323" t="s">
        <v>331</v>
      </c>
      <c r="H4323" s="15">
        <v>45444</v>
      </c>
      <c r="I4323">
        <v>6700</v>
      </c>
      <c r="J4323">
        <v>0</v>
      </c>
    </row>
    <row r="4324" spans="1:10" x14ac:dyDescent="0.3">
      <c r="A4324" s="15">
        <v>45778</v>
      </c>
      <c r="B4324" t="s">
        <v>366</v>
      </c>
      <c r="C4324" t="s">
        <v>81</v>
      </c>
      <c r="D4324" t="s">
        <v>99</v>
      </c>
      <c r="E4324" t="s">
        <v>92</v>
      </c>
      <c r="F4324">
        <v>1600</v>
      </c>
      <c r="G4324" t="s">
        <v>331</v>
      </c>
      <c r="H4324" s="15">
        <v>45474</v>
      </c>
      <c r="I4324">
        <v>1600</v>
      </c>
      <c r="J4324">
        <v>0</v>
      </c>
    </row>
    <row r="4325" spans="1:10" x14ac:dyDescent="0.3">
      <c r="A4325" s="15">
        <v>45778</v>
      </c>
      <c r="B4325" t="s">
        <v>367</v>
      </c>
      <c r="C4325" t="s">
        <v>91</v>
      </c>
      <c r="D4325" t="s">
        <v>82</v>
      </c>
      <c r="E4325" t="s">
        <v>92</v>
      </c>
      <c r="F4325">
        <v>5000</v>
      </c>
      <c r="G4325" t="s">
        <v>331</v>
      </c>
      <c r="H4325" s="15">
        <v>45474</v>
      </c>
      <c r="I4325">
        <v>5000</v>
      </c>
      <c r="J4325">
        <v>0</v>
      </c>
    </row>
    <row r="4326" spans="1:10" x14ac:dyDescent="0.3">
      <c r="A4326" s="15">
        <v>45778</v>
      </c>
      <c r="B4326" t="s">
        <v>368</v>
      </c>
      <c r="C4326" t="s">
        <v>81</v>
      </c>
      <c r="D4326" t="s">
        <v>86</v>
      </c>
      <c r="E4326" t="s">
        <v>89</v>
      </c>
      <c r="F4326">
        <v>1400</v>
      </c>
      <c r="G4326" t="s">
        <v>331</v>
      </c>
      <c r="H4326" s="15">
        <v>45474</v>
      </c>
      <c r="I4326">
        <v>1400</v>
      </c>
      <c r="J4326">
        <v>0</v>
      </c>
    </row>
    <row r="4327" spans="1:10" x14ac:dyDescent="0.3">
      <c r="A4327" s="15">
        <v>45778</v>
      </c>
      <c r="B4327" t="s">
        <v>369</v>
      </c>
      <c r="C4327" t="s">
        <v>81</v>
      </c>
      <c r="D4327" t="s">
        <v>86</v>
      </c>
      <c r="E4327" t="s">
        <v>83</v>
      </c>
      <c r="F4327">
        <v>2000</v>
      </c>
      <c r="G4327" t="s">
        <v>331</v>
      </c>
      <c r="H4327" s="15">
        <v>45474</v>
      </c>
      <c r="I4327">
        <v>2000</v>
      </c>
      <c r="J4327">
        <v>0</v>
      </c>
    </row>
    <row r="4328" spans="1:10" x14ac:dyDescent="0.3">
      <c r="A4328" s="15">
        <v>45778</v>
      </c>
      <c r="B4328" t="s">
        <v>370</v>
      </c>
      <c r="C4328" t="s">
        <v>81</v>
      </c>
      <c r="D4328" t="s">
        <v>99</v>
      </c>
      <c r="E4328" t="s">
        <v>87</v>
      </c>
      <c r="F4328">
        <v>2100</v>
      </c>
      <c r="G4328" t="s">
        <v>331</v>
      </c>
      <c r="H4328" s="15">
        <v>45474</v>
      </c>
      <c r="I4328">
        <v>2100</v>
      </c>
      <c r="J4328">
        <v>0</v>
      </c>
    </row>
    <row r="4329" spans="1:10" x14ac:dyDescent="0.3">
      <c r="A4329" s="15">
        <v>45778</v>
      </c>
      <c r="B4329" t="s">
        <v>373</v>
      </c>
      <c r="C4329" t="s">
        <v>91</v>
      </c>
      <c r="D4329" t="s">
        <v>99</v>
      </c>
      <c r="E4329" t="s">
        <v>101</v>
      </c>
      <c r="F4329">
        <v>5200</v>
      </c>
      <c r="G4329" t="s">
        <v>331</v>
      </c>
      <c r="H4329" s="15">
        <v>45505</v>
      </c>
      <c r="I4329">
        <v>5200</v>
      </c>
      <c r="J4329">
        <v>0</v>
      </c>
    </row>
    <row r="4330" spans="1:10" x14ac:dyDescent="0.3">
      <c r="A4330" s="15">
        <v>45778</v>
      </c>
      <c r="B4330" t="s">
        <v>374</v>
      </c>
      <c r="C4330" t="s">
        <v>91</v>
      </c>
      <c r="D4330" t="s">
        <v>99</v>
      </c>
      <c r="E4330" t="s">
        <v>87</v>
      </c>
      <c r="F4330">
        <v>5000</v>
      </c>
      <c r="G4330" t="s">
        <v>331</v>
      </c>
      <c r="H4330" s="15">
        <v>45505</v>
      </c>
      <c r="I4330">
        <v>5000</v>
      </c>
      <c r="J4330">
        <v>0</v>
      </c>
    </row>
    <row r="4331" spans="1:10" x14ac:dyDescent="0.3">
      <c r="A4331" s="15">
        <v>45778</v>
      </c>
      <c r="B4331" t="s">
        <v>376</v>
      </c>
      <c r="C4331" t="s">
        <v>110</v>
      </c>
      <c r="D4331" t="s">
        <v>86</v>
      </c>
      <c r="E4331" t="s">
        <v>103</v>
      </c>
      <c r="F4331">
        <v>22900</v>
      </c>
      <c r="G4331" t="s">
        <v>331</v>
      </c>
      <c r="H4331" s="15">
        <v>45505</v>
      </c>
      <c r="I4331">
        <v>22900</v>
      </c>
      <c r="J4331">
        <v>0</v>
      </c>
    </row>
    <row r="4332" spans="1:10" x14ac:dyDescent="0.3">
      <c r="A4332" s="15">
        <v>45778</v>
      </c>
      <c r="B4332" t="s">
        <v>377</v>
      </c>
      <c r="C4332" t="s">
        <v>81</v>
      </c>
      <c r="D4332" t="s">
        <v>99</v>
      </c>
      <c r="E4332" t="s">
        <v>92</v>
      </c>
      <c r="F4332">
        <v>2300</v>
      </c>
      <c r="G4332" t="s">
        <v>331</v>
      </c>
      <c r="H4332" s="15">
        <v>45536</v>
      </c>
      <c r="I4332">
        <v>2300</v>
      </c>
      <c r="J4332">
        <v>0</v>
      </c>
    </row>
    <row r="4333" spans="1:10" x14ac:dyDescent="0.3">
      <c r="A4333" s="15">
        <v>45778</v>
      </c>
      <c r="B4333" t="s">
        <v>378</v>
      </c>
      <c r="C4333" t="s">
        <v>81</v>
      </c>
      <c r="D4333" t="s">
        <v>82</v>
      </c>
      <c r="E4333" t="s">
        <v>92</v>
      </c>
      <c r="F4333">
        <v>0</v>
      </c>
      <c r="G4333" t="s">
        <v>333</v>
      </c>
      <c r="H4333" s="15">
        <v>45536</v>
      </c>
      <c r="I4333">
        <v>2300</v>
      </c>
      <c r="J4333">
        <v>-2300</v>
      </c>
    </row>
    <row r="4334" spans="1:10" x14ac:dyDescent="0.3">
      <c r="A4334" s="15">
        <v>45778</v>
      </c>
      <c r="B4334" t="s">
        <v>379</v>
      </c>
      <c r="C4334" t="s">
        <v>81</v>
      </c>
      <c r="D4334" t="s">
        <v>99</v>
      </c>
      <c r="E4334" t="s">
        <v>101</v>
      </c>
      <c r="F4334">
        <v>2200</v>
      </c>
      <c r="G4334" t="s">
        <v>334</v>
      </c>
      <c r="H4334" s="15">
        <v>45536</v>
      </c>
      <c r="I4334">
        <v>2600</v>
      </c>
      <c r="J4334">
        <v>-400</v>
      </c>
    </row>
    <row r="4335" spans="1:10" x14ac:dyDescent="0.3">
      <c r="A4335" s="15">
        <v>45778</v>
      </c>
      <c r="B4335" t="s">
        <v>380</v>
      </c>
      <c r="C4335" t="s">
        <v>81</v>
      </c>
      <c r="D4335" t="s">
        <v>82</v>
      </c>
      <c r="E4335" t="s">
        <v>101</v>
      </c>
      <c r="F4335">
        <v>2200</v>
      </c>
      <c r="G4335" t="s">
        <v>331</v>
      </c>
      <c r="H4335" s="15">
        <v>45536</v>
      </c>
      <c r="I4335">
        <v>2200</v>
      </c>
      <c r="J4335">
        <v>0</v>
      </c>
    </row>
    <row r="4336" spans="1:10" x14ac:dyDescent="0.3">
      <c r="A4336" s="15">
        <v>45778</v>
      </c>
      <c r="B4336" t="s">
        <v>381</v>
      </c>
      <c r="C4336" t="s">
        <v>91</v>
      </c>
      <c r="D4336" t="s">
        <v>86</v>
      </c>
      <c r="E4336" t="s">
        <v>92</v>
      </c>
      <c r="F4336">
        <v>4600</v>
      </c>
      <c r="G4336" t="s">
        <v>331</v>
      </c>
      <c r="H4336" s="15">
        <v>45536</v>
      </c>
      <c r="I4336">
        <v>4600</v>
      </c>
      <c r="J4336">
        <v>0</v>
      </c>
    </row>
    <row r="4337" spans="1:10" x14ac:dyDescent="0.3">
      <c r="A4337" s="15">
        <v>45778</v>
      </c>
      <c r="B4337" t="s">
        <v>382</v>
      </c>
      <c r="C4337" t="s">
        <v>81</v>
      </c>
      <c r="D4337" t="s">
        <v>96</v>
      </c>
      <c r="E4337" t="s">
        <v>101</v>
      </c>
      <c r="F4337">
        <v>2100</v>
      </c>
      <c r="G4337" t="s">
        <v>331</v>
      </c>
      <c r="H4337" s="15">
        <v>45536</v>
      </c>
      <c r="I4337">
        <v>2100</v>
      </c>
      <c r="J4337">
        <v>0</v>
      </c>
    </row>
    <row r="4338" spans="1:10" x14ac:dyDescent="0.3">
      <c r="A4338" s="15">
        <v>45778</v>
      </c>
      <c r="B4338" t="s">
        <v>383</v>
      </c>
      <c r="C4338" t="s">
        <v>81</v>
      </c>
      <c r="D4338" t="s">
        <v>82</v>
      </c>
      <c r="E4338" t="s">
        <v>87</v>
      </c>
      <c r="F4338">
        <v>1800</v>
      </c>
      <c r="G4338" t="s">
        <v>331</v>
      </c>
      <c r="H4338" s="15">
        <v>45536</v>
      </c>
      <c r="I4338">
        <v>1800</v>
      </c>
      <c r="J4338">
        <v>0</v>
      </c>
    </row>
    <row r="4339" spans="1:10" x14ac:dyDescent="0.3">
      <c r="A4339" s="15">
        <v>45778</v>
      </c>
      <c r="B4339" t="s">
        <v>384</v>
      </c>
      <c r="C4339" t="s">
        <v>91</v>
      </c>
      <c r="D4339" t="s">
        <v>82</v>
      </c>
      <c r="E4339" t="s">
        <v>103</v>
      </c>
      <c r="F4339">
        <v>5000</v>
      </c>
      <c r="G4339" t="s">
        <v>331</v>
      </c>
      <c r="H4339" s="15">
        <v>45566</v>
      </c>
      <c r="I4339">
        <v>5000</v>
      </c>
      <c r="J4339">
        <v>0</v>
      </c>
    </row>
    <row r="4340" spans="1:10" x14ac:dyDescent="0.3">
      <c r="A4340" s="15">
        <v>45778</v>
      </c>
      <c r="B4340" t="s">
        <v>385</v>
      </c>
      <c r="C4340" t="s">
        <v>91</v>
      </c>
      <c r="D4340" t="s">
        <v>99</v>
      </c>
      <c r="E4340" t="s">
        <v>83</v>
      </c>
      <c r="F4340">
        <v>8300</v>
      </c>
      <c r="G4340" t="s">
        <v>331</v>
      </c>
      <c r="H4340" s="15">
        <v>45566</v>
      </c>
      <c r="I4340">
        <v>8300</v>
      </c>
      <c r="J4340">
        <v>0</v>
      </c>
    </row>
    <row r="4341" spans="1:10" x14ac:dyDescent="0.3">
      <c r="A4341" s="15">
        <v>45778</v>
      </c>
      <c r="B4341" t="s">
        <v>386</v>
      </c>
      <c r="C4341" t="s">
        <v>81</v>
      </c>
      <c r="D4341" t="s">
        <v>82</v>
      </c>
      <c r="E4341" t="s">
        <v>103</v>
      </c>
      <c r="F4341">
        <v>2200</v>
      </c>
      <c r="G4341" t="s">
        <v>331</v>
      </c>
      <c r="H4341" s="15">
        <v>45566</v>
      </c>
      <c r="I4341">
        <v>2200</v>
      </c>
      <c r="J4341">
        <v>0</v>
      </c>
    </row>
    <row r="4342" spans="1:10" x14ac:dyDescent="0.3">
      <c r="A4342" s="15">
        <v>45778</v>
      </c>
      <c r="B4342" t="s">
        <v>387</v>
      </c>
      <c r="C4342" t="s">
        <v>81</v>
      </c>
      <c r="D4342" t="s">
        <v>86</v>
      </c>
      <c r="E4342" t="s">
        <v>92</v>
      </c>
      <c r="F4342">
        <v>1700</v>
      </c>
      <c r="G4342" t="s">
        <v>331</v>
      </c>
      <c r="H4342" s="15">
        <v>45566</v>
      </c>
      <c r="I4342">
        <v>1700</v>
      </c>
      <c r="J4342">
        <v>0</v>
      </c>
    </row>
    <row r="4343" spans="1:10" x14ac:dyDescent="0.3">
      <c r="A4343" s="15">
        <v>45778</v>
      </c>
      <c r="B4343" t="s">
        <v>388</v>
      </c>
      <c r="C4343" t="s">
        <v>81</v>
      </c>
      <c r="D4343" t="s">
        <v>99</v>
      </c>
      <c r="E4343" t="s">
        <v>103</v>
      </c>
      <c r="F4343">
        <v>1700</v>
      </c>
      <c r="G4343" t="s">
        <v>331</v>
      </c>
      <c r="H4343" s="15">
        <v>45566</v>
      </c>
      <c r="I4343">
        <v>1700</v>
      </c>
      <c r="J4343">
        <v>0</v>
      </c>
    </row>
    <row r="4344" spans="1:10" x14ac:dyDescent="0.3">
      <c r="A4344" s="15">
        <v>45778</v>
      </c>
      <c r="B4344" t="s">
        <v>389</v>
      </c>
      <c r="C4344" t="s">
        <v>91</v>
      </c>
      <c r="D4344" t="s">
        <v>82</v>
      </c>
      <c r="E4344" t="s">
        <v>101</v>
      </c>
      <c r="F4344">
        <v>7300</v>
      </c>
      <c r="G4344" t="s">
        <v>331</v>
      </c>
      <c r="H4344" s="15">
        <v>45566</v>
      </c>
      <c r="I4344">
        <v>7300</v>
      </c>
      <c r="J4344">
        <v>0</v>
      </c>
    </row>
    <row r="4345" spans="1:10" x14ac:dyDescent="0.3">
      <c r="A4345" s="15">
        <v>45778</v>
      </c>
      <c r="B4345" t="s">
        <v>390</v>
      </c>
      <c r="C4345" t="s">
        <v>91</v>
      </c>
      <c r="D4345" t="s">
        <v>82</v>
      </c>
      <c r="E4345" t="s">
        <v>89</v>
      </c>
      <c r="F4345">
        <v>6200</v>
      </c>
      <c r="G4345" t="s">
        <v>331</v>
      </c>
      <c r="H4345" s="15">
        <v>45566</v>
      </c>
      <c r="I4345">
        <v>6200</v>
      </c>
      <c r="J4345">
        <v>0</v>
      </c>
    </row>
    <row r="4346" spans="1:10" x14ac:dyDescent="0.3">
      <c r="A4346" s="15">
        <v>45778</v>
      </c>
      <c r="B4346" t="s">
        <v>392</v>
      </c>
      <c r="C4346" t="s">
        <v>91</v>
      </c>
      <c r="D4346" t="s">
        <v>86</v>
      </c>
      <c r="E4346" t="s">
        <v>97</v>
      </c>
      <c r="F4346">
        <v>10000</v>
      </c>
      <c r="G4346" t="s">
        <v>331</v>
      </c>
      <c r="H4346" s="15">
        <v>45597</v>
      </c>
      <c r="I4346">
        <v>10000</v>
      </c>
      <c r="J4346">
        <v>0</v>
      </c>
    </row>
    <row r="4347" spans="1:10" x14ac:dyDescent="0.3">
      <c r="A4347" s="15">
        <v>45778</v>
      </c>
      <c r="B4347" t="s">
        <v>393</v>
      </c>
      <c r="C4347" t="s">
        <v>81</v>
      </c>
      <c r="D4347" t="s">
        <v>82</v>
      </c>
      <c r="E4347" t="s">
        <v>92</v>
      </c>
      <c r="F4347">
        <v>2100</v>
      </c>
      <c r="G4347" t="s">
        <v>331</v>
      </c>
      <c r="H4347" s="15">
        <v>45597</v>
      </c>
      <c r="I4347">
        <v>2100</v>
      </c>
      <c r="J4347">
        <v>0</v>
      </c>
    </row>
    <row r="4348" spans="1:10" x14ac:dyDescent="0.3">
      <c r="A4348" s="15">
        <v>45778</v>
      </c>
      <c r="B4348" t="s">
        <v>394</v>
      </c>
      <c r="C4348" t="s">
        <v>81</v>
      </c>
      <c r="D4348" t="s">
        <v>99</v>
      </c>
      <c r="E4348" t="s">
        <v>87</v>
      </c>
      <c r="F4348">
        <v>1400</v>
      </c>
      <c r="G4348" t="s">
        <v>331</v>
      </c>
      <c r="H4348" s="15">
        <v>45597</v>
      </c>
      <c r="I4348">
        <v>1400</v>
      </c>
      <c r="J4348">
        <v>0</v>
      </c>
    </row>
    <row r="4349" spans="1:10" x14ac:dyDescent="0.3">
      <c r="A4349" s="15">
        <v>45778</v>
      </c>
      <c r="B4349" t="s">
        <v>395</v>
      </c>
      <c r="C4349" t="s">
        <v>81</v>
      </c>
      <c r="D4349" t="s">
        <v>82</v>
      </c>
      <c r="E4349" t="s">
        <v>97</v>
      </c>
      <c r="F4349">
        <v>2200</v>
      </c>
      <c r="G4349" t="s">
        <v>331</v>
      </c>
      <c r="H4349" s="15">
        <v>45627</v>
      </c>
      <c r="I4349">
        <v>2200</v>
      </c>
      <c r="J4349">
        <v>0</v>
      </c>
    </row>
    <row r="4350" spans="1:10" x14ac:dyDescent="0.3">
      <c r="A4350" s="15">
        <v>45778</v>
      </c>
      <c r="B4350" t="s">
        <v>396</v>
      </c>
      <c r="C4350" t="s">
        <v>91</v>
      </c>
      <c r="D4350" t="s">
        <v>82</v>
      </c>
      <c r="E4350" t="s">
        <v>92</v>
      </c>
      <c r="F4350">
        <v>8800</v>
      </c>
      <c r="G4350" t="s">
        <v>331</v>
      </c>
      <c r="H4350" s="15">
        <v>45627</v>
      </c>
      <c r="I4350">
        <v>8800</v>
      </c>
      <c r="J4350">
        <v>0</v>
      </c>
    </row>
    <row r="4351" spans="1:10" x14ac:dyDescent="0.3">
      <c r="A4351" s="15">
        <v>45778</v>
      </c>
      <c r="B4351" t="s">
        <v>397</v>
      </c>
      <c r="C4351" t="s">
        <v>91</v>
      </c>
      <c r="D4351" t="s">
        <v>82</v>
      </c>
      <c r="E4351" t="s">
        <v>83</v>
      </c>
      <c r="F4351">
        <v>5400</v>
      </c>
      <c r="G4351" t="s">
        <v>331</v>
      </c>
      <c r="H4351" s="15">
        <v>45627</v>
      </c>
      <c r="I4351">
        <v>5400</v>
      </c>
      <c r="J4351">
        <v>0</v>
      </c>
    </row>
    <row r="4352" spans="1:10" x14ac:dyDescent="0.3">
      <c r="A4352" s="15">
        <v>45778</v>
      </c>
      <c r="B4352" t="s">
        <v>398</v>
      </c>
      <c r="C4352" t="s">
        <v>81</v>
      </c>
      <c r="D4352" t="s">
        <v>86</v>
      </c>
      <c r="E4352" t="s">
        <v>92</v>
      </c>
      <c r="F4352">
        <v>1600</v>
      </c>
      <c r="G4352" t="s">
        <v>331</v>
      </c>
      <c r="H4352" s="15">
        <v>45627</v>
      </c>
      <c r="I4352">
        <v>1600</v>
      </c>
      <c r="J4352">
        <v>0</v>
      </c>
    </row>
    <row r="4353" spans="1:10" x14ac:dyDescent="0.3">
      <c r="A4353" s="15">
        <v>45778</v>
      </c>
      <c r="B4353" t="s">
        <v>399</v>
      </c>
      <c r="C4353" t="s">
        <v>110</v>
      </c>
      <c r="D4353" t="s">
        <v>82</v>
      </c>
      <c r="E4353" t="s">
        <v>101</v>
      </c>
      <c r="F4353">
        <v>17400</v>
      </c>
      <c r="G4353" t="s">
        <v>331</v>
      </c>
      <c r="H4353" s="15">
        <v>45627</v>
      </c>
      <c r="I4353">
        <v>17400</v>
      </c>
      <c r="J4353">
        <v>0</v>
      </c>
    </row>
    <row r="4354" spans="1:10" x14ac:dyDescent="0.3">
      <c r="A4354" s="15">
        <v>45778</v>
      </c>
      <c r="B4354" t="s">
        <v>400</v>
      </c>
      <c r="C4354" t="s">
        <v>91</v>
      </c>
      <c r="D4354" t="s">
        <v>82</v>
      </c>
      <c r="E4354" t="s">
        <v>103</v>
      </c>
      <c r="F4354">
        <v>4400</v>
      </c>
      <c r="G4354" t="s">
        <v>331</v>
      </c>
      <c r="H4354" s="15">
        <v>45627</v>
      </c>
      <c r="I4354">
        <v>4400</v>
      </c>
      <c r="J4354">
        <v>0</v>
      </c>
    </row>
    <row r="4355" spans="1:10" x14ac:dyDescent="0.3">
      <c r="A4355" s="15">
        <v>45778</v>
      </c>
      <c r="B4355" t="s">
        <v>401</v>
      </c>
      <c r="C4355" t="s">
        <v>81</v>
      </c>
      <c r="D4355" t="s">
        <v>82</v>
      </c>
      <c r="E4355" t="s">
        <v>103</v>
      </c>
      <c r="F4355">
        <v>0</v>
      </c>
      <c r="G4355" t="s">
        <v>333</v>
      </c>
      <c r="H4355" s="15">
        <v>45658</v>
      </c>
      <c r="I4355">
        <v>2200</v>
      </c>
      <c r="J4355">
        <v>-2200</v>
      </c>
    </row>
    <row r="4356" spans="1:10" x14ac:dyDescent="0.3">
      <c r="A4356" s="15">
        <v>45778</v>
      </c>
      <c r="B4356" t="s">
        <v>403</v>
      </c>
      <c r="C4356" t="s">
        <v>81</v>
      </c>
      <c r="D4356" t="s">
        <v>82</v>
      </c>
      <c r="E4356" t="s">
        <v>101</v>
      </c>
      <c r="F4356">
        <v>1900</v>
      </c>
      <c r="G4356" t="s">
        <v>331</v>
      </c>
      <c r="H4356" s="15">
        <v>45658</v>
      </c>
      <c r="I4356">
        <v>1900</v>
      </c>
      <c r="J4356">
        <v>0</v>
      </c>
    </row>
    <row r="4357" spans="1:10" x14ac:dyDescent="0.3">
      <c r="A4357" s="15">
        <v>45778</v>
      </c>
      <c r="B4357" t="s">
        <v>404</v>
      </c>
      <c r="C4357" t="s">
        <v>81</v>
      </c>
      <c r="D4357" t="s">
        <v>86</v>
      </c>
      <c r="E4357" t="s">
        <v>83</v>
      </c>
      <c r="F4357">
        <v>2100</v>
      </c>
      <c r="G4357" t="s">
        <v>331</v>
      </c>
      <c r="H4357" s="15">
        <v>45658</v>
      </c>
      <c r="I4357">
        <v>2100</v>
      </c>
      <c r="J4357">
        <v>0</v>
      </c>
    </row>
    <row r="4358" spans="1:10" x14ac:dyDescent="0.3">
      <c r="A4358" s="15">
        <v>45778</v>
      </c>
      <c r="B4358" t="s">
        <v>405</v>
      </c>
      <c r="C4358" t="s">
        <v>81</v>
      </c>
      <c r="D4358" t="s">
        <v>82</v>
      </c>
      <c r="E4358" t="s">
        <v>92</v>
      </c>
      <c r="F4358">
        <v>1500</v>
      </c>
      <c r="G4358" t="s">
        <v>331</v>
      </c>
      <c r="H4358" s="15">
        <v>45658</v>
      </c>
      <c r="I4358">
        <v>1500</v>
      </c>
      <c r="J4358">
        <v>0</v>
      </c>
    </row>
    <row r="4359" spans="1:10" x14ac:dyDescent="0.3">
      <c r="A4359" s="15">
        <v>45778</v>
      </c>
      <c r="B4359" t="s">
        <v>406</v>
      </c>
      <c r="C4359" t="s">
        <v>91</v>
      </c>
      <c r="D4359" t="s">
        <v>86</v>
      </c>
      <c r="E4359" t="s">
        <v>87</v>
      </c>
      <c r="F4359">
        <v>5400</v>
      </c>
      <c r="G4359" t="s">
        <v>331</v>
      </c>
      <c r="H4359" s="15">
        <v>45658</v>
      </c>
      <c r="I4359">
        <v>5400</v>
      </c>
      <c r="J4359">
        <v>0</v>
      </c>
    </row>
    <row r="4360" spans="1:10" x14ac:dyDescent="0.3">
      <c r="A4360" s="15">
        <v>45778</v>
      </c>
      <c r="B4360" t="s">
        <v>407</v>
      </c>
      <c r="C4360" t="s">
        <v>81</v>
      </c>
      <c r="D4360" t="s">
        <v>82</v>
      </c>
      <c r="E4360" t="s">
        <v>92</v>
      </c>
      <c r="F4360">
        <v>2400</v>
      </c>
      <c r="G4360" t="s">
        <v>331</v>
      </c>
      <c r="H4360" s="15">
        <v>45689</v>
      </c>
      <c r="I4360">
        <v>2400</v>
      </c>
      <c r="J4360">
        <v>0</v>
      </c>
    </row>
    <row r="4361" spans="1:10" x14ac:dyDescent="0.3">
      <c r="A4361" s="15">
        <v>45778</v>
      </c>
      <c r="B4361" t="s">
        <v>409</v>
      </c>
      <c r="C4361" t="s">
        <v>81</v>
      </c>
      <c r="D4361" t="s">
        <v>82</v>
      </c>
      <c r="E4361" t="s">
        <v>83</v>
      </c>
      <c r="F4361">
        <v>1700</v>
      </c>
      <c r="G4361" t="s">
        <v>331</v>
      </c>
      <c r="H4361" s="15">
        <v>45689</v>
      </c>
      <c r="I4361">
        <v>1700</v>
      </c>
      <c r="J4361">
        <v>0</v>
      </c>
    </row>
    <row r="4362" spans="1:10" x14ac:dyDescent="0.3">
      <c r="A4362" s="15">
        <v>45778</v>
      </c>
      <c r="B4362" t="s">
        <v>410</v>
      </c>
      <c r="C4362" t="s">
        <v>125</v>
      </c>
      <c r="D4362" t="s">
        <v>82</v>
      </c>
      <c r="E4362" t="s">
        <v>103</v>
      </c>
      <c r="F4362">
        <v>56400</v>
      </c>
      <c r="G4362" t="s">
        <v>331</v>
      </c>
      <c r="H4362" s="15">
        <v>45689</v>
      </c>
      <c r="I4362">
        <v>56400</v>
      </c>
      <c r="J4362">
        <v>0</v>
      </c>
    </row>
    <row r="4363" spans="1:10" x14ac:dyDescent="0.3">
      <c r="A4363" s="15">
        <v>45778</v>
      </c>
      <c r="B4363" t="s">
        <v>411</v>
      </c>
      <c r="C4363" t="s">
        <v>91</v>
      </c>
      <c r="D4363" t="s">
        <v>86</v>
      </c>
      <c r="E4363" t="s">
        <v>92</v>
      </c>
      <c r="F4363">
        <v>8900</v>
      </c>
      <c r="G4363" t="s">
        <v>332</v>
      </c>
      <c r="H4363" s="15">
        <v>45689</v>
      </c>
      <c r="I4363">
        <v>7700</v>
      </c>
      <c r="J4363">
        <v>1200</v>
      </c>
    </row>
    <row r="4364" spans="1:10" x14ac:dyDescent="0.3">
      <c r="A4364" s="15">
        <v>45778</v>
      </c>
      <c r="B4364" t="s">
        <v>412</v>
      </c>
      <c r="C4364" t="s">
        <v>81</v>
      </c>
      <c r="D4364" t="s">
        <v>82</v>
      </c>
      <c r="E4364" t="s">
        <v>89</v>
      </c>
      <c r="F4364">
        <v>2200</v>
      </c>
      <c r="G4364" t="s">
        <v>331</v>
      </c>
      <c r="H4364" s="15">
        <v>45717</v>
      </c>
      <c r="I4364">
        <v>2200</v>
      </c>
      <c r="J4364">
        <v>0</v>
      </c>
    </row>
    <row r="4365" spans="1:10" x14ac:dyDescent="0.3">
      <c r="A4365" s="15">
        <v>45778</v>
      </c>
      <c r="B4365" t="s">
        <v>413</v>
      </c>
      <c r="C4365" t="s">
        <v>81</v>
      </c>
      <c r="D4365" t="s">
        <v>99</v>
      </c>
      <c r="E4365" t="s">
        <v>101</v>
      </c>
      <c r="F4365">
        <v>2300</v>
      </c>
      <c r="G4365" t="s">
        <v>331</v>
      </c>
      <c r="H4365" s="15">
        <v>45717</v>
      </c>
      <c r="I4365">
        <v>2300</v>
      </c>
      <c r="J4365">
        <v>0</v>
      </c>
    </row>
    <row r="4366" spans="1:10" x14ac:dyDescent="0.3">
      <c r="A4366" s="15">
        <v>45778</v>
      </c>
      <c r="B4366" t="s">
        <v>414</v>
      </c>
      <c r="C4366" t="s">
        <v>110</v>
      </c>
      <c r="D4366" t="s">
        <v>99</v>
      </c>
      <c r="E4366" t="s">
        <v>89</v>
      </c>
      <c r="F4366">
        <v>30900</v>
      </c>
      <c r="G4366" t="s">
        <v>334</v>
      </c>
      <c r="H4366" s="15">
        <v>45717</v>
      </c>
      <c r="I4366">
        <v>33800</v>
      </c>
      <c r="J4366">
        <v>-2900</v>
      </c>
    </row>
    <row r="4367" spans="1:10" x14ac:dyDescent="0.3">
      <c r="A4367" s="15">
        <v>45778</v>
      </c>
      <c r="B4367" t="s">
        <v>415</v>
      </c>
      <c r="C4367" t="s">
        <v>81</v>
      </c>
      <c r="D4367" t="s">
        <v>96</v>
      </c>
      <c r="E4367" t="s">
        <v>89</v>
      </c>
      <c r="F4367">
        <v>2100</v>
      </c>
      <c r="G4367" t="s">
        <v>331</v>
      </c>
      <c r="H4367" s="15">
        <v>45717</v>
      </c>
      <c r="I4367">
        <v>2100</v>
      </c>
      <c r="J4367">
        <v>0</v>
      </c>
    </row>
    <row r="4368" spans="1:10" x14ac:dyDescent="0.3">
      <c r="A4368" s="15">
        <v>45778</v>
      </c>
      <c r="B4368" t="s">
        <v>416</v>
      </c>
      <c r="C4368" t="s">
        <v>81</v>
      </c>
      <c r="D4368" t="s">
        <v>99</v>
      </c>
      <c r="E4368" t="s">
        <v>103</v>
      </c>
      <c r="F4368">
        <v>2500</v>
      </c>
      <c r="G4368" t="s">
        <v>331</v>
      </c>
      <c r="H4368" s="15">
        <v>45717</v>
      </c>
      <c r="I4368">
        <v>2500</v>
      </c>
      <c r="J4368">
        <v>0</v>
      </c>
    </row>
    <row r="4369" spans="1:10" x14ac:dyDescent="0.3">
      <c r="A4369" s="15">
        <v>45778</v>
      </c>
      <c r="B4369" t="s">
        <v>417</v>
      </c>
      <c r="C4369" t="s">
        <v>110</v>
      </c>
      <c r="D4369" t="s">
        <v>86</v>
      </c>
      <c r="E4369" t="s">
        <v>92</v>
      </c>
      <c r="F4369">
        <v>35600</v>
      </c>
      <c r="G4369" t="s">
        <v>331</v>
      </c>
      <c r="H4369" s="15">
        <v>45717</v>
      </c>
      <c r="I4369">
        <v>35600</v>
      </c>
      <c r="J4369">
        <v>0</v>
      </c>
    </row>
    <row r="4370" spans="1:10" x14ac:dyDescent="0.3">
      <c r="A4370" s="15">
        <v>45778</v>
      </c>
      <c r="B4370" t="s">
        <v>418</v>
      </c>
      <c r="C4370" t="s">
        <v>81</v>
      </c>
      <c r="D4370" t="s">
        <v>86</v>
      </c>
      <c r="E4370" t="s">
        <v>92</v>
      </c>
      <c r="F4370">
        <v>1600</v>
      </c>
      <c r="G4370" t="s">
        <v>331</v>
      </c>
      <c r="H4370" s="15">
        <v>45748</v>
      </c>
      <c r="I4370">
        <v>1600</v>
      </c>
      <c r="J4370">
        <v>0</v>
      </c>
    </row>
    <row r="4371" spans="1:10" x14ac:dyDescent="0.3">
      <c r="A4371" s="15">
        <v>45778</v>
      </c>
      <c r="B4371" t="s">
        <v>419</v>
      </c>
      <c r="C4371" t="s">
        <v>125</v>
      </c>
      <c r="D4371" t="s">
        <v>96</v>
      </c>
      <c r="E4371" t="s">
        <v>103</v>
      </c>
      <c r="F4371">
        <v>73300</v>
      </c>
      <c r="G4371" t="s">
        <v>331</v>
      </c>
      <c r="H4371" s="15">
        <v>45748</v>
      </c>
      <c r="I4371">
        <v>73300</v>
      </c>
      <c r="J4371">
        <v>0</v>
      </c>
    </row>
    <row r="4372" spans="1:10" x14ac:dyDescent="0.3">
      <c r="A4372" s="15">
        <v>45778</v>
      </c>
      <c r="B4372" t="s">
        <v>420</v>
      </c>
      <c r="C4372" t="s">
        <v>110</v>
      </c>
      <c r="D4372" t="s">
        <v>96</v>
      </c>
      <c r="E4372" t="s">
        <v>103</v>
      </c>
      <c r="F4372">
        <v>22900</v>
      </c>
      <c r="G4372" t="s">
        <v>332</v>
      </c>
      <c r="H4372" s="15">
        <v>45748</v>
      </c>
      <c r="I4372">
        <v>20700</v>
      </c>
      <c r="J4372">
        <v>2200</v>
      </c>
    </row>
    <row r="4373" spans="1:10" x14ac:dyDescent="0.3">
      <c r="A4373" s="15">
        <v>45778</v>
      </c>
      <c r="B4373" t="s">
        <v>421</v>
      </c>
      <c r="C4373" t="s">
        <v>110</v>
      </c>
      <c r="D4373" t="s">
        <v>82</v>
      </c>
      <c r="E4373" t="s">
        <v>103</v>
      </c>
      <c r="F4373">
        <v>18800</v>
      </c>
      <c r="G4373" t="s">
        <v>331</v>
      </c>
      <c r="H4373" s="15">
        <v>45748</v>
      </c>
      <c r="I4373">
        <v>18800</v>
      </c>
      <c r="J4373">
        <v>0</v>
      </c>
    </row>
    <row r="4374" spans="1:10" x14ac:dyDescent="0.3">
      <c r="A4374" s="15">
        <v>45778</v>
      </c>
      <c r="B4374" t="s">
        <v>422</v>
      </c>
      <c r="C4374" t="s">
        <v>81</v>
      </c>
      <c r="D4374" t="s">
        <v>82</v>
      </c>
      <c r="E4374" t="s">
        <v>97</v>
      </c>
      <c r="F4374">
        <v>2300</v>
      </c>
      <c r="G4374" t="s">
        <v>331</v>
      </c>
      <c r="H4374" s="15">
        <v>45748</v>
      </c>
      <c r="I4374">
        <v>2300</v>
      </c>
      <c r="J4374">
        <v>0</v>
      </c>
    </row>
    <row r="4375" spans="1:10" x14ac:dyDescent="0.3">
      <c r="A4375" s="15">
        <v>45778</v>
      </c>
      <c r="B4375" t="s">
        <v>423</v>
      </c>
      <c r="C4375" t="s">
        <v>125</v>
      </c>
      <c r="D4375" t="s">
        <v>86</v>
      </c>
      <c r="E4375" t="s">
        <v>97</v>
      </c>
      <c r="F4375">
        <v>52800</v>
      </c>
      <c r="G4375" t="s">
        <v>331</v>
      </c>
      <c r="H4375" s="15">
        <v>45748</v>
      </c>
      <c r="I4375">
        <v>52800</v>
      </c>
      <c r="J4375">
        <v>0</v>
      </c>
    </row>
    <row r="4376" spans="1:10" x14ac:dyDescent="0.3">
      <c r="A4376" s="15">
        <v>45778</v>
      </c>
      <c r="B4376" t="s">
        <v>424</v>
      </c>
      <c r="C4376" t="s">
        <v>81</v>
      </c>
      <c r="D4376" t="s">
        <v>82</v>
      </c>
      <c r="E4376" t="s">
        <v>87</v>
      </c>
      <c r="F4376">
        <v>1600</v>
      </c>
      <c r="G4376" t="s">
        <v>84</v>
      </c>
      <c r="H4376" s="15">
        <v>45778</v>
      </c>
      <c r="I4376">
        <v>0</v>
      </c>
      <c r="J4376">
        <v>1600</v>
      </c>
    </row>
    <row r="4377" spans="1:10" x14ac:dyDescent="0.3">
      <c r="A4377" s="15">
        <v>45778</v>
      </c>
      <c r="B4377" t="s">
        <v>425</v>
      </c>
      <c r="C4377" t="s">
        <v>110</v>
      </c>
      <c r="D4377" t="s">
        <v>82</v>
      </c>
      <c r="E4377" t="s">
        <v>97</v>
      </c>
      <c r="F4377">
        <v>21600</v>
      </c>
      <c r="G4377" t="s">
        <v>84</v>
      </c>
      <c r="H4377" s="15">
        <v>45778</v>
      </c>
      <c r="I4377">
        <v>0</v>
      </c>
      <c r="J4377">
        <v>21600</v>
      </c>
    </row>
    <row r="4378" spans="1:10" x14ac:dyDescent="0.3">
      <c r="A4378" s="15">
        <v>45778</v>
      </c>
      <c r="B4378" t="s">
        <v>426</v>
      </c>
      <c r="C4378" t="s">
        <v>81</v>
      </c>
      <c r="D4378" t="s">
        <v>82</v>
      </c>
      <c r="E4378" t="s">
        <v>89</v>
      </c>
      <c r="F4378">
        <v>1900</v>
      </c>
      <c r="G4378" t="s">
        <v>84</v>
      </c>
      <c r="H4378" s="15">
        <v>45778</v>
      </c>
      <c r="I4378">
        <v>0</v>
      </c>
      <c r="J4378">
        <v>1900</v>
      </c>
    </row>
    <row r="4379" spans="1:10" x14ac:dyDescent="0.3">
      <c r="A4379" s="15">
        <v>45778</v>
      </c>
      <c r="B4379" t="s">
        <v>427</v>
      </c>
      <c r="C4379" t="s">
        <v>110</v>
      </c>
      <c r="D4379" t="s">
        <v>82</v>
      </c>
      <c r="E4379" t="s">
        <v>83</v>
      </c>
      <c r="F4379">
        <v>23900</v>
      </c>
      <c r="G4379" t="s">
        <v>84</v>
      </c>
      <c r="H4379" s="15">
        <v>45778</v>
      </c>
      <c r="I4379">
        <v>0</v>
      </c>
      <c r="J4379">
        <v>23900</v>
      </c>
    </row>
    <row r="4380" spans="1:10" x14ac:dyDescent="0.3">
      <c r="A4380" s="15">
        <v>45778</v>
      </c>
      <c r="B4380" t="s">
        <v>428</v>
      </c>
      <c r="C4380" t="s">
        <v>81</v>
      </c>
      <c r="D4380" t="s">
        <v>86</v>
      </c>
      <c r="E4380" t="s">
        <v>89</v>
      </c>
      <c r="F4380">
        <v>2000</v>
      </c>
      <c r="G4380" t="s">
        <v>84</v>
      </c>
      <c r="H4380" s="15">
        <v>45778</v>
      </c>
      <c r="I4380">
        <v>0</v>
      </c>
      <c r="J4380">
        <v>2000</v>
      </c>
    </row>
    <row r="4381" spans="1:10" x14ac:dyDescent="0.3">
      <c r="A4381" s="15">
        <v>45809</v>
      </c>
      <c r="B4381" t="s">
        <v>80</v>
      </c>
      <c r="C4381" t="s">
        <v>81</v>
      </c>
      <c r="D4381" t="s">
        <v>82</v>
      </c>
      <c r="E4381" t="s">
        <v>83</v>
      </c>
      <c r="F4381">
        <v>1900</v>
      </c>
      <c r="G4381" t="s">
        <v>331</v>
      </c>
      <c r="H4381" s="15">
        <v>45292</v>
      </c>
      <c r="I4381">
        <v>1900</v>
      </c>
      <c r="J4381">
        <v>0</v>
      </c>
    </row>
    <row r="4382" spans="1:10" x14ac:dyDescent="0.3">
      <c r="A4382" s="15">
        <v>45809</v>
      </c>
      <c r="B4382" t="s">
        <v>85</v>
      </c>
      <c r="C4382" t="s">
        <v>81</v>
      </c>
      <c r="D4382" t="s">
        <v>86</v>
      </c>
      <c r="E4382" t="s">
        <v>87</v>
      </c>
      <c r="F4382">
        <v>2700</v>
      </c>
      <c r="G4382" t="s">
        <v>334</v>
      </c>
      <c r="H4382" s="15">
        <v>45292</v>
      </c>
      <c r="I4382">
        <v>3200</v>
      </c>
      <c r="J4382">
        <v>-500</v>
      </c>
    </row>
    <row r="4383" spans="1:10" x14ac:dyDescent="0.3">
      <c r="A4383" s="15">
        <v>45809</v>
      </c>
      <c r="B4383" t="s">
        <v>88</v>
      </c>
      <c r="C4383" t="s">
        <v>81</v>
      </c>
      <c r="D4383" t="s">
        <v>86</v>
      </c>
      <c r="E4383" t="s">
        <v>89</v>
      </c>
      <c r="F4383">
        <v>2400</v>
      </c>
      <c r="G4383" t="s">
        <v>331</v>
      </c>
      <c r="H4383" s="15">
        <v>45292</v>
      </c>
      <c r="I4383">
        <v>2400</v>
      </c>
      <c r="J4383">
        <v>0</v>
      </c>
    </row>
    <row r="4384" spans="1:10" x14ac:dyDescent="0.3">
      <c r="A4384" s="15">
        <v>45809</v>
      </c>
      <c r="B4384" t="s">
        <v>90</v>
      </c>
      <c r="C4384" t="s">
        <v>91</v>
      </c>
      <c r="D4384" t="s">
        <v>82</v>
      </c>
      <c r="E4384" t="s">
        <v>92</v>
      </c>
      <c r="F4384">
        <v>8300</v>
      </c>
      <c r="G4384" t="s">
        <v>331</v>
      </c>
      <c r="H4384" s="15">
        <v>45292</v>
      </c>
      <c r="I4384">
        <v>8300</v>
      </c>
      <c r="J4384">
        <v>0</v>
      </c>
    </row>
    <row r="4385" spans="1:10" x14ac:dyDescent="0.3">
      <c r="A4385" s="15">
        <v>45809</v>
      </c>
      <c r="B4385" t="s">
        <v>93</v>
      </c>
      <c r="C4385" t="s">
        <v>81</v>
      </c>
      <c r="D4385" t="s">
        <v>86</v>
      </c>
      <c r="E4385" t="s">
        <v>83</v>
      </c>
      <c r="F4385">
        <v>2300</v>
      </c>
      <c r="G4385" t="s">
        <v>331</v>
      </c>
      <c r="H4385" s="15">
        <v>45292</v>
      </c>
      <c r="I4385">
        <v>2300</v>
      </c>
      <c r="J4385">
        <v>0</v>
      </c>
    </row>
    <row r="4386" spans="1:10" x14ac:dyDescent="0.3">
      <c r="A4386" s="15">
        <v>45809</v>
      </c>
      <c r="B4386" t="s">
        <v>94</v>
      </c>
      <c r="C4386" t="s">
        <v>91</v>
      </c>
      <c r="D4386" t="s">
        <v>86</v>
      </c>
      <c r="E4386" t="s">
        <v>83</v>
      </c>
      <c r="F4386">
        <v>8500</v>
      </c>
      <c r="G4386" t="s">
        <v>331</v>
      </c>
      <c r="H4386" s="15">
        <v>45292</v>
      </c>
      <c r="I4386">
        <v>8500</v>
      </c>
      <c r="J4386">
        <v>0</v>
      </c>
    </row>
    <row r="4387" spans="1:10" x14ac:dyDescent="0.3">
      <c r="A4387" s="15">
        <v>45809</v>
      </c>
      <c r="B4387" t="s">
        <v>95</v>
      </c>
      <c r="C4387" t="s">
        <v>81</v>
      </c>
      <c r="D4387" t="s">
        <v>96</v>
      </c>
      <c r="E4387" t="s">
        <v>97</v>
      </c>
      <c r="F4387">
        <v>3100</v>
      </c>
      <c r="G4387" t="s">
        <v>331</v>
      </c>
      <c r="H4387" s="15">
        <v>45292</v>
      </c>
      <c r="I4387">
        <v>3100</v>
      </c>
      <c r="J4387">
        <v>0</v>
      </c>
    </row>
    <row r="4388" spans="1:10" x14ac:dyDescent="0.3">
      <c r="A4388" s="15">
        <v>45809</v>
      </c>
      <c r="B4388" t="s">
        <v>98</v>
      </c>
      <c r="C4388" t="s">
        <v>81</v>
      </c>
      <c r="D4388" t="s">
        <v>99</v>
      </c>
      <c r="E4388" t="s">
        <v>92</v>
      </c>
      <c r="F4388">
        <v>2300</v>
      </c>
      <c r="G4388" t="s">
        <v>331</v>
      </c>
      <c r="H4388" s="15">
        <v>45292</v>
      </c>
      <c r="I4388">
        <v>2300</v>
      </c>
      <c r="J4388">
        <v>0</v>
      </c>
    </row>
    <row r="4389" spans="1:10" x14ac:dyDescent="0.3">
      <c r="A4389" s="15">
        <v>45809</v>
      </c>
      <c r="B4389" t="s">
        <v>100</v>
      </c>
      <c r="C4389" t="s">
        <v>81</v>
      </c>
      <c r="D4389" t="s">
        <v>86</v>
      </c>
      <c r="E4389" t="s">
        <v>101</v>
      </c>
      <c r="F4389">
        <v>1800</v>
      </c>
      <c r="G4389" t="s">
        <v>331</v>
      </c>
      <c r="H4389" s="15">
        <v>45292</v>
      </c>
      <c r="I4389">
        <v>1800</v>
      </c>
      <c r="J4389">
        <v>0</v>
      </c>
    </row>
    <row r="4390" spans="1:10" x14ac:dyDescent="0.3">
      <c r="A4390" s="15">
        <v>45809</v>
      </c>
      <c r="B4390" t="s">
        <v>102</v>
      </c>
      <c r="C4390" t="s">
        <v>81</v>
      </c>
      <c r="D4390" t="s">
        <v>99</v>
      </c>
      <c r="E4390" t="s">
        <v>103</v>
      </c>
      <c r="F4390">
        <v>3300</v>
      </c>
      <c r="G4390" t="s">
        <v>331</v>
      </c>
      <c r="H4390" s="15">
        <v>45292</v>
      </c>
      <c r="I4390">
        <v>3300</v>
      </c>
      <c r="J4390">
        <v>0</v>
      </c>
    </row>
    <row r="4391" spans="1:10" x14ac:dyDescent="0.3">
      <c r="A4391" s="15">
        <v>45809</v>
      </c>
      <c r="B4391" t="s">
        <v>104</v>
      </c>
      <c r="C4391" t="s">
        <v>91</v>
      </c>
      <c r="D4391" t="s">
        <v>99</v>
      </c>
      <c r="E4391" t="s">
        <v>87</v>
      </c>
      <c r="F4391">
        <v>7000</v>
      </c>
      <c r="G4391" t="s">
        <v>331</v>
      </c>
      <c r="H4391" s="15">
        <v>45292</v>
      </c>
      <c r="I4391">
        <v>7000</v>
      </c>
      <c r="J4391">
        <v>0</v>
      </c>
    </row>
    <row r="4392" spans="1:10" x14ac:dyDescent="0.3">
      <c r="A4392" s="15">
        <v>45809</v>
      </c>
      <c r="B4392" t="s">
        <v>105</v>
      </c>
      <c r="C4392" t="s">
        <v>91</v>
      </c>
      <c r="D4392" t="s">
        <v>86</v>
      </c>
      <c r="E4392" t="s">
        <v>89</v>
      </c>
      <c r="F4392">
        <v>12900</v>
      </c>
      <c r="G4392" t="s">
        <v>331</v>
      </c>
      <c r="H4392" s="15">
        <v>45292</v>
      </c>
      <c r="I4392">
        <v>12900</v>
      </c>
      <c r="J4392">
        <v>0</v>
      </c>
    </row>
    <row r="4393" spans="1:10" x14ac:dyDescent="0.3">
      <c r="A4393" s="15">
        <v>45809</v>
      </c>
      <c r="B4393" t="s">
        <v>106</v>
      </c>
      <c r="C4393" t="s">
        <v>81</v>
      </c>
      <c r="D4393" t="s">
        <v>99</v>
      </c>
      <c r="E4393" t="s">
        <v>92</v>
      </c>
      <c r="F4393">
        <v>2700</v>
      </c>
      <c r="G4393" t="s">
        <v>331</v>
      </c>
      <c r="H4393" s="15">
        <v>45292</v>
      </c>
      <c r="I4393">
        <v>2700</v>
      </c>
      <c r="J4393">
        <v>0</v>
      </c>
    </row>
    <row r="4394" spans="1:10" x14ac:dyDescent="0.3">
      <c r="A4394" s="15">
        <v>45809</v>
      </c>
      <c r="B4394" t="s">
        <v>109</v>
      </c>
      <c r="C4394" t="s">
        <v>110</v>
      </c>
      <c r="D4394" t="s">
        <v>82</v>
      </c>
      <c r="E4394" t="s">
        <v>103</v>
      </c>
      <c r="F4394">
        <v>32700</v>
      </c>
      <c r="G4394" t="s">
        <v>331</v>
      </c>
      <c r="H4394" s="15">
        <v>45292</v>
      </c>
      <c r="I4394">
        <v>32700</v>
      </c>
      <c r="J4394">
        <v>0</v>
      </c>
    </row>
    <row r="4395" spans="1:10" x14ac:dyDescent="0.3">
      <c r="A4395" s="15">
        <v>45809</v>
      </c>
      <c r="B4395" t="s">
        <v>111</v>
      </c>
      <c r="C4395" t="s">
        <v>91</v>
      </c>
      <c r="D4395" t="s">
        <v>82</v>
      </c>
      <c r="E4395" t="s">
        <v>83</v>
      </c>
      <c r="F4395">
        <v>8800</v>
      </c>
      <c r="G4395" t="s">
        <v>331</v>
      </c>
      <c r="H4395" s="15">
        <v>45292</v>
      </c>
      <c r="I4395">
        <v>8800</v>
      </c>
      <c r="J4395">
        <v>0</v>
      </c>
    </row>
    <row r="4396" spans="1:10" x14ac:dyDescent="0.3">
      <c r="A4396" s="15">
        <v>45809</v>
      </c>
      <c r="B4396" t="s">
        <v>112</v>
      </c>
      <c r="C4396" t="s">
        <v>91</v>
      </c>
      <c r="D4396" t="s">
        <v>82</v>
      </c>
      <c r="E4396" t="s">
        <v>92</v>
      </c>
      <c r="F4396">
        <v>8600</v>
      </c>
      <c r="G4396" t="s">
        <v>331</v>
      </c>
      <c r="H4396" s="15">
        <v>45292</v>
      </c>
      <c r="I4396">
        <v>8600</v>
      </c>
      <c r="J4396">
        <v>0</v>
      </c>
    </row>
    <row r="4397" spans="1:10" x14ac:dyDescent="0.3">
      <c r="A4397" s="15">
        <v>45809</v>
      </c>
      <c r="B4397" t="s">
        <v>113</v>
      </c>
      <c r="C4397" t="s">
        <v>81</v>
      </c>
      <c r="D4397" t="s">
        <v>96</v>
      </c>
      <c r="E4397" t="s">
        <v>89</v>
      </c>
      <c r="F4397">
        <v>2500</v>
      </c>
      <c r="G4397" t="s">
        <v>331</v>
      </c>
      <c r="H4397" s="15">
        <v>45292</v>
      </c>
      <c r="I4397">
        <v>2500</v>
      </c>
      <c r="J4397">
        <v>0</v>
      </c>
    </row>
    <row r="4398" spans="1:10" x14ac:dyDescent="0.3">
      <c r="A4398" s="15">
        <v>45809</v>
      </c>
      <c r="B4398" t="s">
        <v>114</v>
      </c>
      <c r="C4398" t="s">
        <v>110</v>
      </c>
      <c r="D4398" t="s">
        <v>99</v>
      </c>
      <c r="E4398" t="s">
        <v>97</v>
      </c>
      <c r="F4398">
        <v>46200</v>
      </c>
      <c r="G4398" t="s">
        <v>331</v>
      </c>
      <c r="H4398" s="15">
        <v>45292</v>
      </c>
      <c r="I4398">
        <v>46200</v>
      </c>
      <c r="J4398">
        <v>0</v>
      </c>
    </row>
    <row r="4399" spans="1:10" x14ac:dyDescent="0.3">
      <c r="A4399" s="15">
        <v>45809</v>
      </c>
      <c r="B4399" t="s">
        <v>115</v>
      </c>
      <c r="C4399" t="s">
        <v>81</v>
      </c>
      <c r="D4399" t="s">
        <v>82</v>
      </c>
      <c r="E4399" t="s">
        <v>101</v>
      </c>
      <c r="F4399">
        <v>2600</v>
      </c>
      <c r="G4399" t="s">
        <v>331</v>
      </c>
      <c r="H4399" s="15">
        <v>45292</v>
      </c>
      <c r="I4399">
        <v>2600</v>
      </c>
      <c r="J4399">
        <v>0</v>
      </c>
    </row>
    <row r="4400" spans="1:10" x14ac:dyDescent="0.3">
      <c r="A4400" s="15">
        <v>45809</v>
      </c>
      <c r="B4400" t="s">
        <v>116</v>
      </c>
      <c r="C4400" t="s">
        <v>81</v>
      </c>
      <c r="D4400" t="s">
        <v>86</v>
      </c>
      <c r="E4400" t="s">
        <v>87</v>
      </c>
      <c r="F4400">
        <v>2900</v>
      </c>
      <c r="G4400" t="s">
        <v>331</v>
      </c>
      <c r="H4400" s="15">
        <v>45292</v>
      </c>
      <c r="I4400">
        <v>2900</v>
      </c>
      <c r="J4400">
        <v>0</v>
      </c>
    </row>
    <row r="4401" spans="1:10" x14ac:dyDescent="0.3">
      <c r="A4401" s="15">
        <v>45809</v>
      </c>
      <c r="B4401" t="s">
        <v>117</v>
      </c>
      <c r="C4401" t="s">
        <v>81</v>
      </c>
      <c r="D4401" t="s">
        <v>86</v>
      </c>
      <c r="E4401" t="s">
        <v>103</v>
      </c>
      <c r="F4401">
        <v>2500</v>
      </c>
      <c r="G4401" t="s">
        <v>331</v>
      </c>
      <c r="H4401" s="15">
        <v>45292</v>
      </c>
      <c r="I4401">
        <v>2500</v>
      </c>
      <c r="J4401">
        <v>0</v>
      </c>
    </row>
    <row r="4402" spans="1:10" x14ac:dyDescent="0.3">
      <c r="A4402" s="15">
        <v>45809</v>
      </c>
      <c r="B4402" t="s">
        <v>119</v>
      </c>
      <c r="C4402" t="s">
        <v>91</v>
      </c>
      <c r="D4402" t="s">
        <v>96</v>
      </c>
      <c r="E4402" t="s">
        <v>89</v>
      </c>
      <c r="F4402">
        <v>0</v>
      </c>
      <c r="G4402" t="s">
        <v>333</v>
      </c>
      <c r="H4402" s="15">
        <v>45292</v>
      </c>
      <c r="I4402">
        <v>12800</v>
      </c>
      <c r="J4402">
        <v>-12800</v>
      </c>
    </row>
    <row r="4403" spans="1:10" x14ac:dyDescent="0.3">
      <c r="A4403" s="15">
        <v>45809</v>
      </c>
      <c r="B4403" t="s">
        <v>120</v>
      </c>
      <c r="C4403" t="s">
        <v>81</v>
      </c>
      <c r="D4403" t="s">
        <v>86</v>
      </c>
      <c r="E4403" t="s">
        <v>101</v>
      </c>
      <c r="F4403">
        <v>2200</v>
      </c>
      <c r="G4403" t="s">
        <v>331</v>
      </c>
      <c r="H4403" s="15">
        <v>45292</v>
      </c>
      <c r="I4403">
        <v>2200</v>
      </c>
      <c r="J4403">
        <v>0</v>
      </c>
    </row>
    <row r="4404" spans="1:10" x14ac:dyDescent="0.3">
      <c r="A4404" s="15">
        <v>45809</v>
      </c>
      <c r="B4404" t="s">
        <v>123</v>
      </c>
      <c r="C4404" t="s">
        <v>81</v>
      </c>
      <c r="D4404" t="s">
        <v>82</v>
      </c>
      <c r="E4404" t="s">
        <v>92</v>
      </c>
      <c r="F4404">
        <v>2200</v>
      </c>
      <c r="G4404" t="s">
        <v>331</v>
      </c>
      <c r="H4404" s="15">
        <v>45292</v>
      </c>
      <c r="I4404">
        <v>2200</v>
      </c>
      <c r="J4404">
        <v>0</v>
      </c>
    </row>
    <row r="4405" spans="1:10" x14ac:dyDescent="0.3">
      <c r="A4405" s="15">
        <v>45809</v>
      </c>
      <c r="B4405" t="s">
        <v>124</v>
      </c>
      <c r="C4405" t="s">
        <v>125</v>
      </c>
      <c r="D4405" t="s">
        <v>82</v>
      </c>
      <c r="E4405" t="s">
        <v>97</v>
      </c>
      <c r="F4405">
        <v>67900</v>
      </c>
      <c r="G4405" t="s">
        <v>331</v>
      </c>
      <c r="H4405" s="15">
        <v>45292</v>
      </c>
      <c r="I4405">
        <v>67900</v>
      </c>
      <c r="J4405">
        <v>0</v>
      </c>
    </row>
    <row r="4406" spans="1:10" x14ac:dyDescent="0.3">
      <c r="A4406" s="15">
        <v>45809</v>
      </c>
      <c r="B4406" t="s">
        <v>126</v>
      </c>
      <c r="C4406" t="s">
        <v>91</v>
      </c>
      <c r="D4406" t="s">
        <v>82</v>
      </c>
      <c r="E4406" t="s">
        <v>83</v>
      </c>
      <c r="F4406">
        <v>8800</v>
      </c>
      <c r="G4406" t="s">
        <v>331</v>
      </c>
      <c r="H4406" s="15">
        <v>45292</v>
      </c>
      <c r="I4406">
        <v>8800</v>
      </c>
      <c r="J4406">
        <v>0</v>
      </c>
    </row>
    <row r="4407" spans="1:10" x14ac:dyDescent="0.3">
      <c r="A4407" s="15">
        <v>45809</v>
      </c>
      <c r="B4407" t="s">
        <v>127</v>
      </c>
      <c r="C4407" t="s">
        <v>81</v>
      </c>
      <c r="D4407" t="s">
        <v>82</v>
      </c>
      <c r="E4407" t="s">
        <v>101</v>
      </c>
      <c r="F4407">
        <v>2400</v>
      </c>
      <c r="G4407" t="s">
        <v>331</v>
      </c>
      <c r="H4407" s="15">
        <v>45292</v>
      </c>
      <c r="I4407">
        <v>2400</v>
      </c>
      <c r="J4407">
        <v>0</v>
      </c>
    </row>
    <row r="4408" spans="1:10" x14ac:dyDescent="0.3">
      <c r="A4408" s="15">
        <v>45809</v>
      </c>
      <c r="B4408" t="s">
        <v>128</v>
      </c>
      <c r="C4408" t="s">
        <v>81</v>
      </c>
      <c r="D4408" t="s">
        <v>82</v>
      </c>
      <c r="E4408" t="s">
        <v>92</v>
      </c>
      <c r="F4408">
        <v>1700</v>
      </c>
      <c r="G4408" t="s">
        <v>331</v>
      </c>
      <c r="H4408" s="15">
        <v>45292</v>
      </c>
      <c r="I4408">
        <v>1700</v>
      </c>
      <c r="J4408">
        <v>0</v>
      </c>
    </row>
    <row r="4409" spans="1:10" x14ac:dyDescent="0.3">
      <c r="A4409" s="15">
        <v>45809</v>
      </c>
      <c r="B4409" t="s">
        <v>129</v>
      </c>
      <c r="C4409" t="s">
        <v>110</v>
      </c>
      <c r="D4409" t="s">
        <v>86</v>
      </c>
      <c r="E4409" t="s">
        <v>92</v>
      </c>
      <c r="F4409">
        <v>34200</v>
      </c>
      <c r="G4409" t="s">
        <v>331</v>
      </c>
      <c r="H4409" s="15">
        <v>45292</v>
      </c>
      <c r="I4409">
        <v>34200</v>
      </c>
      <c r="J4409">
        <v>0</v>
      </c>
    </row>
    <row r="4410" spans="1:10" x14ac:dyDescent="0.3">
      <c r="A4410" s="15">
        <v>45809</v>
      </c>
      <c r="B4410" t="s">
        <v>133</v>
      </c>
      <c r="C4410" t="s">
        <v>81</v>
      </c>
      <c r="D4410" t="s">
        <v>96</v>
      </c>
      <c r="E4410" t="s">
        <v>87</v>
      </c>
      <c r="F4410">
        <v>2700</v>
      </c>
      <c r="G4410" t="s">
        <v>331</v>
      </c>
      <c r="H4410" s="15">
        <v>45292</v>
      </c>
      <c r="I4410">
        <v>2700</v>
      </c>
      <c r="J4410">
        <v>0</v>
      </c>
    </row>
    <row r="4411" spans="1:10" x14ac:dyDescent="0.3">
      <c r="A4411" s="15">
        <v>45809</v>
      </c>
      <c r="B4411" t="s">
        <v>134</v>
      </c>
      <c r="C4411" t="s">
        <v>81</v>
      </c>
      <c r="D4411" t="s">
        <v>82</v>
      </c>
      <c r="E4411" t="s">
        <v>92</v>
      </c>
      <c r="F4411">
        <v>2400</v>
      </c>
      <c r="G4411" t="s">
        <v>331</v>
      </c>
      <c r="H4411" s="15">
        <v>45292</v>
      </c>
      <c r="I4411">
        <v>2400</v>
      </c>
      <c r="J4411">
        <v>0</v>
      </c>
    </row>
    <row r="4412" spans="1:10" x14ac:dyDescent="0.3">
      <c r="A4412" s="15">
        <v>45809</v>
      </c>
      <c r="B4412" t="s">
        <v>135</v>
      </c>
      <c r="C4412" t="s">
        <v>81</v>
      </c>
      <c r="D4412" t="s">
        <v>82</v>
      </c>
      <c r="E4412" t="s">
        <v>103</v>
      </c>
      <c r="F4412">
        <v>2200</v>
      </c>
      <c r="G4412" t="s">
        <v>331</v>
      </c>
      <c r="H4412" s="15">
        <v>45292</v>
      </c>
      <c r="I4412">
        <v>2200</v>
      </c>
      <c r="J4412">
        <v>0</v>
      </c>
    </row>
    <row r="4413" spans="1:10" x14ac:dyDescent="0.3">
      <c r="A4413" s="15">
        <v>45809</v>
      </c>
      <c r="B4413" t="s">
        <v>136</v>
      </c>
      <c r="C4413" t="s">
        <v>81</v>
      </c>
      <c r="D4413" t="s">
        <v>82</v>
      </c>
      <c r="E4413" t="s">
        <v>101</v>
      </c>
      <c r="F4413">
        <v>2900</v>
      </c>
      <c r="G4413" t="s">
        <v>331</v>
      </c>
      <c r="H4413" s="15">
        <v>45292</v>
      </c>
      <c r="I4413">
        <v>2900</v>
      </c>
      <c r="J4413">
        <v>0</v>
      </c>
    </row>
    <row r="4414" spans="1:10" x14ac:dyDescent="0.3">
      <c r="A4414" s="15">
        <v>45809</v>
      </c>
      <c r="B4414" t="s">
        <v>138</v>
      </c>
      <c r="C4414" t="s">
        <v>81</v>
      </c>
      <c r="D4414" t="s">
        <v>86</v>
      </c>
      <c r="E4414" t="s">
        <v>97</v>
      </c>
      <c r="F4414">
        <v>3300</v>
      </c>
      <c r="G4414" t="s">
        <v>331</v>
      </c>
      <c r="H4414" s="15">
        <v>45292</v>
      </c>
      <c r="I4414">
        <v>3300</v>
      </c>
      <c r="J4414">
        <v>0</v>
      </c>
    </row>
    <row r="4415" spans="1:10" x14ac:dyDescent="0.3">
      <c r="A4415" s="15">
        <v>45809</v>
      </c>
      <c r="B4415" t="s">
        <v>139</v>
      </c>
      <c r="C4415" t="s">
        <v>91</v>
      </c>
      <c r="D4415" t="s">
        <v>82</v>
      </c>
      <c r="E4415" t="s">
        <v>103</v>
      </c>
      <c r="F4415">
        <v>6800</v>
      </c>
      <c r="G4415" t="s">
        <v>331</v>
      </c>
      <c r="H4415" s="15">
        <v>45292</v>
      </c>
      <c r="I4415">
        <v>6800</v>
      </c>
      <c r="J4415">
        <v>0</v>
      </c>
    </row>
    <row r="4416" spans="1:10" x14ac:dyDescent="0.3">
      <c r="A4416" s="15">
        <v>45809</v>
      </c>
      <c r="B4416" t="s">
        <v>141</v>
      </c>
      <c r="C4416" t="s">
        <v>125</v>
      </c>
      <c r="D4416" t="s">
        <v>99</v>
      </c>
      <c r="E4416" t="s">
        <v>103</v>
      </c>
      <c r="F4416">
        <v>117900</v>
      </c>
      <c r="G4416" t="s">
        <v>331</v>
      </c>
      <c r="H4416" s="15">
        <v>45292</v>
      </c>
      <c r="I4416">
        <v>117900</v>
      </c>
      <c r="J4416">
        <v>0</v>
      </c>
    </row>
    <row r="4417" spans="1:10" x14ac:dyDescent="0.3">
      <c r="A4417" s="15">
        <v>45809</v>
      </c>
      <c r="B4417" t="s">
        <v>142</v>
      </c>
      <c r="C4417" t="s">
        <v>125</v>
      </c>
      <c r="D4417" t="s">
        <v>82</v>
      </c>
      <c r="E4417" t="s">
        <v>92</v>
      </c>
      <c r="F4417">
        <v>103800</v>
      </c>
      <c r="G4417" t="s">
        <v>331</v>
      </c>
      <c r="H4417" s="15">
        <v>45292</v>
      </c>
      <c r="I4417">
        <v>103800</v>
      </c>
      <c r="J4417">
        <v>0</v>
      </c>
    </row>
    <row r="4418" spans="1:10" x14ac:dyDescent="0.3">
      <c r="A4418" s="15">
        <v>45809</v>
      </c>
      <c r="B4418" t="s">
        <v>143</v>
      </c>
      <c r="C4418" t="s">
        <v>91</v>
      </c>
      <c r="D4418" t="s">
        <v>99</v>
      </c>
      <c r="E4418" t="s">
        <v>103</v>
      </c>
      <c r="F4418">
        <v>8000</v>
      </c>
      <c r="G4418" t="s">
        <v>331</v>
      </c>
      <c r="H4418" s="15">
        <v>45292</v>
      </c>
      <c r="I4418">
        <v>8000</v>
      </c>
      <c r="J4418">
        <v>0</v>
      </c>
    </row>
    <row r="4419" spans="1:10" x14ac:dyDescent="0.3">
      <c r="A4419" s="15">
        <v>45809</v>
      </c>
      <c r="B4419" t="s">
        <v>144</v>
      </c>
      <c r="C4419" t="s">
        <v>81</v>
      </c>
      <c r="D4419" t="s">
        <v>82</v>
      </c>
      <c r="E4419" t="s">
        <v>92</v>
      </c>
      <c r="F4419">
        <v>2400</v>
      </c>
      <c r="G4419" t="s">
        <v>331</v>
      </c>
      <c r="H4419" s="15">
        <v>45292</v>
      </c>
      <c r="I4419">
        <v>2400</v>
      </c>
      <c r="J4419">
        <v>0</v>
      </c>
    </row>
    <row r="4420" spans="1:10" x14ac:dyDescent="0.3">
      <c r="A4420" s="15">
        <v>45809</v>
      </c>
      <c r="B4420" t="s">
        <v>145</v>
      </c>
      <c r="C4420" t="s">
        <v>91</v>
      </c>
      <c r="D4420" t="s">
        <v>82</v>
      </c>
      <c r="E4420" t="s">
        <v>87</v>
      </c>
      <c r="F4420">
        <v>8200</v>
      </c>
      <c r="G4420" t="s">
        <v>331</v>
      </c>
      <c r="H4420" s="15">
        <v>45292</v>
      </c>
      <c r="I4420">
        <v>8200</v>
      </c>
      <c r="J4420">
        <v>0</v>
      </c>
    </row>
    <row r="4421" spans="1:10" x14ac:dyDescent="0.3">
      <c r="A4421" s="15">
        <v>45809</v>
      </c>
      <c r="B4421" t="s">
        <v>146</v>
      </c>
      <c r="C4421" t="s">
        <v>91</v>
      </c>
      <c r="D4421" t="s">
        <v>86</v>
      </c>
      <c r="E4421" t="s">
        <v>87</v>
      </c>
      <c r="F4421">
        <v>9200</v>
      </c>
      <c r="G4421" t="s">
        <v>331</v>
      </c>
      <c r="H4421" s="15">
        <v>45292</v>
      </c>
      <c r="I4421">
        <v>9200</v>
      </c>
      <c r="J4421">
        <v>0</v>
      </c>
    </row>
    <row r="4422" spans="1:10" x14ac:dyDescent="0.3">
      <c r="A4422" s="15">
        <v>45809</v>
      </c>
      <c r="B4422" t="s">
        <v>148</v>
      </c>
      <c r="C4422" t="s">
        <v>110</v>
      </c>
      <c r="D4422" t="s">
        <v>86</v>
      </c>
      <c r="E4422" t="s">
        <v>89</v>
      </c>
      <c r="F4422">
        <v>25100</v>
      </c>
      <c r="G4422" t="s">
        <v>331</v>
      </c>
      <c r="H4422" s="15">
        <v>45292</v>
      </c>
      <c r="I4422">
        <v>25100</v>
      </c>
      <c r="J4422">
        <v>0</v>
      </c>
    </row>
    <row r="4423" spans="1:10" x14ac:dyDescent="0.3">
      <c r="A4423" s="15">
        <v>45809</v>
      </c>
      <c r="B4423" t="s">
        <v>149</v>
      </c>
      <c r="C4423" t="s">
        <v>110</v>
      </c>
      <c r="D4423" t="s">
        <v>82</v>
      </c>
      <c r="E4423" t="s">
        <v>103</v>
      </c>
      <c r="F4423">
        <v>31000</v>
      </c>
      <c r="G4423" t="s">
        <v>331</v>
      </c>
      <c r="H4423" s="15">
        <v>45292</v>
      </c>
      <c r="I4423">
        <v>31000</v>
      </c>
      <c r="J4423">
        <v>0</v>
      </c>
    </row>
    <row r="4424" spans="1:10" x14ac:dyDescent="0.3">
      <c r="A4424" s="15">
        <v>45809</v>
      </c>
      <c r="B4424" t="s">
        <v>151</v>
      </c>
      <c r="C4424" t="s">
        <v>91</v>
      </c>
      <c r="D4424" t="s">
        <v>82</v>
      </c>
      <c r="E4424" t="s">
        <v>97</v>
      </c>
      <c r="F4424">
        <v>6800</v>
      </c>
      <c r="G4424" t="s">
        <v>331</v>
      </c>
      <c r="H4424" s="15">
        <v>45292</v>
      </c>
      <c r="I4424">
        <v>6800</v>
      </c>
      <c r="J4424">
        <v>0</v>
      </c>
    </row>
    <row r="4425" spans="1:10" x14ac:dyDescent="0.3">
      <c r="A4425" s="15">
        <v>45809</v>
      </c>
      <c r="B4425" t="s">
        <v>153</v>
      </c>
      <c r="C4425" t="s">
        <v>110</v>
      </c>
      <c r="D4425" t="s">
        <v>99</v>
      </c>
      <c r="E4425" t="s">
        <v>87</v>
      </c>
      <c r="F4425">
        <v>31500</v>
      </c>
      <c r="G4425" t="s">
        <v>331</v>
      </c>
      <c r="H4425" s="15">
        <v>45292</v>
      </c>
      <c r="I4425">
        <v>31500</v>
      </c>
      <c r="J4425">
        <v>0</v>
      </c>
    </row>
    <row r="4426" spans="1:10" x14ac:dyDescent="0.3">
      <c r="A4426" s="15">
        <v>45809</v>
      </c>
      <c r="B4426" t="s">
        <v>154</v>
      </c>
      <c r="C4426" t="s">
        <v>91</v>
      </c>
      <c r="D4426" t="s">
        <v>86</v>
      </c>
      <c r="E4426" t="s">
        <v>103</v>
      </c>
      <c r="F4426">
        <v>8800</v>
      </c>
      <c r="G4426" t="s">
        <v>331</v>
      </c>
      <c r="H4426" s="15">
        <v>45292</v>
      </c>
      <c r="I4426">
        <v>8800</v>
      </c>
      <c r="J4426">
        <v>0</v>
      </c>
    </row>
    <row r="4427" spans="1:10" x14ac:dyDescent="0.3">
      <c r="A4427" s="15">
        <v>45809</v>
      </c>
      <c r="B4427" t="s">
        <v>155</v>
      </c>
      <c r="C4427" t="s">
        <v>91</v>
      </c>
      <c r="D4427" t="s">
        <v>82</v>
      </c>
      <c r="E4427" t="s">
        <v>92</v>
      </c>
      <c r="F4427">
        <v>7100</v>
      </c>
      <c r="G4427" t="s">
        <v>331</v>
      </c>
      <c r="H4427" s="15">
        <v>45292</v>
      </c>
      <c r="I4427">
        <v>7100</v>
      </c>
      <c r="J4427">
        <v>0</v>
      </c>
    </row>
    <row r="4428" spans="1:10" x14ac:dyDescent="0.3">
      <c r="A4428" s="15">
        <v>45809</v>
      </c>
      <c r="B4428" t="s">
        <v>156</v>
      </c>
      <c r="C4428" t="s">
        <v>81</v>
      </c>
      <c r="D4428" t="s">
        <v>86</v>
      </c>
      <c r="E4428" t="s">
        <v>101</v>
      </c>
      <c r="F4428">
        <v>2300</v>
      </c>
      <c r="G4428" t="s">
        <v>331</v>
      </c>
      <c r="H4428" s="15">
        <v>45292</v>
      </c>
      <c r="I4428">
        <v>2300</v>
      </c>
      <c r="J4428">
        <v>0</v>
      </c>
    </row>
    <row r="4429" spans="1:10" x14ac:dyDescent="0.3">
      <c r="A4429" s="15">
        <v>45809</v>
      </c>
      <c r="B4429" t="s">
        <v>157</v>
      </c>
      <c r="C4429" t="s">
        <v>81</v>
      </c>
      <c r="D4429" t="s">
        <v>82</v>
      </c>
      <c r="E4429" t="s">
        <v>92</v>
      </c>
      <c r="F4429">
        <v>1800</v>
      </c>
      <c r="G4429" t="s">
        <v>331</v>
      </c>
      <c r="H4429" s="15">
        <v>45292</v>
      </c>
      <c r="I4429">
        <v>1800</v>
      </c>
      <c r="J4429">
        <v>0</v>
      </c>
    </row>
    <row r="4430" spans="1:10" x14ac:dyDescent="0.3">
      <c r="A4430" s="15">
        <v>45809</v>
      </c>
      <c r="B4430" t="s">
        <v>158</v>
      </c>
      <c r="C4430" t="s">
        <v>91</v>
      </c>
      <c r="D4430" t="s">
        <v>96</v>
      </c>
      <c r="E4430" t="s">
        <v>83</v>
      </c>
      <c r="F4430">
        <v>12600</v>
      </c>
      <c r="G4430" t="s">
        <v>331</v>
      </c>
      <c r="H4430" s="15">
        <v>45292</v>
      </c>
      <c r="I4430">
        <v>12600</v>
      </c>
      <c r="J4430">
        <v>0</v>
      </c>
    </row>
    <row r="4431" spans="1:10" x14ac:dyDescent="0.3">
      <c r="A4431" s="15">
        <v>45809</v>
      </c>
      <c r="B4431" t="s">
        <v>159</v>
      </c>
      <c r="C4431" t="s">
        <v>81</v>
      </c>
      <c r="D4431" t="s">
        <v>86</v>
      </c>
      <c r="E4431" t="s">
        <v>87</v>
      </c>
      <c r="F4431">
        <v>2400</v>
      </c>
      <c r="G4431" t="s">
        <v>331</v>
      </c>
      <c r="H4431" s="15">
        <v>45292</v>
      </c>
      <c r="I4431">
        <v>2400</v>
      </c>
      <c r="J4431">
        <v>0</v>
      </c>
    </row>
    <row r="4432" spans="1:10" x14ac:dyDescent="0.3">
      <c r="A4432" s="15">
        <v>45809</v>
      </c>
      <c r="B4432" t="s">
        <v>161</v>
      </c>
      <c r="C4432" t="s">
        <v>91</v>
      </c>
      <c r="D4432" t="s">
        <v>99</v>
      </c>
      <c r="E4432" t="s">
        <v>83</v>
      </c>
      <c r="F4432">
        <v>10700</v>
      </c>
      <c r="G4432" t="s">
        <v>331</v>
      </c>
      <c r="H4432" s="15">
        <v>45292</v>
      </c>
      <c r="I4432">
        <v>10700</v>
      </c>
      <c r="J4432">
        <v>0</v>
      </c>
    </row>
    <row r="4433" spans="1:10" x14ac:dyDescent="0.3">
      <c r="A4433" s="15">
        <v>45809</v>
      </c>
      <c r="B4433" t="s">
        <v>162</v>
      </c>
      <c r="C4433" t="s">
        <v>91</v>
      </c>
      <c r="D4433" t="s">
        <v>82</v>
      </c>
      <c r="E4433" t="s">
        <v>103</v>
      </c>
      <c r="F4433">
        <v>12700</v>
      </c>
      <c r="G4433" t="s">
        <v>331</v>
      </c>
      <c r="H4433" s="15">
        <v>45292</v>
      </c>
      <c r="I4433">
        <v>12700</v>
      </c>
      <c r="J4433">
        <v>0</v>
      </c>
    </row>
    <row r="4434" spans="1:10" x14ac:dyDescent="0.3">
      <c r="A4434" s="15">
        <v>45809</v>
      </c>
      <c r="B4434" t="s">
        <v>164</v>
      </c>
      <c r="C4434" t="s">
        <v>81</v>
      </c>
      <c r="D4434" t="s">
        <v>99</v>
      </c>
      <c r="E4434" t="s">
        <v>89</v>
      </c>
      <c r="F4434">
        <v>2800</v>
      </c>
      <c r="G4434" t="s">
        <v>331</v>
      </c>
      <c r="H4434" s="15">
        <v>45292</v>
      </c>
      <c r="I4434">
        <v>2800</v>
      </c>
      <c r="J4434">
        <v>0</v>
      </c>
    </row>
    <row r="4435" spans="1:10" x14ac:dyDescent="0.3">
      <c r="A4435" s="15">
        <v>45809</v>
      </c>
      <c r="B4435" t="s">
        <v>165</v>
      </c>
      <c r="C4435" t="s">
        <v>81</v>
      </c>
      <c r="D4435" t="s">
        <v>82</v>
      </c>
      <c r="E4435" t="s">
        <v>97</v>
      </c>
      <c r="F4435">
        <v>2700</v>
      </c>
      <c r="G4435" t="s">
        <v>331</v>
      </c>
      <c r="H4435" s="15">
        <v>45292</v>
      </c>
      <c r="I4435">
        <v>2700</v>
      </c>
      <c r="J4435">
        <v>0</v>
      </c>
    </row>
    <row r="4436" spans="1:10" x14ac:dyDescent="0.3">
      <c r="A4436" s="15">
        <v>45809</v>
      </c>
      <c r="B4436" t="s">
        <v>166</v>
      </c>
      <c r="C4436" t="s">
        <v>81</v>
      </c>
      <c r="D4436" t="s">
        <v>99</v>
      </c>
      <c r="E4436" t="s">
        <v>103</v>
      </c>
      <c r="F4436">
        <v>2600</v>
      </c>
      <c r="G4436" t="s">
        <v>331</v>
      </c>
      <c r="H4436" s="15">
        <v>45292</v>
      </c>
      <c r="I4436">
        <v>2600</v>
      </c>
      <c r="J4436">
        <v>0</v>
      </c>
    </row>
    <row r="4437" spans="1:10" x14ac:dyDescent="0.3">
      <c r="A4437" s="15">
        <v>45809</v>
      </c>
      <c r="B4437" t="s">
        <v>167</v>
      </c>
      <c r="C4437" t="s">
        <v>81</v>
      </c>
      <c r="D4437" t="s">
        <v>82</v>
      </c>
      <c r="E4437" t="s">
        <v>97</v>
      </c>
      <c r="F4437">
        <v>1900</v>
      </c>
      <c r="G4437" t="s">
        <v>331</v>
      </c>
      <c r="H4437" s="15">
        <v>45292</v>
      </c>
      <c r="I4437">
        <v>1900</v>
      </c>
      <c r="J4437">
        <v>0</v>
      </c>
    </row>
    <row r="4438" spans="1:10" x14ac:dyDescent="0.3">
      <c r="A4438" s="15">
        <v>45809</v>
      </c>
      <c r="B4438" t="s">
        <v>168</v>
      </c>
      <c r="C4438" t="s">
        <v>91</v>
      </c>
      <c r="D4438" t="s">
        <v>86</v>
      </c>
      <c r="E4438" t="s">
        <v>103</v>
      </c>
      <c r="F4438">
        <v>12300</v>
      </c>
      <c r="G4438" t="s">
        <v>331</v>
      </c>
      <c r="H4438" s="15">
        <v>45292</v>
      </c>
      <c r="I4438">
        <v>12300</v>
      </c>
      <c r="J4438">
        <v>0</v>
      </c>
    </row>
    <row r="4439" spans="1:10" x14ac:dyDescent="0.3">
      <c r="A4439" s="15">
        <v>45809</v>
      </c>
      <c r="B4439" t="s">
        <v>169</v>
      </c>
      <c r="C4439" t="s">
        <v>81</v>
      </c>
      <c r="D4439" t="s">
        <v>86</v>
      </c>
      <c r="E4439" t="s">
        <v>103</v>
      </c>
      <c r="F4439">
        <v>2200</v>
      </c>
      <c r="G4439" t="s">
        <v>331</v>
      </c>
      <c r="H4439" s="15">
        <v>45292</v>
      </c>
      <c r="I4439">
        <v>2200</v>
      </c>
      <c r="J4439">
        <v>0</v>
      </c>
    </row>
    <row r="4440" spans="1:10" x14ac:dyDescent="0.3">
      <c r="A4440" s="15">
        <v>45809</v>
      </c>
      <c r="B4440" t="s">
        <v>170</v>
      </c>
      <c r="C4440" t="s">
        <v>91</v>
      </c>
      <c r="D4440" t="s">
        <v>99</v>
      </c>
      <c r="E4440" t="s">
        <v>83</v>
      </c>
      <c r="F4440">
        <v>6500</v>
      </c>
      <c r="G4440" t="s">
        <v>331</v>
      </c>
      <c r="H4440" s="15">
        <v>45292</v>
      </c>
      <c r="I4440">
        <v>6500</v>
      </c>
      <c r="J4440">
        <v>0</v>
      </c>
    </row>
    <row r="4441" spans="1:10" x14ac:dyDescent="0.3">
      <c r="A4441" s="15">
        <v>45809</v>
      </c>
      <c r="B4441" t="s">
        <v>171</v>
      </c>
      <c r="C4441" t="s">
        <v>81</v>
      </c>
      <c r="D4441" t="s">
        <v>99</v>
      </c>
      <c r="E4441" t="s">
        <v>97</v>
      </c>
      <c r="F4441">
        <v>1700</v>
      </c>
      <c r="G4441" t="s">
        <v>331</v>
      </c>
      <c r="H4441" s="15">
        <v>45292</v>
      </c>
      <c r="I4441">
        <v>1700</v>
      </c>
      <c r="J4441">
        <v>0</v>
      </c>
    </row>
    <row r="4442" spans="1:10" x14ac:dyDescent="0.3">
      <c r="A4442" s="15">
        <v>45809</v>
      </c>
      <c r="B4442" t="s">
        <v>174</v>
      </c>
      <c r="C4442" t="s">
        <v>81</v>
      </c>
      <c r="D4442" t="s">
        <v>82</v>
      </c>
      <c r="E4442" t="s">
        <v>92</v>
      </c>
      <c r="F4442">
        <v>2400</v>
      </c>
      <c r="G4442" t="s">
        <v>331</v>
      </c>
      <c r="H4442" s="15">
        <v>45292</v>
      </c>
      <c r="I4442">
        <v>2400</v>
      </c>
      <c r="J4442">
        <v>0</v>
      </c>
    </row>
    <row r="4443" spans="1:10" x14ac:dyDescent="0.3">
      <c r="A4443" s="15">
        <v>45809</v>
      </c>
      <c r="B4443" t="s">
        <v>175</v>
      </c>
      <c r="C4443" t="s">
        <v>91</v>
      </c>
      <c r="D4443" t="s">
        <v>96</v>
      </c>
      <c r="E4443" t="s">
        <v>83</v>
      </c>
      <c r="F4443">
        <v>8800</v>
      </c>
      <c r="G4443" t="s">
        <v>331</v>
      </c>
      <c r="H4443" s="15">
        <v>45292</v>
      </c>
      <c r="I4443">
        <v>8800</v>
      </c>
      <c r="J4443">
        <v>0</v>
      </c>
    </row>
    <row r="4444" spans="1:10" x14ac:dyDescent="0.3">
      <c r="A4444" s="15">
        <v>45809</v>
      </c>
      <c r="B4444" t="s">
        <v>176</v>
      </c>
      <c r="C4444" t="s">
        <v>81</v>
      </c>
      <c r="D4444" t="s">
        <v>99</v>
      </c>
      <c r="E4444" t="s">
        <v>92</v>
      </c>
      <c r="F4444">
        <v>2900</v>
      </c>
      <c r="G4444" t="s">
        <v>331</v>
      </c>
      <c r="H4444" s="15">
        <v>45292</v>
      </c>
      <c r="I4444">
        <v>2900</v>
      </c>
      <c r="J4444">
        <v>0</v>
      </c>
    </row>
    <row r="4445" spans="1:10" x14ac:dyDescent="0.3">
      <c r="A4445" s="15">
        <v>45809</v>
      </c>
      <c r="B4445" t="s">
        <v>177</v>
      </c>
      <c r="C4445" t="s">
        <v>81</v>
      </c>
      <c r="D4445" t="s">
        <v>96</v>
      </c>
      <c r="E4445" t="s">
        <v>83</v>
      </c>
      <c r="F4445">
        <v>2900</v>
      </c>
      <c r="G4445" t="s">
        <v>331</v>
      </c>
      <c r="H4445" s="15">
        <v>45292</v>
      </c>
      <c r="I4445">
        <v>2900</v>
      </c>
      <c r="J4445">
        <v>0</v>
      </c>
    </row>
    <row r="4446" spans="1:10" x14ac:dyDescent="0.3">
      <c r="A4446" s="15">
        <v>45809</v>
      </c>
      <c r="B4446" t="s">
        <v>178</v>
      </c>
      <c r="C4446" t="s">
        <v>91</v>
      </c>
      <c r="D4446" t="s">
        <v>82</v>
      </c>
      <c r="E4446" t="s">
        <v>89</v>
      </c>
      <c r="F4446">
        <v>8400</v>
      </c>
      <c r="G4446" t="s">
        <v>331</v>
      </c>
      <c r="H4446" s="15">
        <v>45292</v>
      </c>
      <c r="I4446">
        <v>8400</v>
      </c>
      <c r="J4446">
        <v>0</v>
      </c>
    </row>
    <row r="4447" spans="1:10" x14ac:dyDescent="0.3">
      <c r="A4447" s="15">
        <v>45809</v>
      </c>
      <c r="B4447" t="s">
        <v>179</v>
      </c>
      <c r="C4447" t="s">
        <v>110</v>
      </c>
      <c r="D4447" t="s">
        <v>86</v>
      </c>
      <c r="E4447" t="s">
        <v>87</v>
      </c>
      <c r="F4447">
        <v>30000</v>
      </c>
      <c r="G4447" t="s">
        <v>331</v>
      </c>
      <c r="H4447" s="15">
        <v>45292</v>
      </c>
      <c r="I4447">
        <v>30000</v>
      </c>
      <c r="J4447">
        <v>0</v>
      </c>
    </row>
    <row r="4448" spans="1:10" x14ac:dyDescent="0.3">
      <c r="A4448" s="15">
        <v>45809</v>
      </c>
      <c r="B4448" t="s">
        <v>180</v>
      </c>
      <c r="C4448" t="s">
        <v>91</v>
      </c>
      <c r="D4448" t="s">
        <v>86</v>
      </c>
      <c r="E4448" t="s">
        <v>83</v>
      </c>
      <c r="F4448">
        <v>8500</v>
      </c>
      <c r="G4448" t="s">
        <v>331</v>
      </c>
      <c r="H4448" s="15">
        <v>45292</v>
      </c>
      <c r="I4448">
        <v>8500</v>
      </c>
      <c r="J4448">
        <v>0</v>
      </c>
    </row>
    <row r="4449" spans="1:10" x14ac:dyDescent="0.3">
      <c r="A4449" s="15">
        <v>45809</v>
      </c>
      <c r="B4449" t="s">
        <v>181</v>
      </c>
      <c r="C4449" t="s">
        <v>91</v>
      </c>
      <c r="D4449" t="s">
        <v>82</v>
      </c>
      <c r="E4449" t="s">
        <v>97</v>
      </c>
      <c r="F4449">
        <v>10100</v>
      </c>
      <c r="G4449" t="s">
        <v>331</v>
      </c>
      <c r="H4449" s="15">
        <v>45292</v>
      </c>
      <c r="I4449">
        <v>10100</v>
      </c>
      <c r="J4449">
        <v>0</v>
      </c>
    </row>
    <row r="4450" spans="1:10" x14ac:dyDescent="0.3">
      <c r="A4450" s="15">
        <v>45809</v>
      </c>
      <c r="B4450" t="s">
        <v>182</v>
      </c>
      <c r="C4450" t="s">
        <v>125</v>
      </c>
      <c r="D4450" t="s">
        <v>82</v>
      </c>
      <c r="E4450" t="s">
        <v>92</v>
      </c>
      <c r="F4450">
        <v>93100</v>
      </c>
      <c r="G4450" t="s">
        <v>331</v>
      </c>
      <c r="H4450" s="15">
        <v>45292</v>
      </c>
      <c r="I4450">
        <v>93100</v>
      </c>
      <c r="J4450">
        <v>0</v>
      </c>
    </row>
    <row r="4451" spans="1:10" x14ac:dyDescent="0.3">
      <c r="A4451" s="15">
        <v>45809</v>
      </c>
      <c r="B4451" t="s">
        <v>183</v>
      </c>
      <c r="C4451" t="s">
        <v>91</v>
      </c>
      <c r="D4451" t="s">
        <v>96</v>
      </c>
      <c r="E4451" t="s">
        <v>92</v>
      </c>
      <c r="F4451">
        <v>9500</v>
      </c>
      <c r="G4451" t="s">
        <v>331</v>
      </c>
      <c r="H4451" s="15">
        <v>45292</v>
      </c>
      <c r="I4451">
        <v>9500</v>
      </c>
      <c r="J4451">
        <v>0</v>
      </c>
    </row>
    <row r="4452" spans="1:10" x14ac:dyDescent="0.3">
      <c r="A4452" s="15">
        <v>45809</v>
      </c>
      <c r="B4452" t="s">
        <v>184</v>
      </c>
      <c r="C4452" t="s">
        <v>81</v>
      </c>
      <c r="D4452" t="s">
        <v>82</v>
      </c>
      <c r="E4452" t="s">
        <v>83</v>
      </c>
      <c r="F4452">
        <v>2600</v>
      </c>
      <c r="G4452" t="s">
        <v>331</v>
      </c>
      <c r="H4452" s="15">
        <v>45292</v>
      </c>
      <c r="I4452">
        <v>2600</v>
      </c>
      <c r="J4452">
        <v>0</v>
      </c>
    </row>
    <row r="4453" spans="1:10" x14ac:dyDescent="0.3">
      <c r="A4453" s="15">
        <v>45809</v>
      </c>
      <c r="B4453" t="s">
        <v>185</v>
      </c>
      <c r="C4453" t="s">
        <v>81</v>
      </c>
      <c r="D4453" t="s">
        <v>96</v>
      </c>
      <c r="E4453" t="s">
        <v>97</v>
      </c>
      <c r="F4453">
        <v>1900</v>
      </c>
      <c r="G4453" t="s">
        <v>331</v>
      </c>
      <c r="H4453" s="15">
        <v>45292</v>
      </c>
      <c r="I4453">
        <v>1900</v>
      </c>
      <c r="J4453">
        <v>0</v>
      </c>
    </row>
    <row r="4454" spans="1:10" x14ac:dyDescent="0.3">
      <c r="A4454" s="15">
        <v>45809</v>
      </c>
      <c r="B4454" t="s">
        <v>186</v>
      </c>
      <c r="C4454" t="s">
        <v>91</v>
      </c>
      <c r="D4454" t="s">
        <v>82</v>
      </c>
      <c r="E4454" t="s">
        <v>103</v>
      </c>
      <c r="F4454">
        <v>13900</v>
      </c>
      <c r="G4454" t="s">
        <v>331</v>
      </c>
      <c r="H4454" s="15">
        <v>45292</v>
      </c>
      <c r="I4454">
        <v>13900</v>
      </c>
      <c r="J4454">
        <v>0</v>
      </c>
    </row>
    <row r="4455" spans="1:10" x14ac:dyDescent="0.3">
      <c r="A4455" s="15">
        <v>45809</v>
      </c>
      <c r="B4455" t="s">
        <v>187</v>
      </c>
      <c r="C4455" t="s">
        <v>110</v>
      </c>
      <c r="D4455" t="s">
        <v>86</v>
      </c>
      <c r="E4455" t="s">
        <v>97</v>
      </c>
      <c r="F4455">
        <v>26700</v>
      </c>
      <c r="G4455" t="s">
        <v>331</v>
      </c>
      <c r="H4455" s="15">
        <v>45292</v>
      </c>
      <c r="I4455">
        <v>26700</v>
      </c>
      <c r="J4455">
        <v>0</v>
      </c>
    </row>
    <row r="4456" spans="1:10" x14ac:dyDescent="0.3">
      <c r="A4456" s="15">
        <v>45809</v>
      </c>
      <c r="B4456" t="s">
        <v>188</v>
      </c>
      <c r="C4456" t="s">
        <v>91</v>
      </c>
      <c r="D4456" t="s">
        <v>82</v>
      </c>
      <c r="E4456" t="s">
        <v>92</v>
      </c>
      <c r="F4456">
        <v>9900</v>
      </c>
      <c r="G4456" t="s">
        <v>331</v>
      </c>
      <c r="H4456" s="15">
        <v>45292</v>
      </c>
      <c r="I4456">
        <v>9900</v>
      </c>
      <c r="J4456">
        <v>0</v>
      </c>
    </row>
    <row r="4457" spans="1:10" x14ac:dyDescent="0.3">
      <c r="A4457" s="15">
        <v>45809</v>
      </c>
      <c r="B4457" t="s">
        <v>189</v>
      </c>
      <c r="C4457" t="s">
        <v>81</v>
      </c>
      <c r="D4457" t="s">
        <v>86</v>
      </c>
      <c r="E4457" t="s">
        <v>103</v>
      </c>
      <c r="F4457">
        <v>2000</v>
      </c>
      <c r="G4457" t="s">
        <v>331</v>
      </c>
      <c r="H4457" s="15">
        <v>45292</v>
      </c>
      <c r="I4457">
        <v>2000</v>
      </c>
      <c r="J4457">
        <v>0</v>
      </c>
    </row>
    <row r="4458" spans="1:10" x14ac:dyDescent="0.3">
      <c r="A4458" s="15">
        <v>45809</v>
      </c>
      <c r="B4458" t="s">
        <v>190</v>
      </c>
      <c r="C4458" t="s">
        <v>81</v>
      </c>
      <c r="D4458" t="s">
        <v>99</v>
      </c>
      <c r="E4458" t="s">
        <v>89</v>
      </c>
      <c r="F4458">
        <v>1900</v>
      </c>
      <c r="G4458" t="s">
        <v>331</v>
      </c>
      <c r="H4458" s="15">
        <v>45292</v>
      </c>
      <c r="I4458">
        <v>1900</v>
      </c>
      <c r="J4458">
        <v>0</v>
      </c>
    </row>
    <row r="4459" spans="1:10" x14ac:dyDescent="0.3">
      <c r="A4459" s="15">
        <v>45809</v>
      </c>
      <c r="B4459" t="s">
        <v>191</v>
      </c>
      <c r="C4459" t="s">
        <v>91</v>
      </c>
      <c r="D4459" t="s">
        <v>86</v>
      </c>
      <c r="E4459" t="s">
        <v>87</v>
      </c>
      <c r="F4459">
        <v>6900</v>
      </c>
      <c r="G4459" t="s">
        <v>331</v>
      </c>
      <c r="H4459" s="15">
        <v>45292</v>
      </c>
      <c r="I4459">
        <v>6900</v>
      </c>
      <c r="J4459">
        <v>0</v>
      </c>
    </row>
    <row r="4460" spans="1:10" x14ac:dyDescent="0.3">
      <c r="A4460" s="15">
        <v>45809</v>
      </c>
      <c r="B4460" t="s">
        <v>192</v>
      </c>
      <c r="C4460" t="s">
        <v>81</v>
      </c>
      <c r="D4460" t="s">
        <v>82</v>
      </c>
      <c r="E4460" t="s">
        <v>97</v>
      </c>
      <c r="F4460">
        <v>3000</v>
      </c>
      <c r="G4460" t="s">
        <v>331</v>
      </c>
      <c r="H4460" s="15">
        <v>45292</v>
      </c>
      <c r="I4460">
        <v>3000</v>
      </c>
      <c r="J4460">
        <v>0</v>
      </c>
    </row>
    <row r="4461" spans="1:10" x14ac:dyDescent="0.3">
      <c r="A4461" s="15">
        <v>45809</v>
      </c>
      <c r="B4461" t="s">
        <v>193</v>
      </c>
      <c r="C4461" t="s">
        <v>81</v>
      </c>
      <c r="D4461" t="s">
        <v>82</v>
      </c>
      <c r="E4461" t="s">
        <v>87</v>
      </c>
      <c r="F4461">
        <v>3200</v>
      </c>
      <c r="G4461" t="s">
        <v>331</v>
      </c>
      <c r="H4461" s="15">
        <v>45292</v>
      </c>
      <c r="I4461">
        <v>3200</v>
      </c>
      <c r="J4461">
        <v>0</v>
      </c>
    </row>
    <row r="4462" spans="1:10" x14ac:dyDescent="0.3">
      <c r="A4462" s="15">
        <v>45809</v>
      </c>
      <c r="B4462" t="s">
        <v>194</v>
      </c>
      <c r="C4462" t="s">
        <v>91</v>
      </c>
      <c r="D4462" t="s">
        <v>82</v>
      </c>
      <c r="E4462" t="s">
        <v>101</v>
      </c>
      <c r="F4462">
        <v>11200</v>
      </c>
      <c r="G4462" t="s">
        <v>331</v>
      </c>
      <c r="H4462" s="15">
        <v>45292</v>
      </c>
      <c r="I4462">
        <v>11200</v>
      </c>
      <c r="J4462">
        <v>0</v>
      </c>
    </row>
    <row r="4463" spans="1:10" x14ac:dyDescent="0.3">
      <c r="A4463" s="15">
        <v>45809</v>
      </c>
      <c r="B4463" t="s">
        <v>195</v>
      </c>
      <c r="C4463" t="s">
        <v>91</v>
      </c>
      <c r="D4463" t="s">
        <v>86</v>
      </c>
      <c r="E4463" t="s">
        <v>97</v>
      </c>
      <c r="F4463">
        <v>6800</v>
      </c>
      <c r="G4463" t="s">
        <v>331</v>
      </c>
      <c r="H4463" s="15">
        <v>45292</v>
      </c>
      <c r="I4463">
        <v>6800</v>
      </c>
      <c r="J4463">
        <v>0</v>
      </c>
    </row>
    <row r="4464" spans="1:10" x14ac:dyDescent="0.3">
      <c r="A4464" s="15">
        <v>45809</v>
      </c>
      <c r="B4464" t="s">
        <v>196</v>
      </c>
      <c r="C4464" t="s">
        <v>81</v>
      </c>
      <c r="D4464" t="s">
        <v>86</v>
      </c>
      <c r="E4464" t="s">
        <v>87</v>
      </c>
      <c r="F4464">
        <v>0</v>
      </c>
      <c r="G4464" t="s">
        <v>333</v>
      </c>
      <c r="H4464" s="15">
        <v>45292</v>
      </c>
      <c r="I4464">
        <v>2600</v>
      </c>
      <c r="J4464">
        <v>-2600</v>
      </c>
    </row>
    <row r="4465" spans="1:10" x14ac:dyDescent="0.3">
      <c r="A4465" s="15">
        <v>45809</v>
      </c>
      <c r="B4465" t="s">
        <v>197</v>
      </c>
      <c r="C4465" t="s">
        <v>91</v>
      </c>
      <c r="D4465" t="s">
        <v>82</v>
      </c>
      <c r="E4465" t="s">
        <v>89</v>
      </c>
      <c r="F4465">
        <v>12000</v>
      </c>
      <c r="G4465" t="s">
        <v>331</v>
      </c>
      <c r="H4465" s="15">
        <v>45292</v>
      </c>
      <c r="I4465">
        <v>12000</v>
      </c>
      <c r="J4465">
        <v>0</v>
      </c>
    </row>
    <row r="4466" spans="1:10" x14ac:dyDescent="0.3">
      <c r="A4466" s="15">
        <v>45809</v>
      </c>
      <c r="B4466" t="s">
        <v>198</v>
      </c>
      <c r="C4466" t="s">
        <v>81</v>
      </c>
      <c r="D4466" t="s">
        <v>82</v>
      </c>
      <c r="E4466" t="s">
        <v>89</v>
      </c>
      <c r="F4466">
        <v>2900</v>
      </c>
      <c r="G4466" t="s">
        <v>331</v>
      </c>
      <c r="H4466" s="15">
        <v>45292</v>
      </c>
      <c r="I4466">
        <v>2900</v>
      </c>
      <c r="J4466">
        <v>0</v>
      </c>
    </row>
    <row r="4467" spans="1:10" x14ac:dyDescent="0.3">
      <c r="A4467" s="15">
        <v>45809</v>
      </c>
      <c r="B4467" t="s">
        <v>199</v>
      </c>
      <c r="C4467" t="s">
        <v>81</v>
      </c>
      <c r="D4467" t="s">
        <v>86</v>
      </c>
      <c r="E4467" t="s">
        <v>89</v>
      </c>
      <c r="F4467">
        <v>2200</v>
      </c>
      <c r="G4467" t="s">
        <v>331</v>
      </c>
      <c r="H4467" s="15">
        <v>45292</v>
      </c>
      <c r="I4467">
        <v>2200</v>
      </c>
      <c r="J4467">
        <v>0</v>
      </c>
    </row>
    <row r="4468" spans="1:10" x14ac:dyDescent="0.3">
      <c r="A4468" s="15">
        <v>45809</v>
      </c>
      <c r="B4468" t="s">
        <v>200</v>
      </c>
      <c r="C4468" t="s">
        <v>91</v>
      </c>
      <c r="D4468" t="s">
        <v>86</v>
      </c>
      <c r="E4468" t="s">
        <v>92</v>
      </c>
      <c r="F4468">
        <v>8800</v>
      </c>
      <c r="G4468" t="s">
        <v>331</v>
      </c>
      <c r="H4468" s="15">
        <v>45292</v>
      </c>
      <c r="I4468">
        <v>8800</v>
      </c>
      <c r="J4468">
        <v>0</v>
      </c>
    </row>
    <row r="4469" spans="1:10" x14ac:dyDescent="0.3">
      <c r="A4469" s="15">
        <v>45809</v>
      </c>
      <c r="B4469" t="s">
        <v>201</v>
      </c>
      <c r="C4469" t="s">
        <v>81</v>
      </c>
      <c r="D4469" t="s">
        <v>86</v>
      </c>
      <c r="E4469" t="s">
        <v>83</v>
      </c>
      <c r="F4469">
        <v>1800</v>
      </c>
      <c r="G4469" t="s">
        <v>331</v>
      </c>
      <c r="H4469" s="15">
        <v>45292</v>
      </c>
      <c r="I4469">
        <v>1800</v>
      </c>
      <c r="J4469">
        <v>0</v>
      </c>
    </row>
    <row r="4470" spans="1:10" x14ac:dyDescent="0.3">
      <c r="A4470" s="15">
        <v>45809</v>
      </c>
      <c r="B4470" t="s">
        <v>202</v>
      </c>
      <c r="C4470" t="s">
        <v>91</v>
      </c>
      <c r="D4470" t="s">
        <v>82</v>
      </c>
      <c r="E4470" t="s">
        <v>92</v>
      </c>
      <c r="F4470">
        <v>11000</v>
      </c>
      <c r="G4470" t="s">
        <v>331</v>
      </c>
      <c r="H4470" s="15">
        <v>45292</v>
      </c>
      <c r="I4470">
        <v>11000</v>
      </c>
      <c r="J4470">
        <v>0</v>
      </c>
    </row>
    <row r="4471" spans="1:10" x14ac:dyDescent="0.3">
      <c r="A4471" s="15">
        <v>45809</v>
      </c>
      <c r="B4471" t="s">
        <v>203</v>
      </c>
      <c r="C4471" t="s">
        <v>110</v>
      </c>
      <c r="D4471" t="s">
        <v>86</v>
      </c>
      <c r="E4471" t="s">
        <v>92</v>
      </c>
      <c r="F4471">
        <v>0</v>
      </c>
      <c r="G4471" t="s">
        <v>333</v>
      </c>
      <c r="H4471" s="15">
        <v>45292</v>
      </c>
      <c r="I4471">
        <v>27900</v>
      </c>
      <c r="J4471">
        <v>-27900</v>
      </c>
    </row>
    <row r="4472" spans="1:10" x14ac:dyDescent="0.3">
      <c r="A4472" s="15">
        <v>45809</v>
      </c>
      <c r="B4472" t="s">
        <v>204</v>
      </c>
      <c r="C4472" t="s">
        <v>81</v>
      </c>
      <c r="D4472" t="s">
        <v>82</v>
      </c>
      <c r="E4472" t="s">
        <v>87</v>
      </c>
      <c r="F4472">
        <v>1900</v>
      </c>
      <c r="G4472" t="s">
        <v>331</v>
      </c>
      <c r="H4472" s="15">
        <v>45292</v>
      </c>
      <c r="I4472">
        <v>1900</v>
      </c>
      <c r="J4472">
        <v>0</v>
      </c>
    </row>
    <row r="4473" spans="1:10" x14ac:dyDescent="0.3">
      <c r="A4473" s="15">
        <v>45809</v>
      </c>
      <c r="B4473" t="s">
        <v>205</v>
      </c>
      <c r="C4473" t="s">
        <v>91</v>
      </c>
      <c r="D4473" t="s">
        <v>86</v>
      </c>
      <c r="E4473" t="s">
        <v>103</v>
      </c>
      <c r="F4473">
        <v>9800</v>
      </c>
      <c r="G4473" t="s">
        <v>331</v>
      </c>
      <c r="H4473" s="15">
        <v>45292</v>
      </c>
      <c r="I4473">
        <v>9800</v>
      </c>
      <c r="J4473">
        <v>0</v>
      </c>
    </row>
    <row r="4474" spans="1:10" x14ac:dyDescent="0.3">
      <c r="A4474" s="15">
        <v>45809</v>
      </c>
      <c r="B4474" t="s">
        <v>206</v>
      </c>
      <c r="C4474" t="s">
        <v>81</v>
      </c>
      <c r="D4474" t="s">
        <v>86</v>
      </c>
      <c r="E4474" t="s">
        <v>89</v>
      </c>
      <c r="F4474">
        <v>3000</v>
      </c>
      <c r="G4474" t="s">
        <v>331</v>
      </c>
      <c r="H4474" s="15">
        <v>45292</v>
      </c>
      <c r="I4474">
        <v>3000</v>
      </c>
      <c r="J4474">
        <v>0</v>
      </c>
    </row>
    <row r="4475" spans="1:10" x14ac:dyDescent="0.3">
      <c r="A4475" s="15">
        <v>45809</v>
      </c>
      <c r="B4475" t="s">
        <v>207</v>
      </c>
      <c r="C4475" t="s">
        <v>81</v>
      </c>
      <c r="D4475" t="s">
        <v>82</v>
      </c>
      <c r="E4475" t="s">
        <v>89</v>
      </c>
      <c r="F4475">
        <v>3500</v>
      </c>
      <c r="G4475" t="s">
        <v>331</v>
      </c>
      <c r="H4475" s="15">
        <v>45292</v>
      </c>
      <c r="I4475">
        <v>3500</v>
      </c>
      <c r="J4475">
        <v>0</v>
      </c>
    </row>
    <row r="4476" spans="1:10" x14ac:dyDescent="0.3">
      <c r="A4476" s="15">
        <v>45809</v>
      </c>
      <c r="B4476" t="s">
        <v>208</v>
      </c>
      <c r="C4476" t="s">
        <v>91</v>
      </c>
      <c r="D4476" t="s">
        <v>99</v>
      </c>
      <c r="E4476" t="s">
        <v>89</v>
      </c>
      <c r="F4476">
        <v>7300</v>
      </c>
      <c r="G4476" t="s">
        <v>331</v>
      </c>
      <c r="H4476" s="15">
        <v>45292</v>
      </c>
      <c r="I4476">
        <v>7300</v>
      </c>
      <c r="J4476">
        <v>0</v>
      </c>
    </row>
    <row r="4477" spans="1:10" x14ac:dyDescent="0.3">
      <c r="A4477" s="15">
        <v>45809</v>
      </c>
      <c r="B4477" t="s">
        <v>209</v>
      </c>
      <c r="C4477" t="s">
        <v>81</v>
      </c>
      <c r="D4477" t="s">
        <v>86</v>
      </c>
      <c r="E4477" t="s">
        <v>83</v>
      </c>
      <c r="F4477">
        <v>3100</v>
      </c>
      <c r="G4477" t="s">
        <v>331</v>
      </c>
      <c r="H4477" s="15">
        <v>45292</v>
      </c>
      <c r="I4477">
        <v>3100</v>
      </c>
      <c r="J4477">
        <v>0</v>
      </c>
    </row>
    <row r="4478" spans="1:10" x14ac:dyDescent="0.3">
      <c r="A4478" s="15">
        <v>45809</v>
      </c>
      <c r="B4478" t="s">
        <v>210</v>
      </c>
      <c r="C4478" t="s">
        <v>125</v>
      </c>
      <c r="D4478" t="s">
        <v>96</v>
      </c>
      <c r="E4478" t="s">
        <v>89</v>
      </c>
      <c r="F4478">
        <v>90300</v>
      </c>
      <c r="G4478" t="s">
        <v>331</v>
      </c>
      <c r="H4478" s="15">
        <v>45292</v>
      </c>
      <c r="I4478">
        <v>90300</v>
      </c>
      <c r="J4478">
        <v>0</v>
      </c>
    </row>
    <row r="4479" spans="1:10" x14ac:dyDescent="0.3">
      <c r="A4479" s="15">
        <v>45809</v>
      </c>
      <c r="B4479" t="s">
        <v>211</v>
      </c>
      <c r="C4479" t="s">
        <v>110</v>
      </c>
      <c r="D4479" t="s">
        <v>82</v>
      </c>
      <c r="E4479" t="s">
        <v>92</v>
      </c>
      <c r="F4479">
        <v>28900</v>
      </c>
      <c r="G4479" t="s">
        <v>331</v>
      </c>
      <c r="H4479" s="15">
        <v>45292</v>
      </c>
      <c r="I4479">
        <v>28900</v>
      </c>
      <c r="J4479">
        <v>0</v>
      </c>
    </row>
    <row r="4480" spans="1:10" x14ac:dyDescent="0.3">
      <c r="A4480" s="15">
        <v>45809</v>
      </c>
      <c r="B4480" t="s">
        <v>213</v>
      </c>
      <c r="C4480" t="s">
        <v>81</v>
      </c>
      <c r="D4480" t="s">
        <v>82</v>
      </c>
      <c r="E4480" t="s">
        <v>97</v>
      </c>
      <c r="F4480">
        <v>3300</v>
      </c>
      <c r="G4480" t="s">
        <v>331</v>
      </c>
      <c r="H4480" s="15">
        <v>45292</v>
      </c>
      <c r="I4480">
        <v>3300</v>
      </c>
      <c r="J4480">
        <v>0</v>
      </c>
    </row>
    <row r="4481" spans="1:10" x14ac:dyDescent="0.3">
      <c r="A4481" s="15">
        <v>45809</v>
      </c>
      <c r="B4481" t="s">
        <v>214</v>
      </c>
      <c r="C4481" t="s">
        <v>91</v>
      </c>
      <c r="D4481" t="s">
        <v>82</v>
      </c>
      <c r="E4481" t="s">
        <v>89</v>
      </c>
      <c r="F4481">
        <v>8700</v>
      </c>
      <c r="G4481" t="s">
        <v>331</v>
      </c>
      <c r="H4481" s="15">
        <v>45292</v>
      </c>
      <c r="I4481">
        <v>8700</v>
      </c>
      <c r="J4481">
        <v>0</v>
      </c>
    </row>
    <row r="4482" spans="1:10" x14ac:dyDescent="0.3">
      <c r="A4482" s="15">
        <v>45809</v>
      </c>
      <c r="B4482" t="s">
        <v>216</v>
      </c>
      <c r="C4482" t="s">
        <v>81</v>
      </c>
      <c r="D4482" t="s">
        <v>82</v>
      </c>
      <c r="E4482" t="s">
        <v>97</v>
      </c>
      <c r="F4482">
        <v>3500</v>
      </c>
      <c r="G4482" t="s">
        <v>331</v>
      </c>
      <c r="H4482" s="15">
        <v>45292</v>
      </c>
      <c r="I4482">
        <v>3500</v>
      </c>
      <c r="J4482">
        <v>0</v>
      </c>
    </row>
    <row r="4483" spans="1:10" x14ac:dyDescent="0.3">
      <c r="A4483" s="15">
        <v>45809</v>
      </c>
      <c r="B4483" t="s">
        <v>217</v>
      </c>
      <c r="C4483" t="s">
        <v>91</v>
      </c>
      <c r="D4483" t="s">
        <v>82</v>
      </c>
      <c r="E4483" t="s">
        <v>97</v>
      </c>
      <c r="F4483">
        <v>9000</v>
      </c>
      <c r="G4483" t="s">
        <v>331</v>
      </c>
      <c r="H4483" s="15">
        <v>45292</v>
      </c>
      <c r="I4483">
        <v>9000</v>
      </c>
      <c r="J4483">
        <v>0</v>
      </c>
    </row>
    <row r="4484" spans="1:10" x14ac:dyDescent="0.3">
      <c r="A4484" s="15">
        <v>45809</v>
      </c>
      <c r="B4484" t="s">
        <v>218</v>
      </c>
      <c r="C4484" t="s">
        <v>110</v>
      </c>
      <c r="D4484" t="s">
        <v>99</v>
      </c>
      <c r="E4484" t="s">
        <v>92</v>
      </c>
      <c r="F4484">
        <v>32200</v>
      </c>
      <c r="G4484" t="s">
        <v>331</v>
      </c>
      <c r="H4484" s="15">
        <v>45292</v>
      </c>
      <c r="I4484">
        <v>32200</v>
      </c>
      <c r="J4484">
        <v>0</v>
      </c>
    </row>
    <row r="4485" spans="1:10" x14ac:dyDescent="0.3">
      <c r="A4485" s="15">
        <v>45809</v>
      </c>
      <c r="B4485" t="s">
        <v>219</v>
      </c>
      <c r="C4485" t="s">
        <v>81</v>
      </c>
      <c r="D4485" t="s">
        <v>99</v>
      </c>
      <c r="E4485" t="s">
        <v>89</v>
      </c>
      <c r="F4485">
        <v>2500</v>
      </c>
      <c r="G4485" t="s">
        <v>331</v>
      </c>
      <c r="H4485" s="15">
        <v>45292</v>
      </c>
      <c r="I4485">
        <v>2500</v>
      </c>
      <c r="J4485">
        <v>0</v>
      </c>
    </row>
    <row r="4486" spans="1:10" x14ac:dyDescent="0.3">
      <c r="A4486" s="15">
        <v>45809</v>
      </c>
      <c r="B4486" t="s">
        <v>220</v>
      </c>
      <c r="C4486" t="s">
        <v>110</v>
      </c>
      <c r="D4486" t="s">
        <v>82</v>
      </c>
      <c r="E4486" t="s">
        <v>89</v>
      </c>
      <c r="F4486">
        <v>30800</v>
      </c>
      <c r="G4486" t="s">
        <v>331</v>
      </c>
      <c r="H4486" s="15">
        <v>45292</v>
      </c>
      <c r="I4486">
        <v>30800</v>
      </c>
      <c r="J4486">
        <v>0</v>
      </c>
    </row>
    <row r="4487" spans="1:10" x14ac:dyDescent="0.3">
      <c r="A4487" s="15">
        <v>45809</v>
      </c>
      <c r="B4487" t="s">
        <v>224</v>
      </c>
      <c r="C4487" t="s">
        <v>91</v>
      </c>
      <c r="D4487" t="s">
        <v>82</v>
      </c>
      <c r="E4487" t="s">
        <v>101</v>
      </c>
      <c r="F4487">
        <v>10600</v>
      </c>
      <c r="G4487" t="s">
        <v>331</v>
      </c>
      <c r="H4487" s="15">
        <v>45292</v>
      </c>
      <c r="I4487">
        <v>10600</v>
      </c>
      <c r="J4487">
        <v>0</v>
      </c>
    </row>
    <row r="4488" spans="1:10" x14ac:dyDescent="0.3">
      <c r="A4488" s="15">
        <v>45809</v>
      </c>
      <c r="B4488" t="s">
        <v>225</v>
      </c>
      <c r="C4488" t="s">
        <v>110</v>
      </c>
      <c r="D4488" t="s">
        <v>99</v>
      </c>
      <c r="E4488" t="s">
        <v>103</v>
      </c>
      <c r="F4488">
        <v>42200</v>
      </c>
      <c r="G4488" t="s">
        <v>331</v>
      </c>
      <c r="H4488" s="15">
        <v>45292</v>
      </c>
      <c r="I4488">
        <v>42200</v>
      </c>
      <c r="J4488">
        <v>0</v>
      </c>
    </row>
    <row r="4489" spans="1:10" x14ac:dyDescent="0.3">
      <c r="A4489" s="15">
        <v>45809</v>
      </c>
      <c r="B4489" t="s">
        <v>226</v>
      </c>
      <c r="C4489" t="s">
        <v>91</v>
      </c>
      <c r="D4489" t="s">
        <v>82</v>
      </c>
      <c r="E4489" t="s">
        <v>103</v>
      </c>
      <c r="F4489">
        <v>5300</v>
      </c>
      <c r="G4489" t="s">
        <v>331</v>
      </c>
      <c r="H4489" s="15">
        <v>45292</v>
      </c>
      <c r="I4489">
        <v>5300</v>
      </c>
      <c r="J4489">
        <v>0</v>
      </c>
    </row>
    <row r="4490" spans="1:10" x14ac:dyDescent="0.3">
      <c r="A4490" s="15">
        <v>45809</v>
      </c>
      <c r="B4490" t="s">
        <v>227</v>
      </c>
      <c r="C4490" t="s">
        <v>110</v>
      </c>
      <c r="D4490" t="s">
        <v>86</v>
      </c>
      <c r="E4490" t="s">
        <v>87</v>
      </c>
      <c r="F4490">
        <v>25900</v>
      </c>
      <c r="G4490" t="s">
        <v>331</v>
      </c>
      <c r="H4490" s="15">
        <v>45292</v>
      </c>
      <c r="I4490">
        <v>25900</v>
      </c>
      <c r="J4490">
        <v>0</v>
      </c>
    </row>
    <row r="4491" spans="1:10" x14ac:dyDescent="0.3">
      <c r="A4491" s="15">
        <v>45809</v>
      </c>
      <c r="B4491" t="s">
        <v>228</v>
      </c>
      <c r="C4491" t="s">
        <v>91</v>
      </c>
      <c r="D4491" t="s">
        <v>96</v>
      </c>
      <c r="E4491" t="s">
        <v>89</v>
      </c>
      <c r="F4491">
        <v>12000</v>
      </c>
      <c r="G4491" t="s">
        <v>331</v>
      </c>
      <c r="H4491" s="15">
        <v>45292</v>
      </c>
      <c r="I4491">
        <v>12000</v>
      </c>
      <c r="J4491">
        <v>0</v>
      </c>
    </row>
    <row r="4492" spans="1:10" x14ac:dyDescent="0.3">
      <c r="A4492" s="15">
        <v>45809</v>
      </c>
      <c r="B4492" t="s">
        <v>229</v>
      </c>
      <c r="C4492" t="s">
        <v>81</v>
      </c>
      <c r="D4492" t="s">
        <v>82</v>
      </c>
      <c r="E4492" t="s">
        <v>83</v>
      </c>
      <c r="F4492">
        <v>3400</v>
      </c>
      <c r="G4492" t="s">
        <v>332</v>
      </c>
      <c r="H4492" s="15">
        <v>45292</v>
      </c>
      <c r="I4492">
        <v>3000</v>
      </c>
      <c r="J4492">
        <v>400</v>
      </c>
    </row>
    <row r="4493" spans="1:10" x14ac:dyDescent="0.3">
      <c r="A4493" s="15">
        <v>45809</v>
      </c>
      <c r="B4493" t="s">
        <v>230</v>
      </c>
      <c r="C4493" t="s">
        <v>81</v>
      </c>
      <c r="D4493" t="s">
        <v>86</v>
      </c>
      <c r="E4493" t="s">
        <v>101</v>
      </c>
      <c r="F4493">
        <v>3400</v>
      </c>
      <c r="G4493" t="s">
        <v>331</v>
      </c>
      <c r="H4493" s="15">
        <v>45292</v>
      </c>
      <c r="I4493">
        <v>3400</v>
      </c>
      <c r="J4493">
        <v>0</v>
      </c>
    </row>
    <row r="4494" spans="1:10" x14ac:dyDescent="0.3">
      <c r="A4494" s="15">
        <v>45809</v>
      </c>
      <c r="B4494" t="s">
        <v>231</v>
      </c>
      <c r="C4494" t="s">
        <v>91</v>
      </c>
      <c r="D4494" t="s">
        <v>82</v>
      </c>
      <c r="E4494" t="s">
        <v>92</v>
      </c>
      <c r="F4494">
        <v>6900</v>
      </c>
      <c r="G4494" t="s">
        <v>331</v>
      </c>
      <c r="H4494" s="15">
        <v>45292</v>
      </c>
      <c r="I4494">
        <v>6900</v>
      </c>
      <c r="J4494">
        <v>0</v>
      </c>
    </row>
    <row r="4495" spans="1:10" x14ac:dyDescent="0.3">
      <c r="A4495" s="15">
        <v>45809</v>
      </c>
      <c r="B4495" t="s">
        <v>232</v>
      </c>
      <c r="C4495" t="s">
        <v>125</v>
      </c>
      <c r="D4495" t="s">
        <v>86</v>
      </c>
      <c r="E4495" t="s">
        <v>83</v>
      </c>
      <c r="F4495">
        <v>121100</v>
      </c>
      <c r="G4495" t="s">
        <v>331</v>
      </c>
      <c r="H4495" s="15">
        <v>45292</v>
      </c>
      <c r="I4495">
        <v>121100</v>
      </c>
      <c r="J4495">
        <v>0</v>
      </c>
    </row>
    <row r="4496" spans="1:10" x14ac:dyDescent="0.3">
      <c r="A4496" s="15">
        <v>45809</v>
      </c>
      <c r="B4496" t="s">
        <v>233</v>
      </c>
      <c r="C4496" t="s">
        <v>81</v>
      </c>
      <c r="D4496" t="s">
        <v>82</v>
      </c>
      <c r="E4496" t="s">
        <v>87</v>
      </c>
      <c r="F4496">
        <v>3300</v>
      </c>
      <c r="G4496" t="s">
        <v>331</v>
      </c>
      <c r="H4496" s="15">
        <v>45292</v>
      </c>
      <c r="I4496">
        <v>3300</v>
      </c>
      <c r="J4496">
        <v>0</v>
      </c>
    </row>
    <row r="4497" spans="1:10" x14ac:dyDescent="0.3">
      <c r="A4497" s="15">
        <v>45809</v>
      </c>
      <c r="B4497" t="s">
        <v>234</v>
      </c>
      <c r="C4497" t="s">
        <v>110</v>
      </c>
      <c r="D4497" t="s">
        <v>82</v>
      </c>
      <c r="E4497" t="s">
        <v>103</v>
      </c>
      <c r="F4497">
        <v>43400</v>
      </c>
      <c r="G4497" t="s">
        <v>331</v>
      </c>
      <c r="H4497" s="15">
        <v>45292</v>
      </c>
      <c r="I4497">
        <v>43400</v>
      </c>
      <c r="J4497">
        <v>0</v>
      </c>
    </row>
    <row r="4498" spans="1:10" x14ac:dyDescent="0.3">
      <c r="A4498" s="15">
        <v>45809</v>
      </c>
      <c r="B4498" t="s">
        <v>235</v>
      </c>
      <c r="C4498" t="s">
        <v>91</v>
      </c>
      <c r="D4498" t="s">
        <v>96</v>
      </c>
      <c r="E4498" t="s">
        <v>103</v>
      </c>
      <c r="F4498">
        <v>11100</v>
      </c>
      <c r="G4498" t="s">
        <v>331</v>
      </c>
      <c r="H4498" s="15">
        <v>45292</v>
      </c>
      <c r="I4498">
        <v>11100</v>
      </c>
      <c r="J4498">
        <v>0</v>
      </c>
    </row>
    <row r="4499" spans="1:10" x14ac:dyDescent="0.3">
      <c r="A4499" s="15">
        <v>45809</v>
      </c>
      <c r="B4499" t="s">
        <v>236</v>
      </c>
      <c r="C4499" t="s">
        <v>110</v>
      </c>
      <c r="D4499" t="s">
        <v>82</v>
      </c>
      <c r="E4499" t="s">
        <v>97</v>
      </c>
      <c r="F4499">
        <v>27200</v>
      </c>
      <c r="G4499" t="s">
        <v>331</v>
      </c>
      <c r="H4499" s="15">
        <v>45292</v>
      </c>
      <c r="I4499">
        <v>27200</v>
      </c>
      <c r="J4499">
        <v>0</v>
      </c>
    </row>
    <row r="4500" spans="1:10" x14ac:dyDescent="0.3">
      <c r="A4500" s="15">
        <v>45809</v>
      </c>
      <c r="B4500" t="s">
        <v>237</v>
      </c>
      <c r="C4500" t="s">
        <v>91</v>
      </c>
      <c r="D4500" t="s">
        <v>82</v>
      </c>
      <c r="E4500" t="s">
        <v>83</v>
      </c>
      <c r="F4500">
        <v>8100</v>
      </c>
      <c r="G4500" t="s">
        <v>331</v>
      </c>
      <c r="H4500" s="15">
        <v>45292</v>
      </c>
      <c r="I4500">
        <v>8100</v>
      </c>
      <c r="J4500">
        <v>0</v>
      </c>
    </row>
    <row r="4501" spans="1:10" x14ac:dyDescent="0.3">
      <c r="A4501" s="15">
        <v>45809</v>
      </c>
      <c r="B4501" t="s">
        <v>238</v>
      </c>
      <c r="C4501" t="s">
        <v>81</v>
      </c>
      <c r="D4501" t="s">
        <v>99</v>
      </c>
      <c r="E4501" t="s">
        <v>97</v>
      </c>
      <c r="F4501">
        <v>2300</v>
      </c>
      <c r="G4501" t="s">
        <v>331</v>
      </c>
      <c r="H4501" s="15">
        <v>45292</v>
      </c>
      <c r="I4501">
        <v>2300</v>
      </c>
      <c r="J4501">
        <v>0</v>
      </c>
    </row>
    <row r="4502" spans="1:10" x14ac:dyDescent="0.3">
      <c r="A4502" s="15">
        <v>45809</v>
      </c>
      <c r="B4502" t="s">
        <v>239</v>
      </c>
      <c r="C4502" t="s">
        <v>81</v>
      </c>
      <c r="D4502" t="s">
        <v>82</v>
      </c>
      <c r="E4502" t="s">
        <v>103</v>
      </c>
      <c r="F4502">
        <v>2500</v>
      </c>
      <c r="G4502" t="s">
        <v>331</v>
      </c>
      <c r="H4502" s="15">
        <v>45292</v>
      </c>
      <c r="I4502">
        <v>2500</v>
      </c>
      <c r="J4502">
        <v>0</v>
      </c>
    </row>
    <row r="4503" spans="1:10" x14ac:dyDescent="0.3">
      <c r="A4503" s="15">
        <v>45809</v>
      </c>
      <c r="B4503" t="s">
        <v>240</v>
      </c>
      <c r="C4503" t="s">
        <v>81</v>
      </c>
      <c r="D4503" t="s">
        <v>99</v>
      </c>
      <c r="E4503" t="s">
        <v>103</v>
      </c>
      <c r="F4503">
        <v>2300</v>
      </c>
      <c r="G4503" t="s">
        <v>334</v>
      </c>
      <c r="H4503" s="15">
        <v>45292</v>
      </c>
      <c r="I4503">
        <v>2500</v>
      </c>
      <c r="J4503">
        <v>-200</v>
      </c>
    </row>
    <row r="4504" spans="1:10" x14ac:dyDescent="0.3">
      <c r="A4504" s="15">
        <v>45809</v>
      </c>
      <c r="B4504" t="s">
        <v>241</v>
      </c>
      <c r="C4504" t="s">
        <v>91</v>
      </c>
      <c r="D4504" t="s">
        <v>96</v>
      </c>
      <c r="E4504" t="s">
        <v>87</v>
      </c>
      <c r="F4504">
        <v>12100</v>
      </c>
      <c r="G4504" t="s">
        <v>331</v>
      </c>
      <c r="H4504" s="15">
        <v>45292</v>
      </c>
      <c r="I4504">
        <v>12100</v>
      </c>
      <c r="J4504">
        <v>0</v>
      </c>
    </row>
    <row r="4505" spans="1:10" x14ac:dyDescent="0.3">
      <c r="A4505" s="15">
        <v>45809</v>
      </c>
      <c r="B4505" t="s">
        <v>242</v>
      </c>
      <c r="C4505" t="s">
        <v>110</v>
      </c>
      <c r="D4505" t="s">
        <v>99</v>
      </c>
      <c r="E4505" t="s">
        <v>101</v>
      </c>
      <c r="F4505">
        <v>34800</v>
      </c>
      <c r="G4505" t="s">
        <v>331</v>
      </c>
      <c r="H4505" s="15">
        <v>45292</v>
      </c>
      <c r="I4505">
        <v>34800</v>
      </c>
      <c r="J4505">
        <v>0</v>
      </c>
    </row>
    <row r="4506" spans="1:10" x14ac:dyDescent="0.3">
      <c r="A4506" s="15">
        <v>45809</v>
      </c>
      <c r="B4506" t="s">
        <v>244</v>
      </c>
      <c r="C4506" t="s">
        <v>91</v>
      </c>
      <c r="D4506" t="s">
        <v>82</v>
      </c>
      <c r="E4506" t="s">
        <v>92</v>
      </c>
      <c r="F4506">
        <v>7800</v>
      </c>
      <c r="G4506" t="s">
        <v>331</v>
      </c>
      <c r="H4506" s="15">
        <v>45292</v>
      </c>
      <c r="I4506">
        <v>7800</v>
      </c>
      <c r="J4506">
        <v>0</v>
      </c>
    </row>
    <row r="4507" spans="1:10" x14ac:dyDescent="0.3">
      <c r="A4507" s="15">
        <v>45809</v>
      </c>
      <c r="B4507" t="s">
        <v>245</v>
      </c>
      <c r="C4507" t="s">
        <v>81</v>
      </c>
      <c r="D4507" t="s">
        <v>99</v>
      </c>
      <c r="E4507" t="s">
        <v>97</v>
      </c>
      <c r="F4507">
        <v>2600</v>
      </c>
      <c r="G4507" t="s">
        <v>331</v>
      </c>
      <c r="H4507" s="15">
        <v>45292</v>
      </c>
      <c r="I4507">
        <v>2600</v>
      </c>
      <c r="J4507">
        <v>0</v>
      </c>
    </row>
    <row r="4508" spans="1:10" x14ac:dyDescent="0.3">
      <c r="A4508" s="15">
        <v>45809</v>
      </c>
      <c r="B4508" t="s">
        <v>246</v>
      </c>
      <c r="C4508" t="s">
        <v>91</v>
      </c>
      <c r="D4508" t="s">
        <v>86</v>
      </c>
      <c r="E4508" t="s">
        <v>103</v>
      </c>
      <c r="F4508">
        <v>10100</v>
      </c>
      <c r="G4508" t="s">
        <v>331</v>
      </c>
      <c r="H4508" s="15">
        <v>45292</v>
      </c>
      <c r="I4508">
        <v>10100</v>
      </c>
      <c r="J4508">
        <v>0</v>
      </c>
    </row>
    <row r="4509" spans="1:10" x14ac:dyDescent="0.3">
      <c r="A4509" s="15">
        <v>45809</v>
      </c>
      <c r="B4509" t="s">
        <v>247</v>
      </c>
      <c r="C4509" t="s">
        <v>91</v>
      </c>
      <c r="D4509" t="s">
        <v>86</v>
      </c>
      <c r="E4509" t="s">
        <v>89</v>
      </c>
      <c r="F4509">
        <v>7800</v>
      </c>
      <c r="G4509" t="s">
        <v>331</v>
      </c>
      <c r="H4509" s="15">
        <v>45292</v>
      </c>
      <c r="I4509">
        <v>7800</v>
      </c>
      <c r="J4509">
        <v>0</v>
      </c>
    </row>
    <row r="4510" spans="1:10" x14ac:dyDescent="0.3">
      <c r="A4510" s="15">
        <v>45809</v>
      </c>
      <c r="B4510" t="s">
        <v>248</v>
      </c>
      <c r="C4510" t="s">
        <v>81</v>
      </c>
      <c r="D4510" t="s">
        <v>82</v>
      </c>
      <c r="E4510" t="s">
        <v>103</v>
      </c>
      <c r="F4510">
        <v>2100</v>
      </c>
      <c r="G4510" t="s">
        <v>331</v>
      </c>
      <c r="H4510" s="15">
        <v>45292</v>
      </c>
      <c r="I4510">
        <v>2100</v>
      </c>
      <c r="J4510">
        <v>0</v>
      </c>
    </row>
    <row r="4511" spans="1:10" x14ac:dyDescent="0.3">
      <c r="A4511" s="15">
        <v>45809</v>
      </c>
      <c r="B4511" t="s">
        <v>250</v>
      </c>
      <c r="C4511" t="s">
        <v>81</v>
      </c>
      <c r="D4511" t="s">
        <v>86</v>
      </c>
      <c r="E4511" t="s">
        <v>87</v>
      </c>
      <c r="F4511">
        <v>3000</v>
      </c>
      <c r="G4511" t="s">
        <v>331</v>
      </c>
      <c r="H4511" s="15">
        <v>45292</v>
      </c>
      <c r="I4511">
        <v>3000</v>
      </c>
      <c r="J4511">
        <v>0</v>
      </c>
    </row>
    <row r="4512" spans="1:10" x14ac:dyDescent="0.3">
      <c r="A4512" s="15">
        <v>45809</v>
      </c>
      <c r="B4512" t="s">
        <v>251</v>
      </c>
      <c r="C4512" t="s">
        <v>91</v>
      </c>
      <c r="D4512" t="s">
        <v>99</v>
      </c>
      <c r="E4512" t="s">
        <v>103</v>
      </c>
      <c r="F4512">
        <v>8800</v>
      </c>
      <c r="G4512" t="s">
        <v>331</v>
      </c>
      <c r="H4512" s="15">
        <v>45292</v>
      </c>
      <c r="I4512">
        <v>8800</v>
      </c>
      <c r="J4512">
        <v>0</v>
      </c>
    </row>
    <row r="4513" spans="1:10" x14ac:dyDescent="0.3">
      <c r="A4513" s="15">
        <v>45809</v>
      </c>
      <c r="B4513" t="s">
        <v>252</v>
      </c>
      <c r="C4513" t="s">
        <v>81</v>
      </c>
      <c r="D4513" t="s">
        <v>99</v>
      </c>
      <c r="E4513" t="s">
        <v>92</v>
      </c>
      <c r="F4513">
        <v>3400</v>
      </c>
      <c r="G4513" t="s">
        <v>331</v>
      </c>
      <c r="H4513" s="15">
        <v>45292</v>
      </c>
      <c r="I4513">
        <v>3400</v>
      </c>
      <c r="J4513">
        <v>0</v>
      </c>
    </row>
    <row r="4514" spans="1:10" x14ac:dyDescent="0.3">
      <c r="A4514" s="15">
        <v>45809</v>
      </c>
      <c r="B4514" t="s">
        <v>253</v>
      </c>
      <c r="C4514" t="s">
        <v>81</v>
      </c>
      <c r="D4514" t="s">
        <v>96</v>
      </c>
      <c r="E4514" t="s">
        <v>89</v>
      </c>
      <c r="F4514">
        <v>2400</v>
      </c>
      <c r="G4514" t="s">
        <v>331</v>
      </c>
      <c r="H4514" s="15">
        <v>45292</v>
      </c>
      <c r="I4514">
        <v>2400</v>
      </c>
      <c r="J4514">
        <v>0</v>
      </c>
    </row>
    <row r="4515" spans="1:10" x14ac:dyDescent="0.3">
      <c r="A4515" s="15">
        <v>45809</v>
      </c>
      <c r="B4515" t="s">
        <v>254</v>
      </c>
      <c r="C4515" t="s">
        <v>110</v>
      </c>
      <c r="D4515" t="s">
        <v>86</v>
      </c>
      <c r="E4515" t="s">
        <v>103</v>
      </c>
      <c r="F4515">
        <v>56100</v>
      </c>
      <c r="G4515" t="s">
        <v>331</v>
      </c>
      <c r="H4515" s="15">
        <v>45292</v>
      </c>
      <c r="I4515">
        <v>56100</v>
      </c>
      <c r="J4515">
        <v>0</v>
      </c>
    </row>
    <row r="4516" spans="1:10" x14ac:dyDescent="0.3">
      <c r="A4516" s="15">
        <v>45809</v>
      </c>
      <c r="B4516" t="s">
        <v>255</v>
      </c>
      <c r="C4516" t="s">
        <v>91</v>
      </c>
      <c r="D4516" t="s">
        <v>86</v>
      </c>
      <c r="E4516" t="s">
        <v>89</v>
      </c>
      <c r="F4516">
        <v>9900</v>
      </c>
      <c r="G4516" t="s">
        <v>331</v>
      </c>
      <c r="H4516" s="15">
        <v>45292</v>
      </c>
      <c r="I4516">
        <v>9900</v>
      </c>
      <c r="J4516">
        <v>0</v>
      </c>
    </row>
    <row r="4517" spans="1:10" x14ac:dyDescent="0.3">
      <c r="A4517" s="15">
        <v>45809</v>
      </c>
      <c r="B4517" t="s">
        <v>256</v>
      </c>
      <c r="C4517" t="s">
        <v>81</v>
      </c>
      <c r="D4517" t="s">
        <v>82</v>
      </c>
      <c r="E4517" t="s">
        <v>103</v>
      </c>
      <c r="F4517">
        <v>1800</v>
      </c>
      <c r="G4517" t="s">
        <v>331</v>
      </c>
      <c r="H4517" s="15">
        <v>45292</v>
      </c>
      <c r="I4517">
        <v>1800</v>
      </c>
      <c r="J4517">
        <v>0</v>
      </c>
    </row>
    <row r="4518" spans="1:10" x14ac:dyDescent="0.3">
      <c r="A4518" s="15">
        <v>45809</v>
      </c>
      <c r="B4518" t="s">
        <v>257</v>
      </c>
      <c r="C4518" t="s">
        <v>91</v>
      </c>
      <c r="D4518" t="s">
        <v>96</v>
      </c>
      <c r="E4518" t="s">
        <v>87</v>
      </c>
      <c r="F4518">
        <v>0</v>
      </c>
      <c r="G4518" t="s">
        <v>333</v>
      </c>
      <c r="H4518" s="15">
        <v>45292</v>
      </c>
      <c r="I4518">
        <v>9500</v>
      </c>
      <c r="J4518">
        <v>-9500</v>
      </c>
    </row>
    <row r="4519" spans="1:10" x14ac:dyDescent="0.3">
      <c r="A4519" s="15">
        <v>45809</v>
      </c>
      <c r="B4519" t="s">
        <v>258</v>
      </c>
      <c r="C4519" t="s">
        <v>125</v>
      </c>
      <c r="D4519" t="s">
        <v>86</v>
      </c>
      <c r="E4519" t="s">
        <v>83</v>
      </c>
      <c r="F4519">
        <v>96300</v>
      </c>
      <c r="G4519" t="s">
        <v>331</v>
      </c>
      <c r="H4519" s="15">
        <v>45292</v>
      </c>
      <c r="I4519">
        <v>96300</v>
      </c>
      <c r="J4519">
        <v>0</v>
      </c>
    </row>
    <row r="4520" spans="1:10" x14ac:dyDescent="0.3">
      <c r="A4520" s="15">
        <v>45809</v>
      </c>
      <c r="B4520" t="s">
        <v>259</v>
      </c>
      <c r="C4520" t="s">
        <v>81</v>
      </c>
      <c r="D4520" t="s">
        <v>86</v>
      </c>
      <c r="E4520" t="s">
        <v>89</v>
      </c>
      <c r="F4520">
        <v>1900</v>
      </c>
      <c r="G4520" t="s">
        <v>331</v>
      </c>
      <c r="H4520" s="15">
        <v>45292</v>
      </c>
      <c r="I4520">
        <v>1900</v>
      </c>
      <c r="J4520">
        <v>0</v>
      </c>
    </row>
    <row r="4521" spans="1:10" x14ac:dyDescent="0.3">
      <c r="A4521" s="15">
        <v>45809</v>
      </c>
      <c r="B4521" t="s">
        <v>260</v>
      </c>
      <c r="C4521" t="s">
        <v>81</v>
      </c>
      <c r="D4521" t="s">
        <v>86</v>
      </c>
      <c r="E4521" t="s">
        <v>97</v>
      </c>
      <c r="F4521">
        <v>2000</v>
      </c>
      <c r="G4521" t="s">
        <v>331</v>
      </c>
      <c r="H4521" s="15">
        <v>45292</v>
      </c>
      <c r="I4521">
        <v>2000</v>
      </c>
      <c r="J4521">
        <v>0</v>
      </c>
    </row>
    <row r="4522" spans="1:10" x14ac:dyDescent="0.3">
      <c r="A4522" s="15">
        <v>45809</v>
      </c>
      <c r="B4522" t="s">
        <v>262</v>
      </c>
      <c r="C4522" t="s">
        <v>91</v>
      </c>
      <c r="D4522" t="s">
        <v>82</v>
      </c>
      <c r="E4522" t="s">
        <v>92</v>
      </c>
      <c r="F4522">
        <v>9400</v>
      </c>
      <c r="G4522" t="s">
        <v>331</v>
      </c>
      <c r="H4522" s="15">
        <v>45292</v>
      </c>
      <c r="I4522">
        <v>9400</v>
      </c>
      <c r="J4522">
        <v>0</v>
      </c>
    </row>
    <row r="4523" spans="1:10" x14ac:dyDescent="0.3">
      <c r="A4523" s="15">
        <v>45809</v>
      </c>
      <c r="B4523" t="s">
        <v>264</v>
      </c>
      <c r="C4523" t="s">
        <v>110</v>
      </c>
      <c r="D4523" t="s">
        <v>86</v>
      </c>
      <c r="E4523" t="s">
        <v>97</v>
      </c>
      <c r="F4523">
        <v>31500</v>
      </c>
      <c r="G4523" t="s">
        <v>331</v>
      </c>
      <c r="H4523" s="15">
        <v>45292</v>
      </c>
      <c r="I4523">
        <v>31500</v>
      </c>
      <c r="J4523">
        <v>0</v>
      </c>
    </row>
    <row r="4524" spans="1:10" x14ac:dyDescent="0.3">
      <c r="A4524" s="15">
        <v>45809</v>
      </c>
      <c r="B4524" t="s">
        <v>265</v>
      </c>
      <c r="C4524" t="s">
        <v>125</v>
      </c>
      <c r="D4524" t="s">
        <v>86</v>
      </c>
      <c r="E4524" t="s">
        <v>101</v>
      </c>
      <c r="F4524">
        <v>92200</v>
      </c>
      <c r="G4524" t="s">
        <v>331</v>
      </c>
      <c r="H4524" s="15">
        <v>45292</v>
      </c>
      <c r="I4524">
        <v>92200</v>
      </c>
      <c r="J4524">
        <v>0</v>
      </c>
    </row>
    <row r="4525" spans="1:10" x14ac:dyDescent="0.3">
      <c r="A4525" s="15">
        <v>45809</v>
      </c>
      <c r="B4525" t="s">
        <v>266</v>
      </c>
      <c r="C4525" t="s">
        <v>81</v>
      </c>
      <c r="D4525" t="s">
        <v>82</v>
      </c>
      <c r="E4525" t="s">
        <v>83</v>
      </c>
      <c r="F4525">
        <v>2200</v>
      </c>
      <c r="G4525" t="s">
        <v>331</v>
      </c>
      <c r="H4525" s="15">
        <v>45292</v>
      </c>
      <c r="I4525">
        <v>2200</v>
      </c>
      <c r="J4525">
        <v>0</v>
      </c>
    </row>
    <row r="4526" spans="1:10" x14ac:dyDescent="0.3">
      <c r="A4526" s="15">
        <v>45809</v>
      </c>
      <c r="B4526" t="s">
        <v>267</v>
      </c>
      <c r="C4526" t="s">
        <v>91</v>
      </c>
      <c r="D4526" t="s">
        <v>82</v>
      </c>
      <c r="E4526" t="s">
        <v>97</v>
      </c>
      <c r="F4526">
        <v>6900</v>
      </c>
      <c r="G4526" t="s">
        <v>331</v>
      </c>
      <c r="H4526" s="15">
        <v>45292</v>
      </c>
      <c r="I4526">
        <v>6900</v>
      </c>
      <c r="J4526">
        <v>0</v>
      </c>
    </row>
    <row r="4527" spans="1:10" x14ac:dyDescent="0.3">
      <c r="A4527" s="15">
        <v>45809</v>
      </c>
      <c r="B4527" t="s">
        <v>272</v>
      </c>
      <c r="C4527" t="s">
        <v>125</v>
      </c>
      <c r="D4527" t="s">
        <v>96</v>
      </c>
      <c r="E4527" t="s">
        <v>103</v>
      </c>
      <c r="F4527">
        <v>101100</v>
      </c>
      <c r="G4527" t="s">
        <v>331</v>
      </c>
      <c r="H4527" s="15">
        <v>45292</v>
      </c>
      <c r="I4527">
        <v>101100</v>
      </c>
      <c r="J4527">
        <v>0</v>
      </c>
    </row>
    <row r="4528" spans="1:10" x14ac:dyDescent="0.3">
      <c r="A4528" s="15">
        <v>45809</v>
      </c>
      <c r="B4528" t="s">
        <v>273</v>
      </c>
      <c r="C4528" t="s">
        <v>81</v>
      </c>
      <c r="D4528" t="s">
        <v>82</v>
      </c>
      <c r="E4528" t="s">
        <v>101</v>
      </c>
      <c r="F4528">
        <v>3300</v>
      </c>
      <c r="G4528" t="s">
        <v>331</v>
      </c>
      <c r="H4528" s="15">
        <v>45292</v>
      </c>
      <c r="I4528">
        <v>3300</v>
      </c>
      <c r="J4528">
        <v>0</v>
      </c>
    </row>
    <row r="4529" spans="1:10" x14ac:dyDescent="0.3">
      <c r="A4529" s="15">
        <v>45809</v>
      </c>
      <c r="B4529" t="s">
        <v>274</v>
      </c>
      <c r="C4529" t="s">
        <v>91</v>
      </c>
      <c r="D4529" t="s">
        <v>99</v>
      </c>
      <c r="E4529" t="s">
        <v>87</v>
      </c>
      <c r="F4529">
        <v>11400</v>
      </c>
      <c r="G4529" t="s">
        <v>331</v>
      </c>
      <c r="H4529" s="15">
        <v>45292</v>
      </c>
      <c r="I4529">
        <v>11400</v>
      </c>
      <c r="J4529">
        <v>0</v>
      </c>
    </row>
    <row r="4530" spans="1:10" x14ac:dyDescent="0.3">
      <c r="A4530" s="15">
        <v>45809</v>
      </c>
      <c r="B4530" t="s">
        <v>276</v>
      </c>
      <c r="C4530" t="s">
        <v>81</v>
      </c>
      <c r="D4530" t="s">
        <v>82</v>
      </c>
      <c r="E4530" t="s">
        <v>103</v>
      </c>
      <c r="F4530">
        <v>3300</v>
      </c>
      <c r="G4530" t="s">
        <v>331</v>
      </c>
      <c r="H4530" s="15">
        <v>45292</v>
      </c>
      <c r="I4530">
        <v>3300</v>
      </c>
      <c r="J4530">
        <v>0</v>
      </c>
    </row>
    <row r="4531" spans="1:10" x14ac:dyDescent="0.3">
      <c r="A4531" s="15">
        <v>45809</v>
      </c>
      <c r="B4531" t="s">
        <v>277</v>
      </c>
      <c r="C4531" t="s">
        <v>91</v>
      </c>
      <c r="D4531" t="s">
        <v>86</v>
      </c>
      <c r="E4531" t="s">
        <v>97</v>
      </c>
      <c r="F4531">
        <v>8000</v>
      </c>
      <c r="G4531" t="s">
        <v>331</v>
      </c>
      <c r="H4531" s="15">
        <v>45292</v>
      </c>
      <c r="I4531">
        <v>8000</v>
      </c>
      <c r="J4531">
        <v>0</v>
      </c>
    </row>
    <row r="4532" spans="1:10" x14ac:dyDescent="0.3">
      <c r="A4532" s="15">
        <v>45809</v>
      </c>
      <c r="B4532" t="s">
        <v>279</v>
      </c>
      <c r="C4532" t="s">
        <v>91</v>
      </c>
      <c r="D4532" t="s">
        <v>99</v>
      </c>
      <c r="E4532" t="s">
        <v>89</v>
      </c>
      <c r="F4532">
        <v>9800</v>
      </c>
      <c r="G4532" t="s">
        <v>331</v>
      </c>
      <c r="H4532" s="15">
        <v>45292</v>
      </c>
      <c r="I4532">
        <v>9800</v>
      </c>
      <c r="J4532">
        <v>0</v>
      </c>
    </row>
    <row r="4533" spans="1:10" x14ac:dyDescent="0.3">
      <c r="A4533" s="15">
        <v>45809</v>
      </c>
      <c r="B4533" t="s">
        <v>280</v>
      </c>
      <c r="C4533" t="s">
        <v>91</v>
      </c>
      <c r="D4533" t="s">
        <v>96</v>
      </c>
      <c r="E4533" t="s">
        <v>83</v>
      </c>
      <c r="F4533">
        <v>6300</v>
      </c>
      <c r="G4533" t="s">
        <v>331</v>
      </c>
      <c r="H4533" s="15">
        <v>45292</v>
      </c>
      <c r="I4533">
        <v>6300</v>
      </c>
      <c r="J4533">
        <v>0</v>
      </c>
    </row>
    <row r="4534" spans="1:10" x14ac:dyDescent="0.3">
      <c r="A4534" s="15">
        <v>45809</v>
      </c>
      <c r="B4534" t="s">
        <v>281</v>
      </c>
      <c r="C4534" t="s">
        <v>110</v>
      </c>
      <c r="D4534" t="s">
        <v>86</v>
      </c>
      <c r="E4534" t="s">
        <v>92</v>
      </c>
      <c r="F4534">
        <v>63400</v>
      </c>
      <c r="G4534" t="s">
        <v>331</v>
      </c>
      <c r="H4534" s="15">
        <v>45292</v>
      </c>
      <c r="I4534">
        <v>63400</v>
      </c>
      <c r="J4534">
        <v>0</v>
      </c>
    </row>
    <row r="4535" spans="1:10" x14ac:dyDescent="0.3">
      <c r="A4535" s="15">
        <v>45809</v>
      </c>
      <c r="B4535" t="s">
        <v>282</v>
      </c>
      <c r="C4535" t="s">
        <v>91</v>
      </c>
      <c r="D4535" t="s">
        <v>86</v>
      </c>
      <c r="E4535" t="s">
        <v>92</v>
      </c>
      <c r="F4535">
        <v>5800</v>
      </c>
      <c r="G4535" t="s">
        <v>331</v>
      </c>
      <c r="H4535" s="15">
        <v>45292</v>
      </c>
      <c r="I4535">
        <v>5800</v>
      </c>
      <c r="J4535">
        <v>0</v>
      </c>
    </row>
    <row r="4536" spans="1:10" x14ac:dyDescent="0.3">
      <c r="A4536" s="15">
        <v>45809</v>
      </c>
      <c r="B4536" t="s">
        <v>283</v>
      </c>
      <c r="C4536" t="s">
        <v>110</v>
      </c>
      <c r="D4536" t="s">
        <v>82</v>
      </c>
      <c r="E4536" t="s">
        <v>87</v>
      </c>
      <c r="F4536">
        <v>34200</v>
      </c>
      <c r="G4536" t="s">
        <v>331</v>
      </c>
      <c r="H4536" s="15">
        <v>45292</v>
      </c>
      <c r="I4536">
        <v>34200</v>
      </c>
      <c r="J4536">
        <v>0</v>
      </c>
    </row>
    <row r="4537" spans="1:10" x14ac:dyDescent="0.3">
      <c r="A4537" s="15">
        <v>45809</v>
      </c>
      <c r="B4537" t="s">
        <v>284</v>
      </c>
      <c r="C4537" t="s">
        <v>81</v>
      </c>
      <c r="D4537" t="s">
        <v>82</v>
      </c>
      <c r="E4537" t="s">
        <v>101</v>
      </c>
      <c r="F4537">
        <v>2400</v>
      </c>
      <c r="G4537" t="s">
        <v>331</v>
      </c>
      <c r="H4537" s="15">
        <v>45292</v>
      </c>
      <c r="I4537">
        <v>2400</v>
      </c>
      <c r="J4537">
        <v>0</v>
      </c>
    </row>
    <row r="4538" spans="1:10" x14ac:dyDescent="0.3">
      <c r="A4538" s="15">
        <v>45809</v>
      </c>
      <c r="B4538" t="s">
        <v>285</v>
      </c>
      <c r="C4538" t="s">
        <v>91</v>
      </c>
      <c r="D4538" t="s">
        <v>82</v>
      </c>
      <c r="E4538" t="s">
        <v>83</v>
      </c>
      <c r="F4538">
        <v>10900</v>
      </c>
      <c r="G4538" t="s">
        <v>331</v>
      </c>
      <c r="H4538" s="15">
        <v>45292</v>
      </c>
      <c r="I4538">
        <v>10900</v>
      </c>
      <c r="J4538">
        <v>0</v>
      </c>
    </row>
    <row r="4539" spans="1:10" x14ac:dyDescent="0.3">
      <c r="A4539" s="15">
        <v>45809</v>
      </c>
      <c r="B4539" t="s">
        <v>286</v>
      </c>
      <c r="C4539" t="s">
        <v>125</v>
      </c>
      <c r="D4539" t="s">
        <v>86</v>
      </c>
      <c r="E4539" t="s">
        <v>92</v>
      </c>
      <c r="F4539">
        <v>92400</v>
      </c>
      <c r="G4539" t="s">
        <v>331</v>
      </c>
      <c r="H4539" s="15">
        <v>45292</v>
      </c>
      <c r="I4539">
        <v>92400</v>
      </c>
      <c r="J4539">
        <v>0</v>
      </c>
    </row>
    <row r="4540" spans="1:10" x14ac:dyDescent="0.3">
      <c r="A4540" s="15">
        <v>45809</v>
      </c>
      <c r="B4540" t="s">
        <v>287</v>
      </c>
      <c r="C4540" t="s">
        <v>81</v>
      </c>
      <c r="D4540" t="s">
        <v>99</v>
      </c>
      <c r="E4540" t="s">
        <v>87</v>
      </c>
      <c r="F4540">
        <v>2300</v>
      </c>
      <c r="G4540" t="s">
        <v>331</v>
      </c>
      <c r="H4540" s="15">
        <v>45292</v>
      </c>
      <c r="I4540">
        <v>2300</v>
      </c>
      <c r="J4540">
        <v>0</v>
      </c>
    </row>
    <row r="4541" spans="1:10" x14ac:dyDescent="0.3">
      <c r="A4541" s="15">
        <v>45809</v>
      </c>
      <c r="B4541" t="s">
        <v>288</v>
      </c>
      <c r="C4541" t="s">
        <v>81</v>
      </c>
      <c r="D4541" t="s">
        <v>99</v>
      </c>
      <c r="E4541" t="s">
        <v>97</v>
      </c>
      <c r="F4541">
        <v>2600</v>
      </c>
      <c r="G4541" t="s">
        <v>331</v>
      </c>
      <c r="H4541" s="15">
        <v>45292</v>
      </c>
      <c r="I4541">
        <v>2600</v>
      </c>
      <c r="J4541">
        <v>0</v>
      </c>
    </row>
    <row r="4542" spans="1:10" x14ac:dyDescent="0.3">
      <c r="A4542" s="15">
        <v>45809</v>
      </c>
      <c r="B4542" t="s">
        <v>289</v>
      </c>
      <c r="C4542" t="s">
        <v>91</v>
      </c>
      <c r="D4542" t="s">
        <v>86</v>
      </c>
      <c r="E4542" t="s">
        <v>101</v>
      </c>
      <c r="F4542">
        <v>9400</v>
      </c>
      <c r="G4542" t="s">
        <v>331</v>
      </c>
      <c r="H4542" s="15">
        <v>45292</v>
      </c>
      <c r="I4542">
        <v>9400</v>
      </c>
      <c r="J4542">
        <v>0</v>
      </c>
    </row>
    <row r="4543" spans="1:10" x14ac:dyDescent="0.3">
      <c r="A4543" s="15">
        <v>45809</v>
      </c>
      <c r="B4543" t="s">
        <v>290</v>
      </c>
      <c r="C4543" t="s">
        <v>81</v>
      </c>
      <c r="D4543" t="s">
        <v>82</v>
      </c>
      <c r="E4543" t="s">
        <v>103</v>
      </c>
      <c r="F4543">
        <v>2500</v>
      </c>
      <c r="G4543" t="s">
        <v>331</v>
      </c>
      <c r="H4543" s="15">
        <v>45292</v>
      </c>
      <c r="I4543">
        <v>2500</v>
      </c>
      <c r="J4543">
        <v>0</v>
      </c>
    </row>
    <row r="4544" spans="1:10" x14ac:dyDescent="0.3">
      <c r="A4544" s="15">
        <v>45809</v>
      </c>
      <c r="B4544" t="s">
        <v>291</v>
      </c>
      <c r="C4544" t="s">
        <v>81</v>
      </c>
      <c r="D4544" t="s">
        <v>82</v>
      </c>
      <c r="E4544" t="s">
        <v>83</v>
      </c>
      <c r="F4544">
        <v>3100</v>
      </c>
      <c r="G4544" t="s">
        <v>331</v>
      </c>
      <c r="H4544" s="15">
        <v>45292</v>
      </c>
      <c r="I4544">
        <v>3100</v>
      </c>
      <c r="J4544">
        <v>0</v>
      </c>
    </row>
    <row r="4545" spans="1:10" x14ac:dyDescent="0.3">
      <c r="A4545" s="15">
        <v>45809</v>
      </c>
      <c r="B4545" t="s">
        <v>292</v>
      </c>
      <c r="C4545" t="s">
        <v>91</v>
      </c>
      <c r="D4545" t="s">
        <v>86</v>
      </c>
      <c r="E4545" t="s">
        <v>89</v>
      </c>
      <c r="F4545">
        <v>8600</v>
      </c>
      <c r="G4545" t="s">
        <v>331</v>
      </c>
      <c r="H4545" s="15">
        <v>45292</v>
      </c>
      <c r="I4545">
        <v>8600</v>
      </c>
      <c r="J4545">
        <v>0</v>
      </c>
    </row>
    <row r="4546" spans="1:10" x14ac:dyDescent="0.3">
      <c r="A4546" s="15">
        <v>45809</v>
      </c>
      <c r="B4546" t="s">
        <v>293</v>
      </c>
      <c r="C4546" t="s">
        <v>81</v>
      </c>
      <c r="D4546" t="s">
        <v>86</v>
      </c>
      <c r="E4546" t="s">
        <v>103</v>
      </c>
      <c r="F4546">
        <v>2200</v>
      </c>
      <c r="G4546" t="s">
        <v>331</v>
      </c>
      <c r="H4546" s="15">
        <v>45292</v>
      </c>
      <c r="I4546">
        <v>2200</v>
      </c>
      <c r="J4546">
        <v>0</v>
      </c>
    </row>
    <row r="4547" spans="1:10" x14ac:dyDescent="0.3">
      <c r="A4547" s="15">
        <v>45809</v>
      </c>
      <c r="B4547" t="s">
        <v>294</v>
      </c>
      <c r="C4547" t="s">
        <v>91</v>
      </c>
      <c r="D4547" t="s">
        <v>82</v>
      </c>
      <c r="E4547" t="s">
        <v>97</v>
      </c>
      <c r="F4547">
        <v>10400</v>
      </c>
      <c r="G4547" t="s">
        <v>331</v>
      </c>
      <c r="H4547" s="15">
        <v>45292</v>
      </c>
      <c r="I4547">
        <v>10400</v>
      </c>
      <c r="J4547">
        <v>0</v>
      </c>
    </row>
    <row r="4548" spans="1:10" x14ac:dyDescent="0.3">
      <c r="A4548" s="15">
        <v>45809</v>
      </c>
      <c r="B4548" t="s">
        <v>295</v>
      </c>
      <c r="C4548" t="s">
        <v>81</v>
      </c>
      <c r="D4548" t="s">
        <v>82</v>
      </c>
      <c r="E4548" t="s">
        <v>103</v>
      </c>
      <c r="F4548">
        <v>2300</v>
      </c>
      <c r="G4548" t="s">
        <v>331</v>
      </c>
      <c r="H4548" s="15">
        <v>45292</v>
      </c>
      <c r="I4548">
        <v>2300</v>
      </c>
      <c r="J4548">
        <v>0</v>
      </c>
    </row>
    <row r="4549" spans="1:10" x14ac:dyDescent="0.3">
      <c r="A4549" s="15">
        <v>45809</v>
      </c>
      <c r="B4549" t="s">
        <v>298</v>
      </c>
      <c r="C4549" t="s">
        <v>81</v>
      </c>
      <c r="D4549" t="s">
        <v>86</v>
      </c>
      <c r="E4549" t="s">
        <v>89</v>
      </c>
      <c r="F4549">
        <v>2700</v>
      </c>
      <c r="G4549" t="s">
        <v>331</v>
      </c>
      <c r="H4549" s="15">
        <v>45292</v>
      </c>
      <c r="I4549">
        <v>2700</v>
      </c>
      <c r="J4549">
        <v>0</v>
      </c>
    </row>
    <row r="4550" spans="1:10" x14ac:dyDescent="0.3">
      <c r="A4550" s="15">
        <v>45809</v>
      </c>
      <c r="B4550" t="s">
        <v>299</v>
      </c>
      <c r="C4550" t="s">
        <v>81</v>
      </c>
      <c r="D4550" t="s">
        <v>99</v>
      </c>
      <c r="E4550" t="s">
        <v>103</v>
      </c>
      <c r="F4550">
        <v>2900</v>
      </c>
      <c r="G4550" t="s">
        <v>331</v>
      </c>
      <c r="H4550" s="15">
        <v>45292</v>
      </c>
      <c r="I4550">
        <v>2900</v>
      </c>
      <c r="J4550">
        <v>0</v>
      </c>
    </row>
    <row r="4551" spans="1:10" x14ac:dyDescent="0.3">
      <c r="A4551" s="15">
        <v>45809</v>
      </c>
      <c r="B4551" t="s">
        <v>300</v>
      </c>
      <c r="C4551" t="s">
        <v>91</v>
      </c>
      <c r="D4551" t="s">
        <v>82</v>
      </c>
      <c r="E4551" t="s">
        <v>89</v>
      </c>
      <c r="F4551">
        <v>11500</v>
      </c>
      <c r="G4551" t="s">
        <v>331</v>
      </c>
      <c r="H4551" s="15">
        <v>45292</v>
      </c>
      <c r="I4551">
        <v>11500</v>
      </c>
      <c r="J4551">
        <v>0</v>
      </c>
    </row>
    <row r="4552" spans="1:10" x14ac:dyDescent="0.3">
      <c r="A4552" s="15">
        <v>45809</v>
      </c>
      <c r="B4552" t="s">
        <v>303</v>
      </c>
      <c r="C4552" t="s">
        <v>81</v>
      </c>
      <c r="D4552" t="s">
        <v>82</v>
      </c>
      <c r="E4552" t="s">
        <v>83</v>
      </c>
      <c r="F4552">
        <v>1400</v>
      </c>
      <c r="G4552" t="s">
        <v>331</v>
      </c>
      <c r="H4552" s="15">
        <v>45292</v>
      </c>
      <c r="I4552">
        <v>1400</v>
      </c>
      <c r="J4552">
        <v>0</v>
      </c>
    </row>
    <row r="4553" spans="1:10" x14ac:dyDescent="0.3">
      <c r="A4553" s="15">
        <v>45809</v>
      </c>
      <c r="B4553" t="s">
        <v>304</v>
      </c>
      <c r="C4553" t="s">
        <v>81</v>
      </c>
      <c r="D4553" t="s">
        <v>86</v>
      </c>
      <c r="E4553" t="s">
        <v>92</v>
      </c>
      <c r="F4553">
        <v>2100</v>
      </c>
      <c r="G4553" t="s">
        <v>331</v>
      </c>
      <c r="H4553" s="15">
        <v>45292</v>
      </c>
      <c r="I4553">
        <v>2100</v>
      </c>
      <c r="J4553">
        <v>0</v>
      </c>
    </row>
    <row r="4554" spans="1:10" x14ac:dyDescent="0.3">
      <c r="A4554" s="15">
        <v>45809</v>
      </c>
      <c r="B4554" t="s">
        <v>306</v>
      </c>
      <c r="C4554" t="s">
        <v>91</v>
      </c>
      <c r="D4554" t="s">
        <v>82</v>
      </c>
      <c r="E4554" t="s">
        <v>87</v>
      </c>
      <c r="F4554">
        <v>11700</v>
      </c>
      <c r="G4554" t="s">
        <v>331</v>
      </c>
      <c r="H4554" s="15">
        <v>45292</v>
      </c>
      <c r="I4554">
        <v>11700</v>
      </c>
      <c r="J4554">
        <v>0</v>
      </c>
    </row>
    <row r="4555" spans="1:10" x14ac:dyDescent="0.3">
      <c r="A4555" s="15">
        <v>45809</v>
      </c>
      <c r="B4555" t="s">
        <v>307</v>
      </c>
      <c r="C4555" t="s">
        <v>81</v>
      </c>
      <c r="D4555" t="s">
        <v>86</v>
      </c>
      <c r="E4555" t="s">
        <v>97</v>
      </c>
      <c r="F4555">
        <v>2600</v>
      </c>
      <c r="G4555" t="s">
        <v>331</v>
      </c>
      <c r="H4555" s="15">
        <v>45292</v>
      </c>
      <c r="I4555">
        <v>2600</v>
      </c>
      <c r="J4555">
        <v>0</v>
      </c>
    </row>
    <row r="4556" spans="1:10" x14ac:dyDescent="0.3">
      <c r="A4556" s="15">
        <v>45809</v>
      </c>
      <c r="B4556" t="s">
        <v>309</v>
      </c>
      <c r="C4556" t="s">
        <v>91</v>
      </c>
      <c r="D4556" t="s">
        <v>82</v>
      </c>
      <c r="E4556" t="s">
        <v>87</v>
      </c>
      <c r="F4556">
        <v>10700</v>
      </c>
      <c r="G4556" t="s">
        <v>331</v>
      </c>
      <c r="H4556" s="15">
        <v>45292</v>
      </c>
      <c r="I4556">
        <v>10700</v>
      </c>
      <c r="J4556">
        <v>0</v>
      </c>
    </row>
    <row r="4557" spans="1:10" x14ac:dyDescent="0.3">
      <c r="A4557" s="15">
        <v>45809</v>
      </c>
      <c r="B4557" t="s">
        <v>310</v>
      </c>
      <c r="C4557" t="s">
        <v>91</v>
      </c>
      <c r="D4557" t="s">
        <v>99</v>
      </c>
      <c r="E4557" t="s">
        <v>87</v>
      </c>
      <c r="F4557">
        <v>10000</v>
      </c>
      <c r="G4557" t="s">
        <v>331</v>
      </c>
      <c r="H4557" s="15">
        <v>45292</v>
      </c>
      <c r="I4557">
        <v>10000</v>
      </c>
      <c r="J4557">
        <v>0</v>
      </c>
    </row>
    <row r="4558" spans="1:10" x14ac:dyDescent="0.3">
      <c r="A4558" s="15">
        <v>45809</v>
      </c>
      <c r="B4558" t="s">
        <v>313</v>
      </c>
      <c r="C4558" t="s">
        <v>91</v>
      </c>
      <c r="D4558" t="s">
        <v>82</v>
      </c>
      <c r="E4558" t="s">
        <v>101</v>
      </c>
      <c r="F4558">
        <v>12700</v>
      </c>
      <c r="G4558" t="s">
        <v>331</v>
      </c>
      <c r="H4558" s="15">
        <v>45292</v>
      </c>
      <c r="I4558">
        <v>12700</v>
      </c>
      <c r="J4558">
        <v>0</v>
      </c>
    </row>
    <row r="4559" spans="1:10" x14ac:dyDescent="0.3">
      <c r="A4559" s="15">
        <v>45809</v>
      </c>
      <c r="B4559" t="s">
        <v>315</v>
      </c>
      <c r="C4559" t="s">
        <v>125</v>
      </c>
      <c r="D4559" t="s">
        <v>86</v>
      </c>
      <c r="E4559" t="s">
        <v>92</v>
      </c>
      <c r="F4559">
        <v>76200</v>
      </c>
      <c r="G4559" t="s">
        <v>331</v>
      </c>
      <c r="H4559" s="15">
        <v>45292</v>
      </c>
      <c r="I4559">
        <v>76200</v>
      </c>
      <c r="J4559">
        <v>0</v>
      </c>
    </row>
    <row r="4560" spans="1:10" x14ac:dyDescent="0.3">
      <c r="A4560" s="15">
        <v>45809</v>
      </c>
      <c r="B4560" t="s">
        <v>316</v>
      </c>
      <c r="C4560" t="s">
        <v>81</v>
      </c>
      <c r="D4560" t="s">
        <v>96</v>
      </c>
      <c r="E4560" t="s">
        <v>92</v>
      </c>
      <c r="F4560">
        <v>2000</v>
      </c>
      <c r="G4560" t="s">
        <v>331</v>
      </c>
      <c r="H4560" s="15">
        <v>45292</v>
      </c>
      <c r="I4560">
        <v>2000</v>
      </c>
      <c r="J4560">
        <v>0</v>
      </c>
    </row>
    <row r="4561" spans="1:10" x14ac:dyDescent="0.3">
      <c r="A4561" s="15">
        <v>45809</v>
      </c>
      <c r="B4561" t="s">
        <v>318</v>
      </c>
      <c r="C4561" t="s">
        <v>110</v>
      </c>
      <c r="D4561" t="s">
        <v>82</v>
      </c>
      <c r="E4561" t="s">
        <v>97</v>
      </c>
      <c r="F4561">
        <v>29600</v>
      </c>
      <c r="G4561" t="s">
        <v>331</v>
      </c>
      <c r="H4561" s="15">
        <v>45292</v>
      </c>
      <c r="I4561">
        <v>29600</v>
      </c>
      <c r="J4561">
        <v>0</v>
      </c>
    </row>
    <row r="4562" spans="1:10" x14ac:dyDescent="0.3">
      <c r="A4562" s="15">
        <v>45809</v>
      </c>
      <c r="B4562" t="s">
        <v>320</v>
      </c>
      <c r="C4562" t="s">
        <v>91</v>
      </c>
      <c r="D4562" t="s">
        <v>86</v>
      </c>
      <c r="E4562" t="s">
        <v>97</v>
      </c>
      <c r="F4562">
        <v>7700</v>
      </c>
      <c r="G4562" t="s">
        <v>331</v>
      </c>
      <c r="H4562" s="15">
        <v>45292</v>
      </c>
      <c r="I4562">
        <v>7700</v>
      </c>
      <c r="J4562">
        <v>0</v>
      </c>
    </row>
    <row r="4563" spans="1:10" x14ac:dyDescent="0.3">
      <c r="A4563" s="15">
        <v>45809</v>
      </c>
      <c r="B4563" t="s">
        <v>321</v>
      </c>
      <c r="C4563" t="s">
        <v>81</v>
      </c>
      <c r="D4563" t="s">
        <v>99</v>
      </c>
      <c r="E4563" t="s">
        <v>101</v>
      </c>
      <c r="F4563">
        <v>3300</v>
      </c>
      <c r="G4563" t="s">
        <v>331</v>
      </c>
      <c r="H4563" s="15">
        <v>45292</v>
      </c>
      <c r="I4563">
        <v>3300</v>
      </c>
      <c r="J4563">
        <v>0</v>
      </c>
    </row>
    <row r="4564" spans="1:10" x14ac:dyDescent="0.3">
      <c r="A4564" s="15">
        <v>45809</v>
      </c>
      <c r="B4564" t="s">
        <v>322</v>
      </c>
      <c r="C4564" t="s">
        <v>81</v>
      </c>
      <c r="D4564" t="s">
        <v>82</v>
      </c>
      <c r="E4564" t="s">
        <v>103</v>
      </c>
      <c r="F4564">
        <v>2000</v>
      </c>
      <c r="G4564" t="s">
        <v>331</v>
      </c>
      <c r="H4564" s="15">
        <v>45292</v>
      </c>
      <c r="I4564">
        <v>2000</v>
      </c>
      <c r="J4564">
        <v>0</v>
      </c>
    </row>
    <row r="4565" spans="1:10" x14ac:dyDescent="0.3">
      <c r="A4565" s="15">
        <v>45809</v>
      </c>
      <c r="B4565" t="s">
        <v>323</v>
      </c>
      <c r="C4565" t="s">
        <v>110</v>
      </c>
      <c r="D4565" t="s">
        <v>82</v>
      </c>
      <c r="E4565" t="s">
        <v>89</v>
      </c>
      <c r="F4565">
        <v>23400</v>
      </c>
      <c r="G4565" t="s">
        <v>331</v>
      </c>
      <c r="H4565" s="15">
        <v>45292</v>
      </c>
      <c r="I4565">
        <v>23400</v>
      </c>
      <c r="J4565">
        <v>0</v>
      </c>
    </row>
    <row r="4566" spans="1:10" x14ac:dyDescent="0.3">
      <c r="A4566" s="15">
        <v>45809</v>
      </c>
      <c r="B4566" t="s">
        <v>324</v>
      </c>
      <c r="C4566" t="s">
        <v>81</v>
      </c>
      <c r="D4566" t="s">
        <v>86</v>
      </c>
      <c r="E4566" t="s">
        <v>87</v>
      </c>
      <c r="F4566">
        <v>2700</v>
      </c>
      <c r="G4566" t="s">
        <v>331</v>
      </c>
      <c r="H4566" s="15">
        <v>45292</v>
      </c>
      <c r="I4566">
        <v>2700</v>
      </c>
      <c r="J4566">
        <v>0</v>
      </c>
    </row>
    <row r="4567" spans="1:10" x14ac:dyDescent="0.3">
      <c r="A4567" s="15">
        <v>45809</v>
      </c>
      <c r="B4567" t="s">
        <v>325</v>
      </c>
      <c r="C4567" t="s">
        <v>91</v>
      </c>
      <c r="D4567" t="s">
        <v>86</v>
      </c>
      <c r="E4567" t="s">
        <v>87</v>
      </c>
      <c r="F4567">
        <v>8800</v>
      </c>
      <c r="G4567" t="s">
        <v>331</v>
      </c>
      <c r="H4567" s="15">
        <v>45292</v>
      </c>
      <c r="I4567">
        <v>8800</v>
      </c>
      <c r="J4567">
        <v>0</v>
      </c>
    </row>
    <row r="4568" spans="1:10" x14ac:dyDescent="0.3">
      <c r="A4568" s="15">
        <v>45809</v>
      </c>
      <c r="B4568" t="s">
        <v>326</v>
      </c>
      <c r="C4568" t="s">
        <v>91</v>
      </c>
      <c r="D4568" t="s">
        <v>86</v>
      </c>
      <c r="E4568" t="s">
        <v>92</v>
      </c>
      <c r="F4568">
        <v>7900</v>
      </c>
      <c r="G4568" t="s">
        <v>331</v>
      </c>
      <c r="H4568" s="15">
        <v>45292</v>
      </c>
      <c r="I4568">
        <v>7900</v>
      </c>
      <c r="J4568">
        <v>0</v>
      </c>
    </row>
    <row r="4569" spans="1:10" x14ac:dyDescent="0.3">
      <c r="A4569" s="15">
        <v>45809</v>
      </c>
      <c r="B4569" t="s">
        <v>327</v>
      </c>
      <c r="C4569" t="s">
        <v>125</v>
      </c>
      <c r="D4569" t="s">
        <v>99</v>
      </c>
      <c r="E4569" t="s">
        <v>97</v>
      </c>
      <c r="F4569">
        <v>77500</v>
      </c>
      <c r="G4569" t="s">
        <v>331</v>
      </c>
      <c r="H4569" s="15">
        <v>45292</v>
      </c>
      <c r="I4569">
        <v>77500</v>
      </c>
      <c r="J4569">
        <v>0</v>
      </c>
    </row>
    <row r="4570" spans="1:10" x14ac:dyDescent="0.3">
      <c r="A4570" s="15">
        <v>45809</v>
      </c>
      <c r="B4570" t="s">
        <v>329</v>
      </c>
      <c r="C4570" t="s">
        <v>81</v>
      </c>
      <c r="D4570" t="s">
        <v>86</v>
      </c>
      <c r="E4570" t="s">
        <v>101</v>
      </c>
      <c r="F4570">
        <v>2200</v>
      </c>
      <c r="G4570" t="s">
        <v>331</v>
      </c>
      <c r="H4570" s="15">
        <v>45292</v>
      </c>
      <c r="I4570">
        <v>2200</v>
      </c>
      <c r="J4570">
        <v>0</v>
      </c>
    </row>
    <row r="4571" spans="1:10" x14ac:dyDescent="0.3">
      <c r="A4571" s="15">
        <v>45809</v>
      </c>
      <c r="B4571" t="s">
        <v>330</v>
      </c>
      <c r="C4571" t="s">
        <v>125</v>
      </c>
      <c r="D4571" t="s">
        <v>86</v>
      </c>
      <c r="E4571" t="s">
        <v>87</v>
      </c>
      <c r="F4571">
        <v>105400</v>
      </c>
      <c r="G4571" t="s">
        <v>331</v>
      </c>
      <c r="H4571" s="15">
        <v>45292</v>
      </c>
      <c r="I4571">
        <v>105400</v>
      </c>
      <c r="J4571">
        <v>0</v>
      </c>
    </row>
    <row r="4572" spans="1:10" x14ac:dyDescent="0.3">
      <c r="A4572" s="15">
        <v>45809</v>
      </c>
      <c r="B4572" t="s">
        <v>335</v>
      </c>
      <c r="C4572" t="s">
        <v>91</v>
      </c>
      <c r="D4572" t="s">
        <v>86</v>
      </c>
      <c r="E4572" t="s">
        <v>89</v>
      </c>
      <c r="F4572">
        <v>7300</v>
      </c>
      <c r="G4572" t="s">
        <v>331</v>
      </c>
      <c r="H4572" s="15">
        <v>45323</v>
      </c>
      <c r="I4572">
        <v>7300</v>
      </c>
      <c r="J4572">
        <v>0</v>
      </c>
    </row>
    <row r="4573" spans="1:10" x14ac:dyDescent="0.3">
      <c r="A4573" s="15">
        <v>45809</v>
      </c>
      <c r="B4573" t="s">
        <v>336</v>
      </c>
      <c r="C4573" t="s">
        <v>81</v>
      </c>
      <c r="D4573" t="s">
        <v>82</v>
      </c>
      <c r="E4573" t="s">
        <v>103</v>
      </c>
      <c r="F4573">
        <v>1500</v>
      </c>
      <c r="G4573" t="s">
        <v>331</v>
      </c>
      <c r="H4573" s="15">
        <v>45323</v>
      </c>
      <c r="I4573">
        <v>1500</v>
      </c>
      <c r="J4573">
        <v>0</v>
      </c>
    </row>
    <row r="4574" spans="1:10" x14ac:dyDescent="0.3">
      <c r="A4574" s="15">
        <v>45809</v>
      </c>
      <c r="B4574" t="s">
        <v>339</v>
      </c>
      <c r="C4574" t="s">
        <v>81</v>
      </c>
      <c r="D4574" t="s">
        <v>82</v>
      </c>
      <c r="E4574" t="s">
        <v>103</v>
      </c>
      <c r="F4574">
        <v>1600</v>
      </c>
      <c r="G4574" t="s">
        <v>331</v>
      </c>
      <c r="H4574" s="15">
        <v>45323</v>
      </c>
      <c r="I4574">
        <v>1600</v>
      </c>
      <c r="J4574">
        <v>0</v>
      </c>
    </row>
    <row r="4575" spans="1:10" x14ac:dyDescent="0.3">
      <c r="A4575" s="15">
        <v>45809</v>
      </c>
      <c r="B4575" t="s">
        <v>340</v>
      </c>
      <c r="C4575" t="s">
        <v>81</v>
      </c>
      <c r="D4575" t="s">
        <v>82</v>
      </c>
      <c r="E4575" t="s">
        <v>87</v>
      </c>
      <c r="F4575">
        <v>0</v>
      </c>
      <c r="G4575" t="s">
        <v>333</v>
      </c>
      <c r="H4575" s="15">
        <v>45323</v>
      </c>
      <c r="I4575">
        <v>1800</v>
      </c>
      <c r="J4575">
        <v>-1800</v>
      </c>
    </row>
    <row r="4576" spans="1:10" x14ac:dyDescent="0.3">
      <c r="A4576" s="15">
        <v>45809</v>
      </c>
      <c r="B4576" t="s">
        <v>341</v>
      </c>
      <c r="C4576" t="s">
        <v>110</v>
      </c>
      <c r="D4576" t="s">
        <v>82</v>
      </c>
      <c r="E4576" t="s">
        <v>92</v>
      </c>
      <c r="F4576">
        <v>18800</v>
      </c>
      <c r="G4576" t="s">
        <v>331</v>
      </c>
      <c r="H4576" s="15">
        <v>45323</v>
      </c>
      <c r="I4576">
        <v>18800</v>
      </c>
      <c r="J4576">
        <v>0</v>
      </c>
    </row>
    <row r="4577" spans="1:10" x14ac:dyDescent="0.3">
      <c r="A4577" s="15">
        <v>45809</v>
      </c>
      <c r="B4577" t="s">
        <v>342</v>
      </c>
      <c r="C4577" t="s">
        <v>91</v>
      </c>
      <c r="D4577" t="s">
        <v>82</v>
      </c>
      <c r="E4577" t="s">
        <v>83</v>
      </c>
      <c r="F4577">
        <v>6300</v>
      </c>
      <c r="G4577" t="s">
        <v>331</v>
      </c>
      <c r="H4577" s="15">
        <v>45352</v>
      </c>
      <c r="I4577">
        <v>6300</v>
      </c>
      <c r="J4577">
        <v>0</v>
      </c>
    </row>
    <row r="4578" spans="1:10" x14ac:dyDescent="0.3">
      <c r="A4578" s="15">
        <v>45809</v>
      </c>
      <c r="B4578" t="s">
        <v>343</v>
      </c>
      <c r="C4578" t="s">
        <v>81</v>
      </c>
      <c r="D4578" t="s">
        <v>82</v>
      </c>
      <c r="E4578" t="s">
        <v>89</v>
      </c>
      <c r="F4578">
        <v>2500</v>
      </c>
      <c r="G4578" t="s">
        <v>331</v>
      </c>
      <c r="H4578" s="15">
        <v>45352</v>
      </c>
      <c r="I4578">
        <v>2500</v>
      </c>
      <c r="J4578">
        <v>0</v>
      </c>
    </row>
    <row r="4579" spans="1:10" x14ac:dyDescent="0.3">
      <c r="A4579" s="15">
        <v>45809</v>
      </c>
      <c r="B4579" t="s">
        <v>344</v>
      </c>
      <c r="C4579" t="s">
        <v>110</v>
      </c>
      <c r="D4579" t="s">
        <v>86</v>
      </c>
      <c r="E4579" t="s">
        <v>89</v>
      </c>
      <c r="F4579">
        <v>22300</v>
      </c>
      <c r="G4579" t="s">
        <v>331</v>
      </c>
      <c r="H4579" s="15">
        <v>45352</v>
      </c>
      <c r="I4579">
        <v>22300</v>
      </c>
      <c r="J4579">
        <v>0</v>
      </c>
    </row>
    <row r="4580" spans="1:10" x14ac:dyDescent="0.3">
      <c r="A4580" s="15">
        <v>45809</v>
      </c>
      <c r="B4580" t="s">
        <v>345</v>
      </c>
      <c r="C4580" t="s">
        <v>91</v>
      </c>
      <c r="D4580" t="s">
        <v>86</v>
      </c>
      <c r="E4580" t="s">
        <v>83</v>
      </c>
      <c r="F4580">
        <v>7900</v>
      </c>
      <c r="G4580" t="s">
        <v>331</v>
      </c>
      <c r="H4580" s="15">
        <v>45352</v>
      </c>
      <c r="I4580">
        <v>7900</v>
      </c>
      <c r="J4580">
        <v>0</v>
      </c>
    </row>
    <row r="4581" spans="1:10" x14ac:dyDescent="0.3">
      <c r="A4581" s="15">
        <v>45809</v>
      </c>
      <c r="B4581" t="s">
        <v>346</v>
      </c>
      <c r="C4581" t="s">
        <v>81</v>
      </c>
      <c r="D4581" t="s">
        <v>86</v>
      </c>
      <c r="E4581" t="s">
        <v>97</v>
      </c>
      <c r="F4581">
        <v>1700</v>
      </c>
      <c r="G4581" t="s">
        <v>331</v>
      </c>
      <c r="H4581" s="15">
        <v>45352</v>
      </c>
      <c r="I4581">
        <v>1700</v>
      </c>
      <c r="J4581">
        <v>0</v>
      </c>
    </row>
    <row r="4582" spans="1:10" x14ac:dyDescent="0.3">
      <c r="A4582" s="15">
        <v>45809</v>
      </c>
      <c r="B4582" t="s">
        <v>347</v>
      </c>
      <c r="C4582" t="s">
        <v>91</v>
      </c>
      <c r="D4582" t="s">
        <v>82</v>
      </c>
      <c r="E4582" t="s">
        <v>83</v>
      </c>
      <c r="F4582">
        <v>4700</v>
      </c>
      <c r="G4582" t="s">
        <v>331</v>
      </c>
      <c r="H4582" s="15">
        <v>45383</v>
      </c>
      <c r="I4582">
        <v>4700</v>
      </c>
      <c r="J4582">
        <v>0</v>
      </c>
    </row>
    <row r="4583" spans="1:10" x14ac:dyDescent="0.3">
      <c r="A4583" s="15">
        <v>45809</v>
      </c>
      <c r="B4583" t="s">
        <v>350</v>
      </c>
      <c r="C4583" t="s">
        <v>91</v>
      </c>
      <c r="D4583" t="s">
        <v>82</v>
      </c>
      <c r="E4583" t="s">
        <v>83</v>
      </c>
      <c r="F4583">
        <v>4400</v>
      </c>
      <c r="G4583" t="s">
        <v>334</v>
      </c>
      <c r="H4583" s="15">
        <v>45383</v>
      </c>
      <c r="I4583">
        <v>4800</v>
      </c>
      <c r="J4583">
        <v>-400</v>
      </c>
    </row>
    <row r="4584" spans="1:10" x14ac:dyDescent="0.3">
      <c r="A4584" s="15">
        <v>45809</v>
      </c>
      <c r="B4584" t="s">
        <v>351</v>
      </c>
      <c r="C4584" t="s">
        <v>81</v>
      </c>
      <c r="D4584" t="s">
        <v>86</v>
      </c>
      <c r="E4584" t="s">
        <v>83</v>
      </c>
      <c r="F4584">
        <v>2300</v>
      </c>
      <c r="G4584" t="s">
        <v>331</v>
      </c>
      <c r="H4584" s="15">
        <v>45383</v>
      </c>
      <c r="I4584">
        <v>2300</v>
      </c>
      <c r="J4584">
        <v>0</v>
      </c>
    </row>
    <row r="4585" spans="1:10" x14ac:dyDescent="0.3">
      <c r="A4585" s="15">
        <v>45809</v>
      </c>
      <c r="B4585" t="s">
        <v>352</v>
      </c>
      <c r="C4585" t="s">
        <v>91</v>
      </c>
      <c r="D4585" t="s">
        <v>82</v>
      </c>
      <c r="E4585" t="s">
        <v>89</v>
      </c>
      <c r="F4585">
        <v>8800</v>
      </c>
      <c r="G4585" t="s">
        <v>331</v>
      </c>
      <c r="H4585" s="15">
        <v>45383</v>
      </c>
      <c r="I4585">
        <v>8800</v>
      </c>
      <c r="J4585">
        <v>0</v>
      </c>
    </row>
    <row r="4586" spans="1:10" x14ac:dyDescent="0.3">
      <c r="A4586" s="15">
        <v>45809</v>
      </c>
      <c r="B4586" t="s">
        <v>353</v>
      </c>
      <c r="C4586" t="s">
        <v>81</v>
      </c>
      <c r="D4586" t="s">
        <v>99</v>
      </c>
      <c r="E4586" t="s">
        <v>103</v>
      </c>
      <c r="F4586">
        <v>1200</v>
      </c>
      <c r="G4586" t="s">
        <v>331</v>
      </c>
      <c r="H4586" s="15">
        <v>45383</v>
      </c>
      <c r="I4586">
        <v>1200</v>
      </c>
      <c r="J4586">
        <v>0</v>
      </c>
    </row>
    <row r="4587" spans="1:10" x14ac:dyDescent="0.3">
      <c r="A4587" s="15">
        <v>45809</v>
      </c>
      <c r="B4587" t="s">
        <v>354</v>
      </c>
      <c r="C4587" t="s">
        <v>81</v>
      </c>
      <c r="D4587" t="s">
        <v>82</v>
      </c>
      <c r="E4587" t="s">
        <v>92</v>
      </c>
      <c r="F4587">
        <v>1800</v>
      </c>
      <c r="G4587" t="s">
        <v>331</v>
      </c>
      <c r="H4587" s="15">
        <v>45413</v>
      </c>
      <c r="I4587">
        <v>1800</v>
      </c>
      <c r="J4587">
        <v>0</v>
      </c>
    </row>
    <row r="4588" spans="1:10" x14ac:dyDescent="0.3">
      <c r="A4588" s="15">
        <v>45809</v>
      </c>
      <c r="B4588" t="s">
        <v>355</v>
      </c>
      <c r="C4588" t="s">
        <v>81</v>
      </c>
      <c r="D4588" t="s">
        <v>86</v>
      </c>
      <c r="E4588" t="s">
        <v>97</v>
      </c>
      <c r="F4588">
        <v>2000</v>
      </c>
      <c r="G4588" t="s">
        <v>331</v>
      </c>
      <c r="H4588" s="15">
        <v>45413</v>
      </c>
      <c r="I4588">
        <v>2000</v>
      </c>
      <c r="J4588">
        <v>0</v>
      </c>
    </row>
    <row r="4589" spans="1:10" x14ac:dyDescent="0.3">
      <c r="A4589" s="15">
        <v>45809</v>
      </c>
      <c r="B4589" t="s">
        <v>356</v>
      </c>
      <c r="C4589" t="s">
        <v>110</v>
      </c>
      <c r="D4589" t="s">
        <v>82</v>
      </c>
      <c r="E4589" t="s">
        <v>97</v>
      </c>
      <c r="F4589">
        <v>33000</v>
      </c>
      <c r="G4589" t="s">
        <v>331</v>
      </c>
      <c r="H4589" s="15">
        <v>45413</v>
      </c>
      <c r="I4589">
        <v>33000</v>
      </c>
      <c r="J4589">
        <v>0</v>
      </c>
    </row>
    <row r="4590" spans="1:10" x14ac:dyDescent="0.3">
      <c r="A4590" s="15">
        <v>45809</v>
      </c>
      <c r="B4590" t="s">
        <v>357</v>
      </c>
      <c r="C4590" t="s">
        <v>125</v>
      </c>
      <c r="D4590" t="s">
        <v>86</v>
      </c>
      <c r="E4590" t="s">
        <v>97</v>
      </c>
      <c r="F4590">
        <v>83400</v>
      </c>
      <c r="G4590" t="s">
        <v>331</v>
      </c>
      <c r="H4590" s="15">
        <v>45413</v>
      </c>
      <c r="I4590">
        <v>83400</v>
      </c>
      <c r="J4590">
        <v>0</v>
      </c>
    </row>
    <row r="4591" spans="1:10" x14ac:dyDescent="0.3">
      <c r="A4591" s="15">
        <v>45809</v>
      </c>
      <c r="B4591" t="s">
        <v>358</v>
      </c>
      <c r="C4591" t="s">
        <v>110</v>
      </c>
      <c r="D4591" t="s">
        <v>86</v>
      </c>
      <c r="E4591" t="s">
        <v>83</v>
      </c>
      <c r="F4591">
        <v>24100</v>
      </c>
      <c r="G4591" t="s">
        <v>331</v>
      </c>
      <c r="H4591" s="15">
        <v>45413</v>
      </c>
      <c r="I4591">
        <v>24100</v>
      </c>
      <c r="J4591">
        <v>0</v>
      </c>
    </row>
    <row r="4592" spans="1:10" x14ac:dyDescent="0.3">
      <c r="A4592" s="15">
        <v>45809</v>
      </c>
      <c r="B4592" t="s">
        <v>359</v>
      </c>
      <c r="C4592" t="s">
        <v>110</v>
      </c>
      <c r="D4592" t="s">
        <v>86</v>
      </c>
      <c r="E4592" t="s">
        <v>101</v>
      </c>
      <c r="F4592">
        <v>31400</v>
      </c>
      <c r="G4592" t="s">
        <v>331</v>
      </c>
      <c r="H4592" s="15">
        <v>45413</v>
      </c>
      <c r="I4592">
        <v>31400</v>
      </c>
      <c r="J4592">
        <v>0</v>
      </c>
    </row>
    <row r="4593" spans="1:10" x14ac:dyDescent="0.3">
      <c r="A4593" s="15">
        <v>45809</v>
      </c>
      <c r="B4593" t="s">
        <v>360</v>
      </c>
      <c r="C4593" t="s">
        <v>91</v>
      </c>
      <c r="D4593" t="s">
        <v>86</v>
      </c>
      <c r="E4593" t="s">
        <v>103</v>
      </c>
      <c r="F4593">
        <v>0</v>
      </c>
      <c r="G4593" t="s">
        <v>333</v>
      </c>
      <c r="H4593" s="15">
        <v>45444</v>
      </c>
      <c r="I4593">
        <v>6300</v>
      </c>
      <c r="J4593">
        <v>-6300</v>
      </c>
    </row>
    <row r="4594" spans="1:10" x14ac:dyDescent="0.3">
      <c r="A4594" s="15">
        <v>45809</v>
      </c>
      <c r="B4594" t="s">
        <v>361</v>
      </c>
      <c r="C4594" t="s">
        <v>91</v>
      </c>
      <c r="D4594" t="s">
        <v>86</v>
      </c>
      <c r="E4594" t="s">
        <v>83</v>
      </c>
      <c r="F4594">
        <v>5700</v>
      </c>
      <c r="G4594" t="s">
        <v>331</v>
      </c>
      <c r="H4594" s="15">
        <v>45444</v>
      </c>
      <c r="I4594">
        <v>5700</v>
      </c>
      <c r="J4594">
        <v>0</v>
      </c>
    </row>
    <row r="4595" spans="1:10" x14ac:dyDescent="0.3">
      <c r="A4595" s="15">
        <v>45809</v>
      </c>
      <c r="B4595" t="s">
        <v>362</v>
      </c>
      <c r="C4595" t="s">
        <v>91</v>
      </c>
      <c r="D4595" t="s">
        <v>82</v>
      </c>
      <c r="E4595" t="s">
        <v>101</v>
      </c>
      <c r="F4595">
        <v>5400</v>
      </c>
      <c r="G4595" t="s">
        <v>331</v>
      </c>
      <c r="H4595" s="15">
        <v>45444</v>
      </c>
      <c r="I4595">
        <v>5400</v>
      </c>
      <c r="J4595">
        <v>0</v>
      </c>
    </row>
    <row r="4596" spans="1:10" x14ac:dyDescent="0.3">
      <c r="A4596" s="15">
        <v>45809</v>
      </c>
      <c r="B4596" t="s">
        <v>363</v>
      </c>
      <c r="C4596" t="s">
        <v>91</v>
      </c>
      <c r="D4596" t="s">
        <v>86</v>
      </c>
      <c r="E4596" t="s">
        <v>83</v>
      </c>
      <c r="F4596">
        <v>4400</v>
      </c>
      <c r="G4596" t="s">
        <v>331</v>
      </c>
      <c r="H4596" s="15">
        <v>45444</v>
      </c>
      <c r="I4596">
        <v>4400</v>
      </c>
      <c r="J4596">
        <v>0</v>
      </c>
    </row>
    <row r="4597" spans="1:10" x14ac:dyDescent="0.3">
      <c r="A4597" s="15">
        <v>45809</v>
      </c>
      <c r="B4597" t="s">
        <v>364</v>
      </c>
      <c r="C4597" t="s">
        <v>91</v>
      </c>
      <c r="D4597" t="s">
        <v>82</v>
      </c>
      <c r="E4597" t="s">
        <v>101</v>
      </c>
      <c r="F4597">
        <v>6700</v>
      </c>
      <c r="G4597" t="s">
        <v>331</v>
      </c>
      <c r="H4597" s="15">
        <v>45444</v>
      </c>
      <c r="I4597">
        <v>6700</v>
      </c>
      <c r="J4597">
        <v>0</v>
      </c>
    </row>
    <row r="4598" spans="1:10" x14ac:dyDescent="0.3">
      <c r="A4598" s="15">
        <v>45809</v>
      </c>
      <c r="B4598" t="s">
        <v>366</v>
      </c>
      <c r="C4598" t="s">
        <v>81</v>
      </c>
      <c r="D4598" t="s">
        <v>99</v>
      </c>
      <c r="E4598" t="s">
        <v>92</v>
      </c>
      <c r="F4598">
        <v>1600</v>
      </c>
      <c r="G4598" t="s">
        <v>331</v>
      </c>
      <c r="H4598" s="15">
        <v>45474</v>
      </c>
      <c r="I4598">
        <v>1600</v>
      </c>
      <c r="J4598">
        <v>0</v>
      </c>
    </row>
    <row r="4599" spans="1:10" x14ac:dyDescent="0.3">
      <c r="A4599" s="15">
        <v>45809</v>
      </c>
      <c r="B4599" t="s">
        <v>367</v>
      </c>
      <c r="C4599" t="s">
        <v>91</v>
      </c>
      <c r="D4599" t="s">
        <v>82</v>
      </c>
      <c r="E4599" t="s">
        <v>92</v>
      </c>
      <c r="F4599">
        <v>5000</v>
      </c>
      <c r="G4599" t="s">
        <v>331</v>
      </c>
      <c r="H4599" s="15">
        <v>45474</v>
      </c>
      <c r="I4599">
        <v>5000</v>
      </c>
      <c r="J4599">
        <v>0</v>
      </c>
    </row>
    <row r="4600" spans="1:10" x14ac:dyDescent="0.3">
      <c r="A4600" s="15">
        <v>45809</v>
      </c>
      <c r="B4600" t="s">
        <v>368</v>
      </c>
      <c r="C4600" t="s">
        <v>81</v>
      </c>
      <c r="D4600" t="s">
        <v>86</v>
      </c>
      <c r="E4600" t="s">
        <v>89</v>
      </c>
      <c r="F4600">
        <v>1400</v>
      </c>
      <c r="G4600" t="s">
        <v>331</v>
      </c>
      <c r="H4600" s="15">
        <v>45474</v>
      </c>
      <c r="I4600">
        <v>1400</v>
      </c>
      <c r="J4600">
        <v>0</v>
      </c>
    </row>
    <row r="4601" spans="1:10" x14ac:dyDescent="0.3">
      <c r="A4601" s="15">
        <v>45809</v>
      </c>
      <c r="B4601" t="s">
        <v>369</v>
      </c>
      <c r="C4601" t="s">
        <v>81</v>
      </c>
      <c r="D4601" t="s">
        <v>86</v>
      </c>
      <c r="E4601" t="s">
        <v>83</v>
      </c>
      <c r="F4601">
        <v>2000</v>
      </c>
      <c r="G4601" t="s">
        <v>331</v>
      </c>
      <c r="H4601" s="15">
        <v>45474</v>
      </c>
      <c r="I4601">
        <v>2000</v>
      </c>
      <c r="J4601">
        <v>0</v>
      </c>
    </row>
    <row r="4602" spans="1:10" x14ac:dyDescent="0.3">
      <c r="A4602" s="15">
        <v>45809</v>
      </c>
      <c r="B4602" t="s">
        <v>370</v>
      </c>
      <c r="C4602" t="s">
        <v>81</v>
      </c>
      <c r="D4602" t="s">
        <v>99</v>
      </c>
      <c r="E4602" t="s">
        <v>87</v>
      </c>
      <c r="F4602">
        <v>2300</v>
      </c>
      <c r="G4602" t="s">
        <v>332</v>
      </c>
      <c r="H4602" s="15">
        <v>45474</v>
      </c>
      <c r="I4602">
        <v>2100</v>
      </c>
      <c r="J4602">
        <v>200</v>
      </c>
    </row>
    <row r="4603" spans="1:10" x14ac:dyDescent="0.3">
      <c r="A4603" s="15">
        <v>45809</v>
      </c>
      <c r="B4603" t="s">
        <v>373</v>
      </c>
      <c r="C4603" t="s">
        <v>91</v>
      </c>
      <c r="D4603" t="s">
        <v>99</v>
      </c>
      <c r="E4603" t="s">
        <v>101</v>
      </c>
      <c r="F4603">
        <v>5200</v>
      </c>
      <c r="G4603" t="s">
        <v>331</v>
      </c>
      <c r="H4603" s="15">
        <v>45505</v>
      </c>
      <c r="I4603">
        <v>5200</v>
      </c>
      <c r="J4603">
        <v>0</v>
      </c>
    </row>
    <row r="4604" spans="1:10" x14ac:dyDescent="0.3">
      <c r="A4604" s="15">
        <v>45809</v>
      </c>
      <c r="B4604" t="s">
        <v>374</v>
      </c>
      <c r="C4604" t="s">
        <v>91</v>
      </c>
      <c r="D4604" t="s">
        <v>99</v>
      </c>
      <c r="E4604" t="s">
        <v>87</v>
      </c>
      <c r="F4604">
        <v>5000</v>
      </c>
      <c r="G4604" t="s">
        <v>331</v>
      </c>
      <c r="H4604" s="15">
        <v>45505</v>
      </c>
      <c r="I4604">
        <v>5000</v>
      </c>
      <c r="J4604">
        <v>0</v>
      </c>
    </row>
    <row r="4605" spans="1:10" x14ac:dyDescent="0.3">
      <c r="A4605" s="15">
        <v>45809</v>
      </c>
      <c r="B4605" t="s">
        <v>376</v>
      </c>
      <c r="C4605" t="s">
        <v>110</v>
      </c>
      <c r="D4605" t="s">
        <v>86</v>
      </c>
      <c r="E4605" t="s">
        <v>103</v>
      </c>
      <c r="F4605">
        <v>22900</v>
      </c>
      <c r="G4605" t="s">
        <v>331</v>
      </c>
      <c r="H4605" s="15">
        <v>45505</v>
      </c>
      <c r="I4605">
        <v>22900</v>
      </c>
      <c r="J4605">
        <v>0</v>
      </c>
    </row>
    <row r="4606" spans="1:10" x14ac:dyDescent="0.3">
      <c r="A4606" s="15">
        <v>45809</v>
      </c>
      <c r="B4606" t="s">
        <v>377</v>
      </c>
      <c r="C4606" t="s">
        <v>81</v>
      </c>
      <c r="D4606" t="s">
        <v>99</v>
      </c>
      <c r="E4606" t="s">
        <v>92</v>
      </c>
      <c r="F4606">
        <v>2300</v>
      </c>
      <c r="G4606" t="s">
        <v>331</v>
      </c>
      <c r="H4606" s="15">
        <v>45536</v>
      </c>
      <c r="I4606">
        <v>2300</v>
      </c>
      <c r="J4606">
        <v>0</v>
      </c>
    </row>
    <row r="4607" spans="1:10" x14ac:dyDescent="0.3">
      <c r="A4607" s="15">
        <v>45809</v>
      </c>
      <c r="B4607" t="s">
        <v>379</v>
      </c>
      <c r="C4607" t="s">
        <v>81</v>
      </c>
      <c r="D4607" t="s">
        <v>99</v>
      </c>
      <c r="E4607" t="s">
        <v>101</v>
      </c>
      <c r="F4607">
        <v>2200</v>
      </c>
      <c r="G4607" t="s">
        <v>331</v>
      </c>
      <c r="H4607" s="15">
        <v>45536</v>
      </c>
      <c r="I4607">
        <v>2200</v>
      </c>
      <c r="J4607">
        <v>0</v>
      </c>
    </row>
    <row r="4608" spans="1:10" x14ac:dyDescent="0.3">
      <c r="A4608" s="15">
        <v>45809</v>
      </c>
      <c r="B4608" t="s">
        <v>380</v>
      </c>
      <c r="C4608" t="s">
        <v>81</v>
      </c>
      <c r="D4608" t="s">
        <v>82</v>
      </c>
      <c r="E4608" t="s">
        <v>101</v>
      </c>
      <c r="F4608">
        <v>2200</v>
      </c>
      <c r="G4608" t="s">
        <v>331</v>
      </c>
      <c r="H4608" s="15">
        <v>45536</v>
      </c>
      <c r="I4608">
        <v>2200</v>
      </c>
      <c r="J4608">
        <v>0</v>
      </c>
    </row>
    <row r="4609" spans="1:10" x14ac:dyDescent="0.3">
      <c r="A4609" s="15">
        <v>45809</v>
      </c>
      <c r="B4609" t="s">
        <v>381</v>
      </c>
      <c r="C4609" t="s">
        <v>91</v>
      </c>
      <c r="D4609" t="s">
        <v>86</v>
      </c>
      <c r="E4609" t="s">
        <v>92</v>
      </c>
      <c r="F4609">
        <v>4600</v>
      </c>
      <c r="G4609" t="s">
        <v>331</v>
      </c>
      <c r="H4609" s="15">
        <v>45536</v>
      </c>
      <c r="I4609">
        <v>4600</v>
      </c>
      <c r="J4609">
        <v>0</v>
      </c>
    </row>
    <row r="4610" spans="1:10" x14ac:dyDescent="0.3">
      <c r="A4610" s="15">
        <v>45809</v>
      </c>
      <c r="B4610" t="s">
        <v>382</v>
      </c>
      <c r="C4610" t="s">
        <v>81</v>
      </c>
      <c r="D4610" t="s">
        <v>96</v>
      </c>
      <c r="E4610" t="s">
        <v>101</v>
      </c>
      <c r="F4610">
        <v>2100</v>
      </c>
      <c r="G4610" t="s">
        <v>331</v>
      </c>
      <c r="H4610" s="15">
        <v>45536</v>
      </c>
      <c r="I4610">
        <v>2100</v>
      </c>
      <c r="J4610">
        <v>0</v>
      </c>
    </row>
    <row r="4611" spans="1:10" x14ac:dyDescent="0.3">
      <c r="A4611" s="15">
        <v>45809</v>
      </c>
      <c r="B4611" t="s">
        <v>383</v>
      </c>
      <c r="C4611" t="s">
        <v>81</v>
      </c>
      <c r="D4611" t="s">
        <v>82</v>
      </c>
      <c r="E4611" t="s">
        <v>87</v>
      </c>
      <c r="F4611">
        <v>1800</v>
      </c>
      <c r="G4611" t="s">
        <v>331</v>
      </c>
      <c r="H4611" s="15">
        <v>45536</v>
      </c>
      <c r="I4611">
        <v>1800</v>
      </c>
      <c r="J4611">
        <v>0</v>
      </c>
    </row>
    <row r="4612" spans="1:10" x14ac:dyDescent="0.3">
      <c r="A4612" s="15">
        <v>45809</v>
      </c>
      <c r="B4612" t="s">
        <v>384</v>
      </c>
      <c r="C4612" t="s">
        <v>91</v>
      </c>
      <c r="D4612" t="s">
        <v>82</v>
      </c>
      <c r="E4612" t="s">
        <v>103</v>
      </c>
      <c r="F4612">
        <v>5000</v>
      </c>
      <c r="G4612" t="s">
        <v>331</v>
      </c>
      <c r="H4612" s="15">
        <v>45566</v>
      </c>
      <c r="I4612">
        <v>5000</v>
      </c>
      <c r="J4612">
        <v>0</v>
      </c>
    </row>
    <row r="4613" spans="1:10" x14ac:dyDescent="0.3">
      <c r="A4613" s="15">
        <v>45809</v>
      </c>
      <c r="B4613" t="s">
        <v>385</v>
      </c>
      <c r="C4613" t="s">
        <v>91</v>
      </c>
      <c r="D4613" t="s">
        <v>99</v>
      </c>
      <c r="E4613" t="s">
        <v>83</v>
      </c>
      <c r="F4613">
        <v>8300</v>
      </c>
      <c r="G4613" t="s">
        <v>331</v>
      </c>
      <c r="H4613" s="15">
        <v>45566</v>
      </c>
      <c r="I4613">
        <v>8300</v>
      </c>
      <c r="J4613">
        <v>0</v>
      </c>
    </row>
    <row r="4614" spans="1:10" x14ac:dyDescent="0.3">
      <c r="A4614" s="15">
        <v>45809</v>
      </c>
      <c r="B4614" t="s">
        <v>386</v>
      </c>
      <c r="C4614" t="s">
        <v>81</v>
      </c>
      <c r="D4614" t="s">
        <v>82</v>
      </c>
      <c r="E4614" t="s">
        <v>103</v>
      </c>
      <c r="F4614">
        <v>2200</v>
      </c>
      <c r="G4614" t="s">
        <v>331</v>
      </c>
      <c r="H4614" s="15">
        <v>45566</v>
      </c>
      <c r="I4614">
        <v>2200</v>
      </c>
      <c r="J4614">
        <v>0</v>
      </c>
    </row>
    <row r="4615" spans="1:10" x14ac:dyDescent="0.3">
      <c r="A4615" s="15">
        <v>45809</v>
      </c>
      <c r="B4615" t="s">
        <v>387</v>
      </c>
      <c r="C4615" t="s">
        <v>81</v>
      </c>
      <c r="D4615" t="s">
        <v>86</v>
      </c>
      <c r="E4615" t="s">
        <v>92</v>
      </c>
      <c r="F4615">
        <v>1700</v>
      </c>
      <c r="G4615" t="s">
        <v>331</v>
      </c>
      <c r="H4615" s="15">
        <v>45566</v>
      </c>
      <c r="I4615">
        <v>1700</v>
      </c>
      <c r="J4615">
        <v>0</v>
      </c>
    </row>
    <row r="4616" spans="1:10" x14ac:dyDescent="0.3">
      <c r="A4616" s="15">
        <v>45809</v>
      </c>
      <c r="B4616" t="s">
        <v>388</v>
      </c>
      <c r="C4616" t="s">
        <v>81</v>
      </c>
      <c r="D4616" t="s">
        <v>99</v>
      </c>
      <c r="E4616" t="s">
        <v>103</v>
      </c>
      <c r="F4616">
        <v>1700</v>
      </c>
      <c r="G4616" t="s">
        <v>331</v>
      </c>
      <c r="H4616" s="15">
        <v>45566</v>
      </c>
      <c r="I4616">
        <v>1700</v>
      </c>
      <c r="J4616">
        <v>0</v>
      </c>
    </row>
    <row r="4617" spans="1:10" x14ac:dyDescent="0.3">
      <c r="A4617" s="15">
        <v>45809</v>
      </c>
      <c r="B4617" t="s">
        <v>389</v>
      </c>
      <c r="C4617" t="s">
        <v>91</v>
      </c>
      <c r="D4617" t="s">
        <v>82</v>
      </c>
      <c r="E4617" t="s">
        <v>101</v>
      </c>
      <c r="F4617">
        <v>7300</v>
      </c>
      <c r="G4617" t="s">
        <v>331</v>
      </c>
      <c r="H4617" s="15">
        <v>45566</v>
      </c>
      <c r="I4617">
        <v>7300</v>
      </c>
      <c r="J4617">
        <v>0</v>
      </c>
    </row>
    <row r="4618" spans="1:10" x14ac:dyDescent="0.3">
      <c r="A4618" s="15">
        <v>45809</v>
      </c>
      <c r="B4618" t="s">
        <v>390</v>
      </c>
      <c r="C4618" t="s">
        <v>91</v>
      </c>
      <c r="D4618" t="s">
        <v>82</v>
      </c>
      <c r="E4618" t="s">
        <v>89</v>
      </c>
      <c r="F4618">
        <v>6200</v>
      </c>
      <c r="G4618" t="s">
        <v>331</v>
      </c>
      <c r="H4618" s="15">
        <v>45566</v>
      </c>
      <c r="I4618">
        <v>6200</v>
      </c>
      <c r="J4618">
        <v>0</v>
      </c>
    </row>
    <row r="4619" spans="1:10" x14ac:dyDescent="0.3">
      <c r="A4619" s="15">
        <v>45809</v>
      </c>
      <c r="B4619" t="s">
        <v>392</v>
      </c>
      <c r="C4619" t="s">
        <v>91</v>
      </c>
      <c r="D4619" t="s">
        <v>86</v>
      </c>
      <c r="E4619" t="s">
        <v>97</v>
      </c>
      <c r="F4619">
        <v>10000</v>
      </c>
      <c r="G4619" t="s">
        <v>331</v>
      </c>
      <c r="H4619" s="15">
        <v>45597</v>
      </c>
      <c r="I4619">
        <v>10000</v>
      </c>
      <c r="J4619">
        <v>0</v>
      </c>
    </row>
    <row r="4620" spans="1:10" x14ac:dyDescent="0.3">
      <c r="A4620" s="15">
        <v>45809</v>
      </c>
      <c r="B4620" t="s">
        <v>393</v>
      </c>
      <c r="C4620" t="s">
        <v>81</v>
      </c>
      <c r="D4620" t="s">
        <v>82</v>
      </c>
      <c r="E4620" t="s">
        <v>92</v>
      </c>
      <c r="F4620">
        <v>2100</v>
      </c>
      <c r="G4620" t="s">
        <v>331</v>
      </c>
      <c r="H4620" s="15">
        <v>45597</v>
      </c>
      <c r="I4620">
        <v>2100</v>
      </c>
      <c r="J4620">
        <v>0</v>
      </c>
    </row>
    <row r="4621" spans="1:10" x14ac:dyDescent="0.3">
      <c r="A4621" s="15">
        <v>45809</v>
      </c>
      <c r="B4621" t="s">
        <v>394</v>
      </c>
      <c r="C4621" t="s">
        <v>81</v>
      </c>
      <c r="D4621" t="s">
        <v>99</v>
      </c>
      <c r="E4621" t="s">
        <v>87</v>
      </c>
      <c r="F4621">
        <v>1400</v>
      </c>
      <c r="G4621" t="s">
        <v>331</v>
      </c>
      <c r="H4621" s="15">
        <v>45597</v>
      </c>
      <c r="I4621">
        <v>1400</v>
      </c>
      <c r="J4621">
        <v>0</v>
      </c>
    </row>
    <row r="4622" spans="1:10" x14ac:dyDescent="0.3">
      <c r="A4622" s="15">
        <v>45809</v>
      </c>
      <c r="B4622" t="s">
        <v>395</v>
      </c>
      <c r="C4622" t="s">
        <v>81</v>
      </c>
      <c r="D4622" t="s">
        <v>82</v>
      </c>
      <c r="E4622" t="s">
        <v>97</v>
      </c>
      <c r="F4622">
        <v>2200</v>
      </c>
      <c r="G4622" t="s">
        <v>331</v>
      </c>
      <c r="H4622" s="15">
        <v>45627</v>
      </c>
      <c r="I4622">
        <v>2200</v>
      </c>
      <c r="J4622">
        <v>0</v>
      </c>
    </row>
    <row r="4623" spans="1:10" x14ac:dyDescent="0.3">
      <c r="A4623" s="15">
        <v>45809</v>
      </c>
      <c r="B4623" t="s">
        <v>396</v>
      </c>
      <c r="C4623" t="s">
        <v>91</v>
      </c>
      <c r="D4623" t="s">
        <v>82</v>
      </c>
      <c r="E4623" t="s">
        <v>92</v>
      </c>
      <c r="F4623">
        <v>8800</v>
      </c>
      <c r="G4623" t="s">
        <v>331</v>
      </c>
      <c r="H4623" s="15">
        <v>45627</v>
      </c>
      <c r="I4623">
        <v>8800</v>
      </c>
      <c r="J4623">
        <v>0</v>
      </c>
    </row>
    <row r="4624" spans="1:10" x14ac:dyDescent="0.3">
      <c r="A4624" s="15">
        <v>45809</v>
      </c>
      <c r="B4624" t="s">
        <v>397</v>
      </c>
      <c r="C4624" t="s">
        <v>91</v>
      </c>
      <c r="D4624" t="s">
        <v>82</v>
      </c>
      <c r="E4624" t="s">
        <v>83</v>
      </c>
      <c r="F4624">
        <v>5400</v>
      </c>
      <c r="G4624" t="s">
        <v>331</v>
      </c>
      <c r="H4624" s="15">
        <v>45627</v>
      </c>
      <c r="I4624">
        <v>5400</v>
      </c>
      <c r="J4624">
        <v>0</v>
      </c>
    </row>
    <row r="4625" spans="1:10" x14ac:dyDescent="0.3">
      <c r="A4625" s="15">
        <v>45809</v>
      </c>
      <c r="B4625" t="s">
        <v>398</v>
      </c>
      <c r="C4625" t="s">
        <v>81</v>
      </c>
      <c r="D4625" t="s">
        <v>86</v>
      </c>
      <c r="E4625" t="s">
        <v>92</v>
      </c>
      <c r="F4625">
        <v>1600</v>
      </c>
      <c r="G4625" t="s">
        <v>331</v>
      </c>
      <c r="H4625" s="15">
        <v>45627</v>
      </c>
      <c r="I4625">
        <v>1600</v>
      </c>
      <c r="J4625">
        <v>0</v>
      </c>
    </row>
    <row r="4626" spans="1:10" x14ac:dyDescent="0.3">
      <c r="A4626" s="15">
        <v>45809</v>
      </c>
      <c r="B4626" t="s">
        <v>399</v>
      </c>
      <c r="C4626" t="s">
        <v>110</v>
      </c>
      <c r="D4626" t="s">
        <v>82</v>
      </c>
      <c r="E4626" t="s">
        <v>101</v>
      </c>
      <c r="F4626">
        <v>17400</v>
      </c>
      <c r="G4626" t="s">
        <v>331</v>
      </c>
      <c r="H4626" s="15">
        <v>45627</v>
      </c>
      <c r="I4626">
        <v>17400</v>
      </c>
      <c r="J4626">
        <v>0</v>
      </c>
    </row>
    <row r="4627" spans="1:10" x14ac:dyDescent="0.3">
      <c r="A4627" s="15">
        <v>45809</v>
      </c>
      <c r="B4627" t="s">
        <v>400</v>
      </c>
      <c r="C4627" t="s">
        <v>91</v>
      </c>
      <c r="D4627" t="s">
        <v>82</v>
      </c>
      <c r="E4627" t="s">
        <v>103</v>
      </c>
      <c r="F4627">
        <v>4400</v>
      </c>
      <c r="G4627" t="s">
        <v>331</v>
      </c>
      <c r="H4627" s="15">
        <v>45627</v>
      </c>
      <c r="I4627">
        <v>4400</v>
      </c>
      <c r="J4627">
        <v>0</v>
      </c>
    </row>
    <row r="4628" spans="1:10" x14ac:dyDescent="0.3">
      <c r="A4628" s="15">
        <v>45809</v>
      </c>
      <c r="B4628" t="s">
        <v>403</v>
      </c>
      <c r="C4628" t="s">
        <v>81</v>
      </c>
      <c r="D4628" t="s">
        <v>82</v>
      </c>
      <c r="E4628" t="s">
        <v>101</v>
      </c>
      <c r="F4628">
        <v>1900</v>
      </c>
      <c r="G4628" t="s">
        <v>331</v>
      </c>
      <c r="H4628" s="15">
        <v>45658</v>
      </c>
      <c r="I4628">
        <v>1900</v>
      </c>
      <c r="J4628">
        <v>0</v>
      </c>
    </row>
    <row r="4629" spans="1:10" x14ac:dyDescent="0.3">
      <c r="A4629" s="15">
        <v>45809</v>
      </c>
      <c r="B4629" t="s">
        <v>404</v>
      </c>
      <c r="C4629" t="s">
        <v>81</v>
      </c>
      <c r="D4629" t="s">
        <v>86</v>
      </c>
      <c r="E4629" t="s">
        <v>83</v>
      </c>
      <c r="F4629">
        <v>2100</v>
      </c>
      <c r="G4629" t="s">
        <v>331</v>
      </c>
      <c r="H4629" s="15">
        <v>45658</v>
      </c>
      <c r="I4629">
        <v>2100</v>
      </c>
      <c r="J4629">
        <v>0</v>
      </c>
    </row>
    <row r="4630" spans="1:10" x14ac:dyDescent="0.3">
      <c r="A4630" s="15">
        <v>45809</v>
      </c>
      <c r="B4630" t="s">
        <v>405</v>
      </c>
      <c r="C4630" t="s">
        <v>81</v>
      </c>
      <c r="D4630" t="s">
        <v>82</v>
      </c>
      <c r="E4630" t="s">
        <v>92</v>
      </c>
      <c r="F4630">
        <v>1600</v>
      </c>
      <c r="G4630" t="s">
        <v>332</v>
      </c>
      <c r="H4630" s="15">
        <v>45658</v>
      </c>
      <c r="I4630">
        <v>1500</v>
      </c>
      <c r="J4630">
        <v>100</v>
      </c>
    </row>
    <row r="4631" spans="1:10" x14ac:dyDescent="0.3">
      <c r="A4631" s="15">
        <v>45809</v>
      </c>
      <c r="B4631" t="s">
        <v>406</v>
      </c>
      <c r="C4631" t="s">
        <v>91</v>
      </c>
      <c r="D4631" t="s">
        <v>86</v>
      </c>
      <c r="E4631" t="s">
        <v>87</v>
      </c>
      <c r="F4631">
        <v>5400</v>
      </c>
      <c r="G4631" t="s">
        <v>331</v>
      </c>
      <c r="H4631" s="15">
        <v>45658</v>
      </c>
      <c r="I4631">
        <v>5400</v>
      </c>
      <c r="J4631">
        <v>0</v>
      </c>
    </row>
    <row r="4632" spans="1:10" x14ac:dyDescent="0.3">
      <c r="A4632" s="15">
        <v>45809</v>
      </c>
      <c r="B4632" t="s">
        <v>407</v>
      </c>
      <c r="C4632" t="s">
        <v>81</v>
      </c>
      <c r="D4632" t="s">
        <v>82</v>
      </c>
      <c r="E4632" t="s">
        <v>92</v>
      </c>
      <c r="F4632">
        <v>2400</v>
      </c>
      <c r="G4632" t="s">
        <v>331</v>
      </c>
      <c r="H4632" s="15">
        <v>45689</v>
      </c>
      <c r="I4632">
        <v>2400</v>
      </c>
      <c r="J4632">
        <v>0</v>
      </c>
    </row>
    <row r="4633" spans="1:10" x14ac:dyDescent="0.3">
      <c r="A4633" s="15">
        <v>45809</v>
      </c>
      <c r="B4633" t="s">
        <v>409</v>
      </c>
      <c r="C4633" t="s">
        <v>81</v>
      </c>
      <c r="D4633" t="s">
        <v>82</v>
      </c>
      <c r="E4633" t="s">
        <v>83</v>
      </c>
      <c r="F4633">
        <v>1700</v>
      </c>
      <c r="G4633" t="s">
        <v>331</v>
      </c>
      <c r="H4633" s="15">
        <v>45689</v>
      </c>
      <c r="I4633">
        <v>1700</v>
      </c>
      <c r="J4633">
        <v>0</v>
      </c>
    </row>
    <row r="4634" spans="1:10" x14ac:dyDescent="0.3">
      <c r="A4634" s="15">
        <v>45809</v>
      </c>
      <c r="B4634" t="s">
        <v>410</v>
      </c>
      <c r="C4634" t="s">
        <v>125</v>
      </c>
      <c r="D4634" t="s">
        <v>82</v>
      </c>
      <c r="E4634" t="s">
        <v>103</v>
      </c>
      <c r="F4634">
        <v>56400</v>
      </c>
      <c r="G4634" t="s">
        <v>331</v>
      </c>
      <c r="H4634" s="15">
        <v>45689</v>
      </c>
      <c r="I4634">
        <v>56400</v>
      </c>
      <c r="J4634">
        <v>0</v>
      </c>
    </row>
    <row r="4635" spans="1:10" x14ac:dyDescent="0.3">
      <c r="A4635" s="15">
        <v>45809</v>
      </c>
      <c r="B4635" t="s">
        <v>411</v>
      </c>
      <c r="C4635" t="s">
        <v>91</v>
      </c>
      <c r="D4635" t="s">
        <v>86</v>
      </c>
      <c r="E4635" t="s">
        <v>92</v>
      </c>
      <c r="F4635">
        <v>8900</v>
      </c>
      <c r="G4635" t="s">
        <v>331</v>
      </c>
      <c r="H4635" s="15">
        <v>45689</v>
      </c>
      <c r="I4635">
        <v>8900</v>
      </c>
      <c r="J4635">
        <v>0</v>
      </c>
    </row>
    <row r="4636" spans="1:10" x14ac:dyDescent="0.3">
      <c r="A4636" s="15">
        <v>45809</v>
      </c>
      <c r="B4636" t="s">
        <v>412</v>
      </c>
      <c r="C4636" t="s">
        <v>81</v>
      </c>
      <c r="D4636" t="s">
        <v>82</v>
      </c>
      <c r="E4636" t="s">
        <v>89</v>
      </c>
      <c r="F4636">
        <v>2200</v>
      </c>
      <c r="G4636" t="s">
        <v>331</v>
      </c>
      <c r="H4636" s="15">
        <v>45717</v>
      </c>
      <c r="I4636">
        <v>2200</v>
      </c>
      <c r="J4636">
        <v>0</v>
      </c>
    </row>
    <row r="4637" spans="1:10" x14ac:dyDescent="0.3">
      <c r="A4637" s="15">
        <v>45809</v>
      </c>
      <c r="B4637" t="s">
        <v>413</v>
      </c>
      <c r="C4637" t="s">
        <v>81</v>
      </c>
      <c r="D4637" t="s">
        <v>99</v>
      </c>
      <c r="E4637" t="s">
        <v>101</v>
      </c>
      <c r="F4637">
        <v>2300</v>
      </c>
      <c r="G4637" t="s">
        <v>331</v>
      </c>
      <c r="H4637" s="15">
        <v>45717</v>
      </c>
      <c r="I4637">
        <v>2300</v>
      </c>
      <c r="J4637">
        <v>0</v>
      </c>
    </row>
    <row r="4638" spans="1:10" x14ac:dyDescent="0.3">
      <c r="A4638" s="15">
        <v>45809</v>
      </c>
      <c r="B4638" t="s">
        <v>414</v>
      </c>
      <c r="C4638" t="s">
        <v>110</v>
      </c>
      <c r="D4638" t="s">
        <v>99</v>
      </c>
      <c r="E4638" t="s">
        <v>89</v>
      </c>
      <c r="F4638">
        <v>30900</v>
      </c>
      <c r="G4638" t="s">
        <v>331</v>
      </c>
      <c r="H4638" s="15">
        <v>45717</v>
      </c>
      <c r="I4638">
        <v>30900</v>
      </c>
      <c r="J4638">
        <v>0</v>
      </c>
    </row>
    <row r="4639" spans="1:10" x14ac:dyDescent="0.3">
      <c r="A4639" s="15">
        <v>45809</v>
      </c>
      <c r="B4639" t="s">
        <v>415</v>
      </c>
      <c r="C4639" t="s">
        <v>81</v>
      </c>
      <c r="D4639" t="s">
        <v>96</v>
      </c>
      <c r="E4639" t="s">
        <v>89</v>
      </c>
      <c r="F4639">
        <v>0</v>
      </c>
      <c r="G4639" t="s">
        <v>333</v>
      </c>
      <c r="H4639" s="15">
        <v>45717</v>
      </c>
      <c r="I4639">
        <v>2100</v>
      </c>
      <c r="J4639">
        <v>-2100</v>
      </c>
    </row>
    <row r="4640" spans="1:10" x14ac:dyDescent="0.3">
      <c r="A4640" s="15">
        <v>45809</v>
      </c>
      <c r="B4640" t="s">
        <v>416</v>
      </c>
      <c r="C4640" t="s">
        <v>81</v>
      </c>
      <c r="D4640" t="s">
        <v>99</v>
      </c>
      <c r="E4640" t="s">
        <v>103</v>
      </c>
      <c r="F4640">
        <v>2500</v>
      </c>
      <c r="G4640" t="s">
        <v>331</v>
      </c>
      <c r="H4640" s="15">
        <v>45717</v>
      </c>
      <c r="I4640">
        <v>2500</v>
      </c>
      <c r="J4640">
        <v>0</v>
      </c>
    </row>
    <row r="4641" spans="1:10" x14ac:dyDescent="0.3">
      <c r="A4641" s="15">
        <v>45809</v>
      </c>
      <c r="B4641" t="s">
        <v>417</v>
      </c>
      <c r="C4641" t="s">
        <v>110</v>
      </c>
      <c r="D4641" t="s">
        <v>86</v>
      </c>
      <c r="E4641" t="s">
        <v>92</v>
      </c>
      <c r="F4641">
        <v>35600</v>
      </c>
      <c r="G4641" t="s">
        <v>331</v>
      </c>
      <c r="H4641" s="15">
        <v>45717</v>
      </c>
      <c r="I4641">
        <v>35600</v>
      </c>
      <c r="J4641">
        <v>0</v>
      </c>
    </row>
    <row r="4642" spans="1:10" x14ac:dyDescent="0.3">
      <c r="A4642" s="15">
        <v>45809</v>
      </c>
      <c r="B4642" t="s">
        <v>418</v>
      </c>
      <c r="C4642" t="s">
        <v>81</v>
      </c>
      <c r="D4642" t="s">
        <v>86</v>
      </c>
      <c r="E4642" t="s">
        <v>92</v>
      </c>
      <c r="F4642">
        <v>1600</v>
      </c>
      <c r="G4642" t="s">
        <v>331</v>
      </c>
      <c r="H4642" s="15">
        <v>45748</v>
      </c>
      <c r="I4642">
        <v>1600</v>
      </c>
      <c r="J4642">
        <v>0</v>
      </c>
    </row>
    <row r="4643" spans="1:10" x14ac:dyDescent="0.3">
      <c r="A4643" s="15">
        <v>45809</v>
      </c>
      <c r="B4643" t="s">
        <v>419</v>
      </c>
      <c r="C4643" t="s">
        <v>125</v>
      </c>
      <c r="D4643" t="s">
        <v>96</v>
      </c>
      <c r="E4643" t="s">
        <v>103</v>
      </c>
      <c r="F4643">
        <v>73300</v>
      </c>
      <c r="G4643" t="s">
        <v>331</v>
      </c>
      <c r="H4643" s="15">
        <v>45748</v>
      </c>
      <c r="I4643">
        <v>73300</v>
      </c>
      <c r="J4643">
        <v>0</v>
      </c>
    </row>
    <row r="4644" spans="1:10" x14ac:dyDescent="0.3">
      <c r="A4644" s="15">
        <v>45809</v>
      </c>
      <c r="B4644" t="s">
        <v>420</v>
      </c>
      <c r="C4644" t="s">
        <v>110</v>
      </c>
      <c r="D4644" t="s">
        <v>96</v>
      </c>
      <c r="E4644" t="s">
        <v>103</v>
      </c>
      <c r="F4644">
        <v>22900</v>
      </c>
      <c r="G4644" t="s">
        <v>331</v>
      </c>
      <c r="H4644" s="15">
        <v>45748</v>
      </c>
      <c r="I4644">
        <v>22900</v>
      </c>
      <c r="J4644">
        <v>0</v>
      </c>
    </row>
    <row r="4645" spans="1:10" x14ac:dyDescent="0.3">
      <c r="A4645" s="15">
        <v>45809</v>
      </c>
      <c r="B4645" t="s">
        <v>421</v>
      </c>
      <c r="C4645" t="s">
        <v>110</v>
      </c>
      <c r="D4645" t="s">
        <v>82</v>
      </c>
      <c r="E4645" t="s">
        <v>103</v>
      </c>
      <c r="F4645">
        <v>18800</v>
      </c>
      <c r="G4645" t="s">
        <v>331</v>
      </c>
      <c r="H4645" s="15">
        <v>45748</v>
      </c>
      <c r="I4645">
        <v>18800</v>
      </c>
      <c r="J4645">
        <v>0</v>
      </c>
    </row>
    <row r="4646" spans="1:10" x14ac:dyDescent="0.3">
      <c r="A4646" s="15">
        <v>45809</v>
      </c>
      <c r="B4646" t="s">
        <v>422</v>
      </c>
      <c r="C4646" t="s">
        <v>81</v>
      </c>
      <c r="D4646" t="s">
        <v>82</v>
      </c>
      <c r="E4646" t="s">
        <v>97</v>
      </c>
      <c r="F4646">
        <v>2300</v>
      </c>
      <c r="G4646" t="s">
        <v>331</v>
      </c>
      <c r="H4646" s="15">
        <v>45748</v>
      </c>
      <c r="I4646">
        <v>2300</v>
      </c>
      <c r="J4646">
        <v>0</v>
      </c>
    </row>
    <row r="4647" spans="1:10" x14ac:dyDescent="0.3">
      <c r="A4647" s="15">
        <v>45809</v>
      </c>
      <c r="B4647" t="s">
        <v>423</v>
      </c>
      <c r="C4647" t="s">
        <v>125</v>
      </c>
      <c r="D4647" t="s">
        <v>86</v>
      </c>
      <c r="E4647" t="s">
        <v>97</v>
      </c>
      <c r="F4647">
        <v>52800</v>
      </c>
      <c r="G4647" t="s">
        <v>331</v>
      </c>
      <c r="H4647" s="15">
        <v>45748</v>
      </c>
      <c r="I4647">
        <v>52800</v>
      </c>
      <c r="J4647">
        <v>0</v>
      </c>
    </row>
    <row r="4648" spans="1:10" x14ac:dyDescent="0.3">
      <c r="A4648" s="15">
        <v>45809</v>
      </c>
      <c r="B4648" t="s">
        <v>424</v>
      </c>
      <c r="C4648" t="s">
        <v>81</v>
      </c>
      <c r="D4648" t="s">
        <v>82</v>
      </c>
      <c r="E4648" t="s">
        <v>87</v>
      </c>
      <c r="F4648">
        <v>0</v>
      </c>
      <c r="G4648" t="s">
        <v>333</v>
      </c>
      <c r="H4648" s="15">
        <v>45778</v>
      </c>
      <c r="I4648">
        <v>1600</v>
      </c>
      <c r="J4648">
        <v>-1600</v>
      </c>
    </row>
    <row r="4649" spans="1:10" x14ac:dyDescent="0.3">
      <c r="A4649" s="15">
        <v>45809</v>
      </c>
      <c r="B4649" t="s">
        <v>425</v>
      </c>
      <c r="C4649" t="s">
        <v>110</v>
      </c>
      <c r="D4649" t="s">
        <v>82</v>
      </c>
      <c r="E4649" t="s">
        <v>97</v>
      </c>
      <c r="F4649">
        <v>22700</v>
      </c>
      <c r="G4649" t="s">
        <v>332</v>
      </c>
      <c r="H4649" s="15">
        <v>45778</v>
      </c>
      <c r="I4649">
        <v>21600</v>
      </c>
      <c r="J4649">
        <v>1100</v>
      </c>
    </row>
    <row r="4650" spans="1:10" x14ac:dyDescent="0.3">
      <c r="A4650" s="15">
        <v>45809</v>
      </c>
      <c r="B4650" t="s">
        <v>426</v>
      </c>
      <c r="C4650" t="s">
        <v>81</v>
      </c>
      <c r="D4650" t="s">
        <v>82</v>
      </c>
      <c r="E4650" t="s">
        <v>89</v>
      </c>
      <c r="F4650">
        <v>1900</v>
      </c>
      <c r="G4650" t="s">
        <v>331</v>
      </c>
      <c r="H4650" s="15">
        <v>45778</v>
      </c>
      <c r="I4650">
        <v>1900</v>
      </c>
      <c r="J4650">
        <v>0</v>
      </c>
    </row>
    <row r="4651" spans="1:10" x14ac:dyDescent="0.3">
      <c r="A4651" s="15">
        <v>45809</v>
      </c>
      <c r="B4651" t="s">
        <v>427</v>
      </c>
      <c r="C4651" t="s">
        <v>110</v>
      </c>
      <c r="D4651" t="s">
        <v>82</v>
      </c>
      <c r="E4651" t="s">
        <v>83</v>
      </c>
      <c r="F4651">
        <v>23900</v>
      </c>
      <c r="G4651" t="s">
        <v>331</v>
      </c>
      <c r="H4651" s="15">
        <v>45778</v>
      </c>
      <c r="I4651">
        <v>23900</v>
      </c>
      <c r="J4651">
        <v>0</v>
      </c>
    </row>
    <row r="4652" spans="1:10" x14ac:dyDescent="0.3">
      <c r="A4652" s="15">
        <v>45809</v>
      </c>
      <c r="B4652" t="s">
        <v>428</v>
      </c>
      <c r="C4652" t="s">
        <v>81</v>
      </c>
      <c r="D4652" t="s">
        <v>86</v>
      </c>
      <c r="E4652" t="s">
        <v>89</v>
      </c>
      <c r="F4652">
        <v>2300</v>
      </c>
      <c r="G4652" t="s">
        <v>332</v>
      </c>
      <c r="H4652" s="15">
        <v>45778</v>
      </c>
      <c r="I4652">
        <v>2000</v>
      </c>
      <c r="J4652">
        <v>300</v>
      </c>
    </row>
    <row r="4653" spans="1:10" x14ac:dyDescent="0.3">
      <c r="A4653" s="15">
        <v>45809</v>
      </c>
      <c r="B4653" t="s">
        <v>429</v>
      </c>
      <c r="C4653" t="s">
        <v>81</v>
      </c>
      <c r="D4653" t="s">
        <v>82</v>
      </c>
      <c r="E4653" t="s">
        <v>97</v>
      </c>
      <c r="F4653">
        <v>2100</v>
      </c>
      <c r="G4653" t="s">
        <v>84</v>
      </c>
      <c r="H4653" s="15">
        <v>45809</v>
      </c>
      <c r="I4653">
        <v>0</v>
      </c>
      <c r="J4653">
        <v>2100</v>
      </c>
    </row>
    <row r="4654" spans="1:10" x14ac:dyDescent="0.3">
      <c r="A4654" s="15">
        <v>45809</v>
      </c>
      <c r="B4654" t="s">
        <v>430</v>
      </c>
      <c r="C4654" t="s">
        <v>110</v>
      </c>
      <c r="D4654" t="s">
        <v>82</v>
      </c>
      <c r="E4654" t="s">
        <v>87</v>
      </c>
      <c r="F4654">
        <v>24300</v>
      </c>
      <c r="G4654" t="s">
        <v>84</v>
      </c>
      <c r="H4654" s="15">
        <v>45809</v>
      </c>
      <c r="I4654">
        <v>0</v>
      </c>
      <c r="J4654">
        <v>24300</v>
      </c>
    </row>
    <row r="4655" spans="1:10" x14ac:dyDescent="0.3">
      <c r="A4655" s="15">
        <v>45809</v>
      </c>
      <c r="B4655" t="s">
        <v>431</v>
      </c>
      <c r="C4655" t="s">
        <v>110</v>
      </c>
      <c r="D4655" t="s">
        <v>82</v>
      </c>
      <c r="E4655" t="s">
        <v>101</v>
      </c>
      <c r="F4655">
        <v>19800</v>
      </c>
      <c r="G4655" t="s">
        <v>84</v>
      </c>
      <c r="H4655" s="15">
        <v>45809</v>
      </c>
      <c r="I4655">
        <v>0</v>
      </c>
      <c r="J4655">
        <v>19800</v>
      </c>
    </row>
    <row r="4656" spans="1:10" x14ac:dyDescent="0.3">
      <c r="A4656" s="15">
        <v>45809</v>
      </c>
      <c r="B4656" t="s">
        <v>432</v>
      </c>
      <c r="C4656" t="s">
        <v>81</v>
      </c>
      <c r="D4656" t="s">
        <v>82</v>
      </c>
      <c r="E4656" t="s">
        <v>83</v>
      </c>
      <c r="F4656">
        <v>2400</v>
      </c>
      <c r="G4656" t="s">
        <v>84</v>
      </c>
      <c r="H4656" s="15">
        <v>45809</v>
      </c>
      <c r="I4656">
        <v>0</v>
      </c>
      <c r="J4656">
        <v>2400</v>
      </c>
    </row>
    <row r="4657" spans="1:10" x14ac:dyDescent="0.3">
      <c r="A4657" s="15">
        <v>45809</v>
      </c>
      <c r="B4657" t="s">
        <v>433</v>
      </c>
      <c r="C4657" t="s">
        <v>81</v>
      </c>
      <c r="D4657" t="s">
        <v>86</v>
      </c>
      <c r="E4657" t="s">
        <v>97</v>
      </c>
      <c r="F4657">
        <v>1500</v>
      </c>
      <c r="G4657" t="s">
        <v>84</v>
      </c>
      <c r="H4657" s="15">
        <v>45809</v>
      </c>
      <c r="I4657">
        <v>0</v>
      </c>
      <c r="J4657">
        <v>1500</v>
      </c>
    </row>
    <row r="4658" spans="1:10" x14ac:dyDescent="0.3">
      <c r="A4658" s="15">
        <v>45809</v>
      </c>
      <c r="B4658" t="s">
        <v>434</v>
      </c>
      <c r="C4658" t="s">
        <v>81</v>
      </c>
      <c r="D4658" t="s">
        <v>82</v>
      </c>
      <c r="E4658" t="s">
        <v>97</v>
      </c>
      <c r="F4658">
        <v>2000</v>
      </c>
      <c r="G4658" t="s">
        <v>84</v>
      </c>
      <c r="H4658" s="15">
        <v>45809</v>
      </c>
      <c r="I4658">
        <v>0</v>
      </c>
      <c r="J4658">
        <v>2000</v>
      </c>
    </row>
    <row r="4659" spans="1:10" x14ac:dyDescent="0.3">
      <c r="A4659" s="15">
        <v>45809</v>
      </c>
      <c r="B4659" t="s">
        <v>435</v>
      </c>
      <c r="C4659" t="s">
        <v>81</v>
      </c>
      <c r="D4659" t="s">
        <v>82</v>
      </c>
      <c r="E4659" t="s">
        <v>92</v>
      </c>
      <c r="F4659">
        <v>1400</v>
      </c>
      <c r="G4659" t="s">
        <v>84</v>
      </c>
      <c r="H4659" s="15">
        <v>45809</v>
      </c>
      <c r="I4659">
        <v>0</v>
      </c>
      <c r="J4659">
        <v>1400</v>
      </c>
    </row>
    <row r="4660" spans="1:10" x14ac:dyDescent="0.3">
      <c r="A4660" s="15">
        <v>45839</v>
      </c>
      <c r="B4660" t="s">
        <v>80</v>
      </c>
      <c r="C4660" t="s">
        <v>81</v>
      </c>
      <c r="D4660" t="s">
        <v>82</v>
      </c>
      <c r="E4660" t="s">
        <v>83</v>
      </c>
      <c r="F4660">
        <v>1900</v>
      </c>
      <c r="G4660" t="s">
        <v>331</v>
      </c>
      <c r="H4660" s="15">
        <v>45292</v>
      </c>
      <c r="I4660">
        <v>1900</v>
      </c>
      <c r="J4660">
        <v>0</v>
      </c>
    </row>
    <row r="4661" spans="1:10" x14ac:dyDescent="0.3">
      <c r="A4661" s="15">
        <v>45839</v>
      </c>
      <c r="B4661" t="s">
        <v>85</v>
      </c>
      <c r="C4661" t="s">
        <v>81</v>
      </c>
      <c r="D4661" t="s">
        <v>86</v>
      </c>
      <c r="E4661" t="s">
        <v>87</v>
      </c>
      <c r="F4661">
        <v>2700</v>
      </c>
      <c r="G4661" t="s">
        <v>331</v>
      </c>
      <c r="H4661" s="15">
        <v>45292</v>
      </c>
      <c r="I4661">
        <v>2700</v>
      </c>
      <c r="J4661">
        <v>0</v>
      </c>
    </row>
    <row r="4662" spans="1:10" x14ac:dyDescent="0.3">
      <c r="A4662" s="15">
        <v>45839</v>
      </c>
      <c r="B4662" t="s">
        <v>88</v>
      </c>
      <c r="C4662" t="s">
        <v>81</v>
      </c>
      <c r="D4662" t="s">
        <v>86</v>
      </c>
      <c r="E4662" t="s">
        <v>89</v>
      </c>
      <c r="F4662">
        <v>2400</v>
      </c>
      <c r="G4662" t="s">
        <v>331</v>
      </c>
      <c r="H4662" s="15">
        <v>45292</v>
      </c>
      <c r="I4662">
        <v>2400</v>
      </c>
      <c r="J4662">
        <v>0</v>
      </c>
    </row>
    <row r="4663" spans="1:10" x14ac:dyDescent="0.3">
      <c r="A4663" s="15">
        <v>45839</v>
      </c>
      <c r="B4663" t="s">
        <v>90</v>
      </c>
      <c r="C4663" t="s">
        <v>91</v>
      </c>
      <c r="D4663" t="s">
        <v>82</v>
      </c>
      <c r="E4663" t="s">
        <v>92</v>
      </c>
      <c r="F4663">
        <v>8300</v>
      </c>
      <c r="G4663" t="s">
        <v>331</v>
      </c>
      <c r="H4663" s="15">
        <v>45292</v>
      </c>
      <c r="I4663">
        <v>8300</v>
      </c>
      <c r="J4663">
        <v>0</v>
      </c>
    </row>
    <row r="4664" spans="1:10" x14ac:dyDescent="0.3">
      <c r="A4664" s="15">
        <v>45839</v>
      </c>
      <c r="B4664" t="s">
        <v>93</v>
      </c>
      <c r="C4664" t="s">
        <v>81</v>
      </c>
      <c r="D4664" t="s">
        <v>86</v>
      </c>
      <c r="E4664" t="s">
        <v>83</v>
      </c>
      <c r="F4664">
        <v>2300</v>
      </c>
      <c r="G4664" t="s">
        <v>331</v>
      </c>
      <c r="H4664" s="15">
        <v>45292</v>
      </c>
      <c r="I4664">
        <v>2300</v>
      </c>
      <c r="J4664">
        <v>0</v>
      </c>
    </row>
    <row r="4665" spans="1:10" x14ac:dyDescent="0.3">
      <c r="A4665" s="15">
        <v>45839</v>
      </c>
      <c r="B4665" t="s">
        <v>94</v>
      </c>
      <c r="C4665" t="s">
        <v>91</v>
      </c>
      <c r="D4665" t="s">
        <v>86</v>
      </c>
      <c r="E4665" t="s">
        <v>83</v>
      </c>
      <c r="F4665">
        <v>8500</v>
      </c>
      <c r="G4665" t="s">
        <v>331</v>
      </c>
      <c r="H4665" s="15">
        <v>45292</v>
      </c>
      <c r="I4665">
        <v>8500</v>
      </c>
      <c r="J4665">
        <v>0</v>
      </c>
    </row>
    <row r="4666" spans="1:10" x14ac:dyDescent="0.3">
      <c r="A4666" s="15">
        <v>45839</v>
      </c>
      <c r="B4666" t="s">
        <v>95</v>
      </c>
      <c r="C4666" t="s">
        <v>81</v>
      </c>
      <c r="D4666" t="s">
        <v>96</v>
      </c>
      <c r="E4666" t="s">
        <v>97</v>
      </c>
      <c r="F4666">
        <v>3100</v>
      </c>
      <c r="G4666" t="s">
        <v>331</v>
      </c>
      <c r="H4666" s="15">
        <v>45292</v>
      </c>
      <c r="I4666">
        <v>3100</v>
      </c>
      <c r="J4666">
        <v>0</v>
      </c>
    </row>
    <row r="4667" spans="1:10" x14ac:dyDescent="0.3">
      <c r="A4667" s="15">
        <v>45839</v>
      </c>
      <c r="B4667" t="s">
        <v>98</v>
      </c>
      <c r="C4667" t="s">
        <v>81</v>
      </c>
      <c r="D4667" t="s">
        <v>99</v>
      </c>
      <c r="E4667" t="s">
        <v>92</v>
      </c>
      <c r="F4667">
        <v>2300</v>
      </c>
      <c r="G4667" t="s">
        <v>331</v>
      </c>
      <c r="H4667" s="15">
        <v>45292</v>
      </c>
      <c r="I4667">
        <v>2300</v>
      </c>
      <c r="J4667">
        <v>0</v>
      </c>
    </row>
    <row r="4668" spans="1:10" x14ac:dyDescent="0.3">
      <c r="A4668" s="15">
        <v>45839</v>
      </c>
      <c r="B4668" t="s">
        <v>100</v>
      </c>
      <c r="C4668" t="s">
        <v>81</v>
      </c>
      <c r="D4668" t="s">
        <v>86</v>
      </c>
      <c r="E4668" t="s">
        <v>101</v>
      </c>
      <c r="F4668">
        <v>1800</v>
      </c>
      <c r="G4668" t="s">
        <v>331</v>
      </c>
      <c r="H4668" s="15">
        <v>45292</v>
      </c>
      <c r="I4668">
        <v>1800</v>
      </c>
      <c r="J4668">
        <v>0</v>
      </c>
    </row>
    <row r="4669" spans="1:10" x14ac:dyDescent="0.3">
      <c r="A4669" s="15">
        <v>45839</v>
      </c>
      <c r="B4669" t="s">
        <v>102</v>
      </c>
      <c r="C4669" t="s">
        <v>81</v>
      </c>
      <c r="D4669" t="s">
        <v>99</v>
      </c>
      <c r="E4669" t="s">
        <v>103</v>
      </c>
      <c r="F4669">
        <v>3300</v>
      </c>
      <c r="G4669" t="s">
        <v>331</v>
      </c>
      <c r="H4669" s="15">
        <v>45292</v>
      </c>
      <c r="I4669">
        <v>3300</v>
      </c>
      <c r="J4669">
        <v>0</v>
      </c>
    </row>
    <row r="4670" spans="1:10" x14ac:dyDescent="0.3">
      <c r="A4670" s="15">
        <v>45839</v>
      </c>
      <c r="B4670" t="s">
        <v>104</v>
      </c>
      <c r="C4670" t="s">
        <v>91</v>
      </c>
      <c r="D4670" t="s">
        <v>99</v>
      </c>
      <c r="E4670" t="s">
        <v>87</v>
      </c>
      <c r="F4670">
        <v>7000</v>
      </c>
      <c r="G4670" t="s">
        <v>331</v>
      </c>
      <c r="H4670" s="15">
        <v>45292</v>
      </c>
      <c r="I4670">
        <v>7000</v>
      </c>
      <c r="J4670">
        <v>0</v>
      </c>
    </row>
    <row r="4671" spans="1:10" x14ac:dyDescent="0.3">
      <c r="A4671" s="15">
        <v>45839</v>
      </c>
      <c r="B4671" t="s">
        <v>105</v>
      </c>
      <c r="C4671" t="s">
        <v>91</v>
      </c>
      <c r="D4671" t="s">
        <v>86</v>
      </c>
      <c r="E4671" t="s">
        <v>89</v>
      </c>
      <c r="F4671">
        <v>12900</v>
      </c>
      <c r="G4671" t="s">
        <v>331</v>
      </c>
      <c r="H4671" s="15">
        <v>45292</v>
      </c>
      <c r="I4671">
        <v>12900</v>
      </c>
      <c r="J4671">
        <v>0</v>
      </c>
    </row>
    <row r="4672" spans="1:10" x14ac:dyDescent="0.3">
      <c r="A4672" s="15">
        <v>45839</v>
      </c>
      <c r="B4672" t="s">
        <v>106</v>
      </c>
      <c r="C4672" t="s">
        <v>81</v>
      </c>
      <c r="D4672" t="s">
        <v>99</v>
      </c>
      <c r="E4672" t="s">
        <v>92</v>
      </c>
      <c r="F4672">
        <v>2700</v>
      </c>
      <c r="G4672" t="s">
        <v>331</v>
      </c>
      <c r="H4672" s="15">
        <v>45292</v>
      </c>
      <c r="I4672">
        <v>2700</v>
      </c>
      <c r="J4672">
        <v>0</v>
      </c>
    </row>
    <row r="4673" spans="1:10" x14ac:dyDescent="0.3">
      <c r="A4673" s="15">
        <v>45839</v>
      </c>
      <c r="B4673" t="s">
        <v>109</v>
      </c>
      <c r="C4673" t="s">
        <v>110</v>
      </c>
      <c r="D4673" t="s">
        <v>82</v>
      </c>
      <c r="E4673" t="s">
        <v>103</v>
      </c>
      <c r="F4673">
        <v>32700</v>
      </c>
      <c r="G4673" t="s">
        <v>331</v>
      </c>
      <c r="H4673" s="15">
        <v>45292</v>
      </c>
      <c r="I4673">
        <v>32700</v>
      </c>
      <c r="J4673">
        <v>0</v>
      </c>
    </row>
    <row r="4674" spans="1:10" x14ac:dyDescent="0.3">
      <c r="A4674" s="15">
        <v>45839</v>
      </c>
      <c r="B4674" t="s">
        <v>111</v>
      </c>
      <c r="C4674" t="s">
        <v>91</v>
      </c>
      <c r="D4674" t="s">
        <v>82</v>
      </c>
      <c r="E4674" t="s">
        <v>83</v>
      </c>
      <c r="F4674">
        <v>8800</v>
      </c>
      <c r="G4674" t="s">
        <v>331</v>
      </c>
      <c r="H4674" s="15">
        <v>45292</v>
      </c>
      <c r="I4674">
        <v>8800</v>
      </c>
      <c r="J4674">
        <v>0</v>
      </c>
    </row>
    <row r="4675" spans="1:10" x14ac:dyDescent="0.3">
      <c r="A4675" s="15">
        <v>45839</v>
      </c>
      <c r="B4675" t="s">
        <v>112</v>
      </c>
      <c r="C4675" t="s">
        <v>91</v>
      </c>
      <c r="D4675" t="s">
        <v>82</v>
      </c>
      <c r="E4675" t="s">
        <v>92</v>
      </c>
      <c r="F4675">
        <v>8600</v>
      </c>
      <c r="G4675" t="s">
        <v>331</v>
      </c>
      <c r="H4675" s="15">
        <v>45292</v>
      </c>
      <c r="I4675">
        <v>8600</v>
      </c>
      <c r="J4675">
        <v>0</v>
      </c>
    </row>
    <row r="4676" spans="1:10" x14ac:dyDescent="0.3">
      <c r="A4676" s="15">
        <v>45839</v>
      </c>
      <c r="B4676" t="s">
        <v>113</v>
      </c>
      <c r="C4676" t="s">
        <v>81</v>
      </c>
      <c r="D4676" t="s">
        <v>96</v>
      </c>
      <c r="E4676" t="s">
        <v>89</v>
      </c>
      <c r="F4676">
        <v>2500</v>
      </c>
      <c r="G4676" t="s">
        <v>331</v>
      </c>
      <c r="H4676" s="15">
        <v>45292</v>
      </c>
      <c r="I4676">
        <v>2500</v>
      </c>
      <c r="J4676">
        <v>0</v>
      </c>
    </row>
    <row r="4677" spans="1:10" x14ac:dyDescent="0.3">
      <c r="A4677" s="15">
        <v>45839</v>
      </c>
      <c r="B4677" t="s">
        <v>114</v>
      </c>
      <c r="C4677" t="s">
        <v>110</v>
      </c>
      <c r="D4677" t="s">
        <v>99</v>
      </c>
      <c r="E4677" t="s">
        <v>97</v>
      </c>
      <c r="F4677">
        <v>46200</v>
      </c>
      <c r="G4677" t="s">
        <v>331</v>
      </c>
      <c r="H4677" s="15">
        <v>45292</v>
      </c>
      <c r="I4677">
        <v>46200</v>
      </c>
      <c r="J4677">
        <v>0</v>
      </c>
    </row>
    <row r="4678" spans="1:10" x14ac:dyDescent="0.3">
      <c r="A4678" s="15">
        <v>45839</v>
      </c>
      <c r="B4678" t="s">
        <v>115</v>
      </c>
      <c r="C4678" t="s">
        <v>81</v>
      </c>
      <c r="D4678" t="s">
        <v>82</v>
      </c>
      <c r="E4678" t="s">
        <v>101</v>
      </c>
      <c r="F4678">
        <v>2600</v>
      </c>
      <c r="G4678" t="s">
        <v>331</v>
      </c>
      <c r="H4678" s="15">
        <v>45292</v>
      </c>
      <c r="I4678">
        <v>2600</v>
      </c>
      <c r="J4678">
        <v>0</v>
      </c>
    </row>
    <row r="4679" spans="1:10" x14ac:dyDescent="0.3">
      <c r="A4679" s="15">
        <v>45839</v>
      </c>
      <c r="B4679" t="s">
        <v>116</v>
      </c>
      <c r="C4679" t="s">
        <v>81</v>
      </c>
      <c r="D4679" t="s">
        <v>86</v>
      </c>
      <c r="E4679" t="s">
        <v>87</v>
      </c>
      <c r="F4679">
        <v>2900</v>
      </c>
      <c r="G4679" t="s">
        <v>331</v>
      </c>
      <c r="H4679" s="15">
        <v>45292</v>
      </c>
      <c r="I4679">
        <v>2900</v>
      </c>
      <c r="J4679">
        <v>0</v>
      </c>
    </row>
    <row r="4680" spans="1:10" x14ac:dyDescent="0.3">
      <c r="A4680" s="15">
        <v>45839</v>
      </c>
      <c r="B4680" t="s">
        <v>117</v>
      </c>
      <c r="C4680" t="s">
        <v>81</v>
      </c>
      <c r="D4680" t="s">
        <v>86</v>
      </c>
      <c r="E4680" t="s">
        <v>103</v>
      </c>
      <c r="F4680">
        <v>2500</v>
      </c>
      <c r="G4680" t="s">
        <v>331</v>
      </c>
      <c r="H4680" s="15">
        <v>45292</v>
      </c>
      <c r="I4680">
        <v>2500</v>
      </c>
      <c r="J4680">
        <v>0</v>
      </c>
    </row>
    <row r="4681" spans="1:10" x14ac:dyDescent="0.3">
      <c r="A4681" s="15">
        <v>45839</v>
      </c>
      <c r="B4681" t="s">
        <v>120</v>
      </c>
      <c r="C4681" t="s">
        <v>81</v>
      </c>
      <c r="D4681" t="s">
        <v>86</v>
      </c>
      <c r="E4681" t="s">
        <v>101</v>
      </c>
      <c r="F4681">
        <v>2200</v>
      </c>
      <c r="G4681" t="s">
        <v>331</v>
      </c>
      <c r="H4681" s="15">
        <v>45292</v>
      </c>
      <c r="I4681">
        <v>2200</v>
      </c>
      <c r="J4681">
        <v>0</v>
      </c>
    </row>
    <row r="4682" spans="1:10" x14ac:dyDescent="0.3">
      <c r="A4682" s="15">
        <v>45839</v>
      </c>
      <c r="B4682" t="s">
        <v>123</v>
      </c>
      <c r="C4682" t="s">
        <v>81</v>
      </c>
      <c r="D4682" t="s">
        <v>82</v>
      </c>
      <c r="E4682" t="s">
        <v>92</v>
      </c>
      <c r="F4682">
        <v>2200</v>
      </c>
      <c r="G4682" t="s">
        <v>331</v>
      </c>
      <c r="H4682" s="15">
        <v>45292</v>
      </c>
      <c r="I4682">
        <v>2200</v>
      </c>
      <c r="J4682">
        <v>0</v>
      </c>
    </row>
    <row r="4683" spans="1:10" x14ac:dyDescent="0.3">
      <c r="A4683" s="15">
        <v>45839</v>
      </c>
      <c r="B4683" t="s">
        <v>124</v>
      </c>
      <c r="C4683" t="s">
        <v>125</v>
      </c>
      <c r="D4683" t="s">
        <v>82</v>
      </c>
      <c r="E4683" t="s">
        <v>97</v>
      </c>
      <c r="F4683">
        <v>67900</v>
      </c>
      <c r="G4683" t="s">
        <v>331</v>
      </c>
      <c r="H4683" s="15">
        <v>45292</v>
      </c>
      <c r="I4683">
        <v>67900</v>
      </c>
      <c r="J4683">
        <v>0</v>
      </c>
    </row>
    <row r="4684" spans="1:10" x14ac:dyDescent="0.3">
      <c r="A4684" s="15">
        <v>45839</v>
      </c>
      <c r="B4684" t="s">
        <v>126</v>
      </c>
      <c r="C4684" t="s">
        <v>91</v>
      </c>
      <c r="D4684" t="s">
        <v>82</v>
      </c>
      <c r="E4684" t="s">
        <v>83</v>
      </c>
      <c r="F4684">
        <v>8800</v>
      </c>
      <c r="G4684" t="s">
        <v>331</v>
      </c>
      <c r="H4684" s="15">
        <v>45292</v>
      </c>
      <c r="I4684">
        <v>8800</v>
      </c>
      <c r="J4684">
        <v>0</v>
      </c>
    </row>
    <row r="4685" spans="1:10" x14ac:dyDescent="0.3">
      <c r="A4685" s="15">
        <v>45839</v>
      </c>
      <c r="B4685" t="s">
        <v>127</v>
      </c>
      <c r="C4685" t="s">
        <v>81</v>
      </c>
      <c r="D4685" t="s">
        <v>82</v>
      </c>
      <c r="E4685" t="s">
        <v>101</v>
      </c>
      <c r="F4685">
        <v>2400</v>
      </c>
      <c r="G4685" t="s">
        <v>331</v>
      </c>
      <c r="H4685" s="15">
        <v>45292</v>
      </c>
      <c r="I4685">
        <v>2400</v>
      </c>
      <c r="J4685">
        <v>0</v>
      </c>
    </row>
    <row r="4686" spans="1:10" x14ac:dyDescent="0.3">
      <c r="A4686" s="15">
        <v>45839</v>
      </c>
      <c r="B4686" t="s">
        <v>128</v>
      </c>
      <c r="C4686" t="s">
        <v>81</v>
      </c>
      <c r="D4686" t="s">
        <v>82</v>
      </c>
      <c r="E4686" t="s">
        <v>92</v>
      </c>
      <c r="F4686">
        <v>1700</v>
      </c>
      <c r="G4686" t="s">
        <v>331</v>
      </c>
      <c r="H4686" s="15">
        <v>45292</v>
      </c>
      <c r="I4686">
        <v>1700</v>
      </c>
      <c r="J4686">
        <v>0</v>
      </c>
    </row>
    <row r="4687" spans="1:10" x14ac:dyDescent="0.3">
      <c r="A4687" s="15">
        <v>45839</v>
      </c>
      <c r="B4687" t="s">
        <v>129</v>
      </c>
      <c r="C4687" t="s">
        <v>110</v>
      </c>
      <c r="D4687" t="s">
        <v>86</v>
      </c>
      <c r="E4687" t="s">
        <v>92</v>
      </c>
      <c r="F4687">
        <v>34200</v>
      </c>
      <c r="G4687" t="s">
        <v>331</v>
      </c>
      <c r="H4687" s="15">
        <v>45292</v>
      </c>
      <c r="I4687">
        <v>34200</v>
      </c>
      <c r="J4687">
        <v>0</v>
      </c>
    </row>
    <row r="4688" spans="1:10" x14ac:dyDescent="0.3">
      <c r="A4688" s="15">
        <v>45839</v>
      </c>
      <c r="B4688" t="s">
        <v>133</v>
      </c>
      <c r="C4688" t="s">
        <v>81</v>
      </c>
      <c r="D4688" t="s">
        <v>96</v>
      </c>
      <c r="E4688" t="s">
        <v>87</v>
      </c>
      <c r="F4688">
        <v>2700</v>
      </c>
      <c r="G4688" t="s">
        <v>331</v>
      </c>
      <c r="H4688" s="15">
        <v>45292</v>
      </c>
      <c r="I4688">
        <v>2700</v>
      </c>
      <c r="J4688">
        <v>0</v>
      </c>
    </row>
    <row r="4689" spans="1:10" x14ac:dyDescent="0.3">
      <c r="A4689" s="15">
        <v>45839</v>
      </c>
      <c r="B4689" t="s">
        <v>134</v>
      </c>
      <c r="C4689" t="s">
        <v>81</v>
      </c>
      <c r="D4689" t="s">
        <v>82</v>
      </c>
      <c r="E4689" t="s">
        <v>92</v>
      </c>
      <c r="F4689">
        <v>2400</v>
      </c>
      <c r="G4689" t="s">
        <v>331</v>
      </c>
      <c r="H4689" s="15">
        <v>45292</v>
      </c>
      <c r="I4689">
        <v>2400</v>
      </c>
      <c r="J4689">
        <v>0</v>
      </c>
    </row>
    <row r="4690" spans="1:10" x14ac:dyDescent="0.3">
      <c r="A4690" s="15">
        <v>45839</v>
      </c>
      <c r="B4690" t="s">
        <v>135</v>
      </c>
      <c r="C4690" t="s">
        <v>81</v>
      </c>
      <c r="D4690" t="s">
        <v>82</v>
      </c>
      <c r="E4690" t="s">
        <v>103</v>
      </c>
      <c r="F4690">
        <v>2200</v>
      </c>
      <c r="G4690" t="s">
        <v>331</v>
      </c>
      <c r="H4690" s="15">
        <v>45292</v>
      </c>
      <c r="I4690">
        <v>2200</v>
      </c>
      <c r="J4690">
        <v>0</v>
      </c>
    </row>
    <row r="4691" spans="1:10" x14ac:dyDescent="0.3">
      <c r="A4691" s="15">
        <v>45839</v>
      </c>
      <c r="B4691" t="s">
        <v>136</v>
      </c>
      <c r="C4691" t="s">
        <v>81</v>
      </c>
      <c r="D4691" t="s">
        <v>82</v>
      </c>
      <c r="E4691" t="s">
        <v>101</v>
      </c>
      <c r="F4691">
        <v>2900</v>
      </c>
      <c r="G4691" t="s">
        <v>331</v>
      </c>
      <c r="H4691" s="15">
        <v>45292</v>
      </c>
      <c r="I4691">
        <v>2900</v>
      </c>
      <c r="J4691">
        <v>0</v>
      </c>
    </row>
    <row r="4692" spans="1:10" x14ac:dyDescent="0.3">
      <c r="A4692" s="15">
        <v>45839</v>
      </c>
      <c r="B4692" t="s">
        <v>138</v>
      </c>
      <c r="C4692" t="s">
        <v>81</v>
      </c>
      <c r="D4692" t="s">
        <v>86</v>
      </c>
      <c r="E4692" t="s">
        <v>97</v>
      </c>
      <c r="F4692">
        <v>3300</v>
      </c>
      <c r="G4692" t="s">
        <v>331</v>
      </c>
      <c r="H4692" s="15">
        <v>45292</v>
      </c>
      <c r="I4692">
        <v>3300</v>
      </c>
      <c r="J4692">
        <v>0</v>
      </c>
    </row>
    <row r="4693" spans="1:10" x14ac:dyDescent="0.3">
      <c r="A4693" s="15">
        <v>45839</v>
      </c>
      <c r="B4693" t="s">
        <v>139</v>
      </c>
      <c r="C4693" t="s">
        <v>91</v>
      </c>
      <c r="D4693" t="s">
        <v>82</v>
      </c>
      <c r="E4693" t="s">
        <v>103</v>
      </c>
      <c r="F4693">
        <v>6800</v>
      </c>
      <c r="G4693" t="s">
        <v>331</v>
      </c>
      <c r="H4693" s="15">
        <v>45292</v>
      </c>
      <c r="I4693">
        <v>6800</v>
      </c>
      <c r="J4693">
        <v>0</v>
      </c>
    </row>
    <row r="4694" spans="1:10" x14ac:dyDescent="0.3">
      <c r="A4694" s="15">
        <v>45839</v>
      </c>
      <c r="B4694" t="s">
        <v>141</v>
      </c>
      <c r="C4694" t="s">
        <v>125</v>
      </c>
      <c r="D4694" t="s">
        <v>99</v>
      </c>
      <c r="E4694" t="s">
        <v>103</v>
      </c>
      <c r="F4694">
        <v>127400</v>
      </c>
      <c r="G4694" t="s">
        <v>332</v>
      </c>
      <c r="H4694" s="15">
        <v>45292</v>
      </c>
      <c r="I4694">
        <v>117900</v>
      </c>
      <c r="J4694">
        <v>9500</v>
      </c>
    </row>
    <row r="4695" spans="1:10" x14ac:dyDescent="0.3">
      <c r="A4695" s="15">
        <v>45839</v>
      </c>
      <c r="B4695" t="s">
        <v>142</v>
      </c>
      <c r="C4695" t="s">
        <v>125</v>
      </c>
      <c r="D4695" t="s">
        <v>82</v>
      </c>
      <c r="E4695" t="s">
        <v>92</v>
      </c>
      <c r="F4695">
        <v>103800</v>
      </c>
      <c r="G4695" t="s">
        <v>331</v>
      </c>
      <c r="H4695" s="15">
        <v>45292</v>
      </c>
      <c r="I4695">
        <v>103800</v>
      </c>
      <c r="J4695">
        <v>0</v>
      </c>
    </row>
    <row r="4696" spans="1:10" x14ac:dyDescent="0.3">
      <c r="A4696" s="15">
        <v>45839</v>
      </c>
      <c r="B4696" t="s">
        <v>143</v>
      </c>
      <c r="C4696" t="s">
        <v>91</v>
      </c>
      <c r="D4696" t="s">
        <v>99</v>
      </c>
      <c r="E4696" t="s">
        <v>103</v>
      </c>
      <c r="F4696">
        <v>8000</v>
      </c>
      <c r="G4696" t="s">
        <v>331</v>
      </c>
      <c r="H4696" s="15">
        <v>45292</v>
      </c>
      <c r="I4696">
        <v>8000</v>
      </c>
      <c r="J4696">
        <v>0</v>
      </c>
    </row>
    <row r="4697" spans="1:10" x14ac:dyDescent="0.3">
      <c r="A4697" s="15">
        <v>45839</v>
      </c>
      <c r="B4697" t="s">
        <v>144</v>
      </c>
      <c r="C4697" t="s">
        <v>81</v>
      </c>
      <c r="D4697" t="s">
        <v>82</v>
      </c>
      <c r="E4697" t="s">
        <v>92</v>
      </c>
      <c r="F4697">
        <v>2400</v>
      </c>
      <c r="G4697" t="s">
        <v>331</v>
      </c>
      <c r="H4697" s="15">
        <v>45292</v>
      </c>
      <c r="I4697">
        <v>2400</v>
      </c>
      <c r="J4697">
        <v>0</v>
      </c>
    </row>
    <row r="4698" spans="1:10" x14ac:dyDescent="0.3">
      <c r="A4698" s="15">
        <v>45839</v>
      </c>
      <c r="B4698" t="s">
        <v>145</v>
      </c>
      <c r="C4698" t="s">
        <v>91</v>
      </c>
      <c r="D4698" t="s">
        <v>82</v>
      </c>
      <c r="E4698" t="s">
        <v>87</v>
      </c>
      <c r="F4698">
        <v>8200</v>
      </c>
      <c r="G4698" t="s">
        <v>331</v>
      </c>
      <c r="H4698" s="15">
        <v>45292</v>
      </c>
      <c r="I4698">
        <v>8200</v>
      </c>
      <c r="J4698">
        <v>0</v>
      </c>
    </row>
    <row r="4699" spans="1:10" x14ac:dyDescent="0.3">
      <c r="A4699" s="15">
        <v>45839</v>
      </c>
      <c r="B4699" t="s">
        <v>146</v>
      </c>
      <c r="C4699" t="s">
        <v>91</v>
      </c>
      <c r="D4699" t="s">
        <v>86</v>
      </c>
      <c r="E4699" t="s">
        <v>87</v>
      </c>
      <c r="F4699">
        <v>10100</v>
      </c>
      <c r="G4699" t="s">
        <v>332</v>
      </c>
      <c r="H4699" s="15">
        <v>45292</v>
      </c>
      <c r="I4699">
        <v>9200</v>
      </c>
      <c r="J4699">
        <v>900</v>
      </c>
    </row>
    <row r="4700" spans="1:10" x14ac:dyDescent="0.3">
      <c r="A4700" s="15">
        <v>45839</v>
      </c>
      <c r="B4700" t="s">
        <v>148</v>
      </c>
      <c r="C4700" t="s">
        <v>110</v>
      </c>
      <c r="D4700" t="s">
        <v>86</v>
      </c>
      <c r="E4700" t="s">
        <v>89</v>
      </c>
      <c r="F4700">
        <v>0</v>
      </c>
      <c r="G4700" t="s">
        <v>333</v>
      </c>
      <c r="H4700" s="15">
        <v>45292</v>
      </c>
      <c r="I4700">
        <v>25100</v>
      </c>
      <c r="J4700">
        <v>-25100</v>
      </c>
    </row>
    <row r="4701" spans="1:10" x14ac:dyDescent="0.3">
      <c r="A4701" s="15">
        <v>45839</v>
      </c>
      <c r="B4701" t="s">
        <v>149</v>
      </c>
      <c r="C4701" t="s">
        <v>110</v>
      </c>
      <c r="D4701" t="s">
        <v>82</v>
      </c>
      <c r="E4701" t="s">
        <v>103</v>
      </c>
      <c r="F4701">
        <v>31000</v>
      </c>
      <c r="G4701" t="s">
        <v>331</v>
      </c>
      <c r="H4701" s="15">
        <v>45292</v>
      </c>
      <c r="I4701">
        <v>31000</v>
      </c>
      <c r="J4701">
        <v>0</v>
      </c>
    </row>
    <row r="4702" spans="1:10" x14ac:dyDescent="0.3">
      <c r="A4702" s="15">
        <v>45839</v>
      </c>
      <c r="B4702" t="s">
        <v>151</v>
      </c>
      <c r="C4702" t="s">
        <v>91</v>
      </c>
      <c r="D4702" t="s">
        <v>82</v>
      </c>
      <c r="E4702" t="s">
        <v>97</v>
      </c>
      <c r="F4702">
        <v>6800</v>
      </c>
      <c r="G4702" t="s">
        <v>331</v>
      </c>
      <c r="H4702" s="15">
        <v>45292</v>
      </c>
      <c r="I4702">
        <v>6800</v>
      </c>
      <c r="J4702">
        <v>0</v>
      </c>
    </row>
    <row r="4703" spans="1:10" x14ac:dyDescent="0.3">
      <c r="A4703" s="15">
        <v>45839</v>
      </c>
      <c r="B4703" t="s">
        <v>153</v>
      </c>
      <c r="C4703" t="s">
        <v>110</v>
      </c>
      <c r="D4703" t="s">
        <v>99</v>
      </c>
      <c r="E4703" t="s">
        <v>87</v>
      </c>
      <c r="F4703">
        <v>31500</v>
      </c>
      <c r="G4703" t="s">
        <v>331</v>
      </c>
      <c r="H4703" s="15">
        <v>45292</v>
      </c>
      <c r="I4703">
        <v>31500</v>
      </c>
      <c r="J4703">
        <v>0</v>
      </c>
    </row>
    <row r="4704" spans="1:10" x14ac:dyDescent="0.3">
      <c r="A4704" s="15">
        <v>45839</v>
      </c>
      <c r="B4704" t="s">
        <v>154</v>
      </c>
      <c r="C4704" t="s">
        <v>91</v>
      </c>
      <c r="D4704" t="s">
        <v>86</v>
      </c>
      <c r="E4704" t="s">
        <v>103</v>
      </c>
      <c r="F4704">
        <v>8800</v>
      </c>
      <c r="G4704" t="s">
        <v>331</v>
      </c>
      <c r="H4704" s="15">
        <v>45292</v>
      </c>
      <c r="I4704">
        <v>8800</v>
      </c>
      <c r="J4704">
        <v>0</v>
      </c>
    </row>
    <row r="4705" spans="1:10" x14ac:dyDescent="0.3">
      <c r="A4705" s="15">
        <v>45839</v>
      </c>
      <c r="B4705" t="s">
        <v>155</v>
      </c>
      <c r="C4705" t="s">
        <v>91</v>
      </c>
      <c r="D4705" t="s">
        <v>82</v>
      </c>
      <c r="E4705" t="s">
        <v>92</v>
      </c>
      <c r="F4705">
        <v>7100</v>
      </c>
      <c r="G4705" t="s">
        <v>331</v>
      </c>
      <c r="H4705" s="15">
        <v>45292</v>
      </c>
      <c r="I4705">
        <v>7100</v>
      </c>
      <c r="J4705">
        <v>0</v>
      </c>
    </row>
    <row r="4706" spans="1:10" x14ac:dyDescent="0.3">
      <c r="A4706" s="15">
        <v>45839</v>
      </c>
      <c r="B4706" t="s">
        <v>156</v>
      </c>
      <c r="C4706" t="s">
        <v>81</v>
      </c>
      <c r="D4706" t="s">
        <v>86</v>
      </c>
      <c r="E4706" t="s">
        <v>101</v>
      </c>
      <c r="F4706">
        <v>2300</v>
      </c>
      <c r="G4706" t="s">
        <v>331</v>
      </c>
      <c r="H4706" s="15">
        <v>45292</v>
      </c>
      <c r="I4706">
        <v>2300</v>
      </c>
      <c r="J4706">
        <v>0</v>
      </c>
    </row>
    <row r="4707" spans="1:10" x14ac:dyDescent="0.3">
      <c r="A4707" s="15">
        <v>45839</v>
      </c>
      <c r="B4707" t="s">
        <v>157</v>
      </c>
      <c r="C4707" t="s">
        <v>81</v>
      </c>
      <c r="D4707" t="s">
        <v>82</v>
      </c>
      <c r="E4707" t="s">
        <v>92</v>
      </c>
      <c r="F4707">
        <v>1800</v>
      </c>
      <c r="G4707" t="s">
        <v>331</v>
      </c>
      <c r="H4707" s="15">
        <v>45292</v>
      </c>
      <c r="I4707">
        <v>1800</v>
      </c>
      <c r="J4707">
        <v>0</v>
      </c>
    </row>
    <row r="4708" spans="1:10" x14ac:dyDescent="0.3">
      <c r="A4708" s="15">
        <v>45839</v>
      </c>
      <c r="B4708" t="s">
        <v>158</v>
      </c>
      <c r="C4708" t="s">
        <v>91</v>
      </c>
      <c r="D4708" t="s">
        <v>96</v>
      </c>
      <c r="E4708" t="s">
        <v>83</v>
      </c>
      <c r="F4708">
        <v>12600</v>
      </c>
      <c r="G4708" t="s">
        <v>331</v>
      </c>
      <c r="H4708" s="15">
        <v>45292</v>
      </c>
      <c r="I4708">
        <v>12600</v>
      </c>
      <c r="J4708">
        <v>0</v>
      </c>
    </row>
    <row r="4709" spans="1:10" x14ac:dyDescent="0.3">
      <c r="A4709" s="15">
        <v>45839</v>
      </c>
      <c r="B4709" t="s">
        <v>159</v>
      </c>
      <c r="C4709" t="s">
        <v>81</v>
      </c>
      <c r="D4709" t="s">
        <v>86</v>
      </c>
      <c r="E4709" t="s">
        <v>87</v>
      </c>
      <c r="F4709">
        <v>2400</v>
      </c>
      <c r="G4709" t="s">
        <v>331</v>
      </c>
      <c r="H4709" s="15">
        <v>45292</v>
      </c>
      <c r="I4709">
        <v>2400</v>
      </c>
      <c r="J4709">
        <v>0</v>
      </c>
    </row>
    <row r="4710" spans="1:10" x14ac:dyDescent="0.3">
      <c r="A4710" s="15">
        <v>45839</v>
      </c>
      <c r="B4710" t="s">
        <v>161</v>
      </c>
      <c r="C4710" t="s">
        <v>91</v>
      </c>
      <c r="D4710" t="s">
        <v>99</v>
      </c>
      <c r="E4710" t="s">
        <v>83</v>
      </c>
      <c r="F4710">
        <v>10700</v>
      </c>
      <c r="G4710" t="s">
        <v>331</v>
      </c>
      <c r="H4710" s="15">
        <v>45292</v>
      </c>
      <c r="I4710">
        <v>10700</v>
      </c>
      <c r="J4710">
        <v>0</v>
      </c>
    </row>
    <row r="4711" spans="1:10" x14ac:dyDescent="0.3">
      <c r="A4711" s="15">
        <v>45839</v>
      </c>
      <c r="B4711" t="s">
        <v>162</v>
      </c>
      <c r="C4711" t="s">
        <v>91</v>
      </c>
      <c r="D4711" t="s">
        <v>82</v>
      </c>
      <c r="E4711" t="s">
        <v>103</v>
      </c>
      <c r="F4711">
        <v>12700</v>
      </c>
      <c r="G4711" t="s">
        <v>331</v>
      </c>
      <c r="H4711" s="15">
        <v>45292</v>
      </c>
      <c r="I4711">
        <v>12700</v>
      </c>
      <c r="J4711">
        <v>0</v>
      </c>
    </row>
    <row r="4712" spans="1:10" x14ac:dyDescent="0.3">
      <c r="A4712" s="15">
        <v>45839</v>
      </c>
      <c r="B4712" t="s">
        <v>164</v>
      </c>
      <c r="C4712" t="s">
        <v>81</v>
      </c>
      <c r="D4712" t="s">
        <v>99</v>
      </c>
      <c r="E4712" t="s">
        <v>89</v>
      </c>
      <c r="F4712">
        <v>2800</v>
      </c>
      <c r="G4712" t="s">
        <v>331</v>
      </c>
      <c r="H4712" s="15">
        <v>45292</v>
      </c>
      <c r="I4712">
        <v>2800</v>
      </c>
      <c r="J4712">
        <v>0</v>
      </c>
    </row>
    <row r="4713" spans="1:10" x14ac:dyDescent="0.3">
      <c r="A4713" s="15">
        <v>45839</v>
      </c>
      <c r="B4713" t="s">
        <v>165</v>
      </c>
      <c r="C4713" t="s">
        <v>81</v>
      </c>
      <c r="D4713" t="s">
        <v>82</v>
      </c>
      <c r="E4713" t="s">
        <v>97</v>
      </c>
      <c r="F4713">
        <v>2700</v>
      </c>
      <c r="G4713" t="s">
        <v>331</v>
      </c>
      <c r="H4713" s="15">
        <v>45292</v>
      </c>
      <c r="I4713">
        <v>2700</v>
      </c>
      <c r="J4713">
        <v>0</v>
      </c>
    </row>
    <row r="4714" spans="1:10" x14ac:dyDescent="0.3">
      <c r="A4714" s="15">
        <v>45839</v>
      </c>
      <c r="B4714" t="s">
        <v>166</v>
      </c>
      <c r="C4714" t="s">
        <v>81</v>
      </c>
      <c r="D4714" t="s">
        <v>99</v>
      </c>
      <c r="E4714" t="s">
        <v>103</v>
      </c>
      <c r="F4714">
        <v>2600</v>
      </c>
      <c r="G4714" t="s">
        <v>331</v>
      </c>
      <c r="H4714" s="15">
        <v>45292</v>
      </c>
      <c r="I4714">
        <v>2600</v>
      </c>
      <c r="J4714">
        <v>0</v>
      </c>
    </row>
    <row r="4715" spans="1:10" x14ac:dyDescent="0.3">
      <c r="A4715" s="15">
        <v>45839</v>
      </c>
      <c r="B4715" t="s">
        <v>167</v>
      </c>
      <c r="C4715" t="s">
        <v>81</v>
      </c>
      <c r="D4715" t="s">
        <v>82</v>
      </c>
      <c r="E4715" t="s">
        <v>97</v>
      </c>
      <c r="F4715">
        <v>1900</v>
      </c>
      <c r="G4715" t="s">
        <v>331</v>
      </c>
      <c r="H4715" s="15">
        <v>45292</v>
      </c>
      <c r="I4715">
        <v>1900</v>
      </c>
      <c r="J4715">
        <v>0</v>
      </c>
    </row>
    <row r="4716" spans="1:10" x14ac:dyDescent="0.3">
      <c r="A4716" s="15">
        <v>45839</v>
      </c>
      <c r="B4716" t="s">
        <v>168</v>
      </c>
      <c r="C4716" t="s">
        <v>91</v>
      </c>
      <c r="D4716" t="s">
        <v>86</v>
      </c>
      <c r="E4716" t="s">
        <v>103</v>
      </c>
      <c r="F4716">
        <v>13000</v>
      </c>
      <c r="G4716" t="s">
        <v>332</v>
      </c>
      <c r="H4716" s="15">
        <v>45292</v>
      </c>
      <c r="I4716">
        <v>12300</v>
      </c>
      <c r="J4716">
        <v>700</v>
      </c>
    </row>
    <row r="4717" spans="1:10" x14ac:dyDescent="0.3">
      <c r="A4717" s="15">
        <v>45839</v>
      </c>
      <c r="B4717" t="s">
        <v>169</v>
      </c>
      <c r="C4717" t="s">
        <v>81</v>
      </c>
      <c r="D4717" t="s">
        <v>86</v>
      </c>
      <c r="E4717" t="s">
        <v>103</v>
      </c>
      <c r="F4717">
        <v>2200</v>
      </c>
      <c r="G4717" t="s">
        <v>331</v>
      </c>
      <c r="H4717" s="15">
        <v>45292</v>
      </c>
      <c r="I4717">
        <v>2200</v>
      </c>
      <c r="J4717">
        <v>0</v>
      </c>
    </row>
    <row r="4718" spans="1:10" x14ac:dyDescent="0.3">
      <c r="A4718" s="15">
        <v>45839</v>
      </c>
      <c r="B4718" t="s">
        <v>170</v>
      </c>
      <c r="C4718" t="s">
        <v>91</v>
      </c>
      <c r="D4718" t="s">
        <v>99</v>
      </c>
      <c r="E4718" t="s">
        <v>83</v>
      </c>
      <c r="F4718">
        <v>6500</v>
      </c>
      <c r="G4718" t="s">
        <v>331</v>
      </c>
      <c r="H4718" s="15">
        <v>45292</v>
      </c>
      <c r="I4718">
        <v>6500</v>
      </c>
      <c r="J4718">
        <v>0</v>
      </c>
    </row>
    <row r="4719" spans="1:10" x14ac:dyDescent="0.3">
      <c r="A4719" s="15">
        <v>45839</v>
      </c>
      <c r="B4719" t="s">
        <v>171</v>
      </c>
      <c r="C4719" t="s">
        <v>81</v>
      </c>
      <c r="D4719" t="s">
        <v>99</v>
      </c>
      <c r="E4719" t="s">
        <v>97</v>
      </c>
      <c r="F4719">
        <v>1700</v>
      </c>
      <c r="G4719" t="s">
        <v>331</v>
      </c>
      <c r="H4719" s="15">
        <v>45292</v>
      </c>
      <c r="I4719">
        <v>1700</v>
      </c>
      <c r="J4719">
        <v>0</v>
      </c>
    </row>
    <row r="4720" spans="1:10" x14ac:dyDescent="0.3">
      <c r="A4720" s="15">
        <v>45839</v>
      </c>
      <c r="B4720" t="s">
        <v>174</v>
      </c>
      <c r="C4720" t="s">
        <v>81</v>
      </c>
      <c r="D4720" t="s">
        <v>82</v>
      </c>
      <c r="E4720" t="s">
        <v>92</v>
      </c>
      <c r="F4720">
        <v>2400</v>
      </c>
      <c r="G4720" t="s">
        <v>331</v>
      </c>
      <c r="H4720" s="15">
        <v>45292</v>
      </c>
      <c r="I4720">
        <v>2400</v>
      </c>
      <c r="J4720">
        <v>0</v>
      </c>
    </row>
    <row r="4721" spans="1:10" x14ac:dyDescent="0.3">
      <c r="A4721" s="15">
        <v>45839</v>
      </c>
      <c r="B4721" t="s">
        <v>175</v>
      </c>
      <c r="C4721" t="s">
        <v>91</v>
      </c>
      <c r="D4721" t="s">
        <v>96</v>
      </c>
      <c r="E4721" t="s">
        <v>83</v>
      </c>
      <c r="F4721">
        <v>8800</v>
      </c>
      <c r="G4721" t="s">
        <v>331</v>
      </c>
      <c r="H4721" s="15">
        <v>45292</v>
      </c>
      <c r="I4721">
        <v>8800</v>
      </c>
      <c r="J4721">
        <v>0</v>
      </c>
    </row>
    <row r="4722" spans="1:10" x14ac:dyDescent="0.3">
      <c r="A4722" s="15">
        <v>45839</v>
      </c>
      <c r="B4722" t="s">
        <v>176</v>
      </c>
      <c r="C4722" t="s">
        <v>81</v>
      </c>
      <c r="D4722" t="s">
        <v>99</v>
      </c>
      <c r="E4722" t="s">
        <v>92</v>
      </c>
      <c r="F4722">
        <v>2900</v>
      </c>
      <c r="G4722" t="s">
        <v>331</v>
      </c>
      <c r="H4722" s="15">
        <v>45292</v>
      </c>
      <c r="I4722">
        <v>2900</v>
      </c>
      <c r="J4722">
        <v>0</v>
      </c>
    </row>
    <row r="4723" spans="1:10" x14ac:dyDescent="0.3">
      <c r="A4723" s="15">
        <v>45839</v>
      </c>
      <c r="B4723" t="s">
        <v>177</v>
      </c>
      <c r="C4723" t="s">
        <v>81</v>
      </c>
      <c r="D4723" t="s">
        <v>96</v>
      </c>
      <c r="E4723" t="s">
        <v>83</v>
      </c>
      <c r="F4723">
        <v>2900</v>
      </c>
      <c r="G4723" t="s">
        <v>331</v>
      </c>
      <c r="H4723" s="15">
        <v>45292</v>
      </c>
      <c r="I4723">
        <v>2900</v>
      </c>
      <c r="J4723">
        <v>0</v>
      </c>
    </row>
    <row r="4724" spans="1:10" x14ac:dyDescent="0.3">
      <c r="A4724" s="15">
        <v>45839</v>
      </c>
      <c r="B4724" t="s">
        <v>178</v>
      </c>
      <c r="C4724" t="s">
        <v>91</v>
      </c>
      <c r="D4724" t="s">
        <v>82</v>
      </c>
      <c r="E4724" t="s">
        <v>89</v>
      </c>
      <c r="F4724">
        <v>8400</v>
      </c>
      <c r="G4724" t="s">
        <v>331</v>
      </c>
      <c r="H4724" s="15">
        <v>45292</v>
      </c>
      <c r="I4724">
        <v>8400</v>
      </c>
      <c r="J4724">
        <v>0</v>
      </c>
    </row>
    <row r="4725" spans="1:10" x14ac:dyDescent="0.3">
      <c r="A4725" s="15">
        <v>45839</v>
      </c>
      <c r="B4725" t="s">
        <v>179</v>
      </c>
      <c r="C4725" t="s">
        <v>110</v>
      </c>
      <c r="D4725" t="s">
        <v>86</v>
      </c>
      <c r="E4725" t="s">
        <v>87</v>
      </c>
      <c r="F4725">
        <v>30000</v>
      </c>
      <c r="G4725" t="s">
        <v>331</v>
      </c>
      <c r="H4725" s="15">
        <v>45292</v>
      </c>
      <c r="I4725">
        <v>30000</v>
      </c>
      <c r="J4725">
        <v>0</v>
      </c>
    </row>
    <row r="4726" spans="1:10" x14ac:dyDescent="0.3">
      <c r="A4726" s="15">
        <v>45839</v>
      </c>
      <c r="B4726" t="s">
        <v>180</v>
      </c>
      <c r="C4726" t="s">
        <v>91</v>
      </c>
      <c r="D4726" t="s">
        <v>86</v>
      </c>
      <c r="E4726" t="s">
        <v>83</v>
      </c>
      <c r="F4726">
        <v>8500</v>
      </c>
      <c r="G4726" t="s">
        <v>331</v>
      </c>
      <c r="H4726" s="15">
        <v>45292</v>
      </c>
      <c r="I4726">
        <v>8500</v>
      </c>
      <c r="J4726">
        <v>0</v>
      </c>
    </row>
    <row r="4727" spans="1:10" x14ac:dyDescent="0.3">
      <c r="A4727" s="15">
        <v>45839</v>
      </c>
      <c r="B4727" t="s">
        <v>181</v>
      </c>
      <c r="C4727" t="s">
        <v>91</v>
      </c>
      <c r="D4727" t="s">
        <v>82</v>
      </c>
      <c r="E4727" t="s">
        <v>97</v>
      </c>
      <c r="F4727">
        <v>10100</v>
      </c>
      <c r="G4727" t="s">
        <v>331</v>
      </c>
      <c r="H4727" s="15">
        <v>45292</v>
      </c>
      <c r="I4727">
        <v>10100</v>
      </c>
      <c r="J4727">
        <v>0</v>
      </c>
    </row>
    <row r="4728" spans="1:10" x14ac:dyDescent="0.3">
      <c r="A4728" s="15">
        <v>45839</v>
      </c>
      <c r="B4728" t="s">
        <v>182</v>
      </c>
      <c r="C4728" t="s">
        <v>125</v>
      </c>
      <c r="D4728" t="s">
        <v>82</v>
      </c>
      <c r="E4728" t="s">
        <v>92</v>
      </c>
      <c r="F4728">
        <v>93100</v>
      </c>
      <c r="G4728" t="s">
        <v>331</v>
      </c>
      <c r="H4728" s="15">
        <v>45292</v>
      </c>
      <c r="I4728">
        <v>93100</v>
      </c>
      <c r="J4728">
        <v>0</v>
      </c>
    </row>
    <row r="4729" spans="1:10" x14ac:dyDescent="0.3">
      <c r="A4729" s="15">
        <v>45839</v>
      </c>
      <c r="B4729" t="s">
        <v>183</v>
      </c>
      <c r="C4729" t="s">
        <v>91</v>
      </c>
      <c r="D4729" t="s">
        <v>96</v>
      </c>
      <c r="E4729" t="s">
        <v>92</v>
      </c>
      <c r="F4729">
        <v>9500</v>
      </c>
      <c r="G4729" t="s">
        <v>331</v>
      </c>
      <c r="H4729" s="15">
        <v>45292</v>
      </c>
      <c r="I4729">
        <v>9500</v>
      </c>
      <c r="J4729">
        <v>0</v>
      </c>
    </row>
    <row r="4730" spans="1:10" x14ac:dyDescent="0.3">
      <c r="A4730" s="15">
        <v>45839</v>
      </c>
      <c r="B4730" t="s">
        <v>184</v>
      </c>
      <c r="C4730" t="s">
        <v>81</v>
      </c>
      <c r="D4730" t="s">
        <v>82</v>
      </c>
      <c r="E4730" t="s">
        <v>83</v>
      </c>
      <c r="F4730">
        <v>2600</v>
      </c>
      <c r="G4730" t="s">
        <v>331</v>
      </c>
      <c r="H4730" s="15">
        <v>45292</v>
      </c>
      <c r="I4730">
        <v>2600</v>
      </c>
      <c r="J4730">
        <v>0</v>
      </c>
    </row>
    <row r="4731" spans="1:10" x14ac:dyDescent="0.3">
      <c r="A4731" s="15">
        <v>45839</v>
      </c>
      <c r="B4731" t="s">
        <v>185</v>
      </c>
      <c r="C4731" t="s">
        <v>81</v>
      </c>
      <c r="D4731" t="s">
        <v>96</v>
      </c>
      <c r="E4731" t="s">
        <v>97</v>
      </c>
      <c r="F4731">
        <v>1900</v>
      </c>
      <c r="G4731" t="s">
        <v>331</v>
      </c>
      <c r="H4731" s="15">
        <v>45292</v>
      </c>
      <c r="I4731">
        <v>1900</v>
      </c>
      <c r="J4731">
        <v>0</v>
      </c>
    </row>
    <row r="4732" spans="1:10" x14ac:dyDescent="0.3">
      <c r="A4732" s="15">
        <v>45839</v>
      </c>
      <c r="B4732" t="s">
        <v>186</v>
      </c>
      <c r="C4732" t="s">
        <v>91</v>
      </c>
      <c r="D4732" t="s">
        <v>82</v>
      </c>
      <c r="E4732" t="s">
        <v>103</v>
      </c>
      <c r="F4732">
        <v>13900</v>
      </c>
      <c r="G4732" t="s">
        <v>331</v>
      </c>
      <c r="H4732" s="15">
        <v>45292</v>
      </c>
      <c r="I4732">
        <v>13900</v>
      </c>
      <c r="J4732">
        <v>0</v>
      </c>
    </row>
    <row r="4733" spans="1:10" x14ac:dyDescent="0.3">
      <c r="A4733" s="15">
        <v>45839</v>
      </c>
      <c r="B4733" t="s">
        <v>187</v>
      </c>
      <c r="C4733" t="s">
        <v>110</v>
      </c>
      <c r="D4733" t="s">
        <v>86</v>
      </c>
      <c r="E4733" t="s">
        <v>97</v>
      </c>
      <c r="F4733">
        <v>26700</v>
      </c>
      <c r="G4733" t="s">
        <v>331</v>
      </c>
      <c r="H4733" s="15">
        <v>45292</v>
      </c>
      <c r="I4733">
        <v>26700</v>
      </c>
      <c r="J4733">
        <v>0</v>
      </c>
    </row>
    <row r="4734" spans="1:10" x14ac:dyDescent="0.3">
      <c r="A4734" s="15">
        <v>45839</v>
      </c>
      <c r="B4734" t="s">
        <v>188</v>
      </c>
      <c r="C4734" t="s">
        <v>91</v>
      </c>
      <c r="D4734" t="s">
        <v>82</v>
      </c>
      <c r="E4734" t="s">
        <v>92</v>
      </c>
      <c r="F4734">
        <v>9900</v>
      </c>
      <c r="G4734" t="s">
        <v>331</v>
      </c>
      <c r="H4734" s="15">
        <v>45292</v>
      </c>
      <c r="I4734">
        <v>9900</v>
      </c>
      <c r="J4734">
        <v>0</v>
      </c>
    </row>
    <row r="4735" spans="1:10" x14ac:dyDescent="0.3">
      <c r="A4735" s="15">
        <v>45839</v>
      </c>
      <c r="B4735" t="s">
        <v>189</v>
      </c>
      <c r="C4735" t="s">
        <v>81</v>
      </c>
      <c r="D4735" t="s">
        <v>86</v>
      </c>
      <c r="E4735" t="s">
        <v>103</v>
      </c>
      <c r="F4735">
        <v>2000</v>
      </c>
      <c r="G4735" t="s">
        <v>331</v>
      </c>
      <c r="H4735" s="15">
        <v>45292</v>
      </c>
      <c r="I4735">
        <v>2000</v>
      </c>
      <c r="J4735">
        <v>0</v>
      </c>
    </row>
    <row r="4736" spans="1:10" x14ac:dyDescent="0.3">
      <c r="A4736" s="15">
        <v>45839</v>
      </c>
      <c r="B4736" t="s">
        <v>190</v>
      </c>
      <c r="C4736" t="s">
        <v>81</v>
      </c>
      <c r="D4736" t="s">
        <v>99</v>
      </c>
      <c r="E4736" t="s">
        <v>89</v>
      </c>
      <c r="F4736">
        <v>1900</v>
      </c>
      <c r="G4736" t="s">
        <v>331</v>
      </c>
      <c r="H4736" s="15">
        <v>45292</v>
      </c>
      <c r="I4736">
        <v>1900</v>
      </c>
      <c r="J4736">
        <v>0</v>
      </c>
    </row>
    <row r="4737" spans="1:10" x14ac:dyDescent="0.3">
      <c r="A4737" s="15">
        <v>45839</v>
      </c>
      <c r="B4737" t="s">
        <v>191</v>
      </c>
      <c r="C4737" t="s">
        <v>91</v>
      </c>
      <c r="D4737" t="s">
        <v>86</v>
      </c>
      <c r="E4737" t="s">
        <v>87</v>
      </c>
      <c r="F4737">
        <v>6900</v>
      </c>
      <c r="G4737" t="s">
        <v>331</v>
      </c>
      <c r="H4737" s="15">
        <v>45292</v>
      </c>
      <c r="I4737">
        <v>6900</v>
      </c>
      <c r="J4737">
        <v>0</v>
      </c>
    </row>
    <row r="4738" spans="1:10" x14ac:dyDescent="0.3">
      <c r="A4738" s="15">
        <v>45839</v>
      </c>
      <c r="B4738" t="s">
        <v>192</v>
      </c>
      <c r="C4738" t="s">
        <v>81</v>
      </c>
      <c r="D4738" t="s">
        <v>82</v>
      </c>
      <c r="E4738" t="s">
        <v>97</v>
      </c>
      <c r="F4738">
        <v>3000</v>
      </c>
      <c r="G4738" t="s">
        <v>331</v>
      </c>
      <c r="H4738" s="15">
        <v>45292</v>
      </c>
      <c r="I4738">
        <v>3000</v>
      </c>
      <c r="J4738">
        <v>0</v>
      </c>
    </row>
    <row r="4739" spans="1:10" x14ac:dyDescent="0.3">
      <c r="A4739" s="15">
        <v>45839</v>
      </c>
      <c r="B4739" t="s">
        <v>193</v>
      </c>
      <c r="C4739" t="s">
        <v>81</v>
      </c>
      <c r="D4739" t="s">
        <v>82</v>
      </c>
      <c r="E4739" t="s">
        <v>87</v>
      </c>
      <c r="F4739">
        <v>3200</v>
      </c>
      <c r="G4739" t="s">
        <v>331</v>
      </c>
      <c r="H4739" s="15">
        <v>45292</v>
      </c>
      <c r="I4739">
        <v>3200</v>
      </c>
      <c r="J4739">
        <v>0</v>
      </c>
    </row>
    <row r="4740" spans="1:10" x14ac:dyDescent="0.3">
      <c r="A4740" s="15">
        <v>45839</v>
      </c>
      <c r="B4740" t="s">
        <v>194</v>
      </c>
      <c r="C4740" t="s">
        <v>91</v>
      </c>
      <c r="D4740" t="s">
        <v>82</v>
      </c>
      <c r="E4740" t="s">
        <v>101</v>
      </c>
      <c r="F4740">
        <v>11200</v>
      </c>
      <c r="G4740" t="s">
        <v>331</v>
      </c>
      <c r="H4740" s="15">
        <v>45292</v>
      </c>
      <c r="I4740">
        <v>11200</v>
      </c>
      <c r="J4740">
        <v>0</v>
      </c>
    </row>
    <row r="4741" spans="1:10" x14ac:dyDescent="0.3">
      <c r="A4741" s="15">
        <v>45839</v>
      </c>
      <c r="B4741" t="s">
        <v>195</v>
      </c>
      <c r="C4741" t="s">
        <v>91</v>
      </c>
      <c r="D4741" t="s">
        <v>86</v>
      </c>
      <c r="E4741" t="s">
        <v>97</v>
      </c>
      <c r="F4741">
        <v>6800</v>
      </c>
      <c r="G4741" t="s">
        <v>331</v>
      </c>
      <c r="H4741" s="15">
        <v>45292</v>
      </c>
      <c r="I4741">
        <v>6800</v>
      </c>
      <c r="J4741">
        <v>0</v>
      </c>
    </row>
    <row r="4742" spans="1:10" x14ac:dyDescent="0.3">
      <c r="A4742" s="15">
        <v>45839</v>
      </c>
      <c r="B4742" t="s">
        <v>197</v>
      </c>
      <c r="C4742" t="s">
        <v>91</v>
      </c>
      <c r="D4742" t="s">
        <v>82</v>
      </c>
      <c r="E4742" t="s">
        <v>89</v>
      </c>
      <c r="F4742">
        <v>12000</v>
      </c>
      <c r="G4742" t="s">
        <v>331</v>
      </c>
      <c r="H4742" s="15">
        <v>45292</v>
      </c>
      <c r="I4742">
        <v>12000</v>
      </c>
      <c r="J4742">
        <v>0</v>
      </c>
    </row>
    <row r="4743" spans="1:10" x14ac:dyDescent="0.3">
      <c r="A4743" s="15">
        <v>45839</v>
      </c>
      <c r="B4743" t="s">
        <v>198</v>
      </c>
      <c r="C4743" t="s">
        <v>81</v>
      </c>
      <c r="D4743" t="s">
        <v>82</v>
      </c>
      <c r="E4743" t="s">
        <v>89</v>
      </c>
      <c r="F4743">
        <v>2900</v>
      </c>
      <c r="G4743" t="s">
        <v>331</v>
      </c>
      <c r="H4743" s="15">
        <v>45292</v>
      </c>
      <c r="I4743">
        <v>2900</v>
      </c>
      <c r="J4743">
        <v>0</v>
      </c>
    </row>
    <row r="4744" spans="1:10" x14ac:dyDescent="0.3">
      <c r="A4744" s="15">
        <v>45839</v>
      </c>
      <c r="B4744" t="s">
        <v>199</v>
      </c>
      <c r="C4744" t="s">
        <v>81</v>
      </c>
      <c r="D4744" t="s">
        <v>86</v>
      </c>
      <c r="E4744" t="s">
        <v>89</v>
      </c>
      <c r="F4744">
        <v>2200</v>
      </c>
      <c r="G4744" t="s">
        <v>331</v>
      </c>
      <c r="H4744" s="15">
        <v>45292</v>
      </c>
      <c r="I4744">
        <v>2200</v>
      </c>
      <c r="J4744">
        <v>0</v>
      </c>
    </row>
    <row r="4745" spans="1:10" x14ac:dyDescent="0.3">
      <c r="A4745" s="15">
        <v>45839</v>
      </c>
      <c r="B4745" t="s">
        <v>200</v>
      </c>
      <c r="C4745" t="s">
        <v>91</v>
      </c>
      <c r="D4745" t="s">
        <v>86</v>
      </c>
      <c r="E4745" t="s">
        <v>92</v>
      </c>
      <c r="F4745">
        <v>8800</v>
      </c>
      <c r="G4745" t="s">
        <v>331</v>
      </c>
      <c r="H4745" s="15">
        <v>45292</v>
      </c>
      <c r="I4745">
        <v>8800</v>
      </c>
      <c r="J4745">
        <v>0</v>
      </c>
    </row>
    <row r="4746" spans="1:10" x14ac:dyDescent="0.3">
      <c r="A4746" s="15">
        <v>45839</v>
      </c>
      <c r="B4746" t="s">
        <v>201</v>
      </c>
      <c r="C4746" t="s">
        <v>81</v>
      </c>
      <c r="D4746" t="s">
        <v>86</v>
      </c>
      <c r="E4746" t="s">
        <v>83</v>
      </c>
      <c r="F4746">
        <v>1800</v>
      </c>
      <c r="G4746" t="s">
        <v>331</v>
      </c>
      <c r="H4746" s="15">
        <v>45292</v>
      </c>
      <c r="I4746">
        <v>1800</v>
      </c>
      <c r="J4746">
        <v>0</v>
      </c>
    </row>
    <row r="4747" spans="1:10" x14ac:dyDescent="0.3">
      <c r="A4747" s="15">
        <v>45839</v>
      </c>
      <c r="B4747" t="s">
        <v>202</v>
      </c>
      <c r="C4747" t="s">
        <v>91</v>
      </c>
      <c r="D4747" t="s">
        <v>82</v>
      </c>
      <c r="E4747" t="s">
        <v>92</v>
      </c>
      <c r="F4747">
        <v>11000</v>
      </c>
      <c r="G4747" t="s">
        <v>331</v>
      </c>
      <c r="H4747" s="15">
        <v>45292</v>
      </c>
      <c r="I4747">
        <v>11000</v>
      </c>
      <c r="J4747">
        <v>0</v>
      </c>
    </row>
    <row r="4748" spans="1:10" x14ac:dyDescent="0.3">
      <c r="A4748" s="15">
        <v>45839</v>
      </c>
      <c r="B4748" t="s">
        <v>204</v>
      </c>
      <c r="C4748" t="s">
        <v>81</v>
      </c>
      <c r="D4748" t="s">
        <v>82</v>
      </c>
      <c r="E4748" t="s">
        <v>87</v>
      </c>
      <c r="F4748">
        <v>1900</v>
      </c>
      <c r="G4748" t="s">
        <v>331</v>
      </c>
      <c r="H4748" s="15">
        <v>45292</v>
      </c>
      <c r="I4748">
        <v>1900</v>
      </c>
      <c r="J4748">
        <v>0</v>
      </c>
    </row>
    <row r="4749" spans="1:10" x14ac:dyDescent="0.3">
      <c r="A4749" s="15">
        <v>45839</v>
      </c>
      <c r="B4749" t="s">
        <v>205</v>
      </c>
      <c r="C4749" t="s">
        <v>91</v>
      </c>
      <c r="D4749" t="s">
        <v>86</v>
      </c>
      <c r="E4749" t="s">
        <v>103</v>
      </c>
      <c r="F4749">
        <v>9800</v>
      </c>
      <c r="G4749" t="s">
        <v>331</v>
      </c>
      <c r="H4749" s="15">
        <v>45292</v>
      </c>
      <c r="I4749">
        <v>9800</v>
      </c>
      <c r="J4749">
        <v>0</v>
      </c>
    </row>
    <row r="4750" spans="1:10" x14ac:dyDescent="0.3">
      <c r="A4750" s="15">
        <v>45839</v>
      </c>
      <c r="B4750" t="s">
        <v>206</v>
      </c>
      <c r="C4750" t="s">
        <v>81</v>
      </c>
      <c r="D4750" t="s">
        <v>86</v>
      </c>
      <c r="E4750" t="s">
        <v>89</v>
      </c>
      <c r="F4750">
        <v>3000</v>
      </c>
      <c r="G4750" t="s">
        <v>331</v>
      </c>
      <c r="H4750" s="15">
        <v>45292</v>
      </c>
      <c r="I4750">
        <v>3000</v>
      </c>
      <c r="J4750">
        <v>0</v>
      </c>
    </row>
    <row r="4751" spans="1:10" x14ac:dyDescent="0.3">
      <c r="A4751" s="15">
        <v>45839</v>
      </c>
      <c r="B4751" t="s">
        <v>207</v>
      </c>
      <c r="C4751" t="s">
        <v>81</v>
      </c>
      <c r="D4751" t="s">
        <v>82</v>
      </c>
      <c r="E4751" t="s">
        <v>89</v>
      </c>
      <c r="F4751">
        <v>3500</v>
      </c>
      <c r="G4751" t="s">
        <v>331</v>
      </c>
      <c r="H4751" s="15">
        <v>45292</v>
      </c>
      <c r="I4751">
        <v>3500</v>
      </c>
      <c r="J4751">
        <v>0</v>
      </c>
    </row>
    <row r="4752" spans="1:10" x14ac:dyDescent="0.3">
      <c r="A4752" s="15">
        <v>45839</v>
      </c>
      <c r="B4752" t="s">
        <v>208</v>
      </c>
      <c r="C4752" t="s">
        <v>91</v>
      </c>
      <c r="D4752" t="s">
        <v>99</v>
      </c>
      <c r="E4752" t="s">
        <v>89</v>
      </c>
      <c r="F4752">
        <v>7300</v>
      </c>
      <c r="G4752" t="s">
        <v>331</v>
      </c>
      <c r="H4752" s="15">
        <v>45292</v>
      </c>
      <c r="I4752">
        <v>7300</v>
      </c>
      <c r="J4752">
        <v>0</v>
      </c>
    </row>
    <row r="4753" spans="1:10" x14ac:dyDescent="0.3">
      <c r="A4753" s="15">
        <v>45839</v>
      </c>
      <c r="B4753" t="s">
        <v>209</v>
      </c>
      <c r="C4753" t="s">
        <v>81</v>
      </c>
      <c r="D4753" t="s">
        <v>86</v>
      </c>
      <c r="E4753" t="s">
        <v>83</v>
      </c>
      <c r="F4753">
        <v>3100</v>
      </c>
      <c r="G4753" t="s">
        <v>331</v>
      </c>
      <c r="H4753" s="15">
        <v>45292</v>
      </c>
      <c r="I4753">
        <v>3100</v>
      </c>
      <c r="J4753">
        <v>0</v>
      </c>
    </row>
    <row r="4754" spans="1:10" x14ac:dyDescent="0.3">
      <c r="A4754" s="15">
        <v>45839</v>
      </c>
      <c r="B4754" t="s">
        <v>210</v>
      </c>
      <c r="C4754" t="s">
        <v>125</v>
      </c>
      <c r="D4754" t="s">
        <v>96</v>
      </c>
      <c r="E4754" t="s">
        <v>89</v>
      </c>
      <c r="F4754">
        <v>90300</v>
      </c>
      <c r="G4754" t="s">
        <v>331</v>
      </c>
      <c r="H4754" s="15">
        <v>45292</v>
      </c>
      <c r="I4754">
        <v>90300</v>
      </c>
      <c r="J4754">
        <v>0</v>
      </c>
    </row>
    <row r="4755" spans="1:10" x14ac:dyDescent="0.3">
      <c r="A4755" s="15">
        <v>45839</v>
      </c>
      <c r="B4755" t="s">
        <v>211</v>
      </c>
      <c r="C4755" t="s">
        <v>110</v>
      </c>
      <c r="D4755" t="s">
        <v>82</v>
      </c>
      <c r="E4755" t="s">
        <v>92</v>
      </c>
      <c r="F4755">
        <v>28900</v>
      </c>
      <c r="G4755" t="s">
        <v>331</v>
      </c>
      <c r="H4755" s="15">
        <v>45292</v>
      </c>
      <c r="I4755">
        <v>28900</v>
      </c>
      <c r="J4755">
        <v>0</v>
      </c>
    </row>
    <row r="4756" spans="1:10" x14ac:dyDescent="0.3">
      <c r="A4756" s="15">
        <v>45839</v>
      </c>
      <c r="B4756" t="s">
        <v>213</v>
      </c>
      <c r="C4756" t="s">
        <v>81</v>
      </c>
      <c r="D4756" t="s">
        <v>82</v>
      </c>
      <c r="E4756" t="s">
        <v>97</v>
      </c>
      <c r="F4756">
        <v>3300</v>
      </c>
      <c r="G4756" t="s">
        <v>331</v>
      </c>
      <c r="H4756" s="15">
        <v>45292</v>
      </c>
      <c r="I4756">
        <v>3300</v>
      </c>
      <c r="J4756">
        <v>0</v>
      </c>
    </row>
    <row r="4757" spans="1:10" x14ac:dyDescent="0.3">
      <c r="A4757" s="15">
        <v>45839</v>
      </c>
      <c r="B4757" t="s">
        <v>214</v>
      </c>
      <c r="C4757" t="s">
        <v>91</v>
      </c>
      <c r="D4757" t="s">
        <v>82</v>
      </c>
      <c r="E4757" t="s">
        <v>89</v>
      </c>
      <c r="F4757">
        <v>8700</v>
      </c>
      <c r="G4757" t="s">
        <v>331</v>
      </c>
      <c r="H4757" s="15">
        <v>45292</v>
      </c>
      <c r="I4757">
        <v>8700</v>
      </c>
      <c r="J4757">
        <v>0</v>
      </c>
    </row>
    <row r="4758" spans="1:10" x14ac:dyDescent="0.3">
      <c r="A4758" s="15">
        <v>45839</v>
      </c>
      <c r="B4758" t="s">
        <v>216</v>
      </c>
      <c r="C4758" t="s">
        <v>81</v>
      </c>
      <c r="D4758" t="s">
        <v>82</v>
      </c>
      <c r="E4758" t="s">
        <v>97</v>
      </c>
      <c r="F4758">
        <v>3500</v>
      </c>
      <c r="G4758" t="s">
        <v>331</v>
      </c>
      <c r="H4758" s="15">
        <v>45292</v>
      </c>
      <c r="I4758">
        <v>3500</v>
      </c>
      <c r="J4758">
        <v>0</v>
      </c>
    </row>
    <row r="4759" spans="1:10" x14ac:dyDescent="0.3">
      <c r="A4759" s="15">
        <v>45839</v>
      </c>
      <c r="B4759" t="s">
        <v>217</v>
      </c>
      <c r="C4759" t="s">
        <v>91</v>
      </c>
      <c r="D4759" t="s">
        <v>82</v>
      </c>
      <c r="E4759" t="s">
        <v>97</v>
      </c>
      <c r="F4759">
        <v>9000</v>
      </c>
      <c r="G4759" t="s">
        <v>331</v>
      </c>
      <c r="H4759" s="15">
        <v>45292</v>
      </c>
      <c r="I4759">
        <v>9000</v>
      </c>
      <c r="J4759">
        <v>0</v>
      </c>
    </row>
    <row r="4760" spans="1:10" x14ac:dyDescent="0.3">
      <c r="A4760" s="15">
        <v>45839</v>
      </c>
      <c r="B4760" t="s">
        <v>218</v>
      </c>
      <c r="C4760" t="s">
        <v>110</v>
      </c>
      <c r="D4760" t="s">
        <v>99</v>
      </c>
      <c r="E4760" t="s">
        <v>92</v>
      </c>
      <c r="F4760">
        <v>32200</v>
      </c>
      <c r="G4760" t="s">
        <v>331</v>
      </c>
      <c r="H4760" s="15">
        <v>45292</v>
      </c>
      <c r="I4760">
        <v>32200</v>
      </c>
      <c r="J4760">
        <v>0</v>
      </c>
    </row>
    <row r="4761" spans="1:10" x14ac:dyDescent="0.3">
      <c r="A4761" s="15">
        <v>45839</v>
      </c>
      <c r="B4761" t="s">
        <v>219</v>
      </c>
      <c r="C4761" t="s">
        <v>81</v>
      </c>
      <c r="D4761" t="s">
        <v>99</v>
      </c>
      <c r="E4761" t="s">
        <v>89</v>
      </c>
      <c r="F4761">
        <v>2500</v>
      </c>
      <c r="G4761" t="s">
        <v>331</v>
      </c>
      <c r="H4761" s="15">
        <v>45292</v>
      </c>
      <c r="I4761">
        <v>2500</v>
      </c>
      <c r="J4761">
        <v>0</v>
      </c>
    </row>
    <row r="4762" spans="1:10" x14ac:dyDescent="0.3">
      <c r="A4762" s="15">
        <v>45839</v>
      </c>
      <c r="B4762" t="s">
        <v>220</v>
      </c>
      <c r="C4762" t="s">
        <v>110</v>
      </c>
      <c r="D4762" t="s">
        <v>82</v>
      </c>
      <c r="E4762" t="s">
        <v>89</v>
      </c>
      <c r="F4762">
        <v>30800</v>
      </c>
      <c r="G4762" t="s">
        <v>331</v>
      </c>
      <c r="H4762" s="15">
        <v>45292</v>
      </c>
      <c r="I4762">
        <v>30800</v>
      </c>
      <c r="J4762">
        <v>0</v>
      </c>
    </row>
    <row r="4763" spans="1:10" x14ac:dyDescent="0.3">
      <c r="A4763" s="15">
        <v>45839</v>
      </c>
      <c r="B4763" t="s">
        <v>224</v>
      </c>
      <c r="C4763" t="s">
        <v>91</v>
      </c>
      <c r="D4763" t="s">
        <v>82</v>
      </c>
      <c r="E4763" t="s">
        <v>101</v>
      </c>
      <c r="F4763">
        <v>10600</v>
      </c>
      <c r="G4763" t="s">
        <v>331</v>
      </c>
      <c r="H4763" s="15">
        <v>45292</v>
      </c>
      <c r="I4763">
        <v>10600</v>
      </c>
      <c r="J4763">
        <v>0</v>
      </c>
    </row>
    <row r="4764" spans="1:10" x14ac:dyDescent="0.3">
      <c r="A4764" s="15">
        <v>45839</v>
      </c>
      <c r="B4764" t="s">
        <v>225</v>
      </c>
      <c r="C4764" t="s">
        <v>110</v>
      </c>
      <c r="D4764" t="s">
        <v>99</v>
      </c>
      <c r="E4764" t="s">
        <v>103</v>
      </c>
      <c r="F4764">
        <v>42200</v>
      </c>
      <c r="G4764" t="s">
        <v>331</v>
      </c>
      <c r="H4764" s="15">
        <v>45292</v>
      </c>
      <c r="I4764">
        <v>42200</v>
      </c>
      <c r="J4764">
        <v>0</v>
      </c>
    </row>
    <row r="4765" spans="1:10" x14ac:dyDescent="0.3">
      <c r="A4765" s="15">
        <v>45839</v>
      </c>
      <c r="B4765" t="s">
        <v>226</v>
      </c>
      <c r="C4765" t="s">
        <v>91</v>
      </c>
      <c r="D4765" t="s">
        <v>82</v>
      </c>
      <c r="E4765" t="s">
        <v>103</v>
      </c>
      <c r="F4765">
        <v>5300</v>
      </c>
      <c r="G4765" t="s">
        <v>331</v>
      </c>
      <c r="H4765" s="15">
        <v>45292</v>
      </c>
      <c r="I4765">
        <v>5300</v>
      </c>
      <c r="J4765">
        <v>0</v>
      </c>
    </row>
    <row r="4766" spans="1:10" x14ac:dyDescent="0.3">
      <c r="A4766" s="15">
        <v>45839</v>
      </c>
      <c r="B4766" t="s">
        <v>227</v>
      </c>
      <c r="C4766" t="s">
        <v>110</v>
      </c>
      <c r="D4766" t="s">
        <v>86</v>
      </c>
      <c r="E4766" t="s">
        <v>87</v>
      </c>
      <c r="F4766">
        <v>25900</v>
      </c>
      <c r="G4766" t="s">
        <v>331</v>
      </c>
      <c r="H4766" s="15">
        <v>45292</v>
      </c>
      <c r="I4766">
        <v>25900</v>
      </c>
      <c r="J4766">
        <v>0</v>
      </c>
    </row>
    <row r="4767" spans="1:10" x14ac:dyDescent="0.3">
      <c r="A4767" s="15">
        <v>45839</v>
      </c>
      <c r="B4767" t="s">
        <v>228</v>
      </c>
      <c r="C4767" t="s">
        <v>91</v>
      </c>
      <c r="D4767" t="s">
        <v>96</v>
      </c>
      <c r="E4767" t="s">
        <v>89</v>
      </c>
      <c r="F4767">
        <v>12000</v>
      </c>
      <c r="G4767" t="s">
        <v>331</v>
      </c>
      <c r="H4767" s="15">
        <v>45292</v>
      </c>
      <c r="I4767">
        <v>12000</v>
      </c>
      <c r="J4767">
        <v>0</v>
      </c>
    </row>
    <row r="4768" spans="1:10" x14ac:dyDescent="0.3">
      <c r="A4768" s="15">
        <v>45839</v>
      </c>
      <c r="B4768" t="s">
        <v>229</v>
      </c>
      <c r="C4768" t="s">
        <v>81</v>
      </c>
      <c r="D4768" t="s">
        <v>82</v>
      </c>
      <c r="E4768" t="s">
        <v>83</v>
      </c>
      <c r="F4768">
        <v>3400</v>
      </c>
      <c r="G4768" t="s">
        <v>331</v>
      </c>
      <c r="H4768" s="15">
        <v>45292</v>
      </c>
      <c r="I4768">
        <v>3400</v>
      </c>
      <c r="J4768">
        <v>0</v>
      </c>
    </row>
    <row r="4769" spans="1:10" x14ac:dyDescent="0.3">
      <c r="A4769" s="15">
        <v>45839</v>
      </c>
      <c r="B4769" t="s">
        <v>230</v>
      </c>
      <c r="C4769" t="s">
        <v>81</v>
      </c>
      <c r="D4769" t="s">
        <v>86</v>
      </c>
      <c r="E4769" t="s">
        <v>101</v>
      </c>
      <c r="F4769">
        <v>3400</v>
      </c>
      <c r="G4769" t="s">
        <v>331</v>
      </c>
      <c r="H4769" s="15">
        <v>45292</v>
      </c>
      <c r="I4769">
        <v>3400</v>
      </c>
      <c r="J4769">
        <v>0</v>
      </c>
    </row>
    <row r="4770" spans="1:10" x14ac:dyDescent="0.3">
      <c r="A4770" s="15">
        <v>45839</v>
      </c>
      <c r="B4770" t="s">
        <v>231</v>
      </c>
      <c r="C4770" t="s">
        <v>91</v>
      </c>
      <c r="D4770" t="s">
        <v>82</v>
      </c>
      <c r="E4770" t="s">
        <v>92</v>
      </c>
      <c r="F4770">
        <v>6900</v>
      </c>
      <c r="G4770" t="s">
        <v>331</v>
      </c>
      <c r="H4770" s="15">
        <v>45292</v>
      </c>
      <c r="I4770">
        <v>6900</v>
      </c>
      <c r="J4770">
        <v>0</v>
      </c>
    </row>
    <row r="4771" spans="1:10" x14ac:dyDescent="0.3">
      <c r="A4771" s="15">
        <v>45839</v>
      </c>
      <c r="B4771" t="s">
        <v>232</v>
      </c>
      <c r="C4771" t="s">
        <v>125</v>
      </c>
      <c r="D4771" t="s">
        <v>86</v>
      </c>
      <c r="E4771" t="s">
        <v>83</v>
      </c>
      <c r="F4771">
        <v>121100</v>
      </c>
      <c r="G4771" t="s">
        <v>331</v>
      </c>
      <c r="H4771" s="15">
        <v>45292</v>
      </c>
      <c r="I4771">
        <v>121100</v>
      </c>
      <c r="J4771">
        <v>0</v>
      </c>
    </row>
    <row r="4772" spans="1:10" x14ac:dyDescent="0.3">
      <c r="A4772" s="15">
        <v>45839</v>
      </c>
      <c r="B4772" t="s">
        <v>233</v>
      </c>
      <c r="C4772" t="s">
        <v>81</v>
      </c>
      <c r="D4772" t="s">
        <v>82</v>
      </c>
      <c r="E4772" t="s">
        <v>87</v>
      </c>
      <c r="F4772">
        <v>3300</v>
      </c>
      <c r="G4772" t="s">
        <v>331</v>
      </c>
      <c r="H4772" s="15">
        <v>45292</v>
      </c>
      <c r="I4772">
        <v>3300</v>
      </c>
      <c r="J4772">
        <v>0</v>
      </c>
    </row>
    <row r="4773" spans="1:10" x14ac:dyDescent="0.3">
      <c r="A4773" s="15">
        <v>45839</v>
      </c>
      <c r="B4773" t="s">
        <v>234</v>
      </c>
      <c r="C4773" t="s">
        <v>110</v>
      </c>
      <c r="D4773" t="s">
        <v>82</v>
      </c>
      <c r="E4773" t="s">
        <v>103</v>
      </c>
      <c r="F4773">
        <v>43400</v>
      </c>
      <c r="G4773" t="s">
        <v>331</v>
      </c>
      <c r="H4773" s="15">
        <v>45292</v>
      </c>
      <c r="I4773">
        <v>43400</v>
      </c>
      <c r="J4773">
        <v>0</v>
      </c>
    </row>
    <row r="4774" spans="1:10" x14ac:dyDescent="0.3">
      <c r="A4774" s="15">
        <v>45839</v>
      </c>
      <c r="B4774" t="s">
        <v>235</v>
      </c>
      <c r="C4774" t="s">
        <v>91</v>
      </c>
      <c r="D4774" t="s">
        <v>96</v>
      </c>
      <c r="E4774" t="s">
        <v>103</v>
      </c>
      <c r="F4774">
        <v>11100</v>
      </c>
      <c r="G4774" t="s">
        <v>331</v>
      </c>
      <c r="H4774" s="15">
        <v>45292</v>
      </c>
      <c r="I4774">
        <v>11100</v>
      </c>
      <c r="J4774">
        <v>0</v>
      </c>
    </row>
    <row r="4775" spans="1:10" x14ac:dyDescent="0.3">
      <c r="A4775" s="15">
        <v>45839</v>
      </c>
      <c r="B4775" t="s">
        <v>236</v>
      </c>
      <c r="C4775" t="s">
        <v>110</v>
      </c>
      <c r="D4775" t="s">
        <v>82</v>
      </c>
      <c r="E4775" t="s">
        <v>97</v>
      </c>
      <c r="F4775">
        <v>27200</v>
      </c>
      <c r="G4775" t="s">
        <v>331</v>
      </c>
      <c r="H4775" s="15">
        <v>45292</v>
      </c>
      <c r="I4775">
        <v>27200</v>
      </c>
      <c r="J4775">
        <v>0</v>
      </c>
    </row>
    <row r="4776" spans="1:10" x14ac:dyDescent="0.3">
      <c r="A4776" s="15">
        <v>45839</v>
      </c>
      <c r="B4776" t="s">
        <v>237</v>
      </c>
      <c r="C4776" t="s">
        <v>91</v>
      </c>
      <c r="D4776" t="s">
        <v>82</v>
      </c>
      <c r="E4776" t="s">
        <v>83</v>
      </c>
      <c r="F4776">
        <v>8100</v>
      </c>
      <c r="G4776" t="s">
        <v>331</v>
      </c>
      <c r="H4776" s="15">
        <v>45292</v>
      </c>
      <c r="I4776">
        <v>8100</v>
      </c>
      <c r="J4776">
        <v>0</v>
      </c>
    </row>
    <row r="4777" spans="1:10" x14ac:dyDescent="0.3">
      <c r="A4777" s="15">
        <v>45839</v>
      </c>
      <c r="B4777" t="s">
        <v>238</v>
      </c>
      <c r="C4777" t="s">
        <v>81</v>
      </c>
      <c r="D4777" t="s">
        <v>99</v>
      </c>
      <c r="E4777" t="s">
        <v>97</v>
      </c>
      <c r="F4777">
        <v>2300</v>
      </c>
      <c r="G4777" t="s">
        <v>331</v>
      </c>
      <c r="H4777" s="15">
        <v>45292</v>
      </c>
      <c r="I4777">
        <v>2300</v>
      </c>
      <c r="J4777">
        <v>0</v>
      </c>
    </row>
    <row r="4778" spans="1:10" x14ac:dyDescent="0.3">
      <c r="A4778" s="15">
        <v>45839</v>
      </c>
      <c r="B4778" t="s">
        <v>239</v>
      </c>
      <c r="C4778" t="s">
        <v>81</v>
      </c>
      <c r="D4778" t="s">
        <v>82</v>
      </c>
      <c r="E4778" t="s">
        <v>103</v>
      </c>
      <c r="F4778">
        <v>2500</v>
      </c>
      <c r="G4778" t="s">
        <v>331</v>
      </c>
      <c r="H4778" s="15">
        <v>45292</v>
      </c>
      <c r="I4778">
        <v>2500</v>
      </c>
      <c r="J4778">
        <v>0</v>
      </c>
    </row>
    <row r="4779" spans="1:10" x14ac:dyDescent="0.3">
      <c r="A4779" s="15">
        <v>45839</v>
      </c>
      <c r="B4779" t="s">
        <v>240</v>
      </c>
      <c r="C4779" t="s">
        <v>81</v>
      </c>
      <c r="D4779" t="s">
        <v>99</v>
      </c>
      <c r="E4779" t="s">
        <v>103</v>
      </c>
      <c r="F4779">
        <v>2300</v>
      </c>
      <c r="G4779" t="s">
        <v>331</v>
      </c>
      <c r="H4779" s="15">
        <v>45292</v>
      </c>
      <c r="I4779">
        <v>2300</v>
      </c>
      <c r="J4779">
        <v>0</v>
      </c>
    </row>
    <row r="4780" spans="1:10" x14ac:dyDescent="0.3">
      <c r="A4780" s="15">
        <v>45839</v>
      </c>
      <c r="B4780" t="s">
        <v>241</v>
      </c>
      <c r="C4780" t="s">
        <v>91</v>
      </c>
      <c r="D4780" t="s">
        <v>96</v>
      </c>
      <c r="E4780" t="s">
        <v>87</v>
      </c>
      <c r="F4780">
        <v>12100</v>
      </c>
      <c r="G4780" t="s">
        <v>331</v>
      </c>
      <c r="H4780" s="15">
        <v>45292</v>
      </c>
      <c r="I4780">
        <v>12100</v>
      </c>
      <c r="J4780">
        <v>0</v>
      </c>
    </row>
    <row r="4781" spans="1:10" x14ac:dyDescent="0.3">
      <c r="A4781" s="15">
        <v>45839</v>
      </c>
      <c r="B4781" t="s">
        <v>242</v>
      </c>
      <c r="C4781" t="s">
        <v>110</v>
      </c>
      <c r="D4781" t="s">
        <v>99</v>
      </c>
      <c r="E4781" t="s">
        <v>101</v>
      </c>
      <c r="F4781">
        <v>34800</v>
      </c>
      <c r="G4781" t="s">
        <v>331</v>
      </c>
      <c r="H4781" s="15">
        <v>45292</v>
      </c>
      <c r="I4781">
        <v>34800</v>
      </c>
      <c r="J4781">
        <v>0</v>
      </c>
    </row>
    <row r="4782" spans="1:10" x14ac:dyDescent="0.3">
      <c r="A4782" s="15">
        <v>45839</v>
      </c>
      <c r="B4782" t="s">
        <v>244</v>
      </c>
      <c r="C4782" t="s">
        <v>91</v>
      </c>
      <c r="D4782" t="s">
        <v>82</v>
      </c>
      <c r="E4782" t="s">
        <v>92</v>
      </c>
      <c r="F4782">
        <v>7800</v>
      </c>
      <c r="G4782" t="s">
        <v>331</v>
      </c>
      <c r="H4782" s="15">
        <v>45292</v>
      </c>
      <c r="I4782">
        <v>7800</v>
      </c>
      <c r="J4782">
        <v>0</v>
      </c>
    </row>
    <row r="4783" spans="1:10" x14ac:dyDescent="0.3">
      <c r="A4783" s="15">
        <v>45839</v>
      </c>
      <c r="B4783" t="s">
        <v>245</v>
      </c>
      <c r="C4783" t="s">
        <v>81</v>
      </c>
      <c r="D4783" t="s">
        <v>99</v>
      </c>
      <c r="E4783" t="s">
        <v>97</v>
      </c>
      <c r="F4783">
        <v>2600</v>
      </c>
      <c r="G4783" t="s">
        <v>331</v>
      </c>
      <c r="H4783" s="15">
        <v>45292</v>
      </c>
      <c r="I4783">
        <v>2600</v>
      </c>
      <c r="J4783">
        <v>0</v>
      </c>
    </row>
    <row r="4784" spans="1:10" x14ac:dyDescent="0.3">
      <c r="A4784" s="15">
        <v>45839</v>
      </c>
      <c r="B4784" t="s">
        <v>246</v>
      </c>
      <c r="C4784" t="s">
        <v>91</v>
      </c>
      <c r="D4784" t="s">
        <v>86</v>
      </c>
      <c r="E4784" t="s">
        <v>103</v>
      </c>
      <c r="F4784">
        <v>10100</v>
      </c>
      <c r="G4784" t="s">
        <v>331</v>
      </c>
      <c r="H4784" s="15">
        <v>45292</v>
      </c>
      <c r="I4784">
        <v>10100</v>
      </c>
      <c r="J4784">
        <v>0</v>
      </c>
    </row>
    <row r="4785" spans="1:10" x14ac:dyDescent="0.3">
      <c r="A4785" s="15">
        <v>45839</v>
      </c>
      <c r="B4785" t="s">
        <v>247</v>
      </c>
      <c r="C4785" t="s">
        <v>91</v>
      </c>
      <c r="D4785" t="s">
        <v>86</v>
      </c>
      <c r="E4785" t="s">
        <v>89</v>
      </c>
      <c r="F4785">
        <v>7800</v>
      </c>
      <c r="G4785" t="s">
        <v>331</v>
      </c>
      <c r="H4785" s="15">
        <v>45292</v>
      </c>
      <c r="I4785">
        <v>7800</v>
      </c>
      <c r="J4785">
        <v>0</v>
      </c>
    </row>
    <row r="4786" spans="1:10" x14ac:dyDescent="0.3">
      <c r="A4786" s="15">
        <v>45839</v>
      </c>
      <c r="B4786" t="s">
        <v>248</v>
      </c>
      <c r="C4786" t="s">
        <v>81</v>
      </c>
      <c r="D4786" t="s">
        <v>82</v>
      </c>
      <c r="E4786" t="s">
        <v>103</v>
      </c>
      <c r="F4786">
        <v>2100</v>
      </c>
      <c r="G4786" t="s">
        <v>331</v>
      </c>
      <c r="H4786" s="15">
        <v>45292</v>
      </c>
      <c r="I4786">
        <v>2100</v>
      </c>
      <c r="J4786">
        <v>0</v>
      </c>
    </row>
    <row r="4787" spans="1:10" x14ac:dyDescent="0.3">
      <c r="A4787" s="15">
        <v>45839</v>
      </c>
      <c r="B4787" t="s">
        <v>250</v>
      </c>
      <c r="C4787" t="s">
        <v>81</v>
      </c>
      <c r="D4787" t="s">
        <v>86</v>
      </c>
      <c r="E4787" t="s">
        <v>87</v>
      </c>
      <c r="F4787">
        <v>3000</v>
      </c>
      <c r="G4787" t="s">
        <v>331</v>
      </c>
      <c r="H4787" s="15">
        <v>45292</v>
      </c>
      <c r="I4787">
        <v>3000</v>
      </c>
      <c r="J4787">
        <v>0</v>
      </c>
    </row>
    <row r="4788" spans="1:10" x14ac:dyDescent="0.3">
      <c r="A4788" s="15">
        <v>45839</v>
      </c>
      <c r="B4788" t="s">
        <v>251</v>
      </c>
      <c r="C4788" t="s">
        <v>91</v>
      </c>
      <c r="D4788" t="s">
        <v>99</v>
      </c>
      <c r="E4788" t="s">
        <v>103</v>
      </c>
      <c r="F4788">
        <v>8800</v>
      </c>
      <c r="G4788" t="s">
        <v>331</v>
      </c>
      <c r="H4788" s="15">
        <v>45292</v>
      </c>
      <c r="I4788">
        <v>8800</v>
      </c>
      <c r="J4788">
        <v>0</v>
      </c>
    </row>
    <row r="4789" spans="1:10" x14ac:dyDescent="0.3">
      <c r="A4789" s="15">
        <v>45839</v>
      </c>
      <c r="B4789" t="s">
        <v>252</v>
      </c>
      <c r="C4789" t="s">
        <v>81</v>
      </c>
      <c r="D4789" t="s">
        <v>99</v>
      </c>
      <c r="E4789" t="s">
        <v>92</v>
      </c>
      <c r="F4789">
        <v>3400</v>
      </c>
      <c r="G4789" t="s">
        <v>331</v>
      </c>
      <c r="H4789" s="15">
        <v>45292</v>
      </c>
      <c r="I4789">
        <v>3400</v>
      </c>
      <c r="J4789">
        <v>0</v>
      </c>
    </row>
    <row r="4790" spans="1:10" x14ac:dyDescent="0.3">
      <c r="A4790" s="15">
        <v>45839</v>
      </c>
      <c r="B4790" t="s">
        <v>253</v>
      </c>
      <c r="C4790" t="s">
        <v>81</v>
      </c>
      <c r="D4790" t="s">
        <v>96</v>
      </c>
      <c r="E4790" t="s">
        <v>89</v>
      </c>
      <c r="F4790">
        <v>2400</v>
      </c>
      <c r="G4790" t="s">
        <v>331</v>
      </c>
      <c r="H4790" s="15">
        <v>45292</v>
      </c>
      <c r="I4790">
        <v>2400</v>
      </c>
      <c r="J4790">
        <v>0</v>
      </c>
    </row>
    <row r="4791" spans="1:10" x14ac:dyDescent="0.3">
      <c r="A4791" s="15">
        <v>45839</v>
      </c>
      <c r="B4791" t="s">
        <v>254</v>
      </c>
      <c r="C4791" t="s">
        <v>110</v>
      </c>
      <c r="D4791" t="s">
        <v>86</v>
      </c>
      <c r="E4791" t="s">
        <v>103</v>
      </c>
      <c r="F4791">
        <v>56100</v>
      </c>
      <c r="G4791" t="s">
        <v>331</v>
      </c>
      <c r="H4791" s="15">
        <v>45292</v>
      </c>
      <c r="I4791">
        <v>56100</v>
      </c>
      <c r="J4791">
        <v>0</v>
      </c>
    </row>
    <row r="4792" spans="1:10" x14ac:dyDescent="0.3">
      <c r="A4792" s="15">
        <v>45839</v>
      </c>
      <c r="B4792" t="s">
        <v>255</v>
      </c>
      <c r="C4792" t="s">
        <v>91</v>
      </c>
      <c r="D4792" t="s">
        <v>86</v>
      </c>
      <c r="E4792" t="s">
        <v>89</v>
      </c>
      <c r="F4792">
        <v>9900</v>
      </c>
      <c r="G4792" t="s">
        <v>331</v>
      </c>
      <c r="H4792" s="15">
        <v>45292</v>
      </c>
      <c r="I4792">
        <v>9900</v>
      </c>
      <c r="J4792">
        <v>0</v>
      </c>
    </row>
    <row r="4793" spans="1:10" x14ac:dyDescent="0.3">
      <c r="A4793" s="15">
        <v>45839</v>
      </c>
      <c r="B4793" t="s">
        <v>256</v>
      </c>
      <c r="C4793" t="s">
        <v>81</v>
      </c>
      <c r="D4793" t="s">
        <v>82</v>
      </c>
      <c r="E4793" t="s">
        <v>103</v>
      </c>
      <c r="F4793">
        <v>1800</v>
      </c>
      <c r="G4793" t="s">
        <v>331</v>
      </c>
      <c r="H4793" s="15">
        <v>45292</v>
      </c>
      <c r="I4793">
        <v>1800</v>
      </c>
      <c r="J4793">
        <v>0</v>
      </c>
    </row>
    <row r="4794" spans="1:10" x14ac:dyDescent="0.3">
      <c r="A4794" s="15">
        <v>45839</v>
      </c>
      <c r="B4794" t="s">
        <v>258</v>
      </c>
      <c r="C4794" t="s">
        <v>125</v>
      </c>
      <c r="D4794" t="s">
        <v>86</v>
      </c>
      <c r="E4794" t="s">
        <v>83</v>
      </c>
      <c r="F4794">
        <v>96300</v>
      </c>
      <c r="G4794" t="s">
        <v>331</v>
      </c>
      <c r="H4794" s="15">
        <v>45292</v>
      </c>
      <c r="I4794">
        <v>96300</v>
      </c>
      <c r="J4794">
        <v>0</v>
      </c>
    </row>
    <row r="4795" spans="1:10" x14ac:dyDescent="0.3">
      <c r="A4795" s="15">
        <v>45839</v>
      </c>
      <c r="B4795" t="s">
        <v>259</v>
      </c>
      <c r="C4795" t="s">
        <v>81</v>
      </c>
      <c r="D4795" t="s">
        <v>86</v>
      </c>
      <c r="E4795" t="s">
        <v>89</v>
      </c>
      <c r="F4795">
        <v>1900</v>
      </c>
      <c r="G4795" t="s">
        <v>331</v>
      </c>
      <c r="H4795" s="15">
        <v>45292</v>
      </c>
      <c r="I4795">
        <v>1900</v>
      </c>
      <c r="J4795">
        <v>0</v>
      </c>
    </row>
    <row r="4796" spans="1:10" x14ac:dyDescent="0.3">
      <c r="A4796" s="15">
        <v>45839</v>
      </c>
      <c r="B4796" t="s">
        <v>260</v>
      </c>
      <c r="C4796" t="s">
        <v>81</v>
      </c>
      <c r="D4796" t="s">
        <v>86</v>
      </c>
      <c r="E4796" t="s">
        <v>97</v>
      </c>
      <c r="F4796">
        <v>2000</v>
      </c>
      <c r="G4796" t="s">
        <v>331</v>
      </c>
      <c r="H4796" s="15">
        <v>45292</v>
      </c>
      <c r="I4796">
        <v>2000</v>
      </c>
      <c r="J4796">
        <v>0</v>
      </c>
    </row>
    <row r="4797" spans="1:10" x14ac:dyDescent="0.3">
      <c r="A4797" s="15">
        <v>45839</v>
      </c>
      <c r="B4797" t="s">
        <v>262</v>
      </c>
      <c r="C4797" t="s">
        <v>91</v>
      </c>
      <c r="D4797" t="s">
        <v>82</v>
      </c>
      <c r="E4797" t="s">
        <v>92</v>
      </c>
      <c r="F4797">
        <v>10800</v>
      </c>
      <c r="G4797" t="s">
        <v>332</v>
      </c>
      <c r="H4797" s="15">
        <v>45292</v>
      </c>
      <c r="I4797">
        <v>9400</v>
      </c>
      <c r="J4797">
        <v>1400</v>
      </c>
    </row>
    <row r="4798" spans="1:10" x14ac:dyDescent="0.3">
      <c r="A4798" s="15">
        <v>45839</v>
      </c>
      <c r="B4798" t="s">
        <v>264</v>
      </c>
      <c r="C4798" t="s">
        <v>110</v>
      </c>
      <c r="D4798" t="s">
        <v>86</v>
      </c>
      <c r="E4798" t="s">
        <v>97</v>
      </c>
      <c r="F4798">
        <v>31500</v>
      </c>
      <c r="G4798" t="s">
        <v>331</v>
      </c>
      <c r="H4798" s="15">
        <v>45292</v>
      </c>
      <c r="I4798">
        <v>31500</v>
      </c>
      <c r="J4798">
        <v>0</v>
      </c>
    </row>
    <row r="4799" spans="1:10" x14ac:dyDescent="0.3">
      <c r="A4799" s="15">
        <v>45839</v>
      </c>
      <c r="B4799" t="s">
        <v>265</v>
      </c>
      <c r="C4799" t="s">
        <v>125</v>
      </c>
      <c r="D4799" t="s">
        <v>86</v>
      </c>
      <c r="E4799" t="s">
        <v>101</v>
      </c>
      <c r="F4799">
        <v>92200</v>
      </c>
      <c r="G4799" t="s">
        <v>331</v>
      </c>
      <c r="H4799" s="15">
        <v>45292</v>
      </c>
      <c r="I4799">
        <v>92200</v>
      </c>
      <c r="J4799">
        <v>0</v>
      </c>
    </row>
    <row r="4800" spans="1:10" x14ac:dyDescent="0.3">
      <c r="A4800" s="15">
        <v>45839</v>
      </c>
      <c r="B4800" t="s">
        <v>266</v>
      </c>
      <c r="C4800" t="s">
        <v>81</v>
      </c>
      <c r="D4800" t="s">
        <v>82</v>
      </c>
      <c r="E4800" t="s">
        <v>83</v>
      </c>
      <c r="F4800">
        <v>2200</v>
      </c>
      <c r="G4800" t="s">
        <v>331</v>
      </c>
      <c r="H4800" s="15">
        <v>45292</v>
      </c>
      <c r="I4800">
        <v>2200</v>
      </c>
      <c r="J4800">
        <v>0</v>
      </c>
    </row>
    <row r="4801" spans="1:10" x14ac:dyDescent="0.3">
      <c r="A4801" s="15">
        <v>45839</v>
      </c>
      <c r="B4801" t="s">
        <v>267</v>
      </c>
      <c r="C4801" t="s">
        <v>91</v>
      </c>
      <c r="D4801" t="s">
        <v>82</v>
      </c>
      <c r="E4801" t="s">
        <v>97</v>
      </c>
      <c r="F4801">
        <v>6900</v>
      </c>
      <c r="G4801" t="s">
        <v>331</v>
      </c>
      <c r="H4801" s="15">
        <v>45292</v>
      </c>
      <c r="I4801">
        <v>6900</v>
      </c>
      <c r="J4801">
        <v>0</v>
      </c>
    </row>
    <row r="4802" spans="1:10" x14ac:dyDescent="0.3">
      <c r="A4802" s="15">
        <v>45839</v>
      </c>
      <c r="B4802" t="s">
        <v>272</v>
      </c>
      <c r="C4802" t="s">
        <v>125</v>
      </c>
      <c r="D4802" t="s">
        <v>96</v>
      </c>
      <c r="E4802" t="s">
        <v>103</v>
      </c>
      <c r="F4802">
        <v>101100</v>
      </c>
      <c r="G4802" t="s">
        <v>331</v>
      </c>
      <c r="H4802" s="15">
        <v>45292</v>
      </c>
      <c r="I4802">
        <v>101100</v>
      </c>
      <c r="J4802">
        <v>0</v>
      </c>
    </row>
    <row r="4803" spans="1:10" x14ac:dyDescent="0.3">
      <c r="A4803" s="15">
        <v>45839</v>
      </c>
      <c r="B4803" t="s">
        <v>273</v>
      </c>
      <c r="C4803" t="s">
        <v>81</v>
      </c>
      <c r="D4803" t="s">
        <v>82</v>
      </c>
      <c r="E4803" t="s">
        <v>101</v>
      </c>
      <c r="F4803">
        <v>3300</v>
      </c>
      <c r="G4803" t="s">
        <v>331</v>
      </c>
      <c r="H4803" s="15">
        <v>45292</v>
      </c>
      <c r="I4803">
        <v>3300</v>
      </c>
      <c r="J4803">
        <v>0</v>
      </c>
    </row>
    <row r="4804" spans="1:10" x14ac:dyDescent="0.3">
      <c r="A4804" s="15">
        <v>45839</v>
      </c>
      <c r="B4804" t="s">
        <v>274</v>
      </c>
      <c r="C4804" t="s">
        <v>91</v>
      </c>
      <c r="D4804" t="s">
        <v>99</v>
      </c>
      <c r="E4804" t="s">
        <v>87</v>
      </c>
      <c r="F4804">
        <v>11400</v>
      </c>
      <c r="G4804" t="s">
        <v>331</v>
      </c>
      <c r="H4804" s="15">
        <v>45292</v>
      </c>
      <c r="I4804">
        <v>11400</v>
      </c>
      <c r="J4804">
        <v>0</v>
      </c>
    </row>
    <row r="4805" spans="1:10" x14ac:dyDescent="0.3">
      <c r="A4805" s="15">
        <v>45839</v>
      </c>
      <c r="B4805" t="s">
        <v>276</v>
      </c>
      <c r="C4805" t="s">
        <v>81</v>
      </c>
      <c r="D4805" t="s">
        <v>82</v>
      </c>
      <c r="E4805" t="s">
        <v>103</v>
      </c>
      <c r="F4805">
        <v>3300</v>
      </c>
      <c r="G4805" t="s">
        <v>331</v>
      </c>
      <c r="H4805" s="15">
        <v>45292</v>
      </c>
      <c r="I4805">
        <v>3300</v>
      </c>
      <c r="J4805">
        <v>0</v>
      </c>
    </row>
    <row r="4806" spans="1:10" x14ac:dyDescent="0.3">
      <c r="A4806" s="15">
        <v>45839</v>
      </c>
      <c r="B4806" t="s">
        <v>277</v>
      </c>
      <c r="C4806" t="s">
        <v>91</v>
      </c>
      <c r="D4806" t="s">
        <v>86</v>
      </c>
      <c r="E4806" t="s">
        <v>97</v>
      </c>
      <c r="F4806">
        <v>8000</v>
      </c>
      <c r="G4806" t="s">
        <v>331</v>
      </c>
      <c r="H4806" s="15">
        <v>45292</v>
      </c>
      <c r="I4806">
        <v>8000</v>
      </c>
      <c r="J4806">
        <v>0</v>
      </c>
    </row>
    <row r="4807" spans="1:10" x14ac:dyDescent="0.3">
      <c r="A4807" s="15">
        <v>45839</v>
      </c>
      <c r="B4807" t="s">
        <v>279</v>
      </c>
      <c r="C4807" t="s">
        <v>91</v>
      </c>
      <c r="D4807" t="s">
        <v>99</v>
      </c>
      <c r="E4807" t="s">
        <v>89</v>
      </c>
      <c r="F4807">
        <v>9800</v>
      </c>
      <c r="G4807" t="s">
        <v>331</v>
      </c>
      <c r="H4807" s="15">
        <v>45292</v>
      </c>
      <c r="I4807">
        <v>9800</v>
      </c>
      <c r="J4807">
        <v>0</v>
      </c>
    </row>
    <row r="4808" spans="1:10" x14ac:dyDescent="0.3">
      <c r="A4808" s="15">
        <v>45839</v>
      </c>
      <c r="B4808" t="s">
        <v>280</v>
      </c>
      <c r="C4808" t="s">
        <v>91</v>
      </c>
      <c r="D4808" t="s">
        <v>96</v>
      </c>
      <c r="E4808" t="s">
        <v>83</v>
      </c>
      <c r="F4808">
        <v>6300</v>
      </c>
      <c r="G4808" t="s">
        <v>331</v>
      </c>
      <c r="H4808" s="15">
        <v>45292</v>
      </c>
      <c r="I4808">
        <v>6300</v>
      </c>
      <c r="J4808">
        <v>0</v>
      </c>
    </row>
    <row r="4809" spans="1:10" x14ac:dyDescent="0.3">
      <c r="A4809" s="15">
        <v>45839</v>
      </c>
      <c r="B4809" t="s">
        <v>281</v>
      </c>
      <c r="C4809" t="s">
        <v>110</v>
      </c>
      <c r="D4809" t="s">
        <v>86</v>
      </c>
      <c r="E4809" t="s">
        <v>92</v>
      </c>
      <c r="F4809">
        <v>63400</v>
      </c>
      <c r="G4809" t="s">
        <v>331</v>
      </c>
      <c r="H4809" s="15">
        <v>45292</v>
      </c>
      <c r="I4809">
        <v>63400</v>
      </c>
      <c r="J4809">
        <v>0</v>
      </c>
    </row>
    <row r="4810" spans="1:10" x14ac:dyDescent="0.3">
      <c r="A4810" s="15">
        <v>45839</v>
      </c>
      <c r="B4810" t="s">
        <v>282</v>
      </c>
      <c r="C4810" t="s">
        <v>91</v>
      </c>
      <c r="D4810" t="s">
        <v>86</v>
      </c>
      <c r="E4810" t="s">
        <v>92</v>
      </c>
      <c r="F4810">
        <v>5800</v>
      </c>
      <c r="G4810" t="s">
        <v>331</v>
      </c>
      <c r="H4810" s="15">
        <v>45292</v>
      </c>
      <c r="I4810">
        <v>5800</v>
      </c>
      <c r="J4810">
        <v>0</v>
      </c>
    </row>
    <row r="4811" spans="1:10" x14ac:dyDescent="0.3">
      <c r="A4811" s="15">
        <v>45839</v>
      </c>
      <c r="B4811" t="s">
        <v>283</v>
      </c>
      <c r="C4811" t="s">
        <v>110</v>
      </c>
      <c r="D4811" t="s">
        <v>82</v>
      </c>
      <c r="E4811" t="s">
        <v>87</v>
      </c>
      <c r="F4811">
        <v>34200</v>
      </c>
      <c r="G4811" t="s">
        <v>331</v>
      </c>
      <c r="H4811" s="15">
        <v>45292</v>
      </c>
      <c r="I4811">
        <v>34200</v>
      </c>
      <c r="J4811">
        <v>0</v>
      </c>
    </row>
    <row r="4812" spans="1:10" x14ac:dyDescent="0.3">
      <c r="A4812" s="15">
        <v>45839</v>
      </c>
      <c r="B4812" t="s">
        <v>284</v>
      </c>
      <c r="C4812" t="s">
        <v>81</v>
      </c>
      <c r="D4812" t="s">
        <v>82</v>
      </c>
      <c r="E4812" t="s">
        <v>101</v>
      </c>
      <c r="F4812">
        <v>2400</v>
      </c>
      <c r="G4812" t="s">
        <v>331</v>
      </c>
      <c r="H4812" s="15">
        <v>45292</v>
      </c>
      <c r="I4812">
        <v>2400</v>
      </c>
      <c r="J4812">
        <v>0</v>
      </c>
    </row>
    <row r="4813" spans="1:10" x14ac:dyDescent="0.3">
      <c r="A4813" s="15">
        <v>45839</v>
      </c>
      <c r="B4813" t="s">
        <v>285</v>
      </c>
      <c r="C4813" t="s">
        <v>91</v>
      </c>
      <c r="D4813" t="s">
        <v>82</v>
      </c>
      <c r="E4813" t="s">
        <v>83</v>
      </c>
      <c r="F4813">
        <v>10900</v>
      </c>
      <c r="G4813" t="s">
        <v>331</v>
      </c>
      <c r="H4813" s="15">
        <v>45292</v>
      </c>
      <c r="I4813">
        <v>10900</v>
      </c>
      <c r="J4813">
        <v>0</v>
      </c>
    </row>
    <row r="4814" spans="1:10" x14ac:dyDescent="0.3">
      <c r="A4814" s="15">
        <v>45839</v>
      </c>
      <c r="B4814" t="s">
        <v>286</v>
      </c>
      <c r="C4814" t="s">
        <v>125</v>
      </c>
      <c r="D4814" t="s">
        <v>86</v>
      </c>
      <c r="E4814" t="s">
        <v>92</v>
      </c>
      <c r="F4814">
        <v>92400</v>
      </c>
      <c r="G4814" t="s">
        <v>331</v>
      </c>
      <c r="H4814" s="15">
        <v>45292</v>
      </c>
      <c r="I4814">
        <v>92400</v>
      </c>
      <c r="J4814">
        <v>0</v>
      </c>
    </row>
    <row r="4815" spans="1:10" x14ac:dyDescent="0.3">
      <c r="A4815" s="15">
        <v>45839</v>
      </c>
      <c r="B4815" t="s">
        <v>287</v>
      </c>
      <c r="C4815" t="s">
        <v>81</v>
      </c>
      <c r="D4815" t="s">
        <v>99</v>
      </c>
      <c r="E4815" t="s">
        <v>87</v>
      </c>
      <c r="F4815">
        <v>2300</v>
      </c>
      <c r="G4815" t="s">
        <v>331</v>
      </c>
      <c r="H4815" s="15">
        <v>45292</v>
      </c>
      <c r="I4815">
        <v>2300</v>
      </c>
      <c r="J4815">
        <v>0</v>
      </c>
    </row>
    <row r="4816" spans="1:10" x14ac:dyDescent="0.3">
      <c r="A4816" s="15">
        <v>45839</v>
      </c>
      <c r="B4816" t="s">
        <v>288</v>
      </c>
      <c r="C4816" t="s">
        <v>81</v>
      </c>
      <c r="D4816" t="s">
        <v>99</v>
      </c>
      <c r="E4816" t="s">
        <v>97</v>
      </c>
      <c r="F4816">
        <v>2600</v>
      </c>
      <c r="G4816" t="s">
        <v>331</v>
      </c>
      <c r="H4816" s="15">
        <v>45292</v>
      </c>
      <c r="I4816">
        <v>2600</v>
      </c>
      <c r="J4816">
        <v>0</v>
      </c>
    </row>
    <row r="4817" spans="1:10" x14ac:dyDescent="0.3">
      <c r="A4817" s="15">
        <v>45839</v>
      </c>
      <c r="B4817" t="s">
        <v>289</v>
      </c>
      <c r="C4817" t="s">
        <v>91</v>
      </c>
      <c r="D4817" t="s">
        <v>86</v>
      </c>
      <c r="E4817" t="s">
        <v>101</v>
      </c>
      <c r="F4817">
        <v>9400</v>
      </c>
      <c r="G4817" t="s">
        <v>331</v>
      </c>
      <c r="H4817" s="15">
        <v>45292</v>
      </c>
      <c r="I4817">
        <v>9400</v>
      </c>
      <c r="J4817">
        <v>0</v>
      </c>
    </row>
    <row r="4818" spans="1:10" x14ac:dyDescent="0.3">
      <c r="A4818" s="15">
        <v>45839</v>
      </c>
      <c r="B4818" t="s">
        <v>290</v>
      </c>
      <c r="C4818" t="s">
        <v>81</v>
      </c>
      <c r="D4818" t="s">
        <v>82</v>
      </c>
      <c r="E4818" t="s">
        <v>103</v>
      </c>
      <c r="F4818">
        <v>2500</v>
      </c>
      <c r="G4818" t="s">
        <v>331</v>
      </c>
      <c r="H4818" s="15">
        <v>45292</v>
      </c>
      <c r="I4818">
        <v>2500</v>
      </c>
      <c r="J4818">
        <v>0</v>
      </c>
    </row>
    <row r="4819" spans="1:10" x14ac:dyDescent="0.3">
      <c r="A4819" s="15">
        <v>45839</v>
      </c>
      <c r="B4819" t="s">
        <v>291</v>
      </c>
      <c r="C4819" t="s">
        <v>81</v>
      </c>
      <c r="D4819" t="s">
        <v>82</v>
      </c>
      <c r="E4819" t="s">
        <v>83</v>
      </c>
      <c r="F4819">
        <v>3100</v>
      </c>
      <c r="G4819" t="s">
        <v>331</v>
      </c>
      <c r="H4819" s="15">
        <v>45292</v>
      </c>
      <c r="I4819">
        <v>3100</v>
      </c>
      <c r="J4819">
        <v>0</v>
      </c>
    </row>
    <row r="4820" spans="1:10" x14ac:dyDescent="0.3">
      <c r="A4820" s="15">
        <v>45839</v>
      </c>
      <c r="B4820" t="s">
        <v>292</v>
      </c>
      <c r="C4820" t="s">
        <v>91</v>
      </c>
      <c r="D4820" t="s">
        <v>86</v>
      </c>
      <c r="E4820" t="s">
        <v>89</v>
      </c>
      <c r="F4820">
        <v>9900</v>
      </c>
      <c r="G4820" t="s">
        <v>332</v>
      </c>
      <c r="H4820" s="15">
        <v>45292</v>
      </c>
      <c r="I4820">
        <v>8600</v>
      </c>
      <c r="J4820">
        <v>1300</v>
      </c>
    </row>
    <row r="4821" spans="1:10" x14ac:dyDescent="0.3">
      <c r="A4821" s="15">
        <v>45839</v>
      </c>
      <c r="B4821" t="s">
        <v>293</v>
      </c>
      <c r="C4821" t="s">
        <v>81</v>
      </c>
      <c r="D4821" t="s">
        <v>86</v>
      </c>
      <c r="E4821" t="s">
        <v>103</v>
      </c>
      <c r="F4821">
        <v>2200</v>
      </c>
      <c r="G4821" t="s">
        <v>331</v>
      </c>
      <c r="H4821" s="15">
        <v>45292</v>
      </c>
      <c r="I4821">
        <v>2200</v>
      </c>
      <c r="J4821">
        <v>0</v>
      </c>
    </row>
    <row r="4822" spans="1:10" x14ac:dyDescent="0.3">
      <c r="A4822" s="15">
        <v>45839</v>
      </c>
      <c r="B4822" t="s">
        <v>294</v>
      </c>
      <c r="C4822" t="s">
        <v>91</v>
      </c>
      <c r="D4822" t="s">
        <v>82</v>
      </c>
      <c r="E4822" t="s">
        <v>97</v>
      </c>
      <c r="F4822">
        <v>10400</v>
      </c>
      <c r="G4822" t="s">
        <v>331</v>
      </c>
      <c r="H4822" s="15">
        <v>45292</v>
      </c>
      <c r="I4822">
        <v>10400</v>
      </c>
      <c r="J4822">
        <v>0</v>
      </c>
    </row>
    <row r="4823" spans="1:10" x14ac:dyDescent="0.3">
      <c r="A4823" s="15">
        <v>45839</v>
      </c>
      <c r="B4823" t="s">
        <v>295</v>
      </c>
      <c r="C4823" t="s">
        <v>81</v>
      </c>
      <c r="D4823" t="s">
        <v>82</v>
      </c>
      <c r="E4823" t="s">
        <v>103</v>
      </c>
      <c r="F4823">
        <v>2300</v>
      </c>
      <c r="G4823" t="s">
        <v>331</v>
      </c>
      <c r="H4823" s="15">
        <v>45292</v>
      </c>
      <c r="I4823">
        <v>2300</v>
      </c>
      <c r="J4823">
        <v>0</v>
      </c>
    </row>
    <row r="4824" spans="1:10" x14ac:dyDescent="0.3">
      <c r="A4824" s="15">
        <v>45839</v>
      </c>
      <c r="B4824" t="s">
        <v>298</v>
      </c>
      <c r="C4824" t="s">
        <v>81</v>
      </c>
      <c r="D4824" t="s">
        <v>86</v>
      </c>
      <c r="E4824" t="s">
        <v>89</v>
      </c>
      <c r="F4824">
        <v>2700</v>
      </c>
      <c r="G4824" t="s">
        <v>331</v>
      </c>
      <c r="H4824" s="15">
        <v>45292</v>
      </c>
      <c r="I4824">
        <v>2700</v>
      </c>
      <c r="J4824">
        <v>0</v>
      </c>
    </row>
    <row r="4825" spans="1:10" x14ac:dyDescent="0.3">
      <c r="A4825" s="15">
        <v>45839</v>
      </c>
      <c r="B4825" t="s">
        <v>299</v>
      </c>
      <c r="C4825" t="s">
        <v>81</v>
      </c>
      <c r="D4825" t="s">
        <v>99</v>
      </c>
      <c r="E4825" t="s">
        <v>103</v>
      </c>
      <c r="F4825">
        <v>2900</v>
      </c>
      <c r="G4825" t="s">
        <v>331</v>
      </c>
      <c r="H4825" s="15">
        <v>45292</v>
      </c>
      <c r="I4825">
        <v>2900</v>
      </c>
      <c r="J4825">
        <v>0</v>
      </c>
    </row>
    <row r="4826" spans="1:10" x14ac:dyDescent="0.3">
      <c r="A4826" s="15">
        <v>45839</v>
      </c>
      <c r="B4826" t="s">
        <v>300</v>
      </c>
      <c r="C4826" t="s">
        <v>91</v>
      </c>
      <c r="D4826" t="s">
        <v>82</v>
      </c>
      <c r="E4826" t="s">
        <v>89</v>
      </c>
      <c r="F4826">
        <v>11500</v>
      </c>
      <c r="G4826" t="s">
        <v>331</v>
      </c>
      <c r="H4826" s="15">
        <v>45292</v>
      </c>
      <c r="I4826">
        <v>11500</v>
      </c>
      <c r="J4826">
        <v>0</v>
      </c>
    </row>
    <row r="4827" spans="1:10" x14ac:dyDescent="0.3">
      <c r="A4827" s="15">
        <v>45839</v>
      </c>
      <c r="B4827" t="s">
        <v>303</v>
      </c>
      <c r="C4827" t="s">
        <v>81</v>
      </c>
      <c r="D4827" t="s">
        <v>82</v>
      </c>
      <c r="E4827" t="s">
        <v>83</v>
      </c>
      <c r="F4827">
        <v>1400</v>
      </c>
      <c r="G4827" t="s">
        <v>331</v>
      </c>
      <c r="H4827" s="15">
        <v>45292</v>
      </c>
      <c r="I4827">
        <v>1400</v>
      </c>
      <c r="J4827">
        <v>0</v>
      </c>
    </row>
    <row r="4828" spans="1:10" x14ac:dyDescent="0.3">
      <c r="A4828" s="15">
        <v>45839</v>
      </c>
      <c r="B4828" t="s">
        <v>304</v>
      </c>
      <c r="C4828" t="s">
        <v>81</v>
      </c>
      <c r="D4828" t="s">
        <v>86</v>
      </c>
      <c r="E4828" t="s">
        <v>92</v>
      </c>
      <c r="F4828">
        <v>2100</v>
      </c>
      <c r="G4828" t="s">
        <v>331</v>
      </c>
      <c r="H4828" s="15">
        <v>45292</v>
      </c>
      <c r="I4828">
        <v>2100</v>
      </c>
      <c r="J4828">
        <v>0</v>
      </c>
    </row>
    <row r="4829" spans="1:10" x14ac:dyDescent="0.3">
      <c r="A4829" s="15">
        <v>45839</v>
      </c>
      <c r="B4829" t="s">
        <v>306</v>
      </c>
      <c r="C4829" t="s">
        <v>91</v>
      </c>
      <c r="D4829" t="s">
        <v>82</v>
      </c>
      <c r="E4829" t="s">
        <v>87</v>
      </c>
      <c r="F4829">
        <v>11700</v>
      </c>
      <c r="G4829" t="s">
        <v>331</v>
      </c>
      <c r="H4829" s="15">
        <v>45292</v>
      </c>
      <c r="I4829">
        <v>11700</v>
      </c>
      <c r="J4829">
        <v>0</v>
      </c>
    </row>
    <row r="4830" spans="1:10" x14ac:dyDescent="0.3">
      <c r="A4830" s="15">
        <v>45839</v>
      </c>
      <c r="B4830" t="s">
        <v>307</v>
      </c>
      <c r="C4830" t="s">
        <v>81</v>
      </c>
      <c r="D4830" t="s">
        <v>86</v>
      </c>
      <c r="E4830" t="s">
        <v>97</v>
      </c>
      <c r="F4830">
        <v>2600</v>
      </c>
      <c r="G4830" t="s">
        <v>331</v>
      </c>
      <c r="H4830" s="15">
        <v>45292</v>
      </c>
      <c r="I4830">
        <v>2600</v>
      </c>
      <c r="J4830">
        <v>0</v>
      </c>
    </row>
    <row r="4831" spans="1:10" x14ac:dyDescent="0.3">
      <c r="A4831" s="15">
        <v>45839</v>
      </c>
      <c r="B4831" t="s">
        <v>309</v>
      </c>
      <c r="C4831" t="s">
        <v>91</v>
      </c>
      <c r="D4831" t="s">
        <v>82</v>
      </c>
      <c r="E4831" t="s">
        <v>87</v>
      </c>
      <c r="F4831">
        <v>10700</v>
      </c>
      <c r="G4831" t="s">
        <v>331</v>
      </c>
      <c r="H4831" s="15">
        <v>45292</v>
      </c>
      <c r="I4831">
        <v>10700</v>
      </c>
      <c r="J4831">
        <v>0</v>
      </c>
    </row>
    <row r="4832" spans="1:10" x14ac:dyDescent="0.3">
      <c r="A4832" s="15">
        <v>45839</v>
      </c>
      <c r="B4832" t="s">
        <v>310</v>
      </c>
      <c r="C4832" t="s">
        <v>91</v>
      </c>
      <c r="D4832" t="s">
        <v>99</v>
      </c>
      <c r="E4832" t="s">
        <v>87</v>
      </c>
      <c r="F4832">
        <v>10000</v>
      </c>
      <c r="G4832" t="s">
        <v>331</v>
      </c>
      <c r="H4832" s="15">
        <v>45292</v>
      </c>
      <c r="I4832">
        <v>10000</v>
      </c>
      <c r="J4832">
        <v>0</v>
      </c>
    </row>
    <row r="4833" spans="1:10" x14ac:dyDescent="0.3">
      <c r="A4833" s="15">
        <v>45839</v>
      </c>
      <c r="B4833" t="s">
        <v>313</v>
      </c>
      <c r="C4833" t="s">
        <v>91</v>
      </c>
      <c r="D4833" t="s">
        <v>82</v>
      </c>
      <c r="E4833" t="s">
        <v>101</v>
      </c>
      <c r="F4833">
        <v>12700</v>
      </c>
      <c r="G4833" t="s">
        <v>331</v>
      </c>
      <c r="H4833" s="15">
        <v>45292</v>
      </c>
      <c r="I4833">
        <v>12700</v>
      </c>
      <c r="J4833">
        <v>0</v>
      </c>
    </row>
    <row r="4834" spans="1:10" x14ac:dyDescent="0.3">
      <c r="A4834" s="15">
        <v>45839</v>
      </c>
      <c r="B4834" t="s">
        <v>315</v>
      </c>
      <c r="C4834" t="s">
        <v>125</v>
      </c>
      <c r="D4834" t="s">
        <v>86</v>
      </c>
      <c r="E4834" t="s">
        <v>92</v>
      </c>
      <c r="F4834">
        <v>76200</v>
      </c>
      <c r="G4834" t="s">
        <v>331</v>
      </c>
      <c r="H4834" s="15">
        <v>45292</v>
      </c>
      <c r="I4834">
        <v>76200</v>
      </c>
      <c r="J4834">
        <v>0</v>
      </c>
    </row>
    <row r="4835" spans="1:10" x14ac:dyDescent="0.3">
      <c r="A4835" s="15">
        <v>45839</v>
      </c>
      <c r="B4835" t="s">
        <v>316</v>
      </c>
      <c r="C4835" t="s">
        <v>81</v>
      </c>
      <c r="D4835" t="s">
        <v>96</v>
      </c>
      <c r="E4835" t="s">
        <v>92</v>
      </c>
      <c r="F4835">
        <v>2000</v>
      </c>
      <c r="G4835" t="s">
        <v>331</v>
      </c>
      <c r="H4835" s="15">
        <v>45292</v>
      </c>
      <c r="I4835">
        <v>2000</v>
      </c>
      <c r="J4835">
        <v>0</v>
      </c>
    </row>
    <row r="4836" spans="1:10" x14ac:dyDescent="0.3">
      <c r="A4836" s="15">
        <v>45839</v>
      </c>
      <c r="B4836" t="s">
        <v>318</v>
      </c>
      <c r="C4836" t="s">
        <v>110</v>
      </c>
      <c r="D4836" t="s">
        <v>82</v>
      </c>
      <c r="E4836" t="s">
        <v>97</v>
      </c>
      <c r="F4836">
        <v>29600</v>
      </c>
      <c r="G4836" t="s">
        <v>331</v>
      </c>
      <c r="H4836" s="15">
        <v>45292</v>
      </c>
      <c r="I4836">
        <v>29600</v>
      </c>
      <c r="J4836">
        <v>0</v>
      </c>
    </row>
    <row r="4837" spans="1:10" x14ac:dyDescent="0.3">
      <c r="A4837" s="15">
        <v>45839</v>
      </c>
      <c r="B4837" t="s">
        <v>320</v>
      </c>
      <c r="C4837" t="s">
        <v>91</v>
      </c>
      <c r="D4837" t="s">
        <v>86</v>
      </c>
      <c r="E4837" t="s">
        <v>97</v>
      </c>
      <c r="F4837">
        <v>7700</v>
      </c>
      <c r="G4837" t="s">
        <v>331</v>
      </c>
      <c r="H4837" s="15">
        <v>45292</v>
      </c>
      <c r="I4837">
        <v>7700</v>
      </c>
      <c r="J4837">
        <v>0</v>
      </c>
    </row>
    <row r="4838" spans="1:10" x14ac:dyDescent="0.3">
      <c r="A4838" s="15">
        <v>45839</v>
      </c>
      <c r="B4838" t="s">
        <v>321</v>
      </c>
      <c r="C4838" t="s">
        <v>81</v>
      </c>
      <c r="D4838" t="s">
        <v>99</v>
      </c>
      <c r="E4838" t="s">
        <v>101</v>
      </c>
      <c r="F4838">
        <v>3500</v>
      </c>
      <c r="G4838" t="s">
        <v>332</v>
      </c>
      <c r="H4838" s="15">
        <v>45292</v>
      </c>
      <c r="I4838">
        <v>3300</v>
      </c>
      <c r="J4838">
        <v>200</v>
      </c>
    </row>
    <row r="4839" spans="1:10" x14ac:dyDescent="0.3">
      <c r="A4839" s="15">
        <v>45839</v>
      </c>
      <c r="B4839" t="s">
        <v>322</v>
      </c>
      <c r="C4839" t="s">
        <v>81</v>
      </c>
      <c r="D4839" t="s">
        <v>82</v>
      </c>
      <c r="E4839" t="s">
        <v>103</v>
      </c>
      <c r="F4839">
        <v>2000</v>
      </c>
      <c r="G4839" t="s">
        <v>331</v>
      </c>
      <c r="H4839" s="15">
        <v>45292</v>
      </c>
      <c r="I4839">
        <v>2000</v>
      </c>
      <c r="J4839">
        <v>0</v>
      </c>
    </row>
    <row r="4840" spans="1:10" x14ac:dyDescent="0.3">
      <c r="A4840" s="15">
        <v>45839</v>
      </c>
      <c r="B4840" t="s">
        <v>323</v>
      </c>
      <c r="C4840" t="s">
        <v>110</v>
      </c>
      <c r="D4840" t="s">
        <v>82</v>
      </c>
      <c r="E4840" t="s">
        <v>89</v>
      </c>
      <c r="F4840">
        <v>23400</v>
      </c>
      <c r="G4840" t="s">
        <v>331</v>
      </c>
      <c r="H4840" s="15">
        <v>45292</v>
      </c>
      <c r="I4840">
        <v>23400</v>
      </c>
      <c r="J4840">
        <v>0</v>
      </c>
    </row>
    <row r="4841" spans="1:10" x14ac:dyDescent="0.3">
      <c r="A4841" s="15">
        <v>45839</v>
      </c>
      <c r="B4841" t="s">
        <v>324</v>
      </c>
      <c r="C4841" t="s">
        <v>81</v>
      </c>
      <c r="D4841" t="s">
        <v>86</v>
      </c>
      <c r="E4841" t="s">
        <v>87</v>
      </c>
      <c r="F4841">
        <v>2700</v>
      </c>
      <c r="G4841" t="s">
        <v>331</v>
      </c>
      <c r="H4841" s="15">
        <v>45292</v>
      </c>
      <c r="I4841">
        <v>2700</v>
      </c>
      <c r="J4841">
        <v>0</v>
      </c>
    </row>
    <row r="4842" spans="1:10" x14ac:dyDescent="0.3">
      <c r="A4842" s="15">
        <v>45839</v>
      </c>
      <c r="B4842" t="s">
        <v>325</v>
      </c>
      <c r="C4842" t="s">
        <v>91</v>
      </c>
      <c r="D4842" t="s">
        <v>86</v>
      </c>
      <c r="E4842" t="s">
        <v>87</v>
      </c>
      <c r="F4842">
        <v>9400</v>
      </c>
      <c r="G4842" t="s">
        <v>332</v>
      </c>
      <c r="H4842" s="15">
        <v>45292</v>
      </c>
      <c r="I4842">
        <v>8800</v>
      </c>
      <c r="J4842">
        <v>600</v>
      </c>
    </row>
    <row r="4843" spans="1:10" x14ac:dyDescent="0.3">
      <c r="A4843" s="15">
        <v>45839</v>
      </c>
      <c r="B4843" t="s">
        <v>326</v>
      </c>
      <c r="C4843" t="s">
        <v>91</v>
      </c>
      <c r="D4843" t="s">
        <v>86</v>
      </c>
      <c r="E4843" t="s">
        <v>92</v>
      </c>
      <c r="F4843">
        <v>9100</v>
      </c>
      <c r="G4843" t="s">
        <v>332</v>
      </c>
      <c r="H4843" s="15">
        <v>45292</v>
      </c>
      <c r="I4843">
        <v>7900</v>
      </c>
      <c r="J4843">
        <v>1200</v>
      </c>
    </row>
    <row r="4844" spans="1:10" x14ac:dyDescent="0.3">
      <c r="A4844" s="15">
        <v>45839</v>
      </c>
      <c r="B4844" t="s">
        <v>327</v>
      </c>
      <c r="C4844" t="s">
        <v>125</v>
      </c>
      <c r="D4844" t="s">
        <v>99</v>
      </c>
      <c r="E4844" t="s">
        <v>97</v>
      </c>
      <c r="F4844">
        <v>77500</v>
      </c>
      <c r="G4844" t="s">
        <v>331</v>
      </c>
      <c r="H4844" s="15">
        <v>45292</v>
      </c>
      <c r="I4844">
        <v>77500</v>
      </c>
      <c r="J4844">
        <v>0</v>
      </c>
    </row>
    <row r="4845" spans="1:10" x14ac:dyDescent="0.3">
      <c r="A4845" s="15">
        <v>45839</v>
      </c>
      <c r="B4845" t="s">
        <v>329</v>
      </c>
      <c r="C4845" t="s">
        <v>81</v>
      </c>
      <c r="D4845" t="s">
        <v>86</v>
      </c>
      <c r="E4845" t="s">
        <v>101</v>
      </c>
      <c r="F4845">
        <v>2200</v>
      </c>
      <c r="G4845" t="s">
        <v>331</v>
      </c>
      <c r="H4845" s="15">
        <v>45292</v>
      </c>
      <c r="I4845">
        <v>2200</v>
      </c>
      <c r="J4845">
        <v>0</v>
      </c>
    </row>
    <row r="4846" spans="1:10" x14ac:dyDescent="0.3">
      <c r="A4846" s="15">
        <v>45839</v>
      </c>
      <c r="B4846" t="s">
        <v>330</v>
      </c>
      <c r="C4846" t="s">
        <v>125</v>
      </c>
      <c r="D4846" t="s">
        <v>86</v>
      </c>
      <c r="E4846" t="s">
        <v>87</v>
      </c>
      <c r="F4846">
        <v>105400</v>
      </c>
      <c r="G4846" t="s">
        <v>331</v>
      </c>
      <c r="H4846" s="15">
        <v>45292</v>
      </c>
      <c r="I4846">
        <v>105400</v>
      </c>
      <c r="J4846">
        <v>0</v>
      </c>
    </row>
    <row r="4847" spans="1:10" x14ac:dyDescent="0.3">
      <c r="A4847" s="15">
        <v>45839</v>
      </c>
      <c r="B4847" t="s">
        <v>335</v>
      </c>
      <c r="C4847" t="s">
        <v>91</v>
      </c>
      <c r="D4847" t="s">
        <v>86</v>
      </c>
      <c r="E4847" t="s">
        <v>89</v>
      </c>
      <c r="F4847">
        <v>7300</v>
      </c>
      <c r="G4847" t="s">
        <v>331</v>
      </c>
      <c r="H4847" s="15">
        <v>45323</v>
      </c>
      <c r="I4847">
        <v>7300</v>
      </c>
      <c r="J4847">
        <v>0</v>
      </c>
    </row>
    <row r="4848" spans="1:10" x14ac:dyDescent="0.3">
      <c r="A4848" s="15">
        <v>45839</v>
      </c>
      <c r="B4848" t="s">
        <v>336</v>
      </c>
      <c r="C4848" t="s">
        <v>81</v>
      </c>
      <c r="D4848" t="s">
        <v>82</v>
      </c>
      <c r="E4848" t="s">
        <v>103</v>
      </c>
      <c r="F4848">
        <v>1500</v>
      </c>
      <c r="G4848" t="s">
        <v>331</v>
      </c>
      <c r="H4848" s="15">
        <v>45323</v>
      </c>
      <c r="I4848">
        <v>1500</v>
      </c>
      <c r="J4848">
        <v>0</v>
      </c>
    </row>
    <row r="4849" spans="1:10" x14ac:dyDescent="0.3">
      <c r="A4849" s="15">
        <v>45839</v>
      </c>
      <c r="B4849" t="s">
        <v>339</v>
      </c>
      <c r="C4849" t="s">
        <v>81</v>
      </c>
      <c r="D4849" t="s">
        <v>82</v>
      </c>
      <c r="E4849" t="s">
        <v>103</v>
      </c>
      <c r="F4849">
        <v>1600</v>
      </c>
      <c r="G4849" t="s">
        <v>331</v>
      </c>
      <c r="H4849" s="15">
        <v>45323</v>
      </c>
      <c r="I4849">
        <v>1600</v>
      </c>
      <c r="J4849">
        <v>0</v>
      </c>
    </row>
    <row r="4850" spans="1:10" x14ac:dyDescent="0.3">
      <c r="A4850" s="15">
        <v>45839</v>
      </c>
      <c r="B4850" t="s">
        <v>341</v>
      </c>
      <c r="C4850" t="s">
        <v>110</v>
      </c>
      <c r="D4850" t="s">
        <v>82</v>
      </c>
      <c r="E4850" t="s">
        <v>92</v>
      </c>
      <c r="F4850">
        <v>18800</v>
      </c>
      <c r="G4850" t="s">
        <v>331</v>
      </c>
      <c r="H4850" s="15">
        <v>45323</v>
      </c>
      <c r="I4850">
        <v>18800</v>
      </c>
      <c r="J4850">
        <v>0</v>
      </c>
    </row>
    <row r="4851" spans="1:10" x14ac:dyDescent="0.3">
      <c r="A4851" s="15">
        <v>45839</v>
      </c>
      <c r="B4851" t="s">
        <v>342</v>
      </c>
      <c r="C4851" t="s">
        <v>91</v>
      </c>
      <c r="D4851" t="s">
        <v>82</v>
      </c>
      <c r="E4851" t="s">
        <v>83</v>
      </c>
      <c r="F4851">
        <v>6300</v>
      </c>
      <c r="G4851" t="s">
        <v>331</v>
      </c>
      <c r="H4851" s="15">
        <v>45352</v>
      </c>
      <c r="I4851">
        <v>6300</v>
      </c>
      <c r="J4851">
        <v>0</v>
      </c>
    </row>
    <row r="4852" spans="1:10" x14ac:dyDescent="0.3">
      <c r="A4852" s="15">
        <v>45839</v>
      </c>
      <c r="B4852" t="s">
        <v>343</v>
      </c>
      <c r="C4852" t="s">
        <v>81</v>
      </c>
      <c r="D4852" t="s">
        <v>82</v>
      </c>
      <c r="E4852" t="s">
        <v>89</v>
      </c>
      <c r="F4852">
        <v>2500</v>
      </c>
      <c r="G4852" t="s">
        <v>331</v>
      </c>
      <c r="H4852" s="15">
        <v>45352</v>
      </c>
      <c r="I4852">
        <v>2500</v>
      </c>
      <c r="J4852">
        <v>0</v>
      </c>
    </row>
    <row r="4853" spans="1:10" x14ac:dyDescent="0.3">
      <c r="A4853" s="15">
        <v>45839</v>
      </c>
      <c r="B4853" t="s">
        <v>344</v>
      </c>
      <c r="C4853" t="s">
        <v>110</v>
      </c>
      <c r="D4853" t="s">
        <v>86</v>
      </c>
      <c r="E4853" t="s">
        <v>89</v>
      </c>
      <c r="F4853">
        <v>22300</v>
      </c>
      <c r="G4853" t="s">
        <v>331</v>
      </c>
      <c r="H4853" s="15">
        <v>45352</v>
      </c>
      <c r="I4853">
        <v>22300</v>
      </c>
      <c r="J4853">
        <v>0</v>
      </c>
    </row>
    <row r="4854" spans="1:10" x14ac:dyDescent="0.3">
      <c r="A4854" s="15">
        <v>45839</v>
      </c>
      <c r="B4854" t="s">
        <v>345</v>
      </c>
      <c r="C4854" t="s">
        <v>91</v>
      </c>
      <c r="D4854" t="s">
        <v>86</v>
      </c>
      <c r="E4854" t="s">
        <v>83</v>
      </c>
      <c r="F4854">
        <v>7900</v>
      </c>
      <c r="G4854" t="s">
        <v>331</v>
      </c>
      <c r="H4854" s="15">
        <v>45352</v>
      </c>
      <c r="I4854">
        <v>7900</v>
      </c>
      <c r="J4854">
        <v>0</v>
      </c>
    </row>
    <row r="4855" spans="1:10" x14ac:dyDescent="0.3">
      <c r="A4855" s="15">
        <v>45839</v>
      </c>
      <c r="B4855" t="s">
        <v>346</v>
      </c>
      <c r="C4855" t="s">
        <v>81</v>
      </c>
      <c r="D4855" t="s">
        <v>86</v>
      </c>
      <c r="E4855" t="s">
        <v>97</v>
      </c>
      <c r="F4855">
        <v>1700</v>
      </c>
      <c r="G4855" t="s">
        <v>331</v>
      </c>
      <c r="H4855" s="15">
        <v>45352</v>
      </c>
      <c r="I4855">
        <v>1700</v>
      </c>
      <c r="J4855">
        <v>0</v>
      </c>
    </row>
    <row r="4856" spans="1:10" x14ac:dyDescent="0.3">
      <c r="A4856" s="15">
        <v>45839</v>
      </c>
      <c r="B4856" t="s">
        <v>347</v>
      </c>
      <c r="C4856" t="s">
        <v>91</v>
      </c>
      <c r="D4856" t="s">
        <v>82</v>
      </c>
      <c r="E4856" t="s">
        <v>83</v>
      </c>
      <c r="F4856">
        <v>4700</v>
      </c>
      <c r="G4856" t="s">
        <v>331</v>
      </c>
      <c r="H4856" s="15">
        <v>45383</v>
      </c>
      <c r="I4856">
        <v>4700</v>
      </c>
      <c r="J4856">
        <v>0</v>
      </c>
    </row>
    <row r="4857" spans="1:10" x14ac:dyDescent="0.3">
      <c r="A4857" s="15">
        <v>45839</v>
      </c>
      <c r="B4857" t="s">
        <v>350</v>
      </c>
      <c r="C4857" t="s">
        <v>91</v>
      </c>
      <c r="D4857" t="s">
        <v>82</v>
      </c>
      <c r="E4857" t="s">
        <v>83</v>
      </c>
      <c r="F4857">
        <v>4400</v>
      </c>
      <c r="G4857" t="s">
        <v>331</v>
      </c>
      <c r="H4857" s="15">
        <v>45383</v>
      </c>
      <c r="I4857">
        <v>4400</v>
      </c>
      <c r="J4857">
        <v>0</v>
      </c>
    </row>
    <row r="4858" spans="1:10" x14ac:dyDescent="0.3">
      <c r="A4858" s="15">
        <v>45839</v>
      </c>
      <c r="B4858" t="s">
        <v>351</v>
      </c>
      <c r="C4858" t="s">
        <v>81</v>
      </c>
      <c r="D4858" t="s">
        <v>86</v>
      </c>
      <c r="E4858" t="s">
        <v>83</v>
      </c>
      <c r="F4858">
        <v>2300</v>
      </c>
      <c r="G4858" t="s">
        <v>331</v>
      </c>
      <c r="H4858" s="15">
        <v>45383</v>
      </c>
      <c r="I4858">
        <v>2300</v>
      </c>
      <c r="J4858">
        <v>0</v>
      </c>
    </row>
    <row r="4859" spans="1:10" x14ac:dyDescent="0.3">
      <c r="A4859" s="15">
        <v>45839</v>
      </c>
      <c r="B4859" t="s">
        <v>352</v>
      </c>
      <c r="C4859" t="s">
        <v>91</v>
      </c>
      <c r="D4859" t="s">
        <v>82</v>
      </c>
      <c r="E4859" t="s">
        <v>89</v>
      </c>
      <c r="F4859">
        <v>8800</v>
      </c>
      <c r="G4859" t="s">
        <v>331</v>
      </c>
      <c r="H4859" s="15">
        <v>45383</v>
      </c>
      <c r="I4859">
        <v>8800</v>
      </c>
      <c r="J4859">
        <v>0</v>
      </c>
    </row>
    <row r="4860" spans="1:10" x14ac:dyDescent="0.3">
      <c r="A4860" s="15">
        <v>45839</v>
      </c>
      <c r="B4860" t="s">
        <v>353</v>
      </c>
      <c r="C4860" t="s">
        <v>81</v>
      </c>
      <c r="D4860" t="s">
        <v>99</v>
      </c>
      <c r="E4860" t="s">
        <v>103</v>
      </c>
      <c r="F4860">
        <v>1200</v>
      </c>
      <c r="G4860" t="s">
        <v>331</v>
      </c>
      <c r="H4860" s="15">
        <v>45383</v>
      </c>
      <c r="I4860">
        <v>1200</v>
      </c>
      <c r="J4860">
        <v>0</v>
      </c>
    </row>
    <row r="4861" spans="1:10" x14ac:dyDescent="0.3">
      <c r="A4861" s="15">
        <v>45839</v>
      </c>
      <c r="B4861" t="s">
        <v>354</v>
      </c>
      <c r="C4861" t="s">
        <v>81</v>
      </c>
      <c r="D4861" t="s">
        <v>82</v>
      </c>
      <c r="E4861" t="s">
        <v>92</v>
      </c>
      <c r="F4861">
        <v>1700</v>
      </c>
      <c r="G4861" t="s">
        <v>334</v>
      </c>
      <c r="H4861" s="15">
        <v>45413</v>
      </c>
      <c r="I4861">
        <v>1800</v>
      </c>
      <c r="J4861">
        <v>-100</v>
      </c>
    </row>
    <row r="4862" spans="1:10" x14ac:dyDescent="0.3">
      <c r="A4862" s="15">
        <v>45839</v>
      </c>
      <c r="B4862" t="s">
        <v>355</v>
      </c>
      <c r="C4862" t="s">
        <v>81</v>
      </c>
      <c r="D4862" t="s">
        <v>86</v>
      </c>
      <c r="E4862" t="s">
        <v>97</v>
      </c>
      <c r="F4862">
        <v>2000</v>
      </c>
      <c r="G4862" t="s">
        <v>331</v>
      </c>
      <c r="H4862" s="15">
        <v>45413</v>
      </c>
      <c r="I4862">
        <v>2000</v>
      </c>
      <c r="J4862">
        <v>0</v>
      </c>
    </row>
    <row r="4863" spans="1:10" x14ac:dyDescent="0.3">
      <c r="A4863" s="15">
        <v>45839</v>
      </c>
      <c r="B4863" t="s">
        <v>356</v>
      </c>
      <c r="C4863" t="s">
        <v>110</v>
      </c>
      <c r="D4863" t="s">
        <v>82</v>
      </c>
      <c r="E4863" t="s">
        <v>97</v>
      </c>
      <c r="F4863">
        <v>33000</v>
      </c>
      <c r="G4863" t="s">
        <v>331</v>
      </c>
      <c r="H4863" s="15">
        <v>45413</v>
      </c>
      <c r="I4863">
        <v>33000</v>
      </c>
      <c r="J4863">
        <v>0</v>
      </c>
    </row>
    <row r="4864" spans="1:10" x14ac:dyDescent="0.3">
      <c r="A4864" s="15">
        <v>45839</v>
      </c>
      <c r="B4864" t="s">
        <v>357</v>
      </c>
      <c r="C4864" t="s">
        <v>125</v>
      </c>
      <c r="D4864" t="s">
        <v>86</v>
      </c>
      <c r="E4864" t="s">
        <v>97</v>
      </c>
      <c r="F4864">
        <v>83400</v>
      </c>
      <c r="G4864" t="s">
        <v>331</v>
      </c>
      <c r="H4864" s="15">
        <v>45413</v>
      </c>
      <c r="I4864">
        <v>83400</v>
      </c>
      <c r="J4864">
        <v>0</v>
      </c>
    </row>
    <row r="4865" spans="1:10" x14ac:dyDescent="0.3">
      <c r="A4865" s="15">
        <v>45839</v>
      </c>
      <c r="B4865" t="s">
        <v>358</v>
      </c>
      <c r="C4865" t="s">
        <v>110</v>
      </c>
      <c r="D4865" t="s">
        <v>86</v>
      </c>
      <c r="E4865" t="s">
        <v>83</v>
      </c>
      <c r="F4865">
        <v>24100</v>
      </c>
      <c r="G4865" t="s">
        <v>331</v>
      </c>
      <c r="H4865" s="15">
        <v>45413</v>
      </c>
      <c r="I4865">
        <v>24100</v>
      </c>
      <c r="J4865">
        <v>0</v>
      </c>
    </row>
    <row r="4866" spans="1:10" x14ac:dyDescent="0.3">
      <c r="A4866" s="15">
        <v>45839</v>
      </c>
      <c r="B4866" t="s">
        <v>359</v>
      </c>
      <c r="C4866" t="s">
        <v>110</v>
      </c>
      <c r="D4866" t="s">
        <v>86</v>
      </c>
      <c r="E4866" t="s">
        <v>101</v>
      </c>
      <c r="F4866">
        <v>31400</v>
      </c>
      <c r="G4866" t="s">
        <v>331</v>
      </c>
      <c r="H4866" s="15">
        <v>45413</v>
      </c>
      <c r="I4866">
        <v>31400</v>
      </c>
      <c r="J4866">
        <v>0</v>
      </c>
    </row>
    <row r="4867" spans="1:10" x14ac:dyDescent="0.3">
      <c r="A4867" s="15">
        <v>45839</v>
      </c>
      <c r="B4867" t="s">
        <v>361</v>
      </c>
      <c r="C4867" t="s">
        <v>91</v>
      </c>
      <c r="D4867" t="s">
        <v>86</v>
      </c>
      <c r="E4867" t="s">
        <v>83</v>
      </c>
      <c r="F4867">
        <v>5700</v>
      </c>
      <c r="G4867" t="s">
        <v>331</v>
      </c>
      <c r="H4867" s="15">
        <v>45444</v>
      </c>
      <c r="I4867">
        <v>5700</v>
      </c>
      <c r="J4867">
        <v>0</v>
      </c>
    </row>
    <row r="4868" spans="1:10" x14ac:dyDescent="0.3">
      <c r="A4868" s="15">
        <v>45839</v>
      </c>
      <c r="B4868" t="s">
        <v>362</v>
      </c>
      <c r="C4868" t="s">
        <v>91</v>
      </c>
      <c r="D4868" t="s">
        <v>82</v>
      </c>
      <c r="E4868" t="s">
        <v>101</v>
      </c>
      <c r="F4868">
        <v>5700</v>
      </c>
      <c r="G4868" t="s">
        <v>332</v>
      </c>
      <c r="H4868" s="15">
        <v>45444</v>
      </c>
      <c r="I4868">
        <v>5400</v>
      </c>
      <c r="J4868">
        <v>300</v>
      </c>
    </row>
    <row r="4869" spans="1:10" x14ac:dyDescent="0.3">
      <c r="A4869" s="15">
        <v>45839</v>
      </c>
      <c r="B4869" t="s">
        <v>363</v>
      </c>
      <c r="C4869" t="s">
        <v>91</v>
      </c>
      <c r="D4869" t="s">
        <v>86</v>
      </c>
      <c r="E4869" t="s">
        <v>83</v>
      </c>
      <c r="F4869">
        <v>4400</v>
      </c>
      <c r="G4869" t="s">
        <v>331</v>
      </c>
      <c r="H4869" s="15">
        <v>45444</v>
      </c>
      <c r="I4869">
        <v>4400</v>
      </c>
      <c r="J4869">
        <v>0</v>
      </c>
    </row>
    <row r="4870" spans="1:10" x14ac:dyDescent="0.3">
      <c r="A4870" s="15">
        <v>45839</v>
      </c>
      <c r="B4870" t="s">
        <v>364</v>
      </c>
      <c r="C4870" t="s">
        <v>91</v>
      </c>
      <c r="D4870" t="s">
        <v>82</v>
      </c>
      <c r="E4870" t="s">
        <v>101</v>
      </c>
      <c r="F4870">
        <v>6700</v>
      </c>
      <c r="G4870" t="s">
        <v>331</v>
      </c>
      <c r="H4870" s="15">
        <v>45444</v>
      </c>
      <c r="I4870">
        <v>6700</v>
      </c>
      <c r="J4870">
        <v>0</v>
      </c>
    </row>
    <row r="4871" spans="1:10" x14ac:dyDescent="0.3">
      <c r="A4871" s="15">
        <v>45839</v>
      </c>
      <c r="B4871" t="s">
        <v>366</v>
      </c>
      <c r="C4871" t="s">
        <v>81</v>
      </c>
      <c r="D4871" t="s">
        <v>99</v>
      </c>
      <c r="E4871" t="s">
        <v>92</v>
      </c>
      <c r="F4871">
        <v>1600</v>
      </c>
      <c r="G4871" t="s">
        <v>331</v>
      </c>
      <c r="H4871" s="15">
        <v>45474</v>
      </c>
      <c r="I4871">
        <v>1600</v>
      </c>
      <c r="J4871">
        <v>0</v>
      </c>
    </row>
    <row r="4872" spans="1:10" x14ac:dyDescent="0.3">
      <c r="A4872" s="15">
        <v>45839</v>
      </c>
      <c r="B4872" t="s">
        <v>367</v>
      </c>
      <c r="C4872" t="s">
        <v>91</v>
      </c>
      <c r="D4872" t="s">
        <v>82</v>
      </c>
      <c r="E4872" t="s">
        <v>92</v>
      </c>
      <c r="F4872">
        <v>5000</v>
      </c>
      <c r="G4872" t="s">
        <v>331</v>
      </c>
      <c r="H4872" s="15">
        <v>45474</v>
      </c>
      <c r="I4872">
        <v>5000</v>
      </c>
      <c r="J4872">
        <v>0</v>
      </c>
    </row>
    <row r="4873" spans="1:10" x14ac:dyDescent="0.3">
      <c r="A4873" s="15">
        <v>45839</v>
      </c>
      <c r="B4873" t="s">
        <v>368</v>
      </c>
      <c r="C4873" t="s">
        <v>81</v>
      </c>
      <c r="D4873" t="s">
        <v>86</v>
      </c>
      <c r="E4873" t="s">
        <v>89</v>
      </c>
      <c r="F4873">
        <v>1400</v>
      </c>
      <c r="G4873" t="s">
        <v>331</v>
      </c>
      <c r="H4873" s="15">
        <v>45474</v>
      </c>
      <c r="I4873">
        <v>1400</v>
      </c>
      <c r="J4873">
        <v>0</v>
      </c>
    </row>
    <row r="4874" spans="1:10" x14ac:dyDescent="0.3">
      <c r="A4874" s="15">
        <v>45839</v>
      </c>
      <c r="B4874" t="s">
        <v>369</v>
      </c>
      <c r="C4874" t="s">
        <v>81</v>
      </c>
      <c r="D4874" t="s">
        <v>86</v>
      </c>
      <c r="E4874" t="s">
        <v>83</v>
      </c>
      <c r="F4874">
        <v>2000</v>
      </c>
      <c r="G4874" t="s">
        <v>331</v>
      </c>
      <c r="H4874" s="15">
        <v>45474</v>
      </c>
      <c r="I4874">
        <v>2000</v>
      </c>
      <c r="J4874">
        <v>0</v>
      </c>
    </row>
    <row r="4875" spans="1:10" x14ac:dyDescent="0.3">
      <c r="A4875" s="15">
        <v>45839</v>
      </c>
      <c r="B4875" t="s">
        <v>370</v>
      </c>
      <c r="C4875" t="s">
        <v>81</v>
      </c>
      <c r="D4875" t="s">
        <v>99</v>
      </c>
      <c r="E4875" t="s">
        <v>87</v>
      </c>
      <c r="F4875">
        <v>2300</v>
      </c>
      <c r="G4875" t="s">
        <v>331</v>
      </c>
      <c r="H4875" s="15">
        <v>45474</v>
      </c>
      <c r="I4875">
        <v>2300</v>
      </c>
      <c r="J4875">
        <v>0</v>
      </c>
    </row>
    <row r="4876" spans="1:10" x14ac:dyDescent="0.3">
      <c r="A4876" s="15">
        <v>45839</v>
      </c>
      <c r="B4876" t="s">
        <v>373</v>
      </c>
      <c r="C4876" t="s">
        <v>91</v>
      </c>
      <c r="D4876" t="s">
        <v>99</v>
      </c>
      <c r="E4876" t="s">
        <v>101</v>
      </c>
      <c r="F4876">
        <v>5200</v>
      </c>
      <c r="G4876" t="s">
        <v>331</v>
      </c>
      <c r="H4876" s="15">
        <v>45505</v>
      </c>
      <c r="I4876">
        <v>5200</v>
      </c>
      <c r="J4876">
        <v>0</v>
      </c>
    </row>
    <row r="4877" spans="1:10" x14ac:dyDescent="0.3">
      <c r="A4877" s="15">
        <v>45839</v>
      </c>
      <c r="B4877" t="s">
        <v>374</v>
      </c>
      <c r="C4877" t="s">
        <v>91</v>
      </c>
      <c r="D4877" t="s">
        <v>99</v>
      </c>
      <c r="E4877" t="s">
        <v>87</v>
      </c>
      <c r="F4877">
        <v>5000</v>
      </c>
      <c r="G4877" t="s">
        <v>331</v>
      </c>
      <c r="H4877" s="15">
        <v>45505</v>
      </c>
      <c r="I4877">
        <v>5000</v>
      </c>
      <c r="J4877">
        <v>0</v>
      </c>
    </row>
    <row r="4878" spans="1:10" x14ac:dyDescent="0.3">
      <c r="A4878" s="15">
        <v>45839</v>
      </c>
      <c r="B4878" t="s">
        <v>376</v>
      </c>
      <c r="C4878" t="s">
        <v>110</v>
      </c>
      <c r="D4878" t="s">
        <v>86</v>
      </c>
      <c r="E4878" t="s">
        <v>103</v>
      </c>
      <c r="F4878">
        <v>22900</v>
      </c>
      <c r="G4878" t="s">
        <v>331</v>
      </c>
      <c r="H4878" s="15">
        <v>45505</v>
      </c>
      <c r="I4878">
        <v>22900</v>
      </c>
      <c r="J4878">
        <v>0</v>
      </c>
    </row>
    <row r="4879" spans="1:10" x14ac:dyDescent="0.3">
      <c r="A4879" s="15">
        <v>45839</v>
      </c>
      <c r="B4879" t="s">
        <v>377</v>
      </c>
      <c r="C4879" t="s">
        <v>81</v>
      </c>
      <c r="D4879" t="s">
        <v>99</v>
      </c>
      <c r="E4879" t="s">
        <v>92</v>
      </c>
      <c r="F4879">
        <v>2300</v>
      </c>
      <c r="G4879" t="s">
        <v>331</v>
      </c>
      <c r="H4879" s="15">
        <v>45536</v>
      </c>
      <c r="I4879">
        <v>2300</v>
      </c>
      <c r="J4879">
        <v>0</v>
      </c>
    </row>
    <row r="4880" spans="1:10" x14ac:dyDescent="0.3">
      <c r="A4880" s="15">
        <v>45839</v>
      </c>
      <c r="B4880" t="s">
        <v>379</v>
      </c>
      <c r="C4880" t="s">
        <v>81</v>
      </c>
      <c r="D4880" t="s">
        <v>99</v>
      </c>
      <c r="E4880" t="s">
        <v>101</v>
      </c>
      <c r="F4880">
        <v>2200</v>
      </c>
      <c r="G4880" t="s">
        <v>331</v>
      </c>
      <c r="H4880" s="15">
        <v>45536</v>
      </c>
      <c r="I4880">
        <v>2200</v>
      </c>
      <c r="J4880">
        <v>0</v>
      </c>
    </row>
    <row r="4881" spans="1:10" x14ac:dyDescent="0.3">
      <c r="A4881" s="15">
        <v>45839</v>
      </c>
      <c r="B4881" t="s">
        <v>380</v>
      </c>
      <c r="C4881" t="s">
        <v>81</v>
      </c>
      <c r="D4881" t="s">
        <v>82</v>
      </c>
      <c r="E4881" t="s">
        <v>101</v>
      </c>
      <c r="F4881">
        <v>0</v>
      </c>
      <c r="G4881" t="s">
        <v>333</v>
      </c>
      <c r="H4881" s="15">
        <v>45536</v>
      </c>
      <c r="I4881">
        <v>2200</v>
      </c>
      <c r="J4881">
        <v>-2200</v>
      </c>
    </row>
    <row r="4882" spans="1:10" x14ac:dyDescent="0.3">
      <c r="A4882" s="15">
        <v>45839</v>
      </c>
      <c r="B4882" t="s">
        <v>381</v>
      </c>
      <c r="C4882" t="s">
        <v>91</v>
      </c>
      <c r="D4882" t="s">
        <v>86</v>
      </c>
      <c r="E4882" t="s">
        <v>92</v>
      </c>
      <c r="F4882">
        <v>4600</v>
      </c>
      <c r="G4882" t="s">
        <v>331</v>
      </c>
      <c r="H4882" s="15">
        <v>45536</v>
      </c>
      <c r="I4882">
        <v>4600</v>
      </c>
      <c r="J4882">
        <v>0</v>
      </c>
    </row>
    <row r="4883" spans="1:10" x14ac:dyDescent="0.3">
      <c r="A4883" s="15">
        <v>45839</v>
      </c>
      <c r="B4883" t="s">
        <v>382</v>
      </c>
      <c r="C4883" t="s">
        <v>81</v>
      </c>
      <c r="D4883" t="s">
        <v>96</v>
      </c>
      <c r="E4883" t="s">
        <v>101</v>
      </c>
      <c r="F4883">
        <v>2100</v>
      </c>
      <c r="G4883" t="s">
        <v>331</v>
      </c>
      <c r="H4883" s="15">
        <v>45536</v>
      </c>
      <c r="I4883">
        <v>2100</v>
      </c>
      <c r="J4883">
        <v>0</v>
      </c>
    </row>
    <row r="4884" spans="1:10" x14ac:dyDescent="0.3">
      <c r="A4884" s="15">
        <v>45839</v>
      </c>
      <c r="B4884" t="s">
        <v>383</v>
      </c>
      <c r="C4884" t="s">
        <v>81</v>
      </c>
      <c r="D4884" t="s">
        <v>82</v>
      </c>
      <c r="E4884" t="s">
        <v>87</v>
      </c>
      <c r="F4884">
        <v>1600</v>
      </c>
      <c r="G4884" t="s">
        <v>334</v>
      </c>
      <c r="H4884" s="15">
        <v>45536</v>
      </c>
      <c r="I4884">
        <v>1800</v>
      </c>
      <c r="J4884">
        <v>-200</v>
      </c>
    </row>
    <row r="4885" spans="1:10" x14ac:dyDescent="0.3">
      <c r="A4885" s="15">
        <v>45839</v>
      </c>
      <c r="B4885" t="s">
        <v>384</v>
      </c>
      <c r="C4885" t="s">
        <v>91</v>
      </c>
      <c r="D4885" t="s">
        <v>82</v>
      </c>
      <c r="E4885" t="s">
        <v>103</v>
      </c>
      <c r="F4885">
        <v>5000</v>
      </c>
      <c r="G4885" t="s">
        <v>331</v>
      </c>
      <c r="H4885" s="15">
        <v>45566</v>
      </c>
      <c r="I4885">
        <v>5000</v>
      </c>
      <c r="J4885">
        <v>0</v>
      </c>
    </row>
    <row r="4886" spans="1:10" x14ac:dyDescent="0.3">
      <c r="A4886" s="15">
        <v>45839</v>
      </c>
      <c r="B4886" t="s">
        <v>385</v>
      </c>
      <c r="C4886" t="s">
        <v>91</v>
      </c>
      <c r="D4886" t="s">
        <v>99</v>
      </c>
      <c r="E4886" t="s">
        <v>83</v>
      </c>
      <c r="F4886">
        <v>8300</v>
      </c>
      <c r="G4886" t="s">
        <v>331</v>
      </c>
      <c r="H4886" s="15">
        <v>45566</v>
      </c>
      <c r="I4886">
        <v>8300</v>
      </c>
      <c r="J4886">
        <v>0</v>
      </c>
    </row>
    <row r="4887" spans="1:10" x14ac:dyDescent="0.3">
      <c r="A4887" s="15">
        <v>45839</v>
      </c>
      <c r="B4887" t="s">
        <v>386</v>
      </c>
      <c r="C4887" t="s">
        <v>81</v>
      </c>
      <c r="D4887" t="s">
        <v>82</v>
      </c>
      <c r="E4887" t="s">
        <v>103</v>
      </c>
      <c r="F4887">
        <v>2200</v>
      </c>
      <c r="G4887" t="s">
        <v>331</v>
      </c>
      <c r="H4887" s="15">
        <v>45566</v>
      </c>
      <c r="I4887">
        <v>2200</v>
      </c>
      <c r="J4887">
        <v>0</v>
      </c>
    </row>
    <row r="4888" spans="1:10" x14ac:dyDescent="0.3">
      <c r="A4888" s="15">
        <v>45839</v>
      </c>
      <c r="B4888" t="s">
        <v>387</v>
      </c>
      <c r="C4888" t="s">
        <v>81</v>
      </c>
      <c r="D4888" t="s">
        <v>86</v>
      </c>
      <c r="E4888" t="s">
        <v>92</v>
      </c>
      <c r="F4888">
        <v>1700</v>
      </c>
      <c r="G4888" t="s">
        <v>331</v>
      </c>
      <c r="H4888" s="15">
        <v>45566</v>
      </c>
      <c r="I4888">
        <v>1700</v>
      </c>
      <c r="J4888">
        <v>0</v>
      </c>
    </row>
    <row r="4889" spans="1:10" x14ac:dyDescent="0.3">
      <c r="A4889" s="15">
        <v>45839</v>
      </c>
      <c r="B4889" t="s">
        <v>388</v>
      </c>
      <c r="C4889" t="s">
        <v>81</v>
      </c>
      <c r="D4889" t="s">
        <v>99</v>
      </c>
      <c r="E4889" t="s">
        <v>103</v>
      </c>
      <c r="F4889">
        <v>1700</v>
      </c>
      <c r="G4889" t="s">
        <v>331</v>
      </c>
      <c r="H4889" s="15">
        <v>45566</v>
      </c>
      <c r="I4889">
        <v>1700</v>
      </c>
      <c r="J4889">
        <v>0</v>
      </c>
    </row>
    <row r="4890" spans="1:10" x14ac:dyDescent="0.3">
      <c r="A4890" s="15">
        <v>45839</v>
      </c>
      <c r="B4890" t="s">
        <v>389</v>
      </c>
      <c r="C4890" t="s">
        <v>91</v>
      </c>
      <c r="D4890" t="s">
        <v>82</v>
      </c>
      <c r="E4890" t="s">
        <v>101</v>
      </c>
      <c r="F4890">
        <v>7300</v>
      </c>
      <c r="G4890" t="s">
        <v>331</v>
      </c>
      <c r="H4890" s="15">
        <v>45566</v>
      </c>
      <c r="I4890">
        <v>7300</v>
      </c>
      <c r="J4890">
        <v>0</v>
      </c>
    </row>
    <row r="4891" spans="1:10" x14ac:dyDescent="0.3">
      <c r="A4891" s="15">
        <v>45839</v>
      </c>
      <c r="B4891" t="s">
        <v>390</v>
      </c>
      <c r="C4891" t="s">
        <v>91</v>
      </c>
      <c r="D4891" t="s">
        <v>82</v>
      </c>
      <c r="E4891" t="s">
        <v>89</v>
      </c>
      <c r="F4891">
        <v>6200</v>
      </c>
      <c r="G4891" t="s">
        <v>331</v>
      </c>
      <c r="H4891" s="15">
        <v>45566</v>
      </c>
      <c r="I4891">
        <v>6200</v>
      </c>
      <c r="J4891">
        <v>0</v>
      </c>
    </row>
    <row r="4892" spans="1:10" x14ac:dyDescent="0.3">
      <c r="A4892" s="15">
        <v>45839</v>
      </c>
      <c r="B4892" t="s">
        <v>392</v>
      </c>
      <c r="C4892" t="s">
        <v>91</v>
      </c>
      <c r="D4892" t="s">
        <v>86</v>
      </c>
      <c r="E4892" t="s">
        <v>97</v>
      </c>
      <c r="F4892">
        <v>10000</v>
      </c>
      <c r="G4892" t="s">
        <v>331</v>
      </c>
      <c r="H4892" s="15">
        <v>45597</v>
      </c>
      <c r="I4892">
        <v>10000</v>
      </c>
      <c r="J4892">
        <v>0</v>
      </c>
    </row>
    <row r="4893" spans="1:10" x14ac:dyDescent="0.3">
      <c r="A4893" s="15">
        <v>45839</v>
      </c>
      <c r="B4893" t="s">
        <v>393</v>
      </c>
      <c r="C4893" t="s">
        <v>81</v>
      </c>
      <c r="D4893" t="s">
        <v>82</v>
      </c>
      <c r="E4893" t="s">
        <v>92</v>
      </c>
      <c r="F4893">
        <v>2100</v>
      </c>
      <c r="G4893" t="s">
        <v>331</v>
      </c>
      <c r="H4893" s="15">
        <v>45597</v>
      </c>
      <c r="I4893">
        <v>2100</v>
      </c>
      <c r="J4893">
        <v>0</v>
      </c>
    </row>
    <row r="4894" spans="1:10" x14ac:dyDescent="0.3">
      <c r="A4894" s="15">
        <v>45839</v>
      </c>
      <c r="B4894" t="s">
        <v>394</v>
      </c>
      <c r="C4894" t="s">
        <v>81</v>
      </c>
      <c r="D4894" t="s">
        <v>99</v>
      </c>
      <c r="E4894" t="s">
        <v>87</v>
      </c>
      <c r="F4894">
        <v>1400</v>
      </c>
      <c r="G4894" t="s">
        <v>331</v>
      </c>
      <c r="H4894" s="15">
        <v>45597</v>
      </c>
      <c r="I4894">
        <v>1400</v>
      </c>
      <c r="J4894">
        <v>0</v>
      </c>
    </row>
    <row r="4895" spans="1:10" x14ac:dyDescent="0.3">
      <c r="A4895" s="15">
        <v>45839</v>
      </c>
      <c r="B4895" t="s">
        <v>395</v>
      </c>
      <c r="C4895" t="s">
        <v>81</v>
      </c>
      <c r="D4895" t="s">
        <v>82</v>
      </c>
      <c r="E4895" t="s">
        <v>97</v>
      </c>
      <c r="F4895">
        <v>2200</v>
      </c>
      <c r="G4895" t="s">
        <v>331</v>
      </c>
      <c r="H4895" s="15">
        <v>45627</v>
      </c>
      <c r="I4895">
        <v>2200</v>
      </c>
      <c r="J4895">
        <v>0</v>
      </c>
    </row>
    <row r="4896" spans="1:10" x14ac:dyDescent="0.3">
      <c r="A4896" s="15">
        <v>45839</v>
      </c>
      <c r="B4896" t="s">
        <v>396</v>
      </c>
      <c r="C4896" t="s">
        <v>91</v>
      </c>
      <c r="D4896" t="s">
        <v>82</v>
      </c>
      <c r="E4896" t="s">
        <v>92</v>
      </c>
      <c r="F4896">
        <v>8800</v>
      </c>
      <c r="G4896" t="s">
        <v>331</v>
      </c>
      <c r="H4896" s="15">
        <v>45627</v>
      </c>
      <c r="I4896">
        <v>8800</v>
      </c>
      <c r="J4896">
        <v>0</v>
      </c>
    </row>
    <row r="4897" spans="1:10" x14ac:dyDescent="0.3">
      <c r="A4897" s="15">
        <v>45839</v>
      </c>
      <c r="B4897" t="s">
        <v>397</v>
      </c>
      <c r="C4897" t="s">
        <v>91</v>
      </c>
      <c r="D4897" t="s">
        <v>82</v>
      </c>
      <c r="E4897" t="s">
        <v>83</v>
      </c>
      <c r="F4897">
        <v>5400</v>
      </c>
      <c r="G4897" t="s">
        <v>331</v>
      </c>
      <c r="H4897" s="15">
        <v>45627</v>
      </c>
      <c r="I4897">
        <v>5400</v>
      </c>
      <c r="J4897">
        <v>0</v>
      </c>
    </row>
    <row r="4898" spans="1:10" x14ac:dyDescent="0.3">
      <c r="A4898" s="15">
        <v>45839</v>
      </c>
      <c r="B4898" t="s">
        <v>398</v>
      </c>
      <c r="C4898" t="s">
        <v>81</v>
      </c>
      <c r="D4898" t="s">
        <v>86</v>
      </c>
      <c r="E4898" t="s">
        <v>92</v>
      </c>
      <c r="F4898">
        <v>1600</v>
      </c>
      <c r="G4898" t="s">
        <v>331</v>
      </c>
      <c r="H4898" s="15">
        <v>45627</v>
      </c>
      <c r="I4898">
        <v>1600</v>
      </c>
      <c r="J4898">
        <v>0</v>
      </c>
    </row>
    <row r="4899" spans="1:10" x14ac:dyDescent="0.3">
      <c r="A4899" s="15">
        <v>45839</v>
      </c>
      <c r="B4899" t="s">
        <v>399</v>
      </c>
      <c r="C4899" t="s">
        <v>110</v>
      </c>
      <c r="D4899" t="s">
        <v>82</v>
      </c>
      <c r="E4899" t="s">
        <v>101</v>
      </c>
      <c r="F4899">
        <v>17400</v>
      </c>
      <c r="G4899" t="s">
        <v>331</v>
      </c>
      <c r="H4899" s="15">
        <v>45627</v>
      </c>
      <c r="I4899">
        <v>17400</v>
      </c>
      <c r="J4899">
        <v>0</v>
      </c>
    </row>
    <row r="4900" spans="1:10" x14ac:dyDescent="0.3">
      <c r="A4900" s="15">
        <v>45839</v>
      </c>
      <c r="B4900" t="s">
        <v>400</v>
      </c>
      <c r="C4900" t="s">
        <v>91</v>
      </c>
      <c r="D4900" t="s">
        <v>82</v>
      </c>
      <c r="E4900" t="s">
        <v>103</v>
      </c>
      <c r="F4900">
        <v>4400</v>
      </c>
      <c r="G4900" t="s">
        <v>331</v>
      </c>
      <c r="H4900" s="15">
        <v>45627</v>
      </c>
      <c r="I4900">
        <v>4400</v>
      </c>
      <c r="J4900">
        <v>0</v>
      </c>
    </row>
    <row r="4901" spans="1:10" x14ac:dyDescent="0.3">
      <c r="A4901" s="15">
        <v>45839</v>
      </c>
      <c r="B4901" t="s">
        <v>403</v>
      </c>
      <c r="C4901" t="s">
        <v>81</v>
      </c>
      <c r="D4901" t="s">
        <v>82</v>
      </c>
      <c r="E4901" t="s">
        <v>101</v>
      </c>
      <c r="F4901">
        <v>1900</v>
      </c>
      <c r="G4901" t="s">
        <v>331</v>
      </c>
      <c r="H4901" s="15">
        <v>45658</v>
      </c>
      <c r="I4901">
        <v>1900</v>
      </c>
      <c r="J4901">
        <v>0</v>
      </c>
    </row>
    <row r="4902" spans="1:10" x14ac:dyDescent="0.3">
      <c r="A4902" s="15">
        <v>45839</v>
      </c>
      <c r="B4902" t="s">
        <v>404</v>
      </c>
      <c r="C4902" t="s">
        <v>81</v>
      </c>
      <c r="D4902" t="s">
        <v>86</v>
      </c>
      <c r="E4902" t="s">
        <v>83</v>
      </c>
      <c r="F4902">
        <v>2100</v>
      </c>
      <c r="G4902" t="s">
        <v>331</v>
      </c>
      <c r="H4902" s="15">
        <v>45658</v>
      </c>
      <c r="I4902">
        <v>2100</v>
      </c>
      <c r="J4902">
        <v>0</v>
      </c>
    </row>
    <row r="4903" spans="1:10" x14ac:dyDescent="0.3">
      <c r="A4903" s="15">
        <v>45839</v>
      </c>
      <c r="B4903" t="s">
        <v>405</v>
      </c>
      <c r="C4903" t="s">
        <v>81</v>
      </c>
      <c r="D4903" t="s">
        <v>82</v>
      </c>
      <c r="E4903" t="s">
        <v>92</v>
      </c>
      <c r="F4903">
        <v>1600</v>
      </c>
      <c r="G4903" t="s">
        <v>331</v>
      </c>
      <c r="H4903" s="15">
        <v>45658</v>
      </c>
      <c r="I4903">
        <v>1600</v>
      </c>
      <c r="J4903">
        <v>0</v>
      </c>
    </row>
    <row r="4904" spans="1:10" x14ac:dyDescent="0.3">
      <c r="A4904" s="15">
        <v>45839</v>
      </c>
      <c r="B4904" t="s">
        <v>406</v>
      </c>
      <c r="C4904" t="s">
        <v>91</v>
      </c>
      <c r="D4904" t="s">
        <v>86</v>
      </c>
      <c r="E4904" t="s">
        <v>87</v>
      </c>
      <c r="F4904">
        <v>5400</v>
      </c>
      <c r="G4904" t="s">
        <v>331</v>
      </c>
      <c r="H4904" s="15">
        <v>45658</v>
      </c>
      <c r="I4904">
        <v>5400</v>
      </c>
      <c r="J4904">
        <v>0</v>
      </c>
    </row>
    <row r="4905" spans="1:10" x14ac:dyDescent="0.3">
      <c r="A4905" s="15">
        <v>45839</v>
      </c>
      <c r="B4905" t="s">
        <v>407</v>
      </c>
      <c r="C4905" t="s">
        <v>81</v>
      </c>
      <c r="D4905" t="s">
        <v>82</v>
      </c>
      <c r="E4905" t="s">
        <v>92</v>
      </c>
      <c r="F4905">
        <v>2400</v>
      </c>
      <c r="G4905" t="s">
        <v>331</v>
      </c>
      <c r="H4905" s="15">
        <v>45689</v>
      </c>
      <c r="I4905">
        <v>2400</v>
      </c>
      <c r="J4905">
        <v>0</v>
      </c>
    </row>
    <row r="4906" spans="1:10" x14ac:dyDescent="0.3">
      <c r="A4906" s="15">
        <v>45839</v>
      </c>
      <c r="B4906" t="s">
        <v>409</v>
      </c>
      <c r="C4906" t="s">
        <v>81</v>
      </c>
      <c r="D4906" t="s">
        <v>82</v>
      </c>
      <c r="E4906" t="s">
        <v>83</v>
      </c>
      <c r="F4906">
        <v>1700</v>
      </c>
      <c r="G4906" t="s">
        <v>331</v>
      </c>
      <c r="H4906" s="15">
        <v>45689</v>
      </c>
      <c r="I4906">
        <v>1700</v>
      </c>
      <c r="J4906">
        <v>0</v>
      </c>
    </row>
    <row r="4907" spans="1:10" x14ac:dyDescent="0.3">
      <c r="A4907" s="15">
        <v>45839</v>
      </c>
      <c r="B4907" t="s">
        <v>410</v>
      </c>
      <c r="C4907" t="s">
        <v>125</v>
      </c>
      <c r="D4907" t="s">
        <v>82</v>
      </c>
      <c r="E4907" t="s">
        <v>103</v>
      </c>
      <c r="F4907">
        <v>56400</v>
      </c>
      <c r="G4907" t="s">
        <v>331</v>
      </c>
      <c r="H4907" s="15">
        <v>45689</v>
      </c>
      <c r="I4907">
        <v>56400</v>
      </c>
      <c r="J4907">
        <v>0</v>
      </c>
    </row>
    <row r="4908" spans="1:10" x14ac:dyDescent="0.3">
      <c r="A4908" s="15">
        <v>45839</v>
      </c>
      <c r="B4908" t="s">
        <v>411</v>
      </c>
      <c r="C4908" t="s">
        <v>91</v>
      </c>
      <c r="D4908" t="s">
        <v>86</v>
      </c>
      <c r="E4908" t="s">
        <v>92</v>
      </c>
      <c r="F4908">
        <v>8900</v>
      </c>
      <c r="G4908" t="s">
        <v>331</v>
      </c>
      <c r="H4908" s="15">
        <v>45689</v>
      </c>
      <c r="I4908">
        <v>8900</v>
      </c>
      <c r="J4908">
        <v>0</v>
      </c>
    </row>
    <row r="4909" spans="1:10" x14ac:dyDescent="0.3">
      <c r="A4909" s="15">
        <v>45839</v>
      </c>
      <c r="B4909" t="s">
        <v>412</v>
      </c>
      <c r="C4909" t="s">
        <v>81</v>
      </c>
      <c r="D4909" t="s">
        <v>82</v>
      </c>
      <c r="E4909" t="s">
        <v>89</v>
      </c>
      <c r="F4909">
        <v>2200</v>
      </c>
      <c r="G4909" t="s">
        <v>331</v>
      </c>
      <c r="H4909" s="15">
        <v>45717</v>
      </c>
      <c r="I4909">
        <v>2200</v>
      </c>
      <c r="J4909">
        <v>0</v>
      </c>
    </row>
    <row r="4910" spans="1:10" x14ac:dyDescent="0.3">
      <c r="A4910" s="15">
        <v>45839</v>
      </c>
      <c r="B4910" t="s">
        <v>413</v>
      </c>
      <c r="C4910" t="s">
        <v>81</v>
      </c>
      <c r="D4910" t="s">
        <v>99</v>
      </c>
      <c r="E4910" t="s">
        <v>101</v>
      </c>
      <c r="F4910">
        <v>2300</v>
      </c>
      <c r="G4910" t="s">
        <v>331</v>
      </c>
      <c r="H4910" s="15">
        <v>45717</v>
      </c>
      <c r="I4910">
        <v>2300</v>
      </c>
      <c r="J4910">
        <v>0</v>
      </c>
    </row>
    <row r="4911" spans="1:10" x14ac:dyDescent="0.3">
      <c r="A4911" s="15">
        <v>45839</v>
      </c>
      <c r="B4911" t="s">
        <v>414</v>
      </c>
      <c r="C4911" t="s">
        <v>110</v>
      </c>
      <c r="D4911" t="s">
        <v>99</v>
      </c>
      <c r="E4911" t="s">
        <v>89</v>
      </c>
      <c r="F4911">
        <v>30900</v>
      </c>
      <c r="G4911" t="s">
        <v>331</v>
      </c>
      <c r="H4911" s="15">
        <v>45717</v>
      </c>
      <c r="I4911">
        <v>30900</v>
      </c>
      <c r="J4911">
        <v>0</v>
      </c>
    </row>
    <row r="4912" spans="1:10" x14ac:dyDescent="0.3">
      <c r="A4912" s="15">
        <v>45839</v>
      </c>
      <c r="B4912" t="s">
        <v>416</v>
      </c>
      <c r="C4912" t="s">
        <v>81</v>
      </c>
      <c r="D4912" t="s">
        <v>99</v>
      </c>
      <c r="E4912" t="s">
        <v>103</v>
      </c>
      <c r="F4912">
        <v>2500</v>
      </c>
      <c r="G4912" t="s">
        <v>331</v>
      </c>
      <c r="H4912" s="15">
        <v>45717</v>
      </c>
      <c r="I4912">
        <v>2500</v>
      </c>
      <c r="J4912">
        <v>0</v>
      </c>
    </row>
    <row r="4913" spans="1:10" x14ac:dyDescent="0.3">
      <c r="A4913" s="15">
        <v>45839</v>
      </c>
      <c r="B4913" t="s">
        <v>417</v>
      </c>
      <c r="C4913" t="s">
        <v>110</v>
      </c>
      <c r="D4913" t="s">
        <v>86</v>
      </c>
      <c r="E4913" t="s">
        <v>92</v>
      </c>
      <c r="F4913">
        <v>35600</v>
      </c>
      <c r="G4913" t="s">
        <v>331</v>
      </c>
      <c r="H4913" s="15">
        <v>45717</v>
      </c>
      <c r="I4913">
        <v>35600</v>
      </c>
      <c r="J4913">
        <v>0</v>
      </c>
    </row>
    <row r="4914" spans="1:10" x14ac:dyDescent="0.3">
      <c r="A4914" s="15">
        <v>45839</v>
      </c>
      <c r="B4914" t="s">
        <v>418</v>
      </c>
      <c r="C4914" t="s">
        <v>81</v>
      </c>
      <c r="D4914" t="s">
        <v>86</v>
      </c>
      <c r="E4914" t="s">
        <v>92</v>
      </c>
      <c r="F4914">
        <v>1600</v>
      </c>
      <c r="G4914" t="s">
        <v>331</v>
      </c>
      <c r="H4914" s="15">
        <v>45748</v>
      </c>
      <c r="I4914">
        <v>1600</v>
      </c>
      <c r="J4914">
        <v>0</v>
      </c>
    </row>
    <row r="4915" spans="1:10" x14ac:dyDescent="0.3">
      <c r="A4915" s="15">
        <v>45839</v>
      </c>
      <c r="B4915" t="s">
        <v>419</v>
      </c>
      <c r="C4915" t="s">
        <v>125</v>
      </c>
      <c r="D4915" t="s">
        <v>96</v>
      </c>
      <c r="E4915" t="s">
        <v>103</v>
      </c>
      <c r="F4915">
        <v>73300</v>
      </c>
      <c r="G4915" t="s">
        <v>331</v>
      </c>
      <c r="H4915" s="15">
        <v>45748</v>
      </c>
      <c r="I4915">
        <v>73300</v>
      </c>
      <c r="J4915">
        <v>0</v>
      </c>
    </row>
    <row r="4916" spans="1:10" x14ac:dyDescent="0.3">
      <c r="A4916" s="15">
        <v>45839</v>
      </c>
      <c r="B4916" t="s">
        <v>420</v>
      </c>
      <c r="C4916" t="s">
        <v>110</v>
      </c>
      <c r="D4916" t="s">
        <v>96</v>
      </c>
      <c r="E4916" t="s">
        <v>103</v>
      </c>
      <c r="F4916">
        <v>22900</v>
      </c>
      <c r="G4916" t="s">
        <v>331</v>
      </c>
      <c r="H4916" s="15">
        <v>45748</v>
      </c>
      <c r="I4916">
        <v>22900</v>
      </c>
      <c r="J4916">
        <v>0</v>
      </c>
    </row>
    <row r="4917" spans="1:10" x14ac:dyDescent="0.3">
      <c r="A4917" s="15">
        <v>45839</v>
      </c>
      <c r="B4917" t="s">
        <v>421</v>
      </c>
      <c r="C4917" t="s">
        <v>110</v>
      </c>
      <c r="D4917" t="s">
        <v>82</v>
      </c>
      <c r="E4917" t="s">
        <v>103</v>
      </c>
      <c r="F4917">
        <v>18800</v>
      </c>
      <c r="G4917" t="s">
        <v>331</v>
      </c>
      <c r="H4917" s="15">
        <v>45748</v>
      </c>
      <c r="I4917">
        <v>18800</v>
      </c>
      <c r="J4917">
        <v>0</v>
      </c>
    </row>
    <row r="4918" spans="1:10" x14ac:dyDescent="0.3">
      <c r="A4918" s="15">
        <v>45839</v>
      </c>
      <c r="B4918" t="s">
        <v>422</v>
      </c>
      <c r="C4918" t="s">
        <v>81</v>
      </c>
      <c r="D4918" t="s">
        <v>82</v>
      </c>
      <c r="E4918" t="s">
        <v>97</v>
      </c>
      <c r="F4918">
        <v>2300</v>
      </c>
      <c r="G4918" t="s">
        <v>331</v>
      </c>
      <c r="H4918" s="15">
        <v>45748</v>
      </c>
      <c r="I4918">
        <v>2300</v>
      </c>
      <c r="J4918">
        <v>0</v>
      </c>
    </row>
    <row r="4919" spans="1:10" x14ac:dyDescent="0.3">
      <c r="A4919" s="15">
        <v>45839</v>
      </c>
      <c r="B4919" t="s">
        <v>423</v>
      </c>
      <c r="C4919" t="s">
        <v>125</v>
      </c>
      <c r="D4919" t="s">
        <v>86</v>
      </c>
      <c r="E4919" t="s">
        <v>97</v>
      </c>
      <c r="F4919">
        <v>52800</v>
      </c>
      <c r="G4919" t="s">
        <v>331</v>
      </c>
      <c r="H4919" s="15">
        <v>45748</v>
      </c>
      <c r="I4919">
        <v>52800</v>
      </c>
      <c r="J4919">
        <v>0</v>
      </c>
    </row>
    <row r="4920" spans="1:10" x14ac:dyDescent="0.3">
      <c r="A4920" s="15">
        <v>45839</v>
      </c>
      <c r="B4920" t="s">
        <v>425</v>
      </c>
      <c r="C4920" t="s">
        <v>110</v>
      </c>
      <c r="D4920" t="s">
        <v>82</v>
      </c>
      <c r="E4920" t="s">
        <v>97</v>
      </c>
      <c r="F4920">
        <v>22700</v>
      </c>
      <c r="G4920" t="s">
        <v>331</v>
      </c>
      <c r="H4920" s="15">
        <v>45778</v>
      </c>
      <c r="I4920">
        <v>22700</v>
      </c>
      <c r="J4920">
        <v>0</v>
      </c>
    </row>
    <row r="4921" spans="1:10" x14ac:dyDescent="0.3">
      <c r="A4921" s="15">
        <v>45839</v>
      </c>
      <c r="B4921" t="s">
        <v>426</v>
      </c>
      <c r="C4921" t="s">
        <v>81</v>
      </c>
      <c r="D4921" t="s">
        <v>82</v>
      </c>
      <c r="E4921" t="s">
        <v>89</v>
      </c>
      <c r="F4921">
        <v>1900</v>
      </c>
      <c r="G4921" t="s">
        <v>331</v>
      </c>
      <c r="H4921" s="15">
        <v>45778</v>
      </c>
      <c r="I4921">
        <v>1900</v>
      </c>
      <c r="J4921">
        <v>0</v>
      </c>
    </row>
    <row r="4922" spans="1:10" x14ac:dyDescent="0.3">
      <c r="A4922" s="15">
        <v>45839</v>
      </c>
      <c r="B4922" t="s">
        <v>427</v>
      </c>
      <c r="C4922" t="s">
        <v>110</v>
      </c>
      <c r="D4922" t="s">
        <v>82</v>
      </c>
      <c r="E4922" t="s">
        <v>83</v>
      </c>
      <c r="F4922">
        <v>23900</v>
      </c>
      <c r="G4922" t="s">
        <v>331</v>
      </c>
      <c r="H4922" s="15">
        <v>45778</v>
      </c>
      <c r="I4922">
        <v>23900</v>
      </c>
      <c r="J4922">
        <v>0</v>
      </c>
    </row>
    <row r="4923" spans="1:10" x14ac:dyDescent="0.3">
      <c r="A4923" s="15">
        <v>45839</v>
      </c>
      <c r="B4923" t="s">
        <v>428</v>
      </c>
      <c r="C4923" t="s">
        <v>81</v>
      </c>
      <c r="D4923" t="s">
        <v>86</v>
      </c>
      <c r="E4923" t="s">
        <v>89</v>
      </c>
      <c r="F4923">
        <v>2300</v>
      </c>
      <c r="G4923" t="s">
        <v>331</v>
      </c>
      <c r="H4923" s="15">
        <v>45778</v>
      </c>
      <c r="I4923">
        <v>2300</v>
      </c>
      <c r="J4923">
        <v>0</v>
      </c>
    </row>
    <row r="4924" spans="1:10" x14ac:dyDescent="0.3">
      <c r="A4924" s="15">
        <v>45839</v>
      </c>
      <c r="B4924" t="s">
        <v>429</v>
      </c>
      <c r="C4924" t="s">
        <v>81</v>
      </c>
      <c r="D4924" t="s">
        <v>82</v>
      </c>
      <c r="E4924" t="s">
        <v>97</v>
      </c>
      <c r="F4924">
        <v>2100</v>
      </c>
      <c r="G4924" t="s">
        <v>331</v>
      </c>
      <c r="H4924" s="15">
        <v>45809</v>
      </c>
      <c r="I4924">
        <v>2100</v>
      </c>
      <c r="J4924">
        <v>0</v>
      </c>
    </row>
    <row r="4925" spans="1:10" x14ac:dyDescent="0.3">
      <c r="A4925" s="15">
        <v>45839</v>
      </c>
      <c r="B4925" t="s">
        <v>430</v>
      </c>
      <c r="C4925" t="s">
        <v>110</v>
      </c>
      <c r="D4925" t="s">
        <v>82</v>
      </c>
      <c r="E4925" t="s">
        <v>87</v>
      </c>
      <c r="F4925">
        <v>24300</v>
      </c>
      <c r="G4925" t="s">
        <v>331</v>
      </c>
      <c r="H4925" s="15">
        <v>45809</v>
      </c>
      <c r="I4925">
        <v>24300</v>
      </c>
      <c r="J4925">
        <v>0</v>
      </c>
    </row>
    <row r="4926" spans="1:10" x14ac:dyDescent="0.3">
      <c r="A4926" s="15">
        <v>45839</v>
      </c>
      <c r="B4926" t="s">
        <v>431</v>
      </c>
      <c r="C4926" t="s">
        <v>110</v>
      </c>
      <c r="D4926" t="s">
        <v>82</v>
      </c>
      <c r="E4926" t="s">
        <v>101</v>
      </c>
      <c r="F4926">
        <v>19800</v>
      </c>
      <c r="G4926" t="s">
        <v>331</v>
      </c>
      <c r="H4926" s="15">
        <v>45809</v>
      </c>
      <c r="I4926">
        <v>19800</v>
      </c>
      <c r="J4926">
        <v>0</v>
      </c>
    </row>
    <row r="4927" spans="1:10" x14ac:dyDescent="0.3">
      <c r="A4927" s="15">
        <v>45839</v>
      </c>
      <c r="B4927" t="s">
        <v>432</v>
      </c>
      <c r="C4927" t="s">
        <v>81</v>
      </c>
      <c r="D4927" t="s">
        <v>82</v>
      </c>
      <c r="E4927" t="s">
        <v>83</v>
      </c>
      <c r="F4927">
        <v>2400</v>
      </c>
      <c r="G4927" t="s">
        <v>331</v>
      </c>
      <c r="H4927" s="15">
        <v>45809</v>
      </c>
      <c r="I4927">
        <v>2400</v>
      </c>
      <c r="J4927">
        <v>0</v>
      </c>
    </row>
    <row r="4928" spans="1:10" x14ac:dyDescent="0.3">
      <c r="A4928" s="15">
        <v>45839</v>
      </c>
      <c r="B4928" t="s">
        <v>433</v>
      </c>
      <c r="C4928" t="s">
        <v>81</v>
      </c>
      <c r="D4928" t="s">
        <v>86</v>
      </c>
      <c r="E4928" t="s">
        <v>97</v>
      </c>
      <c r="F4928">
        <v>1500</v>
      </c>
      <c r="G4928" t="s">
        <v>331</v>
      </c>
      <c r="H4928" s="15">
        <v>45809</v>
      </c>
      <c r="I4928">
        <v>1500</v>
      </c>
      <c r="J4928">
        <v>0</v>
      </c>
    </row>
    <row r="4929" spans="1:10" x14ac:dyDescent="0.3">
      <c r="A4929" s="15">
        <v>45839</v>
      </c>
      <c r="B4929" t="s">
        <v>434</v>
      </c>
      <c r="C4929" t="s">
        <v>81</v>
      </c>
      <c r="D4929" t="s">
        <v>82</v>
      </c>
      <c r="E4929" t="s">
        <v>97</v>
      </c>
      <c r="F4929">
        <v>0</v>
      </c>
      <c r="G4929" t="s">
        <v>333</v>
      </c>
      <c r="H4929" s="15">
        <v>45809</v>
      </c>
      <c r="I4929">
        <v>2000</v>
      </c>
      <c r="J4929">
        <v>-2000</v>
      </c>
    </row>
    <row r="4930" spans="1:10" x14ac:dyDescent="0.3">
      <c r="A4930" s="15">
        <v>45839</v>
      </c>
      <c r="B4930" t="s">
        <v>435</v>
      </c>
      <c r="C4930" t="s">
        <v>81</v>
      </c>
      <c r="D4930" t="s">
        <v>82</v>
      </c>
      <c r="E4930" t="s">
        <v>92</v>
      </c>
      <c r="F4930">
        <v>1400</v>
      </c>
      <c r="G4930" t="s">
        <v>331</v>
      </c>
      <c r="H4930" s="15">
        <v>45809</v>
      </c>
      <c r="I4930">
        <v>1400</v>
      </c>
      <c r="J4930">
        <v>0</v>
      </c>
    </row>
    <row r="4931" spans="1:10" x14ac:dyDescent="0.3">
      <c r="A4931" s="15">
        <v>45839</v>
      </c>
      <c r="B4931" t="s">
        <v>436</v>
      </c>
      <c r="C4931" t="s">
        <v>81</v>
      </c>
      <c r="D4931" t="s">
        <v>82</v>
      </c>
      <c r="E4931" t="s">
        <v>97</v>
      </c>
      <c r="F4931">
        <v>2100</v>
      </c>
      <c r="G4931" t="s">
        <v>84</v>
      </c>
      <c r="H4931" s="15">
        <v>45839</v>
      </c>
      <c r="I4931">
        <v>0</v>
      </c>
      <c r="J4931">
        <v>2100</v>
      </c>
    </row>
    <row r="4932" spans="1:10" x14ac:dyDescent="0.3">
      <c r="A4932" s="15">
        <v>45839</v>
      </c>
      <c r="B4932" t="s">
        <v>437</v>
      </c>
      <c r="C4932" t="s">
        <v>81</v>
      </c>
      <c r="D4932" t="s">
        <v>99</v>
      </c>
      <c r="E4932" t="s">
        <v>92</v>
      </c>
      <c r="F4932">
        <v>1600</v>
      </c>
      <c r="G4932" t="s">
        <v>84</v>
      </c>
      <c r="H4932" s="15">
        <v>45839</v>
      </c>
      <c r="I4932">
        <v>0</v>
      </c>
      <c r="J4932">
        <v>1600</v>
      </c>
    </row>
    <row r="4933" spans="1:10" x14ac:dyDescent="0.3">
      <c r="A4933" s="15">
        <v>45839</v>
      </c>
      <c r="B4933" t="s">
        <v>438</v>
      </c>
      <c r="C4933" t="s">
        <v>91</v>
      </c>
      <c r="D4933" t="s">
        <v>96</v>
      </c>
      <c r="E4933" t="s">
        <v>101</v>
      </c>
      <c r="F4933">
        <v>8600</v>
      </c>
      <c r="G4933" t="s">
        <v>84</v>
      </c>
      <c r="H4933" s="15">
        <v>45839</v>
      </c>
      <c r="I4933">
        <v>0</v>
      </c>
      <c r="J4933">
        <v>8600</v>
      </c>
    </row>
    <row r="4934" spans="1:10" x14ac:dyDescent="0.3">
      <c r="A4934" s="15">
        <v>45839</v>
      </c>
      <c r="B4934" t="s">
        <v>439</v>
      </c>
      <c r="C4934" t="s">
        <v>81</v>
      </c>
      <c r="D4934" t="s">
        <v>99</v>
      </c>
      <c r="E4934" t="s">
        <v>87</v>
      </c>
      <c r="F4934">
        <v>1700</v>
      </c>
      <c r="G4934" t="s">
        <v>84</v>
      </c>
      <c r="H4934" s="15">
        <v>45839</v>
      </c>
      <c r="I4934">
        <v>0</v>
      </c>
      <c r="J4934">
        <v>1700</v>
      </c>
    </row>
    <row r="4935" spans="1:10" x14ac:dyDescent="0.3">
      <c r="A4935" s="15">
        <v>45839</v>
      </c>
      <c r="B4935" t="s">
        <v>440</v>
      </c>
      <c r="C4935" t="s">
        <v>81</v>
      </c>
      <c r="D4935" t="s">
        <v>82</v>
      </c>
      <c r="E4935" t="s">
        <v>97</v>
      </c>
      <c r="F4935">
        <v>2000</v>
      </c>
      <c r="G4935" t="s">
        <v>84</v>
      </c>
      <c r="H4935" s="15">
        <v>45839</v>
      </c>
      <c r="I4935">
        <v>0</v>
      </c>
      <c r="J4935">
        <v>2000</v>
      </c>
    </row>
    <row r="4936" spans="1:10" x14ac:dyDescent="0.3">
      <c r="A4936" s="15">
        <v>45839</v>
      </c>
      <c r="B4936" t="s">
        <v>441</v>
      </c>
      <c r="C4936" t="s">
        <v>110</v>
      </c>
      <c r="D4936" t="s">
        <v>86</v>
      </c>
      <c r="E4936" t="s">
        <v>97</v>
      </c>
      <c r="F4936">
        <v>35800</v>
      </c>
      <c r="G4936" t="s">
        <v>84</v>
      </c>
      <c r="H4936" s="15">
        <v>45839</v>
      </c>
      <c r="I4936">
        <v>0</v>
      </c>
      <c r="J4936">
        <v>35800</v>
      </c>
    </row>
    <row r="4937" spans="1:10" x14ac:dyDescent="0.3">
      <c r="A4937" s="15">
        <v>45870</v>
      </c>
      <c r="B4937" t="s">
        <v>80</v>
      </c>
      <c r="C4937" t="s">
        <v>81</v>
      </c>
      <c r="D4937" t="s">
        <v>82</v>
      </c>
      <c r="E4937" t="s">
        <v>83</v>
      </c>
      <c r="F4937">
        <v>1900</v>
      </c>
      <c r="G4937" t="s">
        <v>331</v>
      </c>
      <c r="H4937" s="15">
        <v>45292</v>
      </c>
      <c r="I4937">
        <v>1900</v>
      </c>
      <c r="J4937">
        <v>0</v>
      </c>
    </row>
    <row r="4938" spans="1:10" x14ac:dyDescent="0.3">
      <c r="A4938" s="15">
        <v>45870</v>
      </c>
      <c r="B4938" t="s">
        <v>85</v>
      </c>
      <c r="C4938" t="s">
        <v>81</v>
      </c>
      <c r="D4938" t="s">
        <v>86</v>
      </c>
      <c r="E4938" t="s">
        <v>87</v>
      </c>
      <c r="F4938">
        <v>2700</v>
      </c>
      <c r="G4938" t="s">
        <v>331</v>
      </c>
      <c r="H4938" s="15">
        <v>45292</v>
      </c>
      <c r="I4938">
        <v>2700</v>
      </c>
      <c r="J4938">
        <v>0</v>
      </c>
    </row>
    <row r="4939" spans="1:10" x14ac:dyDescent="0.3">
      <c r="A4939" s="15">
        <v>45870</v>
      </c>
      <c r="B4939" t="s">
        <v>88</v>
      </c>
      <c r="C4939" t="s">
        <v>81</v>
      </c>
      <c r="D4939" t="s">
        <v>86</v>
      </c>
      <c r="E4939" t="s">
        <v>89</v>
      </c>
      <c r="F4939">
        <v>2400</v>
      </c>
      <c r="G4939" t="s">
        <v>331</v>
      </c>
      <c r="H4939" s="15">
        <v>45292</v>
      </c>
      <c r="I4939">
        <v>2400</v>
      </c>
      <c r="J4939">
        <v>0</v>
      </c>
    </row>
    <row r="4940" spans="1:10" x14ac:dyDescent="0.3">
      <c r="A4940" s="15">
        <v>45870</v>
      </c>
      <c r="B4940" t="s">
        <v>90</v>
      </c>
      <c r="C4940" t="s">
        <v>91</v>
      </c>
      <c r="D4940" t="s">
        <v>82</v>
      </c>
      <c r="E4940" t="s">
        <v>92</v>
      </c>
      <c r="F4940">
        <v>8300</v>
      </c>
      <c r="G4940" t="s">
        <v>331</v>
      </c>
      <c r="H4940" s="15">
        <v>45292</v>
      </c>
      <c r="I4940">
        <v>8300</v>
      </c>
      <c r="J4940">
        <v>0</v>
      </c>
    </row>
    <row r="4941" spans="1:10" x14ac:dyDescent="0.3">
      <c r="A4941" s="15">
        <v>45870</v>
      </c>
      <c r="B4941" t="s">
        <v>93</v>
      </c>
      <c r="C4941" t="s">
        <v>81</v>
      </c>
      <c r="D4941" t="s">
        <v>86</v>
      </c>
      <c r="E4941" t="s">
        <v>83</v>
      </c>
      <c r="F4941">
        <v>2300</v>
      </c>
      <c r="G4941" t="s">
        <v>331</v>
      </c>
      <c r="H4941" s="15">
        <v>45292</v>
      </c>
      <c r="I4941">
        <v>2300</v>
      </c>
      <c r="J4941">
        <v>0</v>
      </c>
    </row>
    <row r="4942" spans="1:10" x14ac:dyDescent="0.3">
      <c r="A4942" s="15">
        <v>45870</v>
      </c>
      <c r="B4942" t="s">
        <v>94</v>
      </c>
      <c r="C4942" t="s">
        <v>91</v>
      </c>
      <c r="D4942" t="s">
        <v>86</v>
      </c>
      <c r="E4942" t="s">
        <v>83</v>
      </c>
      <c r="F4942">
        <v>8500</v>
      </c>
      <c r="G4942" t="s">
        <v>331</v>
      </c>
      <c r="H4942" s="15">
        <v>45292</v>
      </c>
      <c r="I4942">
        <v>8500</v>
      </c>
      <c r="J4942">
        <v>0</v>
      </c>
    </row>
    <row r="4943" spans="1:10" x14ac:dyDescent="0.3">
      <c r="A4943" s="15">
        <v>45870</v>
      </c>
      <c r="B4943" t="s">
        <v>95</v>
      </c>
      <c r="C4943" t="s">
        <v>81</v>
      </c>
      <c r="D4943" t="s">
        <v>96</v>
      </c>
      <c r="E4943" t="s">
        <v>97</v>
      </c>
      <c r="F4943">
        <v>3100</v>
      </c>
      <c r="G4943" t="s">
        <v>331</v>
      </c>
      <c r="H4943" s="15">
        <v>45292</v>
      </c>
      <c r="I4943">
        <v>3100</v>
      </c>
      <c r="J4943">
        <v>0</v>
      </c>
    </row>
    <row r="4944" spans="1:10" x14ac:dyDescent="0.3">
      <c r="A4944" s="15">
        <v>45870</v>
      </c>
      <c r="B4944" t="s">
        <v>98</v>
      </c>
      <c r="C4944" t="s">
        <v>81</v>
      </c>
      <c r="D4944" t="s">
        <v>99</v>
      </c>
      <c r="E4944" t="s">
        <v>92</v>
      </c>
      <c r="F4944">
        <v>2300</v>
      </c>
      <c r="G4944" t="s">
        <v>331</v>
      </c>
      <c r="H4944" s="15">
        <v>45292</v>
      </c>
      <c r="I4944">
        <v>2300</v>
      </c>
      <c r="J4944">
        <v>0</v>
      </c>
    </row>
    <row r="4945" spans="1:10" x14ac:dyDescent="0.3">
      <c r="A4945" s="15">
        <v>45870</v>
      </c>
      <c r="B4945" t="s">
        <v>100</v>
      </c>
      <c r="C4945" t="s">
        <v>81</v>
      </c>
      <c r="D4945" t="s">
        <v>86</v>
      </c>
      <c r="E4945" t="s">
        <v>101</v>
      </c>
      <c r="F4945">
        <v>1800</v>
      </c>
      <c r="G4945" t="s">
        <v>331</v>
      </c>
      <c r="H4945" s="15">
        <v>45292</v>
      </c>
      <c r="I4945">
        <v>1800</v>
      </c>
      <c r="J4945">
        <v>0</v>
      </c>
    </row>
    <row r="4946" spans="1:10" x14ac:dyDescent="0.3">
      <c r="A4946" s="15">
        <v>45870</v>
      </c>
      <c r="B4946" t="s">
        <v>102</v>
      </c>
      <c r="C4946" t="s">
        <v>81</v>
      </c>
      <c r="D4946" t="s">
        <v>99</v>
      </c>
      <c r="E4946" t="s">
        <v>103</v>
      </c>
      <c r="F4946">
        <v>3300</v>
      </c>
      <c r="G4946" t="s">
        <v>331</v>
      </c>
      <c r="H4946" s="15">
        <v>45292</v>
      </c>
      <c r="I4946">
        <v>3300</v>
      </c>
      <c r="J4946">
        <v>0</v>
      </c>
    </row>
    <row r="4947" spans="1:10" x14ac:dyDescent="0.3">
      <c r="A4947" s="15">
        <v>45870</v>
      </c>
      <c r="B4947" t="s">
        <v>104</v>
      </c>
      <c r="C4947" t="s">
        <v>91</v>
      </c>
      <c r="D4947" t="s">
        <v>99</v>
      </c>
      <c r="E4947" t="s">
        <v>87</v>
      </c>
      <c r="F4947">
        <v>7000</v>
      </c>
      <c r="G4947" t="s">
        <v>331</v>
      </c>
      <c r="H4947" s="15">
        <v>45292</v>
      </c>
      <c r="I4947">
        <v>7000</v>
      </c>
      <c r="J4947">
        <v>0</v>
      </c>
    </row>
    <row r="4948" spans="1:10" x14ac:dyDescent="0.3">
      <c r="A4948" s="15">
        <v>45870</v>
      </c>
      <c r="B4948" t="s">
        <v>105</v>
      </c>
      <c r="C4948" t="s">
        <v>91</v>
      </c>
      <c r="D4948" t="s">
        <v>86</v>
      </c>
      <c r="E4948" t="s">
        <v>89</v>
      </c>
      <c r="F4948">
        <v>12900</v>
      </c>
      <c r="G4948" t="s">
        <v>331</v>
      </c>
      <c r="H4948" s="15">
        <v>45292</v>
      </c>
      <c r="I4948">
        <v>12900</v>
      </c>
      <c r="J4948">
        <v>0</v>
      </c>
    </row>
    <row r="4949" spans="1:10" x14ac:dyDescent="0.3">
      <c r="A4949" s="15">
        <v>45870</v>
      </c>
      <c r="B4949" t="s">
        <v>106</v>
      </c>
      <c r="C4949" t="s">
        <v>81</v>
      </c>
      <c r="D4949" t="s">
        <v>99</v>
      </c>
      <c r="E4949" t="s">
        <v>92</v>
      </c>
      <c r="F4949">
        <v>2700</v>
      </c>
      <c r="G4949" t="s">
        <v>331</v>
      </c>
      <c r="H4949" s="15">
        <v>45292</v>
      </c>
      <c r="I4949">
        <v>2700</v>
      </c>
      <c r="J4949">
        <v>0</v>
      </c>
    </row>
    <row r="4950" spans="1:10" x14ac:dyDescent="0.3">
      <c r="A4950" s="15">
        <v>45870</v>
      </c>
      <c r="B4950" t="s">
        <v>109</v>
      </c>
      <c r="C4950" t="s">
        <v>110</v>
      </c>
      <c r="D4950" t="s">
        <v>82</v>
      </c>
      <c r="E4950" t="s">
        <v>103</v>
      </c>
      <c r="F4950">
        <v>32700</v>
      </c>
      <c r="G4950" t="s">
        <v>331</v>
      </c>
      <c r="H4950" s="15">
        <v>45292</v>
      </c>
      <c r="I4950">
        <v>32700</v>
      </c>
      <c r="J4950">
        <v>0</v>
      </c>
    </row>
    <row r="4951" spans="1:10" x14ac:dyDescent="0.3">
      <c r="A4951" s="15">
        <v>45870</v>
      </c>
      <c r="B4951" t="s">
        <v>111</v>
      </c>
      <c r="C4951" t="s">
        <v>91</v>
      </c>
      <c r="D4951" t="s">
        <v>82</v>
      </c>
      <c r="E4951" t="s">
        <v>83</v>
      </c>
      <c r="F4951">
        <v>8800</v>
      </c>
      <c r="G4951" t="s">
        <v>331</v>
      </c>
      <c r="H4951" s="15">
        <v>45292</v>
      </c>
      <c r="I4951">
        <v>8800</v>
      </c>
      <c r="J4951">
        <v>0</v>
      </c>
    </row>
    <row r="4952" spans="1:10" x14ac:dyDescent="0.3">
      <c r="A4952" s="15">
        <v>45870</v>
      </c>
      <c r="B4952" t="s">
        <v>112</v>
      </c>
      <c r="C4952" t="s">
        <v>91</v>
      </c>
      <c r="D4952" t="s">
        <v>82</v>
      </c>
      <c r="E4952" t="s">
        <v>92</v>
      </c>
      <c r="F4952">
        <v>8600</v>
      </c>
      <c r="G4952" t="s">
        <v>331</v>
      </c>
      <c r="H4952" s="15">
        <v>45292</v>
      </c>
      <c r="I4952">
        <v>8600</v>
      </c>
      <c r="J4952">
        <v>0</v>
      </c>
    </row>
    <row r="4953" spans="1:10" x14ac:dyDescent="0.3">
      <c r="A4953" s="15">
        <v>45870</v>
      </c>
      <c r="B4953" t="s">
        <v>113</v>
      </c>
      <c r="C4953" t="s">
        <v>81</v>
      </c>
      <c r="D4953" t="s">
        <v>96</v>
      </c>
      <c r="E4953" t="s">
        <v>89</v>
      </c>
      <c r="F4953">
        <v>2500</v>
      </c>
      <c r="G4953" t="s">
        <v>331</v>
      </c>
      <c r="H4953" s="15">
        <v>45292</v>
      </c>
      <c r="I4953">
        <v>2500</v>
      </c>
      <c r="J4953">
        <v>0</v>
      </c>
    </row>
    <row r="4954" spans="1:10" x14ac:dyDescent="0.3">
      <c r="A4954" s="15">
        <v>45870</v>
      </c>
      <c r="B4954" t="s">
        <v>114</v>
      </c>
      <c r="C4954" t="s">
        <v>110</v>
      </c>
      <c r="D4954" t="s">
        <v>99</v>
      </c>
      <c r="E4954" t="s">
        <v>97</v>
      </c>
      <c r="F4954">
        <v>46200</v>
      </c>
      <c r="G4954" t="s">
        <v>331</v>
      </c>
      <c r="H4954" s="15">
        <v>45292</v>
      </c>
      <c r="I4954">
        <v>46200</v>
      </c>
      <c r="J4954">
        <v>0</v>
      </c>
    </row>
    <row r="4955" spans="1:10" x14ac:dyDescent="0.3">
      <c r="A4955" s="15">
        <v>45870</v>
      </c>
      <c r="B4955" t="s">
        <v>115</v>
      </c>
      <c r="C4955" t="s">
        <v>81</v>
      </c>
      <c r="D4955" t="s">
        <v>82</v>
      </c>
      <c r="E4955" t="s">
        <v>101</v>
      </c>
      <c r="F4955">
        <v>2600</v>
      </c>
      <c r="G4955" t="s">
        <v>331</v>
      </c>
      <c r="H4955" s="15">
        <v>45292</v>
      </c>
      <c r="I4955">
        <v>2600</v>
      </c>
      <c r="J4955">
        <v>0</v>
      </c>
    </row>
    <row r="4956" spans="1:10" x14ac:dyDescent="0.3">
      <c r="A4956" s="15">
        <v>45870</v>
      </c>
      <c r="B4956" t="s">
        <v>116</v>
      </c>
      <c r="C4956" t="s">
        <v>81</v>
      </c>
      <c r="D4956" t="s">
        <v>86</v>
      </c>
      <c r="E4956" t="s">
        <v>87</v>
      </c>
      <c r="F4956">
        <v>2900</v>
      </c>
      <c r="G4956" t="s">
        <v>331</v>
      </c>
      <c r="H4956" s="15">
        <v>45292</v>
      </c>
      <c r="I4956">
        <v>2900</v>
      </c>
      <c r="J4956">
        <v>0</v>
      </c>
    </row>
    <row r="4957" spans="1:10" x14ac:dyDescent="0.3">
      <c r="A4957" s="15">
        <v>45870</v>
      </c>
      <c r="B4957" t="s">
        <v>117</v>
      </c>
      <c r="C4957" t="s">
        <v>81</v>
      </c>
      <c r="D4957" t="s">
        <v>86</v>
      </c>
      <c r="E4957" t="s">
        <v>103</v>
      </c>
      <c r="F4957">
        <v>2500</v>
      </c>
      <c r="G4957" t="s">
        <v>331</v>
      </c>
      <c r="H4957" s="15">
        <v>45292</v>
      </c>
      <c r="I4957">
        <v>2500</v>
      </c>
      <c r="J4957">
        <v>0</v>
      </c>
    </row>
    <row r="4958" spans="1:10" x14ac:dyDescent="0.3">
      <c r="A4958" s="15">
        <v>45870</v>
      </c>
      <c r="B4958" t="s">
        <v>120</v>
      </c>
      <c r="C4958" t="s">
        <v>81</v>
      </c>
      <c r="D4958" t="s">
        <v>86</v>
      </c>
      <c r="E4958" t="s">
        <v>101</v>
      </c>
      <c r="F4958">
        <v>2200</v>
      </c>
      <c r="G4958" t="s">
        <v>331</v>
      </c>
      <c r="H4958" s="15">
        <v>45292</v>
      </c>
      <c r="I4958">
        <v>2200</v>
      </c>
      <c r="J4958">
        <v>0</v>
      </c>
    </row>
    <row r="4959" spans="1:10" x14ac:dyDescent="0.3">
      <c r="A4959" s="15">
        <v>45870</v>
      </c>
      <c r="B4959" t="s">
        <v>123</v>
      </c>
      <c r="C4959" t="s">
        <v>81</v>
      </c>
      <c r="D4959" t="s">
        <v>82</v>
      </c>
      <c r="E4959" t="s">
        <v>92</v>
      </c>
      <c r="F4959">
        <v>2200</v>
      </c>
      <c r="G4959" t="s">
        <v>331</v>
      </c>
      <c r="H4959" s="15">
        <v>45292</v>
      </c>
      <c r="I4959">
        <v>2200</v>
      </c>
      <c r="J4959">
        <v>0</v>
      </c>
    </row>
    <row r="4960" spans="1:10" x14ac:dyDescent="0.3">
      <c r="A4960" s="15">
        <v>45870</v>
      </c>
      <c r="B4960" t="s">
        <v>124</v>
      </c>
      <c r="C4960" t="s">
        <v>125</v>
      </c>
      <c r="D4960" t="s">
        <v>82</v>
      </c>
      <c r="E4960" t="s">
        <v>97</v>
      </c>
      <c r="F4960">
        <v>67900</v>
      </c>
      <c r="G4960" t="s">
        <v>331</v>
      </c>
      <c r="H4960" s="15">
        <v>45292</v>
      </c>
      <c r="I4960">
        <v>67900</v>
      </c>
      <c r="J4960">
        <v>0</v>
      </c>
    </row>
    <row r="4961" spans="1:10" x14ac:dyDescent="0.3">
      <c r="A4961" s="15">
        <v>45870</v>
      </c>
      <c r="B4961" t="s">
        <v>126</v>
      </c>
      <c r="C4961" t="s">
        <v>91</v>
      </c>
      <c r="D4961" t="s">
        <v>82</v>
      </c>
      <c r="E4961" t="s">
        <v>83</v>
      </c>
      <c r="F4961">
        <v>8800</v>
      </c>
      <c r="G4961" t="s">
        <v>331</v>
      </c>
      <c r="H4961" s="15">
        <v>45292</v>
      </c>
      <c r="I4961">
        <v>8800</v>
      </c>
      <c r="J4961">
        <v>0</v>
      </c>
    </row>
    <row r="4962" spans="1:10" x14ac:dyDescent="0.3">
      <c r="A4962" s="15">
        <v>45870</v>
      </c>
      <c r="B4962" t="s">
        <v>127</v>
      </c>
      <c r="C4962" t="s">
        <v>81</v>
      </c>
      <c r="D4962" t="s">
        <v>82</v>
      </c>
      <c r="E4962" t="s">
        <v>101</v>
      </c>
      <c r="F4962">
        <v>2400</v>
      </c>
      <c r="G4962" t="s">
        <v>331</v>
      </c>
      <c r="H4962" s="15">
        <v>45292</v>
      </c>
      <c r="I4962">
        <v>2400</v>
      </c>
      <c r="J4962">
        <v>0</v>
      </c>
    </row>
    <row r="4963" spans="1:10" x14ac:dyDescent="0.3">
      <c r="A4963" s="15">
        <v>45870</v>
      </c>
      <c r="B4963" t="s">
        <v>128</v>
      </c>
      <c r="C4963" t="s">
        <v>81</v>
      </c>
      <c r="D4963" t="s">
        <v>82</v>
      </c>
      <c r="E4963" t="s">
        <v>92</v>
      </c>
      <c r="F4963">
        <v>1700</v>
      </c>
      <c r="G4963" t="s">
        <v>331</v>
      </c>
      <c r="H4963" s="15">
        <v>45292</v>
      </c>
      <c r="I4963">
        <v>1700</v>
      </c>
      <c r="J4963">
        <v>0</v>
      </c>
    </row>
    <row r="4964" spans="1:10" x14ac:dyDescent="0.3">
      <c r="A4964" s="15">
        <v>45870</v>
      </c>
      <c r="B4964" t="s">
        <v>129</v>
      </c>
      <c r="C4964" t="s">
        <v>110</v>
      </c>
      <c r="D4964" t="s">
        <v>86</v>
      </c>
      <c r="E4964" t="s">
        <v>92</v>
      </c>
      <c r="F4964">
        <v>34200</v>
      </c>
      <c r="G4964" t="s">
        <v>331</v>
      </c>
      <c r="H4964" s="15">
        <v>45292</v>
      </c>
      <c r="I4964">
        <v>34200</v>
      </c>
      <c r="J4964">
        <v>0</v>
      </c>
    </row>
    <row r="4965" spans="1:10" x14ac:dyDescent="0.3">
      <c r="A4965" s="15">
        <v>45870</v>
      </c>
      <c r="B4965" t="s">
        <v>133</v>
      </c>
      <c r="C4965" t="s">
        <v>81</v>
      </c>
      <c r="D4965" t="s">
        <v>96</v>
      </c>
      <c r="E4965" t="s">
        <v>87</v>
      </c>
      <c r="F4965">
        <v>2700</v>
      </c>
      <c r="G4965" t="s">
        <v>331</v>
      </c>
      <c r="H4965" s="15">
        <v>45292</v>
      </c>
      <c r="I4965">
        <v>2700</v>
      </c>
      <c r="J4965">
        <v>0</v>
      </c>
    </row>
    <row r="4966" spans="1:10" x14ac:dyDescent="0.3">
      <c r="A4966" s="15">
        <v>45870</v>
      </c>
      <c r="B4966" t="s">
        <v>134</v>
      </c>
      <c r="C4966" t="s">
        <v>81</v>
      </c>
      <c r="D4966" t="s">
        <v>82</v>
      </c>
      <c r="E4966" t="s">
        <v>92</v>
      </c>
      <c r="F4966">
        <v>2400</v>
      </c>
      <c r="G4966" t="s">
        <v>331</v>
      </c>
      <c r="H4966" s="15">
        <v>45292</v>
      </c>
      <c r="I4966">
        <v>2400</v>
      </c>
      <c r="J4966">
        <v>0</v>
      </c>
    </row>
    <row r="4967" spans="1:10" x14ac:dyDescent="0.3">
      <c r="A4967" s="15">
        <v>45870</v>
      </c>
      <c r="B4967" t="s">
        <v>135</v>
      </c>
      <c r="C4967" t="s">
        <v>81</v>
      </c>
      <c r="D4967" t="s">
        <v>82</v>
      </c>
      <c r="E4967" t="s">
        <v>103</v>
      </c>
      <c r="F4967">
        <v>2400</v>
      </c>
      <c r="G4967" t="s">
        <v>332</v>
      </c>
      <c r="H4967" s="15">
        <v>45292</v>
      </c>
      <c r="I4967">
        <v>2200</v>
      </c>
      <c r="J4967">
        <v>200</v>
      </c>
    </row>
    <row r="4968" spans="1:10" x14ac:dyDescent="0.3">
      <c r="A4968" s="15">
        <v>45870</v>
      </c>
      <c r="B4968" t="s">
        <v>136</v>
      </c>
      <c r="C4968" t="s">
        <v>81</v>
      </c>
      <c r="D4968" t="s">
        <v>82</v>
      </c>
      <c r="E4968" t="s">
        <v>101</v>
      </c>
      <c r="F4968">
        <v>2900</v>
      </c>
      <c r="G4968" t="s">
        <v>331</v>
      </c>
      <c r="H4968" s="15">
        <v>45292</v>
      </c>
      <c r="I4968">
        <v>2900</v>
      </c>
      <c r="J4968">
        <v>0</v>
      </c>
    </row>
    <row r="4969" spans="1:10" x14ac:dyDescent="0.3">
      <c r="A4969" s="15">
        <v>45870</v>
      </c>
      <c r="B4969" t="s">
        <v>138</v>
      </c>
      <c r="C4969" t="s">
        <v>81</v>
      </c>
      <c r="D4969" t="s">
        <v>86</v>
      </c>
      <c r="E4969" t="s">
        <v>97</v>
      </c>
      <c r="F4969">
        <v>3300</v>
      </c>
      <c r="G4969" t="s">
        <v>331</v>
      </c>
      <c r="H4969" s="15">
        <v>45292</v>
      </c>
      <c r="I4969">
        <v>3300</v>
      </c>
      <c r="J4969">
        <v>0</v>
      </c>
    </row>
    <row r="4970" spans="1:10" x14ac:dyDescent="0.3">
      <c r="A4970" s="15">
        <v>45870</v>
      </c>
      <c r="B4970" t="s">
        <v>139</v>
      </c>
      <c r="C4970" t="s">
        <v>91</v>
      </c>
      <c r="D4970" t="s">
        <v>82</v>
      </c>
      <c r="E4970" t="s">
        <v>103</v>
      </c>
      <c r="F4970">
        <v>6800</v>
      </c>
      <c r="G4970" t="s">
        <v>331</v>
      </c>
      <c r="H4970" s="15">
        <v>45292</v>
      </c>
      <c r="I4970">
        <v>6800</v>
      </c>
      <c r="J4970">
        <v>0</v>
      </c>
    </row>
    <row r="4971" spans="1:10" x14ac:dyDescent="0.3">
      <c r="A4971" s="15">
        <v>45870</v>
      </c>
      <c r="B4971" t="s">
        <v>141</v>
      </c>
      <c r="C4971" t="s">
        <v>125</v>
      </c>
      <c r="D4971" t="s">
        <v>99</v>
      </c>
      <c r="E4971" t="s">
        <v>103</v>
      </c>
      <c r="F4971">
        <v>127400</v>
      </c>
      <c r="G4971" t="s">
        <v>331</v>
      </c>
      <c r="H4971" s="15">
        <v>45292</v>
      </c>
      <c r="I4971">
        <v>127400</v>
      </c>
      <c r="J4971">
        <v>0</v>
      </c>
    </row>
    <row r="4972" spans="1:10" x14ac:dyDescent="0.3">
      <c r="A4972" s="15">
        <v>45870</v>
      </c>
      <c r="B4972" t="s">
        <v>142</v>
      </c>
      <c r="C4972" t="s">
        <v>125</v>
      </c>
      <c r="D4972" t="s">
        <v>82</v>
      </c>
      <c r="E4972" t="s">
        <v>92</v>
      </c>
      <c r="F4972">
        <v>103800</v>
      </c>
      <c r="G4972" t="s">
        <v>331</v>
      </c>
      <c r="H4972" s="15">
        <v>45292</v>
      </c>
      <c r="I4972">
        <v>103800</v>
      </c>
      <c r="J4972">
        <v>0</v>
      </c>
    </row>
    <row r="4973" spans="1:10" x14ac:dyDescent="0.3">
      <c r="A4973" s="15">
        <v>45870</v>
      </c>
      <c r="B4973" t="s">
        <v>143</v>
      </c>
      <c r="C4973" t="s">
        <v>91</v>
      </c>
      <c r="D4973" t="s">
        <v>99</v>
      </c>
      <c r="E4973" t="s">
        <v>103</v>
      </c>
      <c r="F4973">
        <v>8000</v>
      </c>
      <c r="G4973" t="s">
        <v>331</v>
      </c>
      <c r="H4973" s="15">
        <v>45292</v>
      </c>
      <c r="I4973">
        <v>8000</v>
      </c>
      <c r="J4973">
        <v>0</v>
      </c>
    </row>
    <row r="4974" spans="1:10" x14ac:dyDescent="0.3">
      <c r="A4974" s="15">
        <v>45870</v>
      </c>
      <c r="B4974" t="s">
        <v>144</v>
      </c>
      <c r="C4974" t="s">
        <v>81</v>
      </c>
      <c r="D4974" t="s">
        <v>82</v>
      </c>
      <c r="E4974" t="s">
        <v>92</v>
      </c>
      <c r="F4974">
        <v>2400</v>
      </c>
      <c r="G4974" t="s">
        <v>331</v>
      </c>
      <c r="H4974" s="15">
        <v>45292</v>
      </c>
      <c r="I4974">
        <v>2400</v>
      </c>
      <c r="J4974">
        <v>0</v>
      </c>
    </row>
    <row r="4975" spans="1:10" x14ac:dyDescent="0.3">
      <c r="A4975" s="15">
        <v>45870</v>
      </c>
      <c r="B4975" t="s">
        <v>145</v>
      </c>
      <c r="C4975" t="s">
        <v>91</v>
      </c>
      <c r="D4975" t="s">
        <v>82</v>
      </c>
      <c r="E4975" t="s">
        <v>87</v>
      </c>
      <c r="F4975">
        <v>8200</v>
      </c>
      <c r="G4975" t="s">
        <v>331</v>
      </c>
      <c r="H4975" s="15">
        <v>45292</v>
      </c>
      <c r="I4975">
        <v>8200</v>
      </c>
      <c r="J4975">
        <v>0</v>
      </c>
    </row>
    <row r="4976" spans="1:10" x14ac:dyDescent="0.3">
      <c r="A4976" s="15">
        <v>45870</v>
      </c>
      <c r="B4976" t="s">
        <v>146</v>
      </c>
      <c r="C4976" t="s">
        <v>91</v>
      </c>
      <c r="D4976" t="s">
        <v>86</v>
      </c>
      <c r="E4976" t="s">
        <v>87</v>
      </c>
      <c r="F4976">
        <v>10100</v>
      </c>
      <c r="G4976" t="s">
        <v>331</v>
      </c>
      <c r="H4976" s="15">
        <v>45292</v>
      </c>
      <c r="I4976">
        <v>10100</v>
      </c>
      <c r="J4976">
        <v>0</v>
      </c>
    </row>
    <row r="4977" spans="1:10" x14ac:dyDescent="0.3">
      <c r="A4977" s="15">
        <v>45870</v>
      </c>
      <c r="B4977" t="s">
        <v>149</v>
      </c>
      <c r="C4977" t="s">
        <v>110</v>
      </c>
      <c r="D4977" t="s">
        <v>82</v>
      </c>
      <c r="E4977" t="s">
        <v>103</v>
      </c>
      <c r="F4977">
        <v>31000</v>
      </c>
      <c r="G4977" t="s">
        <v>331</v>
      </c>
      <c r="H4977" s="15">
        <v>45292</v>
      </c>
      <c r="I4977">
        <v>31000</v>
      </c>
      <c r="J4977">
        <v>0</v>
      </c>
    </row>
    <row r="4978" spans="1:10" x14ac:dyDescent="0.3">
      <c r="A4978" s="15">
        <v>45870</v>
      </c>
      <c r="B4978" t="s">
        <v>151</v>
      </c>
      <c r="C4978" t="s">
        <v>91</v>
      </c>
      <c r="D4978" t="s">
        <v>82</v>
      </c>
      <c r="E4978" t="s">
        <v>97</v>
      </c>
      <c r="F4978">
        <v>6800</v>
      </c>
      <c r="G4978" t="s">
        <v>331</v>
      </c>
      <c r="H4978" s="15">
        <v>45292</v>
      </c>
      <c r="I4978">
        <v>6800</v>
      </c>
      <c r="J4978">
        <v>0</v>
      </c>
    </row>
    <row r="4979" spans="1:10" x14ac:dyDescent="0.3">
      <c r="A4979" s="15">
        <v>45870</v>
      </c>
      <c r="B4979" t="s">
        <v>153</v>
      </c>
      <c r="C4979" t="s">
        <v>110</v>
      </c>
      <c r="D4979" t="s">
        <v>99</v>
      </c>
      <c r="E4979" t="s">
        <v>87</v>
      </c>
      <c r="F4979">
        <v>0</v>
      </c>
      <c r="G4979" t="s">
        <v>333</v>
      </c>
      <c r="H4979" s="15">
        <v>45292</v>
      </c>
      <c r="I4979">
        <v>31500</v>
      </c>
      <c r="J4979">
        <v>-31500</v>
      </c>
    </row>
    <row r="4980" spans="1:10" x14ac:dyDescent="0.3">
      <c r="A4980" s="15">
        <v>45870</v>
      </c>
      <c r="B4980" t="s">
        <v>154</v>
      </c>
      <c r="C4980" t="s">
        <v>91</v>
      </c>
      <c r="D4980" t="s">
        <v>86</v>
      </c>
      <c r="E4980" t="s">
        <v>103</v>
      </c>
      <c r="F4980">
        <v>8800</v>
      </c>
      <c r="G4980" t="s">
        <v>331</v>
      </c>
      <c r="H4980" s="15">
        <v>45292</v>
      </c>
      <c r="I4980">
        <v>8800</v>
      </c>
      <c r="J4980">
        <v>0</v>
      </c>
    </row>
    <row r="4981" spans="1:10" x14ac:dyDescent="0.3">
      <c r="A4981" s="15">
        <v>45870</v>
      </c>
      <c r="B4981" t="s">
        <v>155</v>
      </c>
      <c r="C4981" t="s">
        <v>91</v>
      </c>
      <c r="D4981" t="s">
        <v>82</v>
      </c>
      <c r="E4981" t="s">
        <v>92</v>
      </c>
      <c r="F4981">
        <v>7100</v>
      </c>
      <c r="G4981" t="s">
        <v>331</v>
      </c>
      <c r="H4981" s="15">
        <v>45292</v>
      </c>
      <c r="I4981">
        <v>7100</v>
      </c>
      <c r="J4981">
        <v>0</v>
      </c>
    </row>
    <row r="4982" spans="1:10" x14ac:dyDescent="0.3">
      <c r="A4982" s="15">
        <v>45870</v>
      </c>
      <c r="B4982" t="s">
        <v>156</v>
      </c>
      <c r="C4982" t="s">
        <v>81</v>
      </c>
      <c r="D4982" t="s">
        <v>86</v>
      </c>
      <c r="E4982" t="s">
        <v>101</v>
      </c>
      <c r="F4982">
        <v>2300</v>
      </c>
      <c r="G4982" t="s">
        <v>331</v>
      </c>
      <c r="H4982" s="15">
        <v>45292</v>
      </c>
      <c r="I4982">
        <v>2300</v>
      </c>
      <c r="J4982">
        <v>0</v>
      </c>
    </row>
    <row r="4983" spans="1:10" x14ac:dyDescent="0.3">
      <c r="A4983" s="15">
        <v>45870</v>
      </c>
      <c r="B4983" t="s">
        <v>157</v>
      </c>
      <c r="C4983" t="s">
        <v>81</v>
      </c>
      <c r="D4983" t="s">
        <v>82</v>
      </c>
      <c r="E4983" t="s">
        <v>92</v>
      </c>
      <c r="F4983">
        <v>1800</v>
      </c>
      <c r="G4983" t="s">
        <v>331</v>
      </c>
      <c r="H4983" s="15">
        <v>45292</v>
      </c>
      <c r="I4983">
        <v>1800</v>
      </c>
      <c r="J4983">
        <v>0</v>
      </c>
    </row>
    <row r="4984" spans="1:10" x14ac:dyDescent="0.3">
      <c r="A4984" s="15">
        <v>45870</v>
      </c>
      <c r="B4984" t="s">
        <v>158</v>
      </c>
      <c r="C4984" t="s">
        <v>91</v>
      </c>
      <c r="D4984" t="s">
        <v>96</v>
      </c>
      <c r="E4984" t="s">
        <v>83</v>
      </c>
      <c r="F4984">
        <v>12600</v>
      </c>
      <c r="G4984" t="s">
        <v>331</v>
      </c>
      <c r="H4984" s="15">
        <v>45292</v>
      </c>
      <c r="I4984">
        <v>12600</v>
      </c>
      <c r="J4984">
        <v>0</v>
      </c>
    </row>
    <row r="4985" spans="1:10" x14ac:dyDescent="0.3">
      <c r="A4985" s="15">
        <v>45870</v>
      </c>
      <c r="B4985" t="s">
        <v>159</v>
      </c>
      <c r="C4985" t="s">
        <v>81</v>
      </c>
      <c r="D4985" t="s">
        <v>86</v>
      </c>
      <c r="E4985" t="s">
        <v>87</v>
      </c>
      <c r="F4985">
        <v>2400</v>
      </c>
      <c r="G4985" t="s">
        <v>331</v>
      </c>
      <c r="H4985" s="15">
        <v>45292</v>
      </c>
      <c r="I4985">
        <v>2400</v>
      </c>
      <c r="J4985">
        <v>0</v>
      </c>
    </row>
    <row r="4986" spans="1:10" x14ac:dyDescent="0.3">
      <c r="A4986" s="15">
        <v>45870</v>
      </c>
      <c r="B4986" t="s">
        <v>161</v>
      </c>
      <c r="C4986" t="s">
        <v>91</v>
      </c>
      <c r="D4986" t="s">
        <v>99</v>
      </c>
      <c r="E4986" t="s">
        <v>83</v>
      </c>
      <c r="F4986">
        <v>11700</v>
      </c>
      <c r="G4986" t="s">
        <v>332</v>
      </c>
      <c r="H4986" s="15">
        <v>45292</v>
      </c>
      <c r="I4986">
        <v>10700</v>
      </c>
      <c r="J4986">
        <v>1000</v>
      </c>
    </row>
    <row r="4987" spans="1:10" x14ac:dyDescent="0.3">
      <c r="A4987" s="15">
        <v>45870</v>
      </c>
      <c r="B4987" t="s">
        <v>162</v>
      </c>
      <c r="C4987" t="s">
        <v>91</v>
      </c>
      <c r="D4987" t="s">
        <v>82</v>
      </c>
      <c r="E4987" t="s">
        <v>103</v>
      </c>
      <c r="F4987">
        <v>12700</v>
      </c>
      <c r="G4987" t="s">
        <v>331</v>
      </c>
      <c r="H4987" s="15">
        <v>45292</v>
      </c>
      <c r="I4987">
        <v>12700</v>
      </c>
      <c r="J4987">
        <v>0</v>
      </c>
    </row>
    <row r="4988" spans="1:10" x14ac:dyDescent="0.3">
      <c r="A4988" s="15">
        <v>45870</v>
      </c>
      <c r="B4988" t="s">
        <v>164</v>
      </c>
      <c r="C4988" t="s">
        <v>81</v>
      </c>
      <c r="D4988" t="s">
        <v>99</v>
      </c>
      <c r="E4988" t="s">
        <v>89</v>
      </c>
      <c r="F4988">
        <v>2800</v>
      </c>
      <c r="G4988" t="s">
        <v>331</v>
      </c>
      <c r="H4988" s="15">
        <v>45292</v>
      </c>
      <c r="I4988">
        <v>2800</v>
      </c>
      <c r="J4988">
        <v>0</v>
      </c>
    </row>
    <row r="4989" spans="1:10" x14ac:dyDescent="0.3">
      <c r="A4989" s="15">
        <v>45870</v>
      </c>
      <c r="B4989" t="s">
        <v>165</v>
      </c>
      <c r="C4989" t="s">
        <v>81</v>
      </c>
      <c r="D4989" t="s">
        <v>82</v>
      </c>
      <c r="E4989" t="s">
        <v>97</v>
      </c>
      <c r="F4989">
        <v>2700</v>
      </c>
      <c r="G4989" t="s">
        <v>331</v>
      </c>
      <c r="H4989" s="15">
        <v>45292</v>
      </c>
      <c r="I4989">
        <v>2700</v>
      </c>
      <c r="J4989">
        <v>0</v>
      </c>
    </row>
    <row r="4990" spans="1:10" x14ac:dyDescent="0.3">
      <c r="A4990" s="15">
        <v>45870</v>
      </c>
      <c r="B4990" t="s">
        <v>166</v>
      </c>
      <c r="C4990" t="s">
        <v>81</v>
      </c>
      <c r="D4990" t="s">
        <v>99</v>
      </c>
      <c r="E4990" t="s">
        <v>103</v>
      </c>
      <c r="F4990">
        <v>2600</v>
      </c>
      <c r="G4990" t="s">
        <v>331</v>
      </c>
      <c r="H4990" s="15">
        <v>45292</v>
      </c>
      <c r="I4990">
        <v>2600</v>
      </c>
      <c r="J4990">
        <v>0</v>
      </c>
    </row>
    <row r="4991" spans="1:10" x14ac:dyDescent="0.3">
      <c r="A4991" s="15">
        <v>45870</v>
      </c>
      <c r="B4991" t="s">
        <v>167</v>
      </c>
      <c r="C4991" t="s">
        <v>81</v>
      </c>
      <c r="D4991" t="s">
        <v>82</v>
      </c>
      <c r="E4991" t="s">
        <v>97</v>
      </c>
      <c r="F4991">
        <v>1900</v>
      </c>
      <c r="G4991" t="s">
        <v>331</v>
      </c>
      <c r="H4991" s="15">
        <v>45292</v>
      </c>
      <c r="I4991">
        <v>1900</v>
      </c>
      <c r="J4991">
        <v>0</v>
      </c>
    </row>
    <row r="4992" spans="1:10" x14ac:dyDescent="0.3">
      <c r="A4992" s="15">
        <v>45870</v>
      </c>
      <c r="B4992" t="s">
        <v>168</v>
      </c>
      <c r="C4992" t="s">
        <v>91</v>
      </c>
      <c r="D4992" t="s">
        <v>86</v>
      </c>
      <c r="E4992" t="s">
        <v>103</v>
      </c>
      <c r="F4992">
        <v>13000</v>
      </c>
      <c r="G4992" t="s">
        <v>331</v>
      </c>
      <c r="H4992" s="15">
        <v>45292</v>
      </c>
      <c r="I4992">
        <v>13000</v>
      </c>
      <c r="J4992">
        <v>0</v>
      </c>
    </row>
    <row r="4993" spans="1:10" x14ac:dyDescent="0.3">
      <c r="A4993" s="15">
        <v>45870</v>
      </c>
      <c r="B4993" t="s">
        <v>169</v>
      </c>
      <c r="C4993" t="s">
        <v>81</v>
      </c>
      <c r="D4993" t="s">
        <v>86</v>
      </c>
      <c r="E4993" t="s">
        <v>103</v>
      </c>
      <c r="F4993">
        <v>0</v>
      </c>
      <c r="G4993" t="s">
        <v>333</v>
      </c>
      <c r="H4993" s="15">
        <v>45292</v>
      </c>
      <c r="I4993">
        <v>2200</v>
      </c>
      <c r="J4993">
        <v>-2200</v>
      </c>
    </row>
    <row r="4994" spans="1:10" x14ac:dyDescent="0.3">
      <c r="A4994" s="15">
        <v>45870</v>
      </c>
      <c r="B4994" t="s">
        <v>170</v>
      </c>
      <c r="C4994" t="s">
        <v>91</v>
      </c>
      <c r="D4994" t="s">
        <v>99</v>
      </c>
      <c r="E4994" t="s">
        <v>83</v>
      </c>
      <c r="F4994">
        <v>6500</v>
      </c>
      <c r="G4994" t="s">
        <v>331</v>
      </c>
      <c r="H4994" s="15">
        <v>45292</v>
      </c>
      <c r="I4994">
        <v>6500</v>
      </c>
      <c r="J4994">
        <v>0</v>
      </c>
    </row>
    <row r="4995" spans="1:10" x14ac:dyDescent="0.3">
      <c r="A4995" s="15">
        <v>45870</v>
      </c>
      <c r="B4995" t="s">
        <v>171</v>
      </c>
      <c r="C4995" t="s">
        <v>81</v>
      </c>
      <c r="D4995" t="s">
        <v>99</v>
      </c>
      <c r="E4995" t="s">
        <v>97</v>
      </c>
      <c r="F4995">
        <v>1700</v>
      </c>
      <c r="G4995" t="s">
        <v>331</v>
      </c>
      <c r="H4995" s="15">
        <v>45292</v>
      </c>
      <c r="I4995">
        <v>1700</v>
      </c>
      <c r="J4995">
        <v>0</v>
      </c>
    </row>
    <row r="4996" spans="1:10" x14ac:dyDescent="0.3">
      <c r="A4996" s="15">
        <v>45870</v>
      </c>
      <c r="B4996" t="s">
        <v>174</v>
      </c>
      <c r="C4996" t="s">
        <v>81</v>
      </c>
      <c r="D4996" t="s">
        <v>82</v>
      </c>
      <c r="E4996" t="s">
        <v>92</v>
      </c>
      <c r="F4996">
        <v>2400</v>
      </c>
      <c r="G4996" t="s">
        <v>331</v>
      </c>
      <c r="H4996" s="15">
        <v>45292</v>
      </c>
      <c r="I4996">
        <v>2400</v>
      </c>
      <c r="J4996">
        <v>0</v>
      </c>
    </row>
    <row r="4997" spans="1:10" x14ac:dyDescent="0.3">
      <c r="A4997" s="15">
        <v>45870</v>
      </c>
      <c r="B4997" t="s">
        <v>175</v>
      </c>
      <c r="C4997" t="s">
        <v>91</v>
      </c>
      <c r="D4997" t="s">
        <v>96</v>
      </c>
      <c r="E4997" t="s">
        <v>83</v>
      </c>
      <c r="F4997">
        <v>8800</v>
      </c>
      <c r="G4997" t="s">
        <v>331</v>
      </c>
      <c r="H4997" s="15">
        <v>45292</v>
      </c>
      <c r="I4997">
        <v>8800</v>
      </c>
      <c r="J4997">
        <v>0</v>
      </c>
    </row>
    <row r="4998" spans="1:10" x14ac:dyDescent="0.3">
      <c r="A4998" s="15">
        <v>45870</v>
      </c>
      <c r="B4998" t="s">
        <v>176</v>
      </c>
      <c r="C4998" t="s">
        <v>81</v>
      </c>
      <c r="D4998" t="s">
        <v>99</v>
      </c>
      <c r="E4998" t="s">
        <v>92</v>
      </c>
      <c r="F4998">
        <v>2900</v>
      </c>
      <c r="G4998" t="s">
        <v>331</v>
      </c>
      <c r="H4998" s="15">
        <v>45292</v>
      </c>
      <c r="I4998">
        <v>2900</v>
      </c>
      <c r="J4998">
        <v>0</v>
      </c>
    </row>
    <row r="4999" spans="1:10" x14ac:dyDescent="0.3">
      <c r="A4999" s="15">
        <v>45870</v>
      </c>
      <c r="B4999" t="s">
        <v>177</v>
      </c>
      <c r="C4999" t="s">
        <v>81</v>
      </c>
      <c r="D4999" t="s">
        <v>96</v>
      </c>
      <c r="E4999" t="s">
        <v>83</v>
      </c>
      <c r="F4999">
        <v>2900</v>
      </c>
      <c r="G4999" t="s">
        <v>331</v>
      </c>
      <c r="H4999" s="15">
        <v>45292</v>
      </c>
      <c r="I4999">
        <v>2900</v>
      </c>
      <c r="J4999">
        <v>0</v>
      </c>
    </row>
    <row r="5000" spans="1:10" x14ac:dyDescent="0.3">
      <c r="A5000" s="15">
        <v>45870</v>
      </c>
      <c r="B5000" t="s">
        <v>178</v>
      </c>
      <c r="C5000" t="s">
        <v>91</v>
      </c>
      <c r="D5000" t="s">
        <v>82</v>
      </c>
      <c r="E5000" t="s">
        <v>89</v>
      </c>
      <c r="F5000">
        <v>8400</v>
      </c>
      <c r="G5000" t="s">
        <v>331</v>
      </c>
      <c r="H5000" s="15">
        <v>45292</v>
      </c>
      <c r="I5000">
        <v>8400</v>
      </c>
      <c r="J5000">
        <v>0</v>
      </c>
    </row>
    <row r="5001" spans="1:10" x14ac:dyDescent="0.3">
      <c r="A5001" s="15">
        <v>45870</v>
      </c>
      <c r="B5001" t="s">
        <v>179</v>
      </c>
      <c r="C5001" t="s">
        <v>110</v>
      </c>
      <c r="D5001" t="s">
        <v>86</v>
      </c>
      <c r="E5001" t="s">
        <v>87</v>
      </c>
      <c r="F5001">
        <v>30000</v>
      </c>
      <c r="G5001" t="s">
        <v>331</v>
      </c>
      <c r="H5001" s="15">
        <v>45292</v>
      </c>
      <c r="I5001">
        <v>30000</v>
      </c>
      <c r="J5001">
        <v>0</v>
      </c>
    </row>
    <row r="5002" spans="1:10" x14ac:dyDescent="0.3">
      <c r="A5002" s="15">
        <v>45870</v>
      </c>
      <c r="B5002" t="s">
        <v>180</v>
      </c>
      <c r="C5002" t="s">
        <v>91</v>
      </c>
      <c r="D5002" t="s">
        <v>86</v>
      </c>
      <c r="E5002" t="s">
        <v>83</v>
      </c>
      <c r="F5002">
        <v>8500</v>
      </c>
      <c r="G5002" t="s">
        <v>331</v>
      </c>
      <c r="H5002" s="15">
        <v>45292</v>
      </c>
      <c r="I5002">
        <v>8500</v>
      </c>
      <c r="J5002">
        <v>0</v>
      </c>
    </row>
    <row r="5003" spans="1:10" x14ac:dyDescent="0.3">
      <c r="A5003" s="15">
        <v>45870</v>
      </c>
      <c r="B5003" t="s">
        <v>181</v>
      </c>
      <c r="C5003" t="s">
        <v>91</v>
      </c>
      <c r="D5003" t="s">
        <v>82</v>
      </c>
      <c r="E5003" t="s">
        <v>97</v>
      </c>
      <c r="F5003">
        <v>10100</v>
      </c>
      <c r="G5003" t="s">
        <v>331</v>
      </c>
      <c r="H5003" s="15">
        <v>45292</v>
      </c>
      <c r="I5003">
        <v>10100</v>
      </c>
      <c r="J5003">
        <v>0</v>
      </c>
    </row>
    <row r="5004" spans="1:10" x14ac:dyDescent="0.3">
      <c r="A5004" s="15">
        <v>45870</v>
      </c>
      <c r="B5004" t="s">
        <v>182</v>
      </c>
      <c r="C5004" t="s">
        <v>125</v>
      </c>
      <c r="D5004" t="s">
        <v>82</v>
      </c>
      <c r="E5004" t="s">
        <v>92</v>
      </c>
      <c r="F5004">
        <v>93100</v>
      </c>
      <c r="G5004" t="s">
        <v>331</v>
      </c>
      <c r="H5004" s="15">
        <v>45292</v>
      </c>
      <c r="I5004">
        <v>93100</v>
      </c>
      <c r="J5004">
        <v>0</v>
      </c>
    </row>
    <row r="5005" spans="1:10" x14ac:dyDescent="0.3">
      <c r="A5005" s="15">
        <v>45870</v>
      </c>
      <c r="B5005" t="s">
        <v>183</v>
      </c>
      <c r="C5005" t="s">
        <v>91</v>
      </c>
      <c r="D5005" t="s">
        <v>96</v>
      </c>
      <c r="E5005" t="s">
        <v>92</v>
      </c>
      <c r="F5005">
        <v>9500</v>
      </c>
      <c r="G5005" t="s">
        <v>331</v>
      </c>
      <c r="H5005" s="15">
        <v>45292</v>
      </c>
      <c r="I5005">
        <v>9500</v>
      </c>
      <c r="J5005">
        <v>0</v>
      </c>
    </row>
    <row r="5006" spans="1:10" x14ac:dyDescent="0.3">
      <c r="A5006" s="15">
        <v>45870</v>
      </c>
      <c r="B5006" t="s">
        <v>184</v>
      </c>
      <c r="C5006" t="s">
        <v>81</v>
      </c>
      <c r="D5006" t="s">
        <v>82</v>
      </c>
      <c r="E5006" t="s">
        <v>83</v>
      </c>
      <c r="F5006">
        <v>2600</v>
      </c>
      <c r="G5006" t="s">
        <v>331</v>
      </c>
      <c r="H5006" s="15">
        <v>45292</v>
      </c>
      <c r="I5006">
        <v>2600</v>
      </c>
      <c r="J5006">
        <v>0</v>
      </c>
    </row>
    <row r="5007" spans="1:10" x14ac:dyDescent="0.3">
      <c r="A5007" s="15">
        <v>45870</v>
      </c>
      <c r="B5007" t="s">
        <v>185</v>
      </c>
      <c r="C5007" t="s">
        <v>81</v>
      </c>
      <c r="D5007" t="s">
        <v>96</v>
      </c>
      <c r="E5007" t="s">
        <v>97</v>
      </c>
      <c r="F5007">
        <v>1900</v>
      </c>
      <c r="G5007" t="s">
        <v>331</v>
      </c>
      <c r="H5007" s="15">
        <v>45292</v>
      </c>
      <c r="I5007">
        <v>1900</v>
      </c>
      <c r="J5007">
        <v>0</v>
      </c>
    </row>
    <row r="5008" spans="1:10" x14ac:dyDescent="0.3">
      <c r="A5008" s="15">
        <v>45870</v>
      </c>
      <c r="B5008" t="s">
        <v>186</v>
      </c>
      <c r="C5008" t="s">
        <v>91</v>
      </c>
      <c r="D5008" t="s">
        <v>82</v>
      </c>
      <c r="E5008" t="s">
        <v>103</v>
      </c>
      <c r="F5008">
        <v>13900</v>
      </c>
      <c r="G5008" t="s">
        <v>331</v>
      </c>
      <c r="H5008" s="15">
        <v>45292</v>
      </c>
      <c r="I5008">
        <v>13900</v>
      </c>
      <c r="J5008">
        <v>0</v>
      </c>
    </row>
    <row r="5009" spans="1:10" x14ac:dyDescent="0.3">
      <c r="A5009" s="15">
        <v>45870</v>
      </c>
      <c r="B5009" t="s">
        <v>187</v>
      </c>
      <c r="C5009" t="s">
        <v>110</v>
      </c>
      <c r="D5009" t="s">
        <v>86</v>
      </c>
      <c r="E5009" t="s">
        <v>97</v>
      </c>
      <c r="F5009">
        <v>26700</v>
      </c>
      <c r="G5009" t="s">
        <v>331</v>
      </c>
      <c r="H5009" s="15">
        <v>45292</v>
      </c>
      <c r="I5009">
        <v>26700</v>
      </c>
      <c r="J5009">
        <v>0</v>
      </c>
    </row>
    <row r="5010" spans="1:10" x14ac:dyDescent="0.3">
      <c r="A5010" s="15">
        <v>45870</v>
      </c>
      <c r="B5010" t="s">
        <v>188</v>
      </c>
      <c r="C5010" t="s">
        <v>91</v>
      </c>
      <c r="D5010" t="s">
        <v>82</v>
      </c>
      <c r="E5010" t="s">
        <v>92</v>
      </c>
      <c r="F5010">
        <v>9900</v>
      </c>
      <c r="G5010" t="s">
        <v>331</v>
      </c>
      <c r="H5010" s="15">
        <v>45292</v>
      </c>
      <c r="I5010">
        <v>9900</v>
      </c>
      <c r="J5010">
        <v>0</v>
      </c>
    </row>
    <row r="5011" spans="1:10" x14ac:dyDescent="0.3">
      <c r="A5011" s="15">
        <v>45870</v>
      </c>
      <c r="B5011" t="s">
        <v>189</v>
      </c>
      <c r="C5011" t="s">
        <v>81</v>
      </c>
      <c r="D5011" t="s">
        <v>86</v>
      </c>
      <c r="E5011" t="s">
        <v>103</v>
      </c>
      <c r="F5011">
        <v>2000</v>
      </c>
      <c r="G5011" t="s">
        <v>331</v>
      </c>
      <c r="H5011" s="15">
        <v>45292</v>
      </c>
      <c r="I5011">
        <v>2000</v>
      </c>
      <c r="J5011">
        <v>0</v>
      </c>
    </row>
    <row r="5012" spans="1:10" x14ac:dyDescent="0.3">
      <c r="A5012" s="15">
        <v>45870</v>
      </c>
      <c r="B5012" t="s">
        <v>190</v>
      </c>
      <c r="C5012" t="s">
        <v>81</v>
      </c>
      <c r="D5012" t="s">
        <v>99</v>
      </c>
      <c r="E5012" t="s">
        <v>89</v>
      </c>
      <c r="F5012">
        <v>1900</v>
      </c>
      <c r="G5012" t="s">
        <v>331</v>
      </c>
      <c r="H5012" s="15">
        <v>45292</v>
      </c>
      <c r="I5012">
        <v>1900</v>
      </c>
      <c r="J5012">
        <v>0</v>
      </c>
    </row>
    <row r="5013" spans="1:10" x14ac:dyDescent="0.3">
      <c r="A5013" s="15">
        <v>45870</v>
      </c>
      <c r="B5013" t="s">
        <v>191</v>
      </c>
      <c r="C5013" t="s">
        <v>91</v>
      </c>
      <c r="D5013" t="s">
        <v>86</v>
      </c>
      <c r="E5013" t="s">
        <v>87</v>
      </c>
      <c r="F5013">
        <v>6900</v>
      </c>
      <c r="G5013" t="s">
        <v>331</v>
      </c>
      <c r="H5013" s="15">
        <v>45292</v>
      </c>
      <c r="I5013">
        <v>6900</v>
      </c>
      <c r="J5013">
        <v>0</v>
      </c>
    </row>
    <row r="5014" spans="1:10" x14ac:dyDescent="0.3">
      <c r="A5014" s="15">
        <v>45870</v>
      </c>
      <c r="B5014" t="s">
        <v>192</v>
      </c>
      <c r="C5014" t="s">
        <v>81</v>
      </c>
      <c r="D5014" t="s">
        <v>82</v>
      </c>
      <c r="E5014" t="s">
        <v>97</v>
      </c>
      <c r="F5014">
        <v>3000</v>
      </c>
      <c r="G5014" t="s">
        <v>331</v>
      </c>
      <c r="H5014" s="15">
        <v>45292</v>
      </c>
      <c r="I5014">
        <v>3000</v>
      </c>
      <c r="J5014">
        <v>0</v>
      </c>
    </row>
    <row r="5015" spans="1:10" x14ac:dyDescent="0.3">
      <c r="A5015" s="15">
        <v>45870</v>
      </c>
      <c r="B5015" t="s">
        <v>193</v>
      </c>
      <c r="C5015" t="s">
        <v>81</v>
      </c>
      <c r="D5015" t="s">
        <v>82</v>
      </c>
      <c r="E5015" t="s">
        <v>87</v>
      </c>
      <c r="F5015">
        <v>3200</v>
      </c>
      <c r="G5015" t="s">
        <v>331</v>
      </c>
      <c r="H5015" s="15">
        <v>45292</v>
      </c>
      <c r="I5015">
        <v>3200</v>
      </c>
      <c r="J5015">
        <v>0</v>
      </c>
    </row>
    <row r="5016" spans="1:10" x14ac:dyDescent="0.3">
      <c r="A5016" s="15">
        <v>45870</v>
      </c>
      <c r="B5016" t="s">
        <v>194</v>
      </c>
      <c r="C5016" t="s">
        <v>91</v>
      </c>
      <c r="D5016" t="s">
        <v>82</v>
      </c>
      <c r="E5016" t="s">
        <v>101</v>
      </c>
      <c r="F5016">
        <v>11200</v>
      </c>
      <c r="G5016" t="s">
        <v>331</v>
      </c>
      <c r="H5016" s="15">
        <v>45292</v>
      </c>
      <c r="I5016">
        <v>11200</v>
      </c>
      <c r="J5016">
        <v>0</v>
      </c>
    </row>
    <row r="5017" spans="1:10" x14ac:dyDescent="0.3">
      <c r="A5017" s="15">
        <v>45870</v>
      </c>
      <c r="B5017" t="s">
        <v>195</v>
      </c>
      <c r="C5017" t="s">
        <v>91</v>
      </c>
      <c r="D5017" t="s">
        <v>86</v>
      </c>
      <c r="E5017" t="s">
        <v>97</v>
      </c>
      <c r="F5017">
        <v>6800</v>
      </c>
      <c r="G5017" t="s">
        <v>331</v>
      </c>
      <c r="H5017" s="15">
        <v>45292</v>
      </c>
      <c r="I5017">
        <v>6800</v>
      </c>
      <c r="J5017">
        <v>0</v>
      </c>
    </row>
    <row r="5018" spans="1:10" x14ac:dyDescent="0.3">
      <c r="A5018" s="15">
        <v>45870</v>
      </c>
      <c r="B5018" t="s">
        <v>197</v>
      </c>
      <c r="C5018" t="s">
        <v>91</v>
      </c>
      <c r="D5018" t="s">
        <v>82</v>
      </c>
      <c r="E5018" t="s">
        <v>89</v>
      </c>
      <c r="F5018">
        <v>12000</v>
      </c>
      <c r="G5018" t="s">
        <v>331</v>
      </c>
      <c r="H5018" s="15">
        <v>45292</v>
      </c>
      <c r="I5018">
        <v>12000</v>
      </c>
      <c r="J5018">
        <v>0</v>
      </c>
    </row>
    <row r="5019" spans="1:10" x14ac:dyDescent="0.3">
      <c r="A5019" s="15">
        <v>45870</v>
      </c>
      <c r="B5019" t="s">
        <v>198</v>
      </c>
      <c r="C5019" t="s">
        <v>81</v>
      </c>
      <c r="D5019" t="s">
        <v>82</v>
      </c>
      <c r="E5019" t="s">
        <v>89</v>
      </c>
      <c r="F5019">
        <v>2900</v>
      </c>
      <c r="G5019" t="s">
        <v>331</v>
      </c>
      <c r="H5019" s="15">
        <v>45292</v>
      </c>
      <c r="I5019">
        <v>2900</v>
      </c>
      <c r="J5019">
        <v>0</v>
      </c>
    </row>
    <row r="5020" spans="1:10" x14ac:dyDescent="0.3">
      <c r="A5020" s="15">
        <v>45870</v>
      </c>
      <c r="B5020" t="s">
        <v>199</v>
      </c>
      <c r="C5020" t="s">
        <v>81</v>
      </c>
      <c r="D5020" t="s">
        <v>86</v>
      </c>
      <c r="E5020" t="s">
        <v>89</v>
      </c>
      <c r="F5020">
        <v>2200</v>
      </c>
      <c r="G5020" t="s">
        <v>331</v>
      </c>
      <c r="H5020" s="15">
        <v>45292</v>
      </c>
      <c r="I5020">
        <v>2200</v>
      </c>
      <c r="J5020">
        <v>0</v>
      </c>
    </row>
    <row r="5021" spans="1:10" x14ac:dyDescent="0.3">
      <c r="A5021" s="15">
        <v>45870</v>
      </c>
      <c r="B5021" t="s">
        <v>200</v>
      </c>
      <c r="C5021" t="s">
        <v>91</v>
      </c>
      <c r="D5021" t="s">
        <v>86</v>
      </c>
      <c r="E5021" t="s">
        <v>92</v>
      </c>
      <c r="F5021">
        <v>8800</v>
      </c>
      <c r="G5021" t="s">
        <v>331</v>
      </c>
      <c r="H5021" s="15">
        <v>45292</v>
      </c>
      <c r="I5021">
        <v>8800</v>
      </c>
      <c r="J5021">
        <v>0</v>
      </c>
    </row>
    <row r="5022" spans="1:10" x14ac:dyDescent="0.3">
      <c r="A5022" s="15">
        <v>45870</v>
      </c>
      <c r="B5022" t="s">
        <v>201</v>
      </c>
      <c r="C5022" t="s">
        <v>81</v>
      </c>
      <c r="D5022" t="s">
        <v>86</v>
      </c>
      <c r="E5022" t="s">
        <v>83</v>
      </c>
      <c r="F5022">
        <v>1800</v>
      </c>
      <c r="G5022" t="s">
        <v>331</v>
      </c>
      <c r="H5022" s="15">
        <v>45292</v>
      </c>
      <c r="I5022">
        <v>1800</v>
      </c>
      <c r="J5022">
        <v>0</v>
      </c>
    </row>
    <row r="5023" spans="1:10" x14ac:dyDescent="0.3">
      <c r="A5023" s="15">
        <v>45870</v>
      </c>
      <c r="B5023" t="s">
        <v>202</v>
      </c>
      <c r="C5023" t="s">
        <v>91</v>
      </c>
      <c r="D5023" t="s">
        <v>82</v>
      </c>
      <c r="E5023" t="s">
        <v>92</v>
      </c>
      <c r="F5023">
        <v>11000</v>
      </c>
      <c r="G5023" t="s">
        <v>331</v>
      </c>
      <c r="H5023" s="15">
        <v>45292</v>
      </c>
      <c r="I5023">
        <v>11000</v>
      </c>
      <c r="J5023">
        <v>0</v>
      </c>
    </row>
    <row r="5024" spans="1:10" x14ac:dyDescent="0.3">
      <c r="A5024" s="15">
        <v>45870</v>
      </c>
      <c r="B5024" t="s">
        <v>204</v>
      </c>
      <c r="C5024" t="s">
        <v>81</v>
      </c>
      <c r="D5024" t="s">
        <v>82</v>
      </c>
      <c r="E5024" t="s">
        <v>87</v>
      </c>
      <c r="F5024">
        <v>1900</v>
      </c>
      <c r="G5024" t="s">
        <v>331</v>
      </c>
      <c r="H5024" s="15">
        <v>45292</v>
      </c>
      <c r="I5024">
        <v>1900</v>
      </c>
      <c r="J5024">
        <v>0</v>
      </c>
    </row>
    <row r="5025" spans="1:10" x14ac:dyDescent="0.3">
      <c r="A5025" s="15">
        <v>45870</v>
      </c>
      <c r="B5025" t="s">
        <v>205</v>
      </c>
      <c r="C5025" t="s">
        <v>91</v>
      </c>
      <c r="D5025" t="s">
        <v>86</v>
      </c>
      <c r="E5025" t="s">
        <v>103</v>
      </c>
      <c r="F5025">
        <v>9800</v>
      </c>
      <c r="G5025" t="s">
        <v>331</v>
      </c>
      <c r="H5025" s="15">
        <v>45292</v>
      </c>
      <c r="I5025">
        <v>9800</v>
      </c>
      <c r="J5025">
        <v>0</v>
      </c>
    </row>
    <row r="5026" spans="1:10" x14ac:dyDescent="0.3">
      <c r="A5026" s="15">
        <v>45870</v>
      </c>
      <c r="B5026" t="s">
        <v>206</v>
      </c>
      <c r="C5026" t="s">
        <v>81</v>
      </c>
      <c r="D5026" t="s">
        <v>86</v>
      </c>
      <c r="E5026" t="s">
        <v>89</v>
      </c>
      <c r="F5026">
        <v>3000</v>
      </c>
      <c r="G5026" t="s">
        <v>331</v>
      </c>
      <c r="H5026" s="15">
        <v>45292</v>
      </c>
      <c r="I5026">
        <v>3000</v>
      </c>
      <c r="J5026">
        <v>0</v>
      </c>
    </row>
    <row r="5027" spans="1:10" x14ac:dyDescent="0.3">
      <c r="A5027" s="15">
        <v>45870</v>
      </c>
      <c r="B5027" t="s">
        <v>207</v>
      </c>
      <c r="C5027" t="s">
        <v>81</v>
      </c>
      <c r="D5027" t="s">
        <v>82</v>
      </c>
      <c r="E5027" t="s">
        <v>89</v>
      </c>
      <c r="F5027">
        <v>3500</v>
      </c>
      <c r="G5027" t="s">
        <v>331</v>
      </c>
      <c r="H5027" s="15">
        <v>45292</v>
      </c>
      <c r="I5027">
        <v>3500</v>
      </c>
      <c r="J5027">
        <v>0</v>
      </c>
    </row>
    <row r="5028" spans="1:10" x14ac:dyDescent="0.3">
      <c r="A5028" s="15">
        <v>45870</v>
      </c>
      <c r="B5028" t="s">
        <v>208</v>
      </c>
      <c r="C5028" t="s">
        <v>91</v>
      </c>
      <c r="D5028" t="s">
        <v>99</v>
      </c>
      <c r="E5028" t="s">
        <v>89</v>
      </c>
      <c r="F5028">
        <v>7300</v>
      </c>
      <c r="G5028" t="s">
        <v>331</v>
      </c>
      <c r="H5028" s="15">
        <v>45292</v>
      </c>
      <c r="I5028">
        <v>7300</v>
      </c>
      <c r="J5028">
        <v>0</v>
      </c>
    </row>
    <row r="5029" spans="1:10" x14ac:dyDescent="0.3">
      <c r="A5029" s="15">
        <v>45870</v>
      </c>
      <c r="B5029" t="s">
        <v>209</v>
      </c>
      <c r="C5029" t="s">
        <v>81</v>
      </c>
      <c r="D5029" t="s">
        <v>86</v>
      </c>
      <c r="E5029" t="s">
        <v>83</v>
      </c>
      <c r="F5029">
        <v>3100</v>
      </c>
      <c r="G5029" t="s">
        <v>331</v>
      </c>
      <c r="H5029" s="15">
        <v>45292</v>
      </c>
      <c r="I5029">
        <v>3100</v>
      </c>
      <c r="J5029">
        <v>0</v>
      </c>
    </row>
    <row r="5030" spans="1:10" x14ac:dyDescent="0.3">
      <c r="A5030" s="15">
        <v>45870</v>
      </c>
      <c r="B5030" t="s">
        <v>210</v>
      </c>
      <c r="C5030" t="s">
        <v>125</v>
      </c>
      <c r="D5030" t="s">
        <v>96</v>
      </c>
      <c r="E5030" t="s">
        <v>89</v>
      </c>
      <c r="F5030">
        <v>90300</v>
      </c>
      <c r="G5030" t="s">
        <v>331</v>
      </c>
      <c r="H5030" s="15">
        <v>45292</v>
      </c>
      <c r="I5030">
        <v>90300</v>
      </c>
      <c r="J5030">
        <v>0</v>
      </c>
    </row>
    <row r="5031" spans="1:10" x14ac:dyDescent="0.3">
      <c r="A5031" s="15">
        <v>45870</v>
      </c>
      <c r="B5031" t="s">
        <v>211</v>
      </c>
      <c r="C5031" t="s">
        <v>110</v>
      </c>
      <c r="D5031" t="s">
        <v>82</v>
      </c>
      <c r="E5031" t="s">
        <v>92</v>
      </c>
      <c r="F5031">
        <v>28900</v>
      </c>
      <c r="G5031" t="s">
        <v>331</v>
      </c>
      <c r="H5031" s="15">
        <v>45292</v>
      </c>
      <c r="I5031">
        <v>28900</v>
      </c>
      <c r="J5031">
        <v>0</v>
      </c>
    </row>
    <row r="5032" spans="1:10" x14ac:dyDescent="0.3">
      <c r="A5032" s="15">
        <v>45870</v>
      </c>
      <c r="B5032" t="s">
        <v>213</v>
      </c>
      <c r="C5032" t="s">
        <v>81</v>
      </c>
      <c r="D5032" t="s">
        <v>82</v>
      </c>
      <c r="E5032" t="s">
        <v>97</v>
      </c>
      <c r="F5032">
        <v>3300</v>
      </c>
      <c r="G5032" t="s">
        <v>331</v>
      </c>
      <c r="H5032" s="15">
        <v>45292</v>
      </c>
      <c r="I5032">
        <v>3300</v>
      </c>
      <c r="J5032">
        <v>0</v>
      </c>
    </row>
    <row r="5033" spans="1:10" x14ac:dyDescent="0.3">
      <c r="A5033" s="15">
        <v>45870</v>
      </c>
      <c r="B5033" t="s">
        <v>214</v>
      </c>
      <c r="C5033" t="s">
        <v>91</v>
      </c>
      <c r="D5033" t="s">
        <v>82</v>
      </c>
      <c r="E5033" t="s">
        <v>89</v>
      </c>
      <c r="F5033">
        <v>8700</v>
      </c>
      <c r="G5033" t="s">
        <v>331</v>
      </c>
      <c r="H5033" s="15">
        <v>45292</v>
      </c>
      <c r="I5033">
        <v>8700</v>
      </c>
      <c r="J5033">
        <v>0</v>
      </c>
    </row>
    <row r="5034" spans="1:10" x14ac:dyDescent="0.3">
      <c r="A5034" s="15">
        <v>45870</v>
      </c>
      <c r="B5034" t="s">
        <v>216</v>
      </c>
      <c r="C5034" t="s">
        <v>81</v>
      </c>
      <c r="D5034" t="s">
        <v>82</v>
      </c>
      <c r="E5034" t="s">
        <v>97</v>
      </c>
      <c r="F5034">
        <v>3500</v>
      </c>
      <c r="G5034" t="s">
        <v>331</v>
      </c>
      <c r="H5034" s="15">
        <v>45292</v>
      </c>
      <c r="I5034">
        <v>3500</v>
      </c>
      <c r="J5034">
        <v>0</v>
      </c>
    </row>
    <row r="5035" spans="1:10" x14ac:dyDescent="0.3">
      <c r="A5035" s="15">
        <v>45870</v>
      </c>
      <c r="B5035" t="s">
        <v>217</v>
      </c>
      <c r="C5035" t="s">
        <v>91</v>
      </c>
      <c r="D5035" t="s">
        <v>82</v>
      </c>
      <c r="E5035" t="s">
        <v>97</v>
      </c>
      <c r="F5035">
        <v>9000</v>
      </c>
      <c r="G5035" t="s">
        <v>331</v>
      </c>
      <c r="H5035" s="15">
        <v>45292</v>
      </c>
      <c r="I5035">
        <v>9000</v>
      </c>
      <c r="J5035">
        <v>0</v>
      </c>
    </row>
    <row r="5036" spans="1:10" x14ac:dyDescent="0.3">
      <c r="A5036" s="15">
        <v>45870</v>
      </c>
      <c r="B5036" t="s">
        <v>218</v>
      </c>
      <c r="C5036" t="s">
        <v>110</v>
      </c>
      <c r="D5036" t="s">
        <v>99</v>
      </c>
      <c r="E5036" t="s">
        <v>92</v>
      </c>
      <c r="F5036">
        <v>32200</v>
      </c>
      <c r="G5036" t="s">
        <v>331</v>
      </c>
      <c r="H5036" s="15">
        <v>45292</v>
      </c>
      <c r="I5036">
        <v>32200</v>
      </c>
      <c r="J5036">
        <v>0</v>
      </c>
    </row>
    <row r="5037" spans="1:10" x14ac:dyDescent="0.3">
      <c r="A5037" s="15">
        <v>45870</v>
      </c>
      <c r="B5037" t="s">
        <v>219</v>
      </c>
      <c r="C5037" t="s">
        <v>81</v>
      </c>
      <c r="D5037" t="s">
        <v>99</v>
      </c>
      <c r="E5037" t="s">
        <v>89</v>
      </c>
      <c r="F5037">
        <v>2500</v>
      </c>
      <c r="G5037" t="s">
        <v>331</v>
      </c>
      <c r="H5037" s="15">
        <v>45292</v>
      </c>
      <c r="I5037">
        <v>2500</v>
      </c>
      <c r="J5037">
        <v>0</v>
      </c>
    </row>
    <row r="5038" spans="1:10" x14ac:dyDescent="0.3">
      <c r="A5038" s="15">
        <v>45870</v>
      </c>
      <c r="B5038" t="s">
        <v>220</v>
      </c>
      <c r="C5038" t="s">
        <v>110</v>
      </c>
      <c r="D5038" t="s">
        <v>82</v>
      </c>
      <c r="E5038" t="s">
        <v>89</v>
      </c>
      <c r="F5038">
        <v>30800</v>
      </c>
      <c r="G5038" t="s">
        <v>331</v>
      </c>
      <c r="H5038" s="15">
        <v>45292</v>
      </c>
      <c r="I5038">
        <v>30800</v>
      </c>
      <c r="J5038">
        <v>0</v>
      </c>
    </row>
    <row r="5039" spans="1:10" x14ac:dyDescent="0.3">
      <c r="A5039" s="15">
        <v>45870</v>
      </c>
      <c r="B5039" t="s">
        <v>224</v>
      </c>
      <c r="C5039" t="s">
        <v>91</v>
      </c>
      <c r="D5039" t="s">
        <v>82</v>
      </c>
      <c r="E5039" t="s">
        <v>101</v>
      </c>
      <c r="F5039">
        <v>10600</v>
      </c>
      <c r="G5039" t="s">
        <v>331</v>
      </c>
      <c r="H5039" s="15">
        <v>45292</v>
      </c>
      <c r="I5039">
        <v>10600</v>
      </c>
      <c r="J5039">
        <v>0</v>
      </c>
    </row>
    <row r="5040" spans="1:10" x14ac:dyDescent="0.3">
      <c r="A5040" s="15">
        <v>45870</v>
      </c>
      <c r="B5040" t="s">
        <v>225</v>
      </c>
      <c r="C5040" t="s">
        <v>110</v>
      </c>
      <c r="D5040" t="s">
        <v>99</v>
      </c>
      <c r="E5040" t="s">
        <v>103</v>
      </c>
      <c r="F5040">
        <v>42200</v>
      </c>
      <c r="G5040" t="s">
        <v>331</v>
      </c>
      <c r="H5040" s="15">
        <v>45292</v>
      </c>
      <c r="I5040">
        <v>42200</v>
      </c>
      <c r="J5040">
        <v>0</v>
      </c>
    </row>
    <row r="5041" spans="1:10" x14ac:dyDescent="0.3">
      <c r="A5041" s="15">
        <v>45870</v>
      </c>
      <c r="B5041" t="s">
        <v>226</v>
      </c>
      <c r="C5041" t="s">
        <v>91</v>
      </c>
      <c r="D5041" t="s">
        <v>82</v>
      </c>
      <c r="E5041" t="s">
        <v>103</v>
      </c>
      <c r="F5041">
        <v>5300</v>
      </c>
      <c r="G5041" t="s">
        <v>331</v>
      </c>
      <c r="H5041" s="15">
        <v>45292</v>
      </c>
      <c r="I5041">
        <v>5300</v>
      </c>
      <c r="J5041">
        <v>0</v>
      </c>
    </row>
    <row r="5042" spans="1:10" x14ac:dyDescent="0.3">
      <c r="A5042" s="15">
        <v>45870</v>
      </c>
      <c r="B5042" t="s">
        <v>227</v>
      </c>
      <c r="C5042" t="s">
        <v>110</v>
      </c>
      <c r="D5042" t="s">
        <v>86</v>
      </c>
      <c r="E5042" t="s">
        <v>87</v>
      </c>
      <c r="F5042">
        <v>27900</v>
      </c>
      <c r="G5042" t="s">
        <v>332</v>
      </c>
      <c r="H5042" s="15">
        <v>45292</v>
      </c>
      <c r="I5042">
        <v>25900</v>
      </c>
      <c r="J5042">
        <v>2000</v>
      </c>
    </row>
    <row r="5043" spans="1:10" x14ac:dyDescent="0.3">
      <c r="A5043" s="15">
        <v>45870</v>
      </c>
      <c r="B5043" t="s">
        <v>228</v>
      </c>
      <c r="C5043" t="s">
        <v>91</v>
      </c>
      <c r="D5043" t="s">
        <v>96</v>
      </c>
      <c r="E5043" t="s">
        <v>89</v>
      </c>
      <c r="F5043">
        <v>12000</v>
      </c>
      <c r="G5043" t="s">
        <v>331</v>
      </c>
      <c r="H5043" s="15">
        <v>45292</v>
      </c>
      <c r="I5043">
        <v>12000</v>
      </c>
      <c r="J5043">
        <v>0</v>
      </c>
    </row>
    <row r="5044" spans="1:10" x14ac:dyDescent="0.3">
      <c r="A5044" s="15">
        <v>45870</v>
      </c>
      <c r="B5044" t="s">
        <v>229</v>
      </c>
      <c r="C5044" t="s">
        <v>81</v>
      </c>
      <c r="D5044" t="s">
        <v>82</v>
      </c>
      <c r="E5044" t="s">
        <v>83</v>
      </c>
      <c r="F5044">
        <v>3400</v>
      </c>
      <c r="G5044" t="s">
        <v>331</v>
      </c>
      <c r="H5044" s="15">
        <v>45292</v>
      </c>
      <c r="I5044">
        <v>3400</v>
      </c>
      <c r="J5044">
        <v>0</v>
      </c>
    </row>
    <row r="5045" spans="1:10" x14ac:dyDescent="0.3">
      <c r="A5045" s="15">
        <v>45870</v>
      </c>
      <c r="B5045" t="s">
        <v>230</v>
      </c>
      <c r="C5045" t="s">
        <v>81</v>
      </c>
      <c r="D5045" t="s">
        <v>86</v>
      </c>
      <c r="E5045" t="s">
        <v>101</v>
      </c>
      <c r="F5045">
        <v>3400</v>
      </c>
      <c r="G5045" t="s">
        <v>331</v>
      </c>
      <c r="H5045" s="15">
        <v>45292</v>
      </c>
      <c r="I5045">
        <v>3400</v>
      </c>
      <c r="J5045">
        <v>0</v>
      </c>
    </row>
    <row r="5046" spans="1:10" x14ac:dyDescent="0.3">
      <c r="A5046" s="15">
        <v>45870</v>
      </c>
      <c r="B5046" t="s">
        <v>231</v>
      </c>
      <c r="C5046" t="s">
        <v>91</v>
      </c>
      <c r="D5046" t="s">
        <v>82</v>
      </c>
      <c r="E5046" t="s">
        <v>92</v>
      </c>
      <c r="F5046">
        <v>6900</v>
      </c>
      <c r="G5046" t="s">
        <v>331</v>
      </c>
      <c r="H5046" s="15">
        <v>45292</v>
      </c>
      <c r="I5046">
        <v>6900</v>
      </c>
      <c r="J5046">
        <v>0</v>
      </c>
    </row>
    <row r="5047" spans="1:10" x14ac:dyDescent="0.3">
      <c r="A5047" s="15">
        <v>45870</v>
      </c>
      <c r="B5047" t="s">
        <v>232</v>
      </c>
      <c r="C5047" t="s">
        <v>125</v>
      </c>
      <c r="D5047" t="s">
        <v>86</v>
      </c>
      <c r="E5047" t="s">
        <v>83</v>
      </c>
      <c r="F5047">
        <v>121100</v>
      </c>
      <c r="G5047" t="s">
        <v>331</v>
      </c>
      <c r="H5047" s="15">
        <v>45292</v>
      </c>
      <c r="I5047">
        <v>121100</v>
      </c>
      <c r="J5047">
        <v>0</v>
      </c>
    </row>
    <row r="5048" spans="1:10" x14ac:dyDescent="0.3">
      <c r="A5048" s="15">
        <v>45870</v>
      </c>
      <c r="B5048" t="s">
        <v>233</v>
      </c>
      <c r="C5048" t="s">
        <v>81</v>
      </c>
      <c r="D5048" t="s">
        <v>82</v>
      </c>
      <c r="E5048" t="s">
        <v>87</v>
      </c>
      <c r="F5048">
        <v>3300</v>
      </c>
      <c r="G5048" t="s">
        <v>331</v>
      </c>
      <c r="H5048" s="15">
        <v>45292</v>
      </c>
      <c r="I5048">
        <v>3300</v>
      </c>
      <c r="J5048">
        <v>0</v>
      </c>
    </row>
    <row r="5049" spans="1:10" x14ac:dyDescent="0.3">
      <c r="A5049" s="15">
        <v>45870</v>
      </c>
      <c r="B5049" t="s">
        <v>234</v>
      </c>
      <c r="C5049" t="s">
        <v>110</v>
      </c>
      <c r="D5049" t="s">
        <v>82</v>
      </c>
      <c r="E5049" t="s">
        <v>103</v>
      </c>
      <c r="F5049">
        <v>43400</v>
      </c>
      <c r="G5049" t="s">
        <v>331</v>
      </c>
      <c r="H5049" s="15">
        <v>45292</v>
      </c>
      <c r="I5049">
        <v>43400</v>
      </c>
      <c r="J5049">
        <v>0</v>
      </c>
    </row>
    <row r="5050" spans="1:10" x14ac:dyDescent="0.3">
      <c r="A5050" s="15">
        <v>45870</v>
      </c>
      <c r="B5050" t="s">
        <v>235</v>
      </c>
      <c r="C5050" t="s">
        <v>91</v>
      </c>
      <c r="D5050" t="s">
        <v>96</v>
      </c>
      <c r="E5050" t="s">
        <v>103</v>
      </c>
      <c r="F5050">
        <v>11100</v>
      </c>
      <c r="G5050" t="s">
        <v>331</v>
      </c>
      <c r="H5050" s="15">
        <v>45292</v>
      </c>
      <c r="I5050">
        <v>11100</v>
      </c>
      <c r="J5050">
        <v>0</v>
      </c>
    </row>
    <row r="5051" spans="1:10" x14ac:dyDescent="0.3">
      <c r="A5051" s="15">
        <v>45870</v>
      </c>
      <c r="B5051" t="s">
        <v>236</v>
      </c>
      <c r="C5051" t="s">
        <v>110</v>
      </c>
      <c r="D5051" t="s">
        <v>82</v>
      </c>
      <c r="E5051" t="s">
        <v>97</v>
      </c>
      <c r="F5051">
        <v>27200</v>
      </c>
      <c r="G5051" t="s">
        <v>331</v>
      </c>
      <c r="H5051" s="15">
        <v>45292</v>
      </c>
      <c r="I5051">
        <v>27200</v>
      </c>
      <c r="J5051">
        <v>0</v>
      </c>
    </row>
    <row r="5052" spans="1:10" x14ac:dyDescent="0.3">
      <c r="A5052" s="15">
        <v>45870</v>
      </c>
      <c r="B5052" t="s">
        <v>237</v>
      </c>
      <c r="C5052" t="s">
        <v>91</v>
      </c>
      <c r="D5052" t="s">
        <v>82</v>
      </c>
      <c r="E5052" t="s">
        <v>83</v>
      </c>
      <c r="F5052">
        <v>8100</v>
      </c>
      <c r="G5052" t="s">
        <v>331</v>
      </c>
      <c r="H5052" s="15">
        <v>45292</v>
      </c>
      <c r="I5052">
        <v>8100</v>
      </c>
      <c r="J5052">
        <v>0</v>
      </c>
    </row>
    <row r="5053" spans="1:10" x14ac:dyDescent="0.3">
      <c r="A5053" s="15">
        <v>45870</v>
      </c>
      <c r="B5053" t="s">
        <v>238</v>
      </c>
      <c r="C5053" t="s">
        <v>81</v>
      </c>
      <c r="D5053" t="s">
        <v>99</v>
      </c>
      <c r="E5053" t="s">
        <v>97</v>
      </c>
      <c r="F5053">
        <v>2300</v>
      </c>
      <c r="G5053" t="s">
        <v>331</v>
      </c>
      <c r="H5053" s="15">
        <v>45292</v>
      </c>
      <c r="I5053">
        <v>2300</v>
      </c>
      <c r="J5053">
        <v>0</v>
      </c>
    </row>
    <row r="5054" spans="1:10" x14ac:dyDescent="0.3">
      <c r="A5054" s="15">
        <v>45870</v>
      </c>
      <c r="B5054" t="s">
        <v>239</v>
      </c>
      <c r="C5054" t="s">
        <v>81</v>
      </c>
      <c r="D5054" t="s">
        <v>82</v>
      </c>
      <c r="E5054" t="s">
        <v>103</v>
      </c>
      <c r="F5054">
        <v>2500</v>
      </c>
      <c r="G5054" t="s">
        <v>331</v>
      </c>
      <c r="H5054" s="15">
        <v>45292</v>
      </c>
      <c r="I5054">
        <v>2500</v>
      </c>
      <c r="J5054">
        <v>0</v>
      </c>
    </row>
    <row r="5055" spans="1:10" x14ac:dyDescent="0.3">
      <c r="A5055" s="15">
        <v>45870</v>
      </c>
      <c r="B5055" t="s">
        <v>240</v>
      </c>
      <c r="C5055" t="s">
        <v>81</v>
      </c>
      <c r="D5055" t="s">
        <v>99</v>
      </c>
      <c r="E5055" t="s">
        <v>103</v>
      </c>
      <c r="F5055">
        <v>2300</v>
      </c>
      <c r="G5055" t="s">
        <v>331</v>
      </c>
      <c r="H5055" s="15">
        <v>45292</v>
      </c>
      <c r="I5055">
        <v>2300</v>
      </c>
      <c r="J5055">
        <v>0</v>
      </c>
    </row>
    <row r="5056" spans="1:10" x14ac:dyDescent="0.3">
      <c r="A5056" s="15">
        <v>45870</v>
      </c>
      <c r="B5056" t="s">
        <v>241</v>
      </c>
      <c r="C5056" t="s">
        <v>91</v>
      </c>
      <c r="D5056" t="s">
        <v>96</v>
      </c>
      <c r="E5056" t="s">
        <v>87</v>
      </c>
      <c r="F5056">
        <v>12100</v>
      </c>
      <c r="G5056" t="s">
        <v>331</v>
      </c>
      <c r="H5056" s="15">
        <v>45292</v>
      </c>
      <c r="I5056">
        <v>12100</v>
      </c>
      <c r="J5056">
        <v>0</v>
      </c>
    </row>
    <row r="5057" spans="1:10" x14ac:dyDescent="0.3">
      <c r="A5057" s="15">
        <v>45870</v>
      </c>
      <c r="B5057" t="s">
        <v>242</v>
      </c>
      <c r="C5057" t="s">
        <v>110</v>
      </c>
      <c r="D5057" t="s">
        <v>99</v>
      </c>
      <c r="E5057" t="s">
        <v>101</v>
      </c>
      <c r="F5057">
        <v>34800</v>
      </c>
      <c r="G5057" t="s">
        <v>331</v>
      </c>
      <c r="H5057" s="15">
        <v>45292</v>
      </c>
      <c r="I5057">
        <v>34800</v>
      </c>
      <c r="J5057">
        <v>0</v>
      </c>
    </row>
    <row r="5058" spans="1:10" x14ac:dyDescent="0.3">
      <c r="A5058" s="15">
        <v>45870</v>
      </c>
      <c r="B5058" t="s">
        <v>244</v>
      </c>
      <c r="C5058" t="s">
        <v>91</v>
      </c>
      <c r="D5058" t="s">
        <v>82</v>
      </c>
      <c r="E5058" t="s">
        <v>92</v>
      </c>
      <c r="F5058">
        <v>7800</v>
      </c>
      <c r="G5058" t="s">
        <v>331</v>
      </c>
      <c r="H5058" s="15">
        <v>45292</v>
      </c>
      <c r="I5058">
        <v>7800</v>
      </c>
      <c r="J5058">
        <v>0</v>
      </c>
    </row>
    <row r="5059" spans="1:10" x14ac:dyDescent="0.3">
      <c r="A5059" s="15">
        <v>45870</v>
      </c>
      <c r="B5059" t="s">
        <v>245</v>
      </c>
      <c r="C5059" t="s">
        <v>81</v>
      </c>
      <c r="D5059" t="s">
        <v>99</v>
      </c>
      <c r="E5059" t="s">
        <v>97</v>
      </c>
      <c r="F5059">
        <v>2900</v>
      </c>
      <c r="G5059" t="s">
        <v>332</v>
      </c>
      <c r="H5059" s="15">
        <v>45292</v>
      </c>
      <c r="I5059">
        <v>2600</v>
      </c>
      <c r="J5059">
        <v>300</v>
      </c>
    </row>
    <row r="5060" spans="1:10" x14ac:dyDescent="0.3">
      <c r="A5060" s="15">
        <v>45870</v>
      </c>
      <c r="B5060" t="s">
        <v>246</v>
      </c>
      <c r="C5060" t="s">
        <v>91</v>
      </c>
      <c r="D5060" t="s">
        <v>86</v>
      </c>
      <c r="E5060" t="s">
        <v>103</v>
      </c>
      <c r="F5060">
        <v>10100</v>
      </c>
      <c r="G5060" t="s">
        <v>331</v>
      </c>
      <c r="H5060" s="15">
        <v>45292</v>
      </c>
      <c r="I5060">
        <v>10100</v>
      </c>
      <c r="J5060">
        <v>0</v>
      </c>
    </row>
    <row r="5061" spans="1:10" x14ac:dyDescent="0.3">
      <c r="A5061" s="15">
        <v>45870</v>
      </c>
      <c r="B5061" t="s">
        <v>247</v>
      </c>
      <c r="C5061" t="s">
        <v>91</v>
      </c>
      <c r="D5061" t="s">
        <v>86</v>
      </c>
      <c r="E5061" t="s">
        <v>89</v>
      </c>
      <c r="F5061">
        <v>7800</v>
      </c>
      <c r="G5061" t="s">
        <v>331</v>
      </c>
      <c r="H5061" s="15">
        <v>45292</v>
      </c>
      <c r="I5061">
        <v>7800</v>
      </c>
      <c r="J5061">
        <v>0</v>
      </c>
    </row>
    <row r="5062" spans="1:10" x14ac:dyDescent="0.3">
      <c r="A5062" s="15">
        <v>45870</v>
      </c>
      <c r="B5062" t="s">
        <v>248</v>
      </c>
      <c r="C5062" t="s">
        <v>81</v>
      </c>
      <c r="D5062" t="s">
        <v>82</v>
      </c>
      <c r="E5062" t="s">
        <v>103</v>
      </c>
      <c r="F5062">
        <v>2100</v>
      </c>
      <c r="G5062" t="s">
        <v>331</v>
      </c>
      <c r="H5062" s="15">
        <v>45292</v>
      </c>
      <c r="I5062">
        <v>2100</v>
      </c>
      <c r="J5062">
        <v>0</v>
      </c>
    </row>
    <row r="5063" spans="1:10" x14ac:dyDescent="0.3">
      <c r="A5063" s="15">
        <v>45870</v>
      </c>
      <c r="B5063" t="s">
        <v>250</v>
      </c>
      <c r="C5063" t="s">
        <v>81</v>
      </c>
      <c r="D5063" t="s">
        <v>86</v>
      </c>
      <c r="E5063" t="s">
        <v>87</v>
      </c>
      <c r="F5063">
        <v>3000</v>
      </c>
      <c r="G5063" t="s">
        <v>331</v>
      </c>
      <c r="H5063" s="15">
        <v>45292</v>
      </c>
      <c r="I5063">
        <v>3000</v>
      </c>
      <c r="J5063">
        <v>0</v>
      </c>
    </row>
    <row r="5064" spans="1:10" x14ac:dyDescent="0.3">
      <c r="A5064" s="15">
        <v>45870</v>
      </c>
      <c r="B5064" t="s">
        <v>251</v>
      </c>
      <c r="C5064" t="s">
        <v>91</v>
      </c>
      <c r="D5064" t="s">
        <v>99</v>
      </c>
      <c r="E5064" t="s">
        <v>103</v>
      </c>
      <c r="F5064">
        <v>8800</v>
      </c>
      <c r="G5064" t="s">
        <v>331</v>
      </c>
      <c r="H5064" s="15">
        <v>45292</v>
      </c>
      <c r="I5064">
        <v>8800</v>
      </c>
      <c r="J5064">
        <v>0</v>
      </c>
    </row>
    <row r="5065" spans="1:10" x14ac:dyDescent="0.3">
      <c r="A5065" s="15">
        <v>45870</v>
      </c>
      <c r="B5065" t="s">
        <v>252</v>
      </c>
      <c r="C5065" t="s">
        <v>81</v>
      </c>
      <c r="D5065" t="s">
        <v>99</v>
      </c>
      <c r="E5065" t="s">
        <v>92</v>
      </c>
      <c r="F5065">
        <v>3400</v>
      </c>
      <c r="G5065" t="s">
        <v>331</v>
      </c>
      <c r="H5065" s="15">
        <v>45292</v>
      </c>
      <c r="I5065">
        <v>3400</v>
      </c>
      <c r="J5065">
        <v>0</v>
      </c>
    </row>
    <row r="5066" spans="1:10" x14ac:dyDescent="0.3">
      <c r="A5066" s="15">
        <v>45870</v>
      </c>
      <c r="B5066" t="s">
        <v>253</v>
      </c>
      <c r="C5066" t="s">
        <v>81</v>
      </c>
      <c r="D5066" t="s">
        <v>96</v>
      </c>
      <c r="E5066" t="s">
        <v>89</v>
      </c>
      <c r="F5066">
        <v>2400</v>
      </c>
      <c r="G5066" t="s">
        <v>331</v>
      </c>
      <c r="H5066" s="15">
        <v>45292</v>
      </c>
      <c r="I5066">
        <v>2400</v>
      </c>
      <c r="J5066">
        <v>0</v>
      </c>
    </row>
    <row r="5067" spans="1:10" x14ac:dyDescent="0.3">
      <c r="A5067" s="15">
        <v>45870</v>
      </c>
      <c r="B5067" t="s">
        <v>254</v>
      </c>
      <c r="C5067" t="s">
        <v>110</v>
      </c>
      <c r="D5067" t="s">
        <v>86</v>
      </c>
      <c r="E5067" t="s">
        <v>103</v>
      </c>
      <c r="F5067">
        <v>56100</v>
      </c>
      <c r="G5067" t="s">
        <v>331</v>
      </c>
      <c r="H5067" s="15">
        <v>45292</v>
      </c>
      <c r="I5067">
        <v>56100</v>
      </c>
      <c r="J5067">
        <v>0</v>
      </c>
    </row>
    <row r="5068" spans="1:10" x14ac:dyDescent="0.3">
      <c r="A5068" s="15">
        <v>45870</v>
      </c>
      <c r="B5068" t="s">
        <v>255</v>
      </c>
      <c r="C5068" t="s">
        <v>91</v>
      </c>
      <c r="D5068" t="s">
        <v>86</v>
      </c>
      <c r="E5068" t="s">
        <v>89</v>
      </c>
      <c r="F5068">
        <v>9900</v>
      </c>
      <c r="G5068" t="s">
        <v>331</v>
      </c>
      <c r="H5068" s="15">
        <v>45292</v>
      </c>
      <c r="I5068">
        <v>9900</v>
      </c>
      <c r="J5068">
        <v>0</v>
      </c>
    </row>
    <row r="5069" spans="1:10" x14ac:dyDescent="0.3">
      <c r="A5069" s="15">
        <v>45870</v>
      </c>
      <c r="B5069" t="s">
        <v>256</v>
      </c>
      <c r="C5069" t="s">
        <v>81</v>
      </c>
      <c r="D5069" t="s">
        <v>82</v>
      </c>
      <c r="E5069" t="s">
        <v>103</v>
      </c>
      <c r="F5069">
        <v>1800</v>
      </c>
      <c r="G5069" t="s">
        <v>331</v>
      </c>
      <c r="H5069" s="15">
        <v>45292</v>
      </c>
      <c r="I5069">
        <v>1800</v>
      </c>
      <c r="J5069">
        <v>0</v>
      </c>
    </row>
    <row r="5070" spans="1:10" x14ac:dyDescent="0.3">
      <c r="A5070" s="15">
        <v>45870</v>
      </c>
      <c r="B5070" t="s">
        <v>258</v>
      </c>
      <c r="C5070" t="s">
        <v>125</v>
      </c>
      <c r="D5070" t="s">
        <v>86</v>
      </c>
      <c r="E5070" t="s">
        <v>83</v>
      </c>
      <c r="F5070">
        <v>96300</v>
      </c>
      <c r="G5070" t="s">
        <v>331</v>
      </c>
      <c r="H5070" s="15">
        <v>45292</v>
      </c>
      <c r="I5070">
        <v>96300</v>
      </c>
      <c r="J5070">
        <v>0</v>
      </c>
    </row>
    <row r="5071" spans="1:10" x14ac:dyDescent="0.3">
      <c r="A5071" s="15">
        <v>45870</v>
      </c>
      <c r="B5071" t="s">
        <v>259</v>
      </c>
      <c r="C5071" t="s">
        <v>81</v>
      </c>
      <c r="D5071" t="s">
        <v>86</v>
      </c>
      <c r="E5071" t="s">
        <v>89</v>
      </c>
      <c r="F5071">
        <v>1900</v>
      </c>
      <c r="G5071" t="s">
        <v>331</v>
      </c>
      <c r="H5071" s="15">
        <v>45292</v>
      </c>
      <c r="I5071">
        <v>1900</v>
      </c>
      <c r="J5071">
        <v>0</v>
      </c>
    </row>
    <row r="5072" spans="1:10" x14ac:dyDescent="0.3">
      <c r="A5072" s="15">
        <v>45870</v>
      </c>
      <c r="B5072" t="s">
        <v>260</v>
      </c>
      <c r="C5072" t="s">
        <v>81</v>
      </c>
      <c r="D5072" t="s">
        <v>86</v>
      </c>
      <c r="E5072" t="s">
        <v>97</v>
      </c>
      <c r="F5072">
        <v>2000</v>
      </c>
      <c r="G5072" t="s">
        <v>331</v>
      </c>
      <c r="H5072" s="15">
        <v>45292</v>
      </c>
      <c r="I5072">
        <v>2000</v>
      </c>
      <c r="J5072">
        <v>0</v>
      </c>
    </row>
    <row r="5073" spans="1:10" x14ac:dyDescent="0.3">
      <c r="A5073" s="15">
        <v>45870</v>
      </c>
      <c r="B5073" t="s">
        <v>262</v>
      </c>
      <c r="C5073" t="s">
        <v>91</v>
      </c>
      <c r="D5073" t="s">
        <v>82</v>
      </c>
      <c r="E5073" t="s">
        <v>92</v>
      </c>
      <c r="F5073">
        <v>10800</v>
      </c>
      <c r="G5073" t="s">
        <v>331</v>
      </c>
      <c r="H5073" s="15">
        <v>45292</v>
      </c>
      <c r="I5073">
        <v>10800</v>
      </c>
      <c r="J5073">
        <v>0</v>
      </c>
    </row>
    <row r="5074" spans="1:10" x14ac:dyDescent="0.3">
      <c r="A5074" s="15">
        <v>45870</v>
      </c>
      <c r="B5074" t="s">
        <v>264</v>
      </c>
      <c r="C5074" t="s">
        <v>110</v>
      </c>
      <c r="D5074" t="s">
        <v>86</v>
      </c>
      <c r="E5074" t="s">
        <v>97</v>
      </c>
      <c r="F5074">
        <v>31500</v>
      </c>
      <c r="G5074" t="s">
        <v>331</v>
      </c>
      <c r="H5074" s="15">
        <v>45292</v>
      </c>
      <c r="I5074">
        <v>31500</v>
      </c>
      <c r="J5074">
        <v>0</v>
      </c>
    </row>
    <row r="5075" spans="1:10" x14ac:dyDescent="0.3">
      <c r="A5075" s="15">
        <v>45870</v>
      </c>
      <c r="B5075" t="s">
        <v>265</v>
      </c>
      <c r="C5075" t="s">
        <v>125</v>
      </c>
      <c r="D5075" t="s">
        <v>86</v>
      </c>
      <c r="E5075" t="s">
        <v>101</v>
      </c>
      <c r="F5075">
        <v>92200</v>
      </c>
      <c r="G5075" t="s">
        <v>331</v>
      </c>
      <c r="H5075" s="15">
        <v>45292</v>
      </c>
      <c r="I5075">
        <v>92200</v>
      </c>
      <c r="J5075">
        <v>0</v>
      </c>
    </row>
    <row r="5076" spans="1:10" x14ac:dyDescent="0.3">
      <c r="A5076" s="15">
        <v>45870</v>
      </c>
      <c r="B5076" t="s">
        <v>266</v>
      </c>
      <c r="C5076" t="s">
        <v>81</v>
      </c>
      <c r="D5076" t="s">
        <v>82</v>
      </c>
      <c r="E5076" t="s">
        <v>83</v>
      </c>
      <c r="F5076">
        <v>2200</v>
      </c>
      <c r="G5076" t="s">
        <v>331</v>
      </c>
      <c r="H5076" s="15">
        <v>45292</v>
      </c>
      <c r="I5076">
        <v>2200</v>
      </c>
      <c r="J5076">
        <v>0</v>
      </c>
    </row>
    <row r="5077" spans="1:10" x14ac:dyDescent="0.3">
      <c r="A5077" s="15">
        <v>45870</v>
      </c>
      <c r="B5077" t="s">
        <v>267</v>
      </c>
      <c r="C5077" t="s">
        <v>91</v>
      </c>
      <c r="D5077" t="s">
        <v>82</v>
      </c>
      <c r="E5077" t="s">
        <v>97</v>
      </c>
      <c r="F5077">
        <v>7300</v>
      </c>
      <c r="G5077" t="s">
        <v>332</v>
      </c>
      <c r="H5077" s="15">
        <v>45292</v>
      </c>
      <c r="I5077">
        <v>6900</v>
      </c>
      <c r="J5077">
        <v>400</v>
      </c>
    </row>
    <row r="5078" spans="1:10" x14ac:dyDescent="0.3">
      <c r="A5078" s="15">
        <v>45870</v>
      </c>
      <c r="B5078" t="s">
        <v>272</v>
      </c>
      <c r="C5078" t="s">
        <v>125</v>
      </c>
      <c r="D5078" t="s">
        <v>96</v>
      </c>
      <c r="E5078" t="s">
        <v>103</v>
      </c>
      <c r="F5078">
        <v>101100</v>
      </c>
      <c r="G5078" t="s">
        <v>331</v>
      </c>
      <c r="H5078" s="15">
        <v>45292</v>
      </c>
      <c r="I5078">
        <v>101100</v>
      </c>
      <c r="J5078">
        <v>0</v>
      </c>
    </row>
    <row r="5079" spans="1:10" x14ac:dyDescent="0.3">
      <c r="A5079" s="15">
        <v>45870</v>
      </c>
      <c r="B5079" t="s">
        <v>273</v>
      </c>
      <c r="C5079" t="s">
        <v>81</v>
      </c>
      <c r="D5079" t="s">
        <v>82</v>
      </c>
      <c r="E5079" t="s">
        <v>101</v>
      </c>
      <c r="F5079">
        <v>3300</v>
      </c>
      <c r="G5079" t="s">
        <v>331</v>
      </c>
      <c r="H5079" s="15">
        <v>45292</v>
      </c>
      <c r="I5079">
        <v>3300</v>
      </c>
      <c r="J5079">
        <v>0</v>
      </c>
    </row>
    <row r="5080" spans="1:10" x14ac:dyDescent="0.3">
      <c r="A5080" s="15">
        <v>45870</v>
      </c>
      <c r="B5080" t="s">
        <v>274</v>
      </c>
      <c r="C5080" t="s">
        <v>91</v>
      </c>
      <c r="D5080" t="s">
        <v>99</v>
      </c>
      <c r="E5080" t="s">
        <v>87</v>
      </c>
      <c r="F5080">
        <v>11400</v>
      </c>
      <c r="G5080" t="s">
        <v>331</v>
      </c>
      <c r="H5080" s="15">
        <v>45292</v>
      </c>
      <c r="I5080">
        <v>11400</v>
      </c>
      <c r="J5080">
        <v>0</v>
      </c>
    </row>
    <row r="5081" spans="1:10" x14ac:dyDescent="0.3">
      <c r="A5081" s="15">
        <v>45870</v>
      </c>
      <c r="B5081" t="s">
        <v>276</v>
      </c>
      <c r="C5081" t="s">
        <v>81</v>
      </c>
      <c r="D5081" t="s">
        <v>82</v>
      </c>
      <c r="E5081" t="s">
        <v>103</v>
      </c>
      <c r="F5081">
        <v>3300</v>
      </c>
      <c r="G5081" t="s">
        <v>331</v>
      </c>
      <c r="H5081" s="15">
        <v>45292</v>
      </c>
      <c r="I5081">
        <v>3300</v>
      </c>
      <c r="J5081">
        <v>0</v>
      </c>
    </row>
    <row r="5082" spans="1:10" x14ac:dyDescent="0.3">
      <c r="A5082" s="15">
        <v>45870</v>
      </c>
      <c r="B5082" t="s">
        <v>277</v>
      </c>
      <c r="C5082" t="s">
        <v>91</v>
      </c>
      <c r="D5082" t="s">
        <v>86</v>
      </c>
      <c r="E5082" t="s">
        <v>97</v>
      </c>
      <c r="F5082">
        <v>9200</v>
      </c>
      <c r="G5082" t="s">
        <v>332</v>
      </c>
      <c r="H5082" s="15">
        <v>45292</v>
      </c>
      <c r="I5082">
        <v>8000</v>
      </c>
      <c r="J5082">
        <v>1200</v>
      </c>
    </row>
    <row r="5083" spans="1:10" x14ac:dyDescent="0.3">
      <c r="A5083" s="15">
        <v>45870</v>
      </c>
      <c r="B5083" t="s">
        <v>279</v>
      </c>
      <c r="C5083" t="s">
        <v>91</v>
      </c>
      <c r="D5083" t="s">
        <v>99</v>
      </c>
      <c r="E5083" t="s">
        <v>89</v>
      </c>
      <c r="F5083">
        <v>9800</v>
      </c>
      <c r="G5083" t="s">
        <v>331</v>
      </c>
      <c r="H5083" s="15">
        <v>45292</v>
      </c>
      <c r="I5083">
        <v>9800</v>
      </c>
      <c r="J5083">
        <v>0</v>
      </c>
    </row>
    <row r="5084" spans="1:10" x14ac:dyDescent="0.3">
      <c r="A5084" s="15">
        <v>45870</v>
      </c>
      <c r="B5084" t="s">
        <v>280</v>
      </c>
      <c r="C5084" t="s">
        <v>91</v>
      </c>
      <c r="D5084" t="s">
        <v>96</v>
      </c>
      <c r="E5084" t="s">
        <v>83</v>
      </c>
      <c r="F5084">
        <v>6300</v>
      </c>
      <c r="G5084" t="s">
        <v>331</v>
      </c>
      <c r="H5084" s="15">
        <v>45292</v>
      </c>
      <c r="I5084">
        <v>6300</v>
      </c>
      <c r="J5084">
        <v>0</v>
      </c>
    </row>
    <row r="5085" spans="1:10" x14ac:dyDescent="0.3">
      <c r="A5085" s="15">
        <v>45870</v>
      </c>
      <c r="B5085" t="s">
        <v>281</v>
      </c>
      <c r="C5085" t="s">
        <v>110</v>
      </c>
      <c r="D5085" t="s">
        <v>86</v>
      </c>
      <c r="E5085" t="s">
        <v>92</v>
      </c>
      <c r="F5085">
        <v>63400</v>
      </c>
      <c r="G5085" t="s">
        <v>331</v>
      </c>
      <c r="H5085" s="15">
        <v>45292</v>
      </c>
      <c r="I5085">
        <v>63400</v>
      </c>
      <c r="J5085">
        <v>0</v>
      </c>
    </row>
    <row r="5086" spans="1:10" x14ac:dyDescent="0.3">
      <c r="A5086" s="15">
        <v>45870</v>
      </c>
      <c r="B5086" t="s">
        <v>282</v>
      </c>
      <c r="C5086" t="s">
        <v>91</v>
      </c>
      <c r="D5086" t="s">
        <v>86</v>
      </c>
      <c r="E5086" t="s">
        <v>92</v>
      </c>
      <c r="F5086">
        <v>5800</v>
      </c>
      <c r="G5086" t="s">
        <v>331</v>
      </c>
      <c r="H5086" s="15">
        <v>45292</v>
      </c>
      <c r="I5086">
        <v>5800</v>
      </c>
      <c r="J5086">
        <v>0</v>
      </c>
    </row>
    <row r="5087" spans="1:10" x14ac:dyDescent="0.3">
      <c r="A5087" s="15">
        <v>45870</v>
      </c>
      <c r="B5087" t="s">
        <v>283</v>
      </c>
      <c r="C5087" t="s">
        <v>110</v>
      </c>
      <c r="D5087" t="s">
        <v>82</v>
      </c>
      <c r="E5087" t="s">
        <v>87</v>
      </c>
      <c r="F5087">
        <v>34200</v>
      </c>
      <c r="G5087" t="s">
        <v>331</v>
      </c>
      <c r="H5087" s="15">
        <v>45292</v>
      </c>
      <c r="I5087">
        <v>34200</v>
      </c>
      <c r="J5087">
        <v>0</v>
      </c>
    </row>
    <row r="5088" spans="1:10" x14ac:dyDescent="0.3">
      <c r="A5088" s="15">
        <v>45870</v>
      </c>
      <c r="B5088" t="s">
        <v>284</v>
      </c>
      <c r="C5088" t="s">
        <v>81</v>
      </c>
      <c r="D5088" t="s">
        <v>82</v>
      </c>
      <c r="E5088" t="s">
        <v>101</v>
      </c>
      <c r="F5088">
        <v>2400</v>
      </c>
      <c r="G5088" t="s">
        <v>331</v>
      </c>
      <c r="H5088" s="15">
        <v>45292</v>
      </c>
      <c r="I5088">
        <v>2400</v>
      </c>
      <c r="J5088">
        <v>0</v>
      </c>
    </row>
    <row r="5089" spans="1:10" x14ac:dyDescent="0.3">
      <c r="A5089" s="15">
        <v>45870</v>
      </c>
      <c r="B5089" t="s">
        <v>285</v>
      </c>
      <c r="C5089" t="s">
        <v>91</v>
      </c>
      <c r="D5089" t="s">
        <v>82</v>
      </c>
      <c r="E5089" t="s">
        <v>83</v>
      </c>
      <c r="F5089">
        <v>10900</v>
      </c>
      <c r="G5089" t="s">
        <v>331</v>
      </c>
      <c r="H5089" s="15">
        <v>45292</v>
      </c>
      <c r="I5089">
        <v>10900</v>
      </c>
      <c r="J5089">
        <v>0</v>
      </c>
    </row>
    <row r="5090" spans="1:10" x14ac:dyDescent="0.3">
      <c r="A5090" s="15">
        <v>45870</v>
      </c>
      <c r="B5090" t="s">
        <v>286</v>
      </c>
      <c r="C5090" t="s">
        <v>125</v>
      </c>
      <c r="D5090" t="s">
        <v>86</v>
      </c>
      <c r="E5090" t="s">
        <v>92</v>
      </c>
      <c r="F5090">
        <v>92400</v>
      </c>
      <c r="G5090" t="s">
        <v>331</v>
      </c>
      <c r="H5090" s="15">
        <v>45292</v>
      </c>
      <c r="I5090">
        <v>92400</v>
      </c>
      <c r="J5090">
        <v>0</v>
      </c>
    </row>
    <row r="5091" spans="1:10" x14ac:dyDescent="0.3">
      <c r="A5091" s="15">
        <v>45870</v>
      </c>
      <c r="B5091" t="s">
        <v>287</v>
      </c>
      <c r="C5091" t="s">
        <v>81</v>
      </c>
      <c r="D5091" t="s">
        <v>99</v>
      </c>
      <c r="E5091" t="s">
        <v>87</v>
      </c>
      <c r="F5091">
        <v>2300</v>
      </c>
      <c r="G5091" t="s">
        <v>331</v>
      </c>
      <c r="H5091" s="15">
        <v>45292</v>
      </c>
      <c r="I5091">
        <v>2300</v>
      </c>
      <c r="J5091">
        <v>0</v>
      </c>
    </row>
    <row r="5092" spans="1:10" x14ac:dyDescent="0.3">
      <c r="A5092" s="15">
        <v>45870</v>
      </c>
      <c r="B5092" t="s">
        <v>288</v>
      </c>
      <c r="C5092" t="s">
        <v>81</v>
      </c>
      <c r="D5092" t="s">
        <v>99</v>
      </c>
      <c r="E5092" t="s">
        <v>97</v>
      </c>
      <c r="F5092">
        <v>2600</v>
      </c>
      <c r="G5092" t="s">
        <v>331</v>
      </c>
      <c r="H5092" s="15">
        <v>45292</v>
      </c>
      <c r="I5092">
        <v>2600</v>
      </c>
      <c r="J5092">
        <v>0</v>
      </c>
    </row>
    <row r="5093" spans="1:10" x14ac:dyDescent="0.3">
      <c r="A5093" s="15">
        <v>45870</v>
      </c>
      <c r="B5093" t="s">
        <v>289</v>
      </c>
      <c r="C5093" t="s">
        <v>91</v>
      </c>
      <c r="D5093" t="s">
        <v>86</v>
      </c>
      <c r="E5093" t="s">
        <v>101</v>
      </c>
      <c r="F5093">
        <v>9400</v>
      </c>
      <c r="G5093" t="s">
        <v>331</v>
      </c>
      <c r="H5093" s="15">
        <v>45292</v>
      </c>
      <c r="I5093">
        <v>9400</v>
      </c>
      <c r="J5093">
        <v>0</v>
      </c>
    </row>
    <row r="5094" spans="1:10" x14ac:dyDescent="0.3">
      <c r="A5094" s="15">
        <v>45870</v>
      </c>
      <c r="B5094" t="s">
        <v>290</v>
      </c>
      <c r="C5094" t="s">
        <v>81</v>
      </c>
      <c r="D5094" t="s">
        <v>82</v>
      </c>
      <c r="E5094" t="s">
        <v>103</v>
      </c>
      <c r="F5094">
        <v>2500</v>
      </c>
      <c r="G5094" t="s">
        <v>331</v>
      </c>
      <c r="H5094" s="15">
        <v>45292</v>
      </c>
      <c r="I5094">
        <v>2500</v>
      </c>
      <c r="J5094">
        <v>0</v>
      </c>
    </row>
    <row r="5095" spans="1:10" x14ac:dyDescent="0.3">
      <c r="A5095" s="15">
        <v>45870</v>
      </c>
      <c r="B5095" t="s">
        <v>291</v>
      </c>
      <c r="C5095" t="s">
        <v>81</v>
      </c>
      <c r="D5095" t="s">
        <v>82</v>
      </c>
      <c r="E5095" t="s">
        <v>83</v>
      </c>
      <c r="F5095">
        <v>3100</v>
      </c>
      <c r="G5095" t="s">
        <v>331</v>
      </c>
      <c r="H5095" s="15">
        <v>45292</v>
      </c>
      <c r="I5095">
        <v>3100</v>
      </c>
      <c r="J5095">
        <v>0</v>
      </c>
    </row>
    <row r="5096" spans="1:10" x14ac:dyDescent="0.3">
      <c r="A5096" s="15">
        <v>45870</v>
      </c>
      <c r="B5096" t="s">
        <v>292</v>
      </c>
      <c r="C5096" t="s">
        <v>91</v>
      </c>
      <c r="D5096" t="s">
        <v>86</v>
      </c>
      <c r="E5096" t="s">
        <v>89</v>
      </c>
      <c r="F5096">
        <v>9900</v>
      </c>
      <c r="G5096" t="s">
        <v>331</v>
      </c>
      <c r="H5096" s="15">
        <v>45292</v>
      </c>
      <c r="I5096">
        <v>9900</v>
      </c>
      <c r="J5096">
        <v>0</v>
      </c>
    </row>
    <row r="5097" spans="1:10" x14ac:dyDescent="0.3">
      <c r="A5097" s="15">
        <v>45870</v>
      </c>
      <c r="B5097" t="s">
        <v>293</v>
      </c>
      <c r="C5097" t="s">
        <v>81</v>
      </c>
      <c r="D5097" t="s">
        <v>86</v>
      </c>
      <c r="E5097" t="s">
        <v>103</v>
      </c>
      <c r="F5097">
        <v>2200</v>
      </c>
      <c r="G5097" t="s">
        <v>331</v>
      </c>
      <c r="H5097" s="15">
        <v>45292</v>
      </c>
      <c r="I5097">
        <v>2200</v>
      </c>
      <c r="J5097">
        <v>0</v>
      </c>
    </row>
    <row r="5098" spans="1:10" x14ac:dyDescent="0.3">
      <c r="A5098" s="15">
        <v>45870</v>
      </c>
      <c r="B5098" t="s">
        <v>294</v>
      </c>
      <c r="C5098" t="s">
        <v>91</v>
      </c>
      <c r="D5098" t="s">
        <v>82</v>
      </c>
      <c r="E5098" t="s">
        <v>97</v>
      </c>
      <c r="F5098">
        <v>10400</v>
      </c>
      <c r="G5098" t="s">
        <v>331</v>
      </c>
      <c r="H5098" s="15">
        <v>45292</v>
      </c>
      <c r="I5098">
        <v>10400</v>
      </c>
      <c r="J5098">
        <v>0</v>
      </c>
    </row>
    <row r="5099" spans="1:10" x14ac:dyDescent="0.3">
      <c r="A5099" s="15">
        <v>45870</v>
      </c>
      <c r="B5099" t="s">
        <v>295</v>
      </c>
      <c r="C5099" t="s">
        <v>81</v>
      </c>
      <c r="D5099" t="s">
        <v>82</v>
      </c>
      <c r="E5099" t="s">
        <v>103</v>
      </c>
      <c r="F5099">
        <v>2300</v>
      </c>
      <c r="G5099" t="s">
        <v>331</v>
      </c>
      <c r="H5099" s="15">
        <v>45292</v>
      </c>
      <c r="I5099">
        <v>2300</v>
      </c>
      <c r="J5099">
        <v>0</v>
      </c>
    </row>
    <row r="5100" spans="1:10" x14ac:dyDescent="0.3">
      <c r="A5100" s="15">
        <v>45870</v>
      </c>
      <c r="B5100" t="s">
        <v>298</v>
      </c>
      <c r="C5100" t="s">
        <v>81</v>
      </c>
      <c r="D5100" t="s">
        <v>86</v>
      </c>
      <c r="E5100" t="s">
        <v>89</v>
      </c>
      <c r="F5100">
        <v>2700</v>
      </c>
      <c r="G5100" t="s">
        <v>331</v>
      </c>
      <c r="H5100" s="15">
        <v>45292</v>
      </c>
      <c r="I5100">
        <v>2700</v>
      </c>
      <c r="J5100">
        <v>0</v>
      </c>
    </row>
    <row r="5101" spans="1:10" x14ac:dyDescent="0.3">
      <c r="A5101" s="15">
        <v>45870</v>
      </c>
      <c r="B5101" t="s">
        <v>299</v>
      </c>
      <c r="C5101" t="s">
        <v>81</v>
      </c>
      <c r="D5101" t="s">
        <v>99</v>
      </c>
      <c r="E5101" t="s">
        <v>103</v>
      </c>
      <c r="F5101">
        <v>2900</v>
      </c>
      <c r="G5101" t="s">
        <v>331</v>
      </c>
      <c r="H5101" s="15">
        <v>45292</v>
      </c>
      <c r="I5101">
        <v>2900</v>
      </c>
      <c r="J5101">
        <v>0</v>
      </c>
    </row>
    <row r="5102" spans="1:10" x14ac:dyDescent="0.3">
      <c r="A5102" s="15">
        <v>45870</v>
      </c>
      <c r="B5102" t="s">
        <v>300</v>
      </c>
      <c r="C5102" t="s">
        <v>91</v>
      </c>
      <c r="D5102" t="s">
        <v>82</v>
      </c>
      <c r="E5102" t="s">
        <v>89</v>
      </c>
      <c r="F5102">
        <v>11500</v>
      </c>
      <c r="G5102" t="s">
        <v>331</v>
      </c>
      <c r="H5102" s="15">
        <v>45292</v>
      </c>
      <c r="I5102">
        <v>11500</v>
      </c>
      <c r="J5102">
        <v>0</v>
      </c>
    </row>
    <row r="5103" spans="1:10" x14ac:dyDescent="0.3">
      <c r="A5103" s="15">
        <v>45870</v>
      </c>
      <c r="B5103" t="s">
        <v>303</v>
      </c>
      <c r="C5103" t="s">
        <v>81</v>
      </c>
      <c r="D5103" t="s">
        <v>82</v>
      </c>
      <c r="E5103" t="s">
        <v>83</v>
      </c>
      <c r="F5103">
        <v>1400</v>
      </c>
      <c r="G5103" t="s">
        <v>331</v>
      </c>
      <c r="H5103" s="15">
        <v>45292</v>
      </c>
      <c r="I5103">
        <v>1400</v>
      </c>
      <c r="J5103">
        <v>0</v>
      </c>
    </row>
    <row r="5104" spans="1:10" x14ac:dyDescent="0.3">
      <c r="A5104" s="15">
        <v>45870</v>
      </c>
      <c r="B5104" t="s">
        <v>304</v>
      </c>
      <c r="C5104" t="s">
        <v>81</v>
      </c>
      <c r="D5104" t="s">
        <v>86</v>
      </c>
      <c r="E5104" t="s">
        <v>92</v>
      </c>
      <c r="F5104">
        <v>2100</v>
      </c>
      <c r="G5104" t="s">
        <v>331</v>
      </c>
      <c r="H5104" s="15">
        <v>45292</v>
      </c>
      <c r="I5104">
        <v>2100</v>
      </c>
      <c r="J5104">
        <v>0</v>
      </c>
    </row>
    <row r="5105" spans="1:10" x14ac:dyDescent="0.3">
      <c r="A5105" s="15">
        <v>45870</v>
      </c>
      <c r="B5105" t="s">
        <v>306</v>
      </c>
      <c r="C5105" t="s">
        <v>91</v>
      </c>
      <c r="D5105" t="s">
        <v>82</v>
      </c>
      <c r="E5105" t="s">
        <v>87</v>
      </c>
      <c r="F5105">
        <v>11700</v>
      </c>
      <c r="G5105" t="s">
        <v>331</v>
      </c>
      <c r="H5105" s="15">
        <v>45292</v>
      </c>
      <c r="I5105">
        <v>11700</v>
      </c>
      <c r="J5105">
        <v>0</v>
      </c>
    </row>
    <row r="5106" spans="1:10" x14ac:dyDescent="0.3">
      <c r="A5106" s="15">
        <v>45870</v>
      </c>
      <c r="B5106" t="s">
        <v>307</v>
      </c>
      <c r="C5106" t="s">
        <v>81</v>
      </c>
      <c r="D5106" t="s">
        <v>86</v>
      </c>
      <c r="E5106" t="s">
        <v>97</v>
      </c>
      <c r="F5106">
        <v>2600</v>
      </c>
      <c r="G5106" t="s">
        <v>331</v>
      </c>
      <c r="H5106" s="15">
        <v>45292</v>
      </c>
      <c r="I5106">
        <v>2600</v>
      </c>
      <c r="J5106">
        <v>0</v>
      </c>
    </row>
    <row r="5107" spans="1:10" x14ac:dyDescent="0.3">
      <c r="A5107" s="15">
        <v>45870</v>
      </c>
      <c r="B5107" t="s">
        <v>309</v>
      </c>
      <c r="C5107" t="s">
        <v>91</v>
      </c>
      <c r="D5107" t="s">
        <v>82</v>
      </c>
      <c r="E5107" t="s">
        <v>87</v>
      </c>
      <c r="F5107">
        <v>10700</v>
      </c>
      <c r="G5107" t="s">
        <v>331</v>
      </c>
      <c r="H5107" s="15">
        <v>45292</v>
      </c>
      <c r="I5107">
        <v>10700</v>
      </c>
      <c r="J5107">
        <v>0</v>
      </c>
    </row>
    <row r="5108" spans="1:10" x14ac:dyDescent="0.3">
      <c r="A5108" s="15">
        <v>45870</v>
      </c>
      <c r="B5108" t="s">
        <v>310</v>
      </c>
      <c r="C5108" t="s">
        <v>91</v>
      </c>
      <c r="D5108" t="s">
        <v>99</v>
      </c>
      <c r="E5108" t="s">
        <v>87</v>
      </c>
      <c r="F5108">
        <v>10000</v>
      </c>
      <c r="G5108" t="s">
        <v>331</v>
      </c>
      <c r="H5108" s="15">
        <v>45292</v>
      </c>
      <c r="I5108">
        <v>10000</v>
      </c>
      <c r="J5108">
        <v>0</v>
      </c>
    </row>
    <row r="5109" spans="1:10" x14ac:dyDescent="0.3">
      <c r="A5109" s="15">
        <v>45870</v>
      </c>
      <c r="B5109" t="s">
        <v>313</v>
      </c>
      <c r="C5109" t="s">
        <v>91</v>
      </c>
      <c r="D5109" t="s">
        <v>82</v>
      </c>
      <c r="E5109" t="s">
        <v>101</v>
      </c>
      <c r="F5109">
        <v>12700</v>
      </c>
      <c r="G5109" t="s">
        <v>331</v>
      </c>
      <c r="H5109" s="15">
        <v>45292</v>
      </c>
      <c r="I5109">
        <v>12700</v>
      </c>
      <c r="J5109">
        <v>0</v>
      </c>
    </row>
    <row r="5110" spans="1:10" x14ac:dyDescent="0.3">
      <c r="A5110" s="15">
        <v>45870</v>
      </c>
      <c r="B5110" t="s">
        <v>315</v>
      </c>
      <c r="C5110" t="s">
        <v>125</v>
      </c>
      <c r="D5110" t="s">
        <v>86</v>
      </c>
      <c r="E5110" t="s">
        <v>92</v>
      </c>
      <c r="F5110">
        <v>76200</v>
      </c>
      <c r="G5110" t="s">
        <v>331</v>
      </c>
      <c r="H5110" s="15">
        <v>45292</v>
      </c>
      <c r="I5110">
        <v>76200</v>
      </c>
      <c r="J5110">
        <v>0</v>
      </c>
    </row>
    <row r="5111" spans="1:10" x14ac:dyDescent="0.3">
      <c r="A5111" s="15">
        <v>45870</v>
      </c>
      <c r="B5111" t="s">
        <v>316</v>
      </c>
      <c r="C5111" t="s">
        <v>81</v>
      </c>
      <c r="D5111" t="s">
        <v>96</v>
      </c>
      <c r="E5111" t="s">
        <v>92</v>
      </c>
      <c r="F5111">
        <v>2000</v>
      </c>
      <c r="G5111" t="s">
        <v>331</v>
      </c>
      <c r="H5111" s="15">
        <v>45292</v>
      </c>
      <c r="I5111">
        <v>2000</v>
      </c>
      <c r="J5111">
        <v>0</v>
      </c>
    </row>
    <row r="5112" spans="1:10" x14ac:dyDescent="0.3">
      <c r="A5112" s="15">
        <v>45870</v>
      </c>
      <c r="B5112" t="s">
        <v>318</v>
      </c>
      <c r="C5112" t="s">
        <v>110</v>
      </c>
      <c r="D5112" t="s">
        <v>82</v>
      </c>
      <c r="E5112" t="s">
        <v>97</v>
      </c>
      <c r="F5112">
        <v>29600</v>
      </c>
      <c r="G5112" t="s">
        <v>331</v>
      </c>
      <c r="H5112" s="15">
        <v>45292</v>
      </c>
      <c r="I5112">
        <v>29600</v>
      </c>
      <c r="J5112">
        <v>0</v>
      </c>
    </row>
    <row r="5113" spans="1:10" x14ac:dyDescent="0.3">
      <c r="A5113" s="15">
        <v>45870</v>
      </c>
      <c r="B5113" t="s">
        <v>320</v>
      </c>
      <c r="C5113" t="s">
        <v>91</v>
      </c>
      <c r="D5113" t="s">
        <v>86</v>
      </c>
      <c r="E5113" t="s">
        <v>97</v>
      </c>
      <c r="F5113">
        <v>7700</v>
      </c>
      <c r="G5113" t="s">
        <v>331</v>
      </c>
      <c r="H5113" s="15">
        <v>45292</v>
      </c>
      <c r="I5113">
        <v>7700</v>
      </c>
      <c r="J5113">
        <v>0</v>
      </c>
    </row>
    <row r="5114" spans="1:10" x14ac:dyDescent="0.3">
      <c r="A5114" s="15">
        <v>45870</v>
      </c>
      <c r="B5114" t="s">
        <v>321</v>
      </c>
      <c r="C5114" t="s">
        <v>81</v>
      </c>
      <c r="D5114" t="s">
        <v>99</v>
      </c>
      <c r="E5114" t="s">
        <v>101</v>
      </c>
      <c r="F5114">
        <v>3500</v>
      </c>
      <c r="G5114" t="s">
        <v>331</v>
      </c>
      <c r="H5114" s="15">
        <v>45292</v>
      </c>
      <c r="I5114">
        <v>3500</v>
      </c>
      <c r="J5114">
        <v>0</v>
      </c>
    </row>
    <row r="5115" spans="1:10" x14ac:dyDescent="0.3">
      <c r="A5115" s="15">
        <v>45870</v>
      </c>
      <c r="B5115" t="s">
        <v>322</v>
      </c>
      <c r="C5115" t="s">
        <v>81</v>
      </c>
      <c r="D5115" t="s">
        <v>82</v>
      </c>
      <c r="E5115" t="s">
        <v>103</v>
      </c>
      <c r="F5115">
        <v>2000</v>
      </c>
      <c r="G5115" t="s">
        <v>331</v>
      </c>
      <c r="H5115" s="15">
        <v>45292</v>
      </c>
      <c r="I5115">
        <v>2000</v>
      </c>
      <c r="J5115">
        <v>0</v>
      </c>
    </row>
    <row r="5116" spans="1:10" x14ac:dyDescent="0.3">
      <c r="A5116" s="15">
        <v>45870</v>
      </c>
      <c r="B5116" t="s">
        <v>323</v>
      </c>
      <c r="C5116" t="s">
        <v>110</v>
      </c>
      <c r="D5116" t="s">
        <v>82</v>
      </c>
      <c r="E5116" t="s">
        <v>89</v>
      </c>
      <c r="F5116">
        <v>23400</v>
      </c>
      <c r="G5116" t="s">
        <v>331</v>
      </c>
      <c r="H5116" s="15">
        <v>45292</v>
      </c>
      <c r="I5116">
        <v>23400</v>
      </c>
      <c r="J5116">
        <v>0</v>
      </c>
    </row>
    <row r="5117" spans="1:10" x14ac:dyDescent="0.3">
      <c r="A5117" s="15">
        <v>45870</v>
      </c>
      <c r="B5117" t="s">
        <v>324</v>
      </c>
      <c r="C5117" t="s">
        <v>81</v>
      </c>
      <c r="D5117" t="s">
        <v>86</v>
      </c>
      <c r="E5117" t="s">
        <v>87</v>
      </c>
      <c r="F5117">
        <v>2700</v>
      </c>
      <c r="G5117" t="s">
        <v>331</v>
      </c>
      <c r="H5117" s="15">
        <v>45292</v>
      </c>
      <c r="I5117">
        <v>2700</v>
      </c>
      <c r="J5117">
        <v>0</v>
      </c>
    </row>
    <row r="5118" spans="1:10" x14ac:dyDescent="0.3">
      <c r="A5118" s="15">
        <v>45870</v>
      </c>
      <c r="B5118" t="s">
        <v>325</v>
      </c>
      <c r="C5118" t="s">
        <v>91</v>
      </c>
      <c r="D5118" t="s">
        <v>86</v>
      </c>
      <c r="E5118" t="s">
        <v>87</v>
      </c>
      <c r="F5118">
        <v>9400</v>
      </c>
      <c r="G5118" t="s">
        <v>331</v>
      </c>
      <c r="H5118" s="15">
        <v>45292</v>
      </c>
      <c r="I5118">
        <v>9400</v>
      </c>
      <c r="J5118">
        <v>0</v>
      </c>
    </row>
    <row r="5119" spans="1:10" x14ac:dyDescent="0.3">
      <c r="A5119" s="15">
        <v>45870</v>
      </c>
      <c r="B5119" t="s">
        <v>326</v>
      </c>
      <c r="C5119" t="s">
        <v>91</v>
      </c>
      <c r="D5119" t="s">
        <v>86</v>
      </c>
      <c r="E5119" t="s">
        <v>92</v>
      </c>
      <c r="F5119">
        <v>9100</v>
      </c>
      <c r="G5119" t="s">
        <v>331</v>
      </c>
      <c r="H5119" s="15">
        <v>45292</v>
      </c>
      <c r="I5119">
        <v>9100</v>
      </c>
      <c r="J5119">
        <v>0</v>
      </c>
    </row>
    <row r="5120" spans="1:10" x14ac:dyDescent="0.3">
      <c r="A5120" s="15">
        <v>45870</v>
      </c>
      <c r="B5120" t="s">
        <v>327</v>
      </c>
      <c r="C5120" t="s">
        <v>125</v>
      </c>
      <c r="D5120" t="s">
        <v>99</v>
      </c>
      <c r="E5120" t="s">
        <v>97</v>
      </c>
      <c r="F5120">
        <v>77500</v>
      </c>
      <c r="G5120" t="s">
        <v>331</v>
      </c>
      <c r="H5120" s="15">
        <v>45292</v>
      </c>
      <c r="I5120">
        <v>77500</v>
      </c>
      <c r="J5120">
        <v>0</v>
      </c>
    </row>
    <row r="5121" spans="1:10" x14ac:dyDescent="0.3">
      <c r="A5121" s="15">
        <v>45870</v>
      </c>
      <c r="B5121" t="s">
        <v>329</v>
      </c>
      <c r="C5121" t="s">
        <v>81</v>
      </c>
      <c r="D5121" t="s">
        <v>86</v>
      </c>
      <c r="E5121" t="s">
        <v>101</v>
      </c>
      <c r="F5121">
        <v>2200</v>
      </c>
      <c r="G5121" t="s">
        <v>331</v>
      </c>
      <c r="H5121" s="15">
        <v>45292</v>
      </c>
      <c r="I5121">
        <v>2200</v>
      </c>
      <c r="J5121">
        <v>0</v>
      </c>
    </row>
    <row r="5122" spans="1:10" x14ac:dyDescent="0.3">
      <c r="A5122" s="15">
        <v>45870</v>
      </c>
      <c r="B5122" t="s">
        <v>330</v>
      </c>
      <c r="C5122" t="s">
        <v>125</v>
      </c>
      <c r="D5122" t="s">
        <v>86</v>
      </c>
      <c r="E5122" t="s">
        <v>87</v>
      </c>
      <c r="F5122">
        <v>105400</v>
      </c>
      <c r="G5122" t="s">
        <v>331</v>
      </c>
      <c r="H5122" s="15">
        <v>45292</v>
      </c>
      <c r="I5122">
        <v>105400</v>
      </c>
      <c r="J5122">
        <v>0</v>
      </c>
    </row>
    <row r="5123" spans="1:10" x14ac:dyDescent="0.3">
      <c r="A5123" s="15">
        <v>45870</v>
      </c>
      <c r="B5123" t="s">
        <v>335</v>
      </c>
      <c r="C5123" t="s">
        <v>91</v>
      </c>
      <c r="D5123" t="s">
        <v>86</v>
      </c>
      <c r="E5123" t="s">
        <v>89</v>
      </c>
      <c r="F5123">
        <v>7300</v>
      </c>
      <c r="G5123" t="s">
        <v>331</v>
      </c>
      <c r="H5123" s="15">
        <v>45323</v>
      </c>
      <c r="I5123">
        <v>7300</v>
      </c>
      <c r="J5123">
        <v>0</v>
      </c>
    </row>
    <row r="5124" spans="1:10" x14ac:dyDescent="0.3">
      <c r="A5124" s="15">
        <v>45870</v>
      </c>
      <c r="B5124" t="s">
        <v>336</v>
      </c>
      <c r="C5124" t="s">
        <v>81</v>
      </c>
      <c r="D5124" t="s">
        <v>82</v>
      </c>
      <c r="E5124" t="s">
        <v>103</v>
      </c>
      <c r="F5124">
        <v>1500</v>
      </c>
      <c r="G5124" t="s">
        <v>331</v>
      </c>
      <c r="H5124" s="15">
        <v>45323</v>
      </c>
      <c r="I5124">
        <v>1500</v>
      </c>
      <c r="J5124">
        <v>0</v>
      </c>
    </row>
    <row r="5125" spans="1:10" x14ac:dyDescent="0.3">
      <c r="A5125" s="15">
        <v>45870</v>
      </c>
      <c r="B5125" t="s">
        <v>339</v>
      </c>
      <c r="C5125" t="s">
        <v>81</v>
      </c>
      <c r="D5125" t="s">
        <v>82</v>
      </c>
      <c r="E5125" t="s">
        <v>103</v>
      </c>
      <c r="F5125">
        <v>1600</v>
      </c>
      <c r="G5125" t="s">
        <v>331</v>
      </c>
      <c r="H5125" s="15">
        <v>45323</v>
      </c>
      <c r="I5125">
        <v>1600</v>
      </c>
      <c r="J5125">
        <v>0</v>
      </c>
    </row>
    <row r="5126" spans="1:10" x14ac:dyDescent="0.3">
      <c r="A5126" s="15">
        <v>45870</v>
      </c>
      <c r="B5126" t="s">
        <v>341</v>
      </c>
      <c r="C5126" t="s">
        <v>110</v>
      </c>
      <c r="D5126" t="s">
        <v>82</v>
      </c>
      <c r="E5126" t="s">
        <v>92</v>
      </c>
      <c r="F5126">
        <v>18800</v>
      </c>
      <c r="G5126" t="s">
        <v>331</v>
      </c>
      <c r="H5126" s="15">
        <v>45323</v>
      </c>
      <c r="I5126">
        <v>18800</v>
      </c>
      <c r="J5126">
        <v>0</v>
      </c>
    </row>
    <row r="5127" spans="1:10" x14ac:dyDescent="0.3">
      <c r="A5127" s="15">
        <v>45870</v>
      </c>
      <c r="B5127" t="s">
        <v>342</v>
      </c>
      <c r="C5127" t="s">
        <v>91</v>
      </c>
      <c r="D5127" t="s">
        <v>82</v>
      </c>
      <c r="E5127" t="s">
        <v>83</v>
      </c>
      <c r="F5127">
        <v>6300</v>
      </c>
      <c r="G5127" t="s">
        <v>331</v>
      </c>
      <c r="H5127" s="15">
        <v>45352</v>
      </c>
      <c r="I5127">
        <v>6300</v>
      </c>
      <c r="J5127">
        <v>0</v>
      </c>
    </row>
    <row r="5128" spans="1:10" x14ac:dyDescent="0.3">
      <c r="A5128" s="15">
        <v>45870</v>
      </c>
      <c r="B5128" t="s">
        <v>343</v>
      </c>
      <c r="C5128" t="s">
        <v>81</v>
      </c>
      <c r="D5128" t="s">
        <v>82</v>
      </c>
      <c r="E5128" t="s">
        <v>89</v>
      </c>
      <c r="F5128">
        <v>2500</v>
      </c>
      <c r="G5128" t="s">
        <v>331</v>
      </c>
      <c r="H5128" s="15">
        <v>45352</v>
      </c>
      <c r="I5128">
        <v>2500</v>
      </c>
      <c r="J5128">
        <v>0</v>
      </c>
    </row>
    <row r="5129" spans="1:10" x14ac:dyDescent="0.3">
      <c r="A5129" s="15">
        <v>45870</v>
      </c>
      <c r="B5129" t="s">
        <v>344</v>
      </c>
      <c r="C5129" t="s">
        <v>110</v>
      </c>
      <c r="D5129" t="s">
        <v>86</v>
      </c>
      <c r="E5129" t="s">
        <v>89</v>
      </c>
      <c r="F5129">
        <v>22300</v>
      </c>
      <c r="G5129" t="s">
        <v>331</v>
      </c>
      <c r="H5129" s="15">
        <v>45352</v>
      </c>
      <c r="I5129">
        <v>22300</v>
      </c>
      <c r="J5129">
        <v>0</v>
      </c>
    </row>
    <row r="5130" spans="1:10" x14ac:dyDescent="0.3">
      <c r="A5130" s="15">
        <v>45870</v>
      </c>
      <c r="B5130" t="s">
        <v>345</v>
      </c>
      <c r="C5130" t="s">
        <v>91</v>
      </c>
      <c r="D5130" t="s">
        <v>86</v>
      </c>
      <c r="E5130" t="s">
        <v>83</v>
      </c>
      <c r="F5130">
        <v>7900</v>
      </c>
      <c r="G5130" t="s">
        <v>331</v>
      </c>
      <c r="H5130" s="15">
        <v>45352</v>
      </c>
      <c r="I5130">
        <v>7900</v>
      </c>
      <c r="J5130">
        <v>0</v>
      </c>
    </row>
    <row r="5131" spans="1:10" x14ac:dyDescent="0.3">
      <c r="A5131" s="15">
        <v>45870</v>
      </c>
      <c r="B5131" t="s">
        <v>346</v>
      </c>
      <c r="C5131" t="s">
        <v>81</v>
      </c>
      <c r="D5131" t="s">
        <v>86</v>
      </c>
      <c r="E5131" t="s">
        <v>97</v>
      </c>
      <c r="F5131">
        <v>1700</v>
      </c>
      <c r="G5131" t="s">
        <v>331</v>
      </c>
      <c r="H5131" s="15">
        <v>45352</v>
      </c>
      <c r="I5131">
        <v>1700</v>
      </c>
      <c r="J5131">
        <v>0</v>
      </c>
    </row>
    <row r="5132" spans="1:10" x14ac:dyDescent="0.3">
      <c r="A5132" s="15">
        <v>45870</v>
      </c>
      <c r="B5132" t="s">
        <v>347</v>
      </c>
      <c r="C5132" t="s">
        <v>91</v>
      </c>
      <c r="D5132" t="s">
        <v>82</v>
      </c>
      <c r="E5132" t="s">
        <v>83</v>
      </c>
      <c r="F5132">
        <v>4700</v>
      </c>
      <c r="G5132" t="s">
        <v>331</v>
      </c>
      <c r="H5132" s="15">
        <v>45383</v>
      </c>
      <c r="I5132">
        <v>4700</v>
      </c>
      <c r="J5132">
        <v>0</v>
      </c>
    </row>
    <row r="5133" spans="1:10" x14ac:dyDescent="0.3">
      <c r="A5133" s="15">
        <v>45870</v>
      </c>
      <c r="B5133" t="s">
        <v>350</v>
      </c>
      <c r="C5133" t="s">
        <v>91</v>
      </c>
      <c r="D5133" t="s">
        <v>82</v>
      </c>
      <c r="E5133" t="s">
        <v>83</v>
      </c>
      <c r="F5133">
        <v>4400</v>
      </c>
      <c r="G5133" t="s">
        <v>331</v>
      </c>
      <c r="H5133" s="15">
        <v>45383</v>
      </c>
      <c r="I5133">
        <v>4400</v>
      </c>
      <c r="J5133">
        <v>0</v>
      </c>
    </row>
    <row r="5134" spans="1:10" x14ac:dyDescent="0.3">
      <c r="A5134" s="15">
        <v>45870</v>
      </c>
      <c r="B5134" t="s">
        <v>351</v>
      </c>
      <c r="C5134" t="s">
        <v>81</v>
      </c>
      <c r="D5134" t="s">
        <v>86</v>
      </c>
      <c r="E5134" t="s">
        <v>83</v>
      </c>
      <c r="F5134">
        <v>2300</v>
      </c>
      <c r="G5134" t="s">
        <v>331</v>
      </c>
      <c r="H5134" s="15">
        <v>45383</v>
      </c>
      <c r="I5134">
        <v>2300</v>
      </c>
      <c r="J5134">
        <v>0</v>
      </c>
    </row>
    <row r="5135" spans="1:10" x14ac:dyDescent="0.3">
      <c r="A5135" s="15">
        <v>45870</v>
      </c>
      <c r="B5135" t="s">
        <v>352</v>
      </c>
      <c r="C5135" t="s">
        <v>91</v>
      </c>
      <c r="D5135" t="s">
        <v>82</v>
      </c>
      <c r="E5135" t="s">
        <v>89</v>
      </c>
      <c r="F5135">
        <v>8800</v>
      </c>
      <c r="G5135" t="s">
        <v>331</v>
      </c>
      <c r="H5135" s="15">
        <v>45383</v>
      </c>
      <c r="I5135">
        <v>8800</v>
      </c>
      <c r="J5135">
        <v>0</v>
      </c>
    </row>
    <row r="5136" spans="1:10" x14ac:dyDescent="0.3">
      <c r="A5136" s="15">
        <v>45870</v>
      </c>
      <c r="B5136" t="s">
        <v>353</v>
      </c>
      <c r="C5136" t="s">
        <v>81</v>
      </c>
      <c r="D5136" t="s">
        <v>99</v>
      </c>
      <c r="E5136" t="s">
        <v>103</v>
      </c>
      <c r="F5136">
        <v>1200</v>
      </c>
      <c r="G5136" t="s">
        <v>331</v>
      </c>
      <c r="H5136" s="15">
        <v>45383</v>
      </c>
      <c r="I5136">
        <v>1200</v>
      </c>
      <c r="J5136">
        <v>0</v>
      </c>
    </row>
    <row r="5137" spans="1:10" x14ac:dyDescent="0.3">
      <c r="A5137" s="15">
        <v>45870</v>
      </c>
      <c r="B5137" t="s">
        <v>354</v>
      </c>
      <c r="C5137" t="s">
        <v>81</v>
      </c>
      <c r="D5137" t="s">
        <v>82</v>
      </c>
      <c r="E5137" t="s">
        <v>92</v>
      </c>
      <c r="F5137">
        <v>1700</v>
      </c>
      <c r="G5137" t="s">
        <v>331</v>
      </c>
      <c r="H5137" s="15">
        <v>45413</v>
      </c>
      <c r="I5137">
        <v>1700</v>
      </c>
      <c r="J5137">
        <v>0</v>
      </c>
    </row>
    <row r="5138" spans="1:10" x14ac:dyDescent="0.3">
      <c r="A5138" s="15">
        <v>45870</v>
      </c>
      <c r="B5138" t="s">
        <v>355</v>
      </c>
      <c r="C5138" t="s">
        <v>81</v>
      </c>
      <c r="D5138" t="s">
        <v>86</v>
      </c>
      <c r="E5138" t="s">
        <v>97</v>
      </c>
      <c r="F5138">
        <v>2000</v>
      </c>
      <c r="G5138" t="s">
        <v>331</v>
      </c>
      <c r="H5138" s="15">
        <v>45413</v>
      </c>
      <c r="I5138">
        <v>2000</v>
      </c>
      <c r="J5138">
        <v>0</v>
      </c>
    </row>
    <row r="5139" spans="1:10" x14ac:dyDescent="0.3">
      <c r="A5139" s="15">
        <v>45870</v>
      </c>
      <c r="B5139" t="s">
        <v>356</v>
      </c>
      <c r="C5139" t="s">
        <v>110</v>
      </c>
      <c r="D5139" t="s">
        <v>82</v>
      </c>
      <c r="E5139" t="s">
        <v>97</v>
      </c>
      <c r="F5139">
        <v>33000</v>
      </c>
      <c r="G5139" t="s">
        <v>331</v>
      </c>
      <c r="H5139" s="15">
        <v>45413</v>
      </c>
      <c r="I5139">
        <v>33000</v>
      </c>
      <c r="J5139">
        <v>0</v>
      </c>
    </row>
    <row r="5140" spans="1:10" x14ac:dyDescent="0.3">
      <c r="A5140" s="15">
        <v>45870</v>
      </c>
      <c r="B5140" t="s">
        <v>357</v>
      </c>
      <c r="C5140" t="s">
        <v>125</v>
      </c>
      <c r="D5140" t="s">
        <v>86</v>
      </c>
      <c r="E5140" t="s">
        <v>97</v>
      </c>
      <c r="F5140">
        <v>83400</v>
      </c>
      <c r="G5140" t="s">
        <v>331</v>
      </c>
      <c r="H5140" s="15">
        <v>45413</v>
      </c>
      <c r="I5140">
        <v>83400</v>
      </c>
      <c r="J5140">
        <v>0</v>
      </c>
    </row>
    <row r="5141" spans="1:10" x14ac:dyDescent="0.3">
      <c r="A5141" s="15">
        <v>45870</v>
      </c>
      <c r="B5141" t="s">
        <v>358</v>
      </c>
      <c r="C5141" t="s">
        <v>110</v>
      </c>
      <c r="D5141" t="s">
        <v>86</v>
      </c>
      <c r="E5141" t="s">
        <v>83</v>
      </c>
      <c r="F5141">
        <v>24100</v>
      </c>
      <c r="G5141" t="s">
        <v>331</v>
      </c>
      <c r="H5141" s="15">
        <v>45413</v>
      </c>
      <c r="I5141">
        <v>24100</v>
      </c>
      <c r="J5141">
        <v>0</v>
      </c>
    </row>
    <row r="5142" spans="1:10" x14ac:dyDescent="0.3">
      <c r="A5142" s="15">
        <v>45870</v>
      </c>
      <c r="B5142" t="s">
        <v>359</v>
      </c>
      <c r="C5142" t="s">
        <v>110</v>
      </c>
      <c r="D5142" t="s">
        <v>86</v>
      </c>
      <c r="E5142" t="s">
        <v>101</v>
      </c>
      <c r="F5142">
        <v>31400</v>
      </c>
      <c r="G5142" t="s">
        <v>331</v>
      </c>
      <c r="H5142" s="15">
        <v>45413</v>
      </c>
      <c r="I5142">
        <v>31400</v>
      </c>
      <c r="J5142">
        <v>0</v>
      </c>
    </row>
    <row r="5143" spans="1:10" x14ac:dyDescent="0.3">
      <c r="A5143" s="15">
        <v>45870</v>
      </c>
      <c r="B5143" t="s">
        <v>361</v>
      </c>
      <c r="C5143" t="s">
        <v>91</v>
      </c>
      <c r="D5143" t="s">
        <v>86</v>
      </c>
      <c r="E5143" t="s">
        <v>83</v>
      </c>
      <c r="F5143">
        <v>5700</v>
      </c>
      <c r="G5143" t="s">
        <v>331</v>
      </c>
      <c r="H5143" s="15">
        <v>45444</v>
      </c>
      <c r="I5143">
        <v>5700</v>
      </c>
      <c r="J5143">
        <v>0</v>
      </c>
    </row>
    <row r="5144" spans="1:10" x14ac:dyDescent="0.3">
      <c r="A5144" s="15">
        <v>45870</v>
      </c>
      <c r="B5144" t="s">
        <v>362</v>
      </c>
      <c r="C5144" t="s">
        <v>91</v>
      </c>
      <c r="D5144" t="s">
        <v>82</v>
      </c>
      <c r="E5144" t="s">
        <v>101</v>
      </c>
      <c r="F5144">
        <v>5700</v>
      </c>
      <c r="G5144" t="s">
        <v>331</v>
      </c>
      <c r="H5144" s="15">
        <v>45444</v>
      </c>
      <c r="I5144">
        <v>5700</v>
      </c>
      <c r="J5144">
        <v>0</v>
      </c>
    </row>
    <row r="5145" spans="1:10" x14ac:dyDescent="0.3">
      <c r="A5145" s="15">
        <v>45870</v>
      </c>
      <c r="B5145" t="s">
        <v>363</v>
      </c>
      <c r="C5145" t="s">
        <v>91</v>
      </c>
      <c r="D5145" t="s">
        <v>86</v>
      </c>
      <c r="E5145" t="s">
        <v>83</v>
      </c>
      <c r="F5145">
        <v>4400</v>
      </c>
      <c r="G5145" t="s">
        <v>331</v>
      </c>
      <c r="H5145" s="15">
        <v>45444</v>
      </c>
      <c r="I5145">
        <v>4400</v>
      </c>
      <c r="J5145">
        <v>0</v>
      </c>
    </row>
    <row r="5146" spans="1:10" x14ac:dyDescent="0.3">
      <c r="A5146" s="15">
        <v>45870</v>
      </c>
      <c r="B5146" t="s">
        <v>364</v>
      </c>
      <c r="C5146" t="s">
        <v>91</v>
      </c>
      <c r="D5146" t="s">
        <v>82</v>
      </c>
      <c r="E5146" t="s">
        <v>101</v>
      </c>
      <c r="F5146">
        <v>6700</v>
      </c>
      <c r="G5146" t="s">
        <v>331</v>
      </c>
      <c r="H5146" s="15">
        <v>45444</v>
      </c>
      <c r="I5146">
        <v>6700</v>
      </c>
      <c r="J5146">
        <v>0</v>
      </c>
    </row>
    <row r="5147" spans="1:10" x14ac:dyDescent="0.3">
      <c r="A5147" s="15">
        <v>45870</v>
      </c>
      <c r="B5147" t="s">
        <v>366</v>
      </c>
      <c r="C5147" t="s">
        <v>81</v>
      </c>
      <c r="D5147" t="s">
        <v>99</v>
      </c>
      <c r="E5147" t="s">
        <v>92</v>
      </c>
      <c r="F5147">
        <v>1600</v>
      </c>
      <c r="G5147" t="s">
        <v>331</v>
      </c>
      <c r="H5147" s="15">
        <v>45474</v>
      </c>
      <c r="I5147">
        <v>1600</v>
      </c>
      <c r="J5147">
        <v>0</v>
      </c>
    </row>
    <row r="5148" spans="1:10" x14ac:dyDescent="0.3">
      <c r="A5148" s="15">
        <v>45870</v>
      </c>
      <c r="B5148" t="s">
        <v>367</v>
      </c>
      <c r="C5148" t="s">
        <v>91</v>
      </c>
      <c r="D5148" t="s">
        <v>82</v>
      </c>
      <c r="E5148" t="s">
        <v>92</v>
      </c>
      <c r="F5148">
        <v>5000</v>
      </c>
      <c r="G5148" t="s">
        <v>331</v>
      </c>
      <c r="H5148" s="15">
        <v>45474</v>
      </c>
      <c r="I5148">
        <v>5000</v>
      </c>
      <c r="J5148">
        <v>0</v>
      </c>
    </row>
    <row r="5149" spans="1:10" x14ac:dyDescent="0.3">
      <c r="A5149" s="15">
        <v>45870</v>
      </c>
      <c r="B5149" t="s">
        <v>368</v>
      </c>
      <c r="C5149" t="s">
        <v>81</v>
      </c>
      <c r="D5149" t="s">
        <v>86</v>
      </c>
      <c r="E5149" t="s">
        <v>89</v>
      </c>
      <c r="F5149">
        <v>1400</v>
      </c>
      <c r="G5149" t="s">
        <v>331</v>
      </c>
      <c r="H5149" s="15">
        <v>45474</v>
      </c>
      <c r="I5149">
        <v>1400</v>
      </c>
      <c r="J5149">
        <v>0</v>
      </c>
    </row>
    <row r="5150" spans="1:10" x14ac:dyDescent="0.3">
      <c r="A5150" s="15">
        <v>45870</v>
      </c>
      <c r="B5150" t="s">
        <v>369</v>
      </c>
      <c r="C5150" t="s">
        <v>81</v>
      </c>
      <c r="D5150" t="s">
        <v>86</v>
      </c>
      <c r="E5150" t="s">
        <v>83</v>
      </c>
      <c r="F5150">
        <v>2000</v>
      </c>
      <c r="G5150" t="s">
        <v>331</v>
      </c>
      <c r="H5150" s="15">
        <v>45474</v>
      </c>
      <c r="I5150">
        <v>2000</v>
      </c>
      <c r="J5150">
        <v>0</v>
      </c>
    </row>
    <row r="5151" spans="1:10" x14ac:dyDescent="0.3">
      <c r="A5151" s="15">
        <v>45870</v>
      </c>
      <c r="B5151" t="s">
        <v>370</v>
      </c>
      <c r="C5151" t="s">
        <v>81</v>
      </c>
      <c r="D5151" t="s">
        <v>99</v>
      </c>
      <c r="E5151" t="s">
        <v>87</v>
      </c>
      <c r="F5151">
        <v>2300</v>
      </c>
      <c r="G5151" t="s">
        <v>331</v>
      </c>
      <c r="H5151" s="15">
        <v>45474</v>
      </c>
      <c r="I5151">
        <v>2300</v>
      </c>
      <c r="J5151">
        <v>0</v>
      </c>
    </row>
    <row r="5152" spans="1:10" x14ac:dyDescent="0.3">
      <c r="A5152" s="15">
        <v>45870</v>
      </c>
      <c r="B5152" t="s">
        <v>373</v>
      </c>
      <c r="C5152" t="s">
        <v>91</v>
      </c>
      <c r="D5152" t="s">
        <v>99</v>
      </c>
      <c r="E5152" t="s">
        <v>101</v>
      </c>
      <c r="F5152">
        <v>5200</v>
      </c>
      <c r="G5152" t="s">
        <v>331</v>
      </c>
      <c r="H5152" s="15">
        <v>45505</v>
      </c>
      <c r="I5152">
        <v>5200</v>
      </c>
      <c r="J5152">
        <v>0</v>
      </c>
    </row>
    <row r="5153" spans="1:10" x14ac:dyDescent="0.3">
      <c r="A5153" s="15">
        <v>45870</v>
      </c>
      <c r="B5153" t="s">
        <v>374</v>
      </c>
      <c r="C5153" t="s">
        <v>91</v>
      </c>
      <c r="D5153" t="s">
        <v>99</v>
      </c>
      <c r="E5153" t="s">
        <v>87</v>
      </c>
      <c r="F5153">
        <v>5000</v>
      </c>
      <c r="G5153" t="s">
        <v>331</v>
      </c>
      <c r="H5153" s="15">
        <v>45505</v>
      </c>
      <c r="I5153">
        <v>5000</v>
      </c>
      <c r="J5153">
        <v>0</v>
      </c>
    </row>
    <row r="5154" spans="1:10" x14ac:dyDescent="0.3">
      <c r="A5154" s="15">
        <v>45870</v>
      </c>
      <c r="B5154" t="s">
        <v>376</v>
      </c>
      <c r="C5154" t="s">
        <v>110</v>
      </c>
      <c r="D5154" t="s">
        <v>86</v>
      </c>
      <c r="E5154" t="s">
        <v>103</v>
      </c>
      <c r="F5154">
        <v>22900</v>
      </c>
      <c r="G5154" t="s">
        <v>331</v>
      </c>
      <c r="H5154" s="15">
        <v>45505</v>
      </c>
      <c r="I5154">
        <v>22900</v>
      </c>
      <c r="J5154">
        <v>0</v>
      </c>
    </row>
    <row r="5155" spans="1:10" x14ac:dyDescent="0.3">
      <c r="A5155" s="15">
        <v>45870</v>
      </c>
      <c r="B5155" t="s">
        <v>377</v>
      </c>
      <c r="C5155" t="s">
        <v>81</v>
      </c>
      <c r="D5155" t="s">
        <v>99</v>
      </c>
      <c r="E5155" t="s">
        <v>92</v>
      </c>
      <c r="F5155">
        <v>2300</v>
      </c>
      <c r="G5155" t="s">
        <v>331</v>
      </c>
      <c r="H5155" s="15">
        <v>45536</v>
      </c>
      <c r="I5155">
        <v>2300</v>
      </c>
      <c r="J5155">
        <v>0</v>
      </c>
    </row>
    <row r="5156" spans="1:10" x14ac:dyDescent="0.3">
      <c r="A5156" s="15">
        <v>45870</v>
      </c>
      <c r="B5156" t="s">
        <v>379</v>
      </c>
      <c r="C5156" t="s">
        <v>81</v>
      </c>
      <c r="D5156" t="s">
        <v>99</v>
      </c>
      <c r="E5156" t="s">
        <v>101</v>
      </c>
      <c r="F5156">
        <v>2200</v>
      </c>
      <c r="G5156" t="s">
        <v>331</v>
      </c>
      <c r="H5156" s="15">
        <v>45536</v>
      </c>
      <c r="I5156">
        <v>2200</v>
      </c>
      <c r="J5156">
        <v>0</v>
      </c>
    </row>
    <row r="5157" spans="1:10" x14ac:dyDescent="0.3">
      <c r="A5157" s="15">
        <v>45870</v>
      </c>
      <c r="B5157" t="s">
        <v>381</v>
      </c>
      <c r="C5157" t="s">
        <v>91</v>
      </c>
      <c r="D5157" t="s">
        <v>86</v>
      </c>
      <c r="E5157" t="s">
        <v>92</v>
      </c>
      <c r="F5157">
        <v>4600</v>
      </c>
      <c r="G5157" t="s">
        <v>331</v>
      </c>
      <c r="H5157" s="15">
        <v>45536</v>
      </c>
      <c r="I5157">
        <v>4600</v>
      </c>
      <c r="J5157">
        <v>0</v>
      </c>
    </row>
    <row r="5158" spans="1:10" x14ac:dyDescent="0.3">
      <c r="A5158" s="15">
        <v>45870</v>
      </c>
      <c r="B5158" t="s">
        <v>382</v>
      </c>
      <c r="C5158" t="s">
        <v>81</v>
      </c>
      <c r="D5158" t="s">
        <v>96</v>
      </c>
      <c r="E5158" t="s">
        <v>101</v>
      </c>
      <c r="F5158">
        <v>2100</v>
      </c>
      <c r="G5158" t="s">
        <v>331</v>
      </c>
      <c r="H5158" s="15">
        <v>45536</v>
      </c>
      <c r="I5158">
        <v>2100</v>
      </c>
      <c r="J5158">
        <v>0</v>
      </c>
    </row>
    <row r="5159" spans="1:10" x14ac:dyDescent="0.3">
      <c r="A5159" s="15">
        <v>45870</v>
      </c>
      <c r="B5159" t="s">
        <v>383</v>
      </c>
      <c r="C5159" t="s">
        <v>81</v>
      </c>
      <c r="D5159" t="s">
        <v>82</v>
      </c>
      <c r="E5159" t="s">
        <v>87</v>
      </c>
      <c r="F5159">
        <v>1600</v>
      </c>
      <c r="G5159" t="s">
        <v>331</v>
      </c>
      <c r="H5159" s="15">
        <v>45536</v>
      </c>
      <c r="I5159">
        <v>1600</v>
      </c>
      <c r="J5159">
        <v>0</v>
      </c>
    </row>
    <row r="5160" spans="1:10" x14ac:dyDescent="0.3">
      <c r="A5160" s="15">
        <v>45870</v>
      </c>
      <c r="B5160" t="s">
        <v>384</v>
      </c>
      <c r="C5160" t="s">
        <v>91</v>
      </c>
      <c r="D5160" t="s">
        <v>82</v>
      </c>
      <c r="E5160" t="s">
        <v>103</v>
      </c>
      <c r="F5160">
        <v>5000</v>
      </c>
      <c r="G5160" t="s">
        <v>331</v>
      </c>
      <c r="H5160" s="15">
        <v>45566</v>
      </c>
      <c r="I5160">
        <v>5000</v>
      </c>
      <c r="J5160">
        <v>0</v>
      </c>
    </row>
    <row r="5161" spans="1:10" x14ac:dyDescent="0.3">
      <c r="A5161" s="15">
        <v>45870</v>
      </c>
      <c r="B5161" t="s">
        <v>385</v>
      </c>
      <c r="C5161" t="s">
        <v>91</v>
      </c>
      <c r="D5161" t="s">
        <v>99</v>
      </c>
      <c r="E5161" t="s">
        <v>83</v>
      </c>
      <c r="F5161">
        <v>8300</v>
      </c>
      <c r="G5161" t="s">
        <v>331</v>
      </c>
      <c r="H5161" s="15">
        <v>45566</v>
      </c>
      <c r="I5161">
        <v>8300</v>
      </c>
      <c r="J5161">
        <v>0</v>
      </c>
    </row>
    <row r="5162" spans="1:10" x14ac:dyDescent="0.3">
      <c r="A5162" s="15">
        <v>45870</v>
      </c>
      <c r="B5162" t="s">
        <v>386</v>
      </c>
      <c r="C5162" t="s">
        <v>81</v>
      </c>
      <c r="D5162" t="s">
        <v>82</v>
      </c>
      <c r="E5162" t="s">
        <v>103</v>
      </c>
      <c r="F5162">
        <v>2200</v>
      </c>
      <c r="G5162" t="s">
        <v>331</v>
      </c>
      <c r="H5162" s="15">
        <v>45566</v>
      </c>
      <c r="I5162">
        <v>2200</v>
      </c>
      <c r="J5162">
        <v>0</v>
      </c>
    </row>
    <row r="5163" spans="1:10" x14ac:dyDescent="0.3">
      <c r="A5163" s="15">
        <v>45870</v>
      </c>
      <c r="B5163" t="s">
        <v>387</v>
      </c>
      <c r="C5163" t="s">
        <v>81</v>
      </c>
      <c r="D5163" t="s">
        <v>86</v>
      </c>
      <c r="E5163" t="s">
        <v>92</v>
      </c>
      <c r="F5163">
        <v>1700</v>
      </c>
      <c r="G5163" t="s">
        <v>331</v>
      </c>
      <c r="H5163" s="15">
        <v>45566</v>
      </c>
      <c r="I5163">
        <v>1700</v>
      </c>
      <c r="J5163">
        <v>0</v>
      </c>
    </row>
    <row r="5164" spans="1:10" x14ac:dyDescent="0.3">
      <c r="A5164" s="15">
        <v>45870</v>
      </c>
      <c r="B5164" t="s">
        <v>388</v>
      </c>
      <c r="C5164" t="s">
        <v>81</v>
      </c>
      <c r="D5164" t="s">
        <v>99</v>
      </c>
      <c r="E5164" t="s">
        <v>103</v>
      </c>
      <c r="F5164">
        <v>1700</v>
      </c>
      <c r="G5164" t="s">
        <v>331</v>
      </c>
      <c r="H5164" s="15">
        <v>45566</v>
      </c>
      <c r="I5164">
        <v>1700</v>
      </c>
      <c r="J5164">
        <v>0</v>
      </c>
    </row>
    <row r="5165" spans="1:10" x14ac:dyDescent="0.3">
      <c r="A5165" s="15">
        <v>45870</v>
      </c>
      <c r="B5165" t="s">
        <v>389</v>
      </c>
      <c r="C5165" t="s">
        <v>91</v>
      </c>
      <c r="D5165" t="s">
        <v>82</v>
      </c>
      <c r="E5165" t="s">
        <v>101</v>
      </c>
      <c r="F5165">
        <v>7300</v>
      </c>
      <c r="G5165" t="s">
        <v>331</v>
      </c>
      <c r="H5165" s="15">
        <v>45566</v>
      </c>
      <c r="I5165">
        <v>7300</v>
      </c>
      <c r="J5165">
        <v>0</v>
      </c>
    </row>
    <row r="5166" spans="1:10" x14ac:dyDescent="0.3">
      <c r="A5166" s="15">
        <v>45870</v>
      </c>
      <c r="B5166" t="s">
        <v>390</v>
      </c>
      <c r="C5166" t="s">
        <v>91</v>
      </c>
      <c r="D5166" t="s">
        <v>82</v>
      </c>
      <c r="E5166" t="s">
        <v>89</v>
      </c>
      <c r="F5166">
        <v>6200</v>
      </c>
      <c r="G5166" t="s">
        <v>331</v>
      </c>
      <c r="H5166" s="15">
        <v>45566</v>
      </c>
      <c r="I5166">
        <v>6200</v>
      </c>
      <c r="J5166">
        <v>0</v>
      </c>
    </row>
    <row r="5167" spans="1:10" x14ac:dyDescent="0.3">
      <c r="A5167" s="15">
        <v>45870</v>
      </c>
      <c r="B5167" t="s">
        <v>392</v>
      </c>
      <c r="C5167" t="s">
        <v>91</v>
      </c>
      <c r="D5167" t="s">
        <v>86</v>
      </c>
      <c r="E5167" t="s">
        <v>97</v>
      </c>
      <c r="F5167">
        <v>10000</v>
      </c>
      <c r="G5167" t="s">
        <v>331</v>
      </c>
      <c r="H5167" s="15">
        <v>45597</v>
      </c>
      <c r="I5167">
        <v>10000</v>
      </c>
      <c r="J5167">
        <v>0</v>
      </c>
    </row>
    <row r="5168" spans="1:10" x14ac:dyDescent="0.3">
      <c r="A5168" s="15">
        <v>45870</v>
      </c>
      <c r="B5168" t="s">
        <v>393</v>
      </c>
      <c r="C5168" t="s">
        <v>81</v>
      </c>
      <c r="D5168" t="s">
        <v>82</v>
      </c>
      <c r="E5168" t="s">
        <v>92</v>
      </c>
      <c r="F5168">
        <v>2100</v>
      </c>
      <c r="G5168" t="s">
        <v>331</v>
      </c>
      <c r="H5168" s="15">
        <v>45597</v>
      </c>
      <c r="I5168">
        <v>2100</v>
      </c>
      <c r="J5168">
        <v>0</v>
      </c>
    </row>
    <row r="5169" spans="1:10" x14ac:dyDescent="0.3">
      <c r="A5169" s="15">
        <v>45870</v>
      </c>
      <c r="B5169" t="s">
        <v>394</v>
      </c>
      <c r="C5169" t="s">
        <v>81</v>
      </c>
      <c r="D5169" t="s">
        <v>99</v>
      </c>
      <c r="E5169" t="s">
        <v>87</v>
      </c>
      <c r="F5169">
        <v>1400</v>
      </c>
      <c r="G5169" t="s">
        <v>331</v>
      </c>
      <c r="H5169" s="15">
        <v>45597</v>
      </c>
      <c r="I5169">
        <v>1400</v>
      </c>
      <c r="J5169">
        <v>0</v>
      </c>
    </row>
    <row r="5170" spans="1:10" x14ac:dyDescent="0.3">
      <c r="A5170" s="15">
        <v>45870</v>
      </c>
      <c r="B5170" t="s">
        <v>395</v>
      </c>
      <c r="C5170" t="s">
        <v>81</v>
      </c>
      <c r="D5170" t="s">
        <v>82</v>
      </c>
      <c r="E5170" t="s">
        <v>97</v>
      </c>
      <c r="F5170">
        <v>2200</v>
      </c>
      <c r="G5170" t="s">
        <v>331</v>
      </c>
      <c r="H5170" s="15">
        <v>45627</v>
      </c>
      <c r="I5170">
        <v>2200</v>
      </c>
      <c r="J5170">
        <v>0</v>
      </c>
    </row>
    <row r="5171" spans="1:10" x14ac:dyDescent="0.3">
      <c r="A5171" s="15">
        <v>45870</v>
      </c>
      <c r="B5171" t="s">
        <v>396</v>
      </c>
      <c r="C5171" t="s">
        <v>91</v>
      </c>
      <c r="D5171" t="s">
        <v>82</v>
      </c>
      <c r="E5171" t="s">
        <v>92</v>
      </c>
      <c r="F5171">
        <v>8800</v>
      </c>
      <c r="G5171" t="s">
        <v>331</v>
      </c>
      <c r="H5171" s="15">
        <v>45627</v>
      </c>
      <c r="I5171">
        <v>8800</v>
      </c>
      <c r="J5171">
        <v>0</v>
      </c>
    </row>
    <row r="5172" spans="1:10" x14ac:dyDescent="0.3">
      <c r="A5172" s="15">
        <v>45870</v>
      </c>
      <c r="B5172" t="s">
        <v>397</v>
      </c>
      <c r="C5172" t="s">
        <v>91</v>
      </c>
      <c r="D5172" t="s">
        <v>82</v>
      </c>
      <c r="E5172" t="s">
        <v>83</v>
      </c>
      <c r="F5172">
        <v>0</v>
      </c>
      <c r="G5172" t="s">
        <v>333</v>
      </c>
      <c r="H5172" s="15">
        <v>45627</v>
      </c>
      <c r="I5172">
        <v>5400</v>
      </c>
      <c r="J5172">
        <v>-5400</v>
      </c>
    </row>
    <row r="5173" spans="1:10" x14ac:dyDescent="0.3">
      <c r="A5173" s="15">
        <v>45870</v>
      </c>
      <c r="B5173" t="s">
        <v>398</v>
      </c>
      <c r="C5173" t="s">
        <v>81</v>
      </c>
      <c r="D5173" t="s">
        <v>86</v>
      </c>
      <c r="E5173" t="s">
        <v>92</v>
      </c>
      <c r="F5173">
        <v>1600</v>
      </c>
      <c r="G5173" t="s">
        <v>331</v>
      </c>
      <c r="H5173" s="15">
        <v>45627</v>
      </c>
      <c r="I5173">
        <v>1600</v>
      </c>
      <c r="J5173">
        <v>0</v>
      </c>
    </row>
    <row r="5174" spans="1:10" x14ac:dyDescent="0.3">
      <c r="A5174" s="15">
        <v>45870</v>
      </c>
      <c r="B5174" t="s">
        <v>399</v>
      </c>
      <c r="C5174" t="s">
        <v>110</v>
      </c>
      <c r="D5174" t="s">
        <v>82</v>
      </c>
      <c r="E5174" t="s">
        <v>101</v>
      </c>
      <c r="F5174">
        <v>17400</v>
      </c>
      <c r="G5174" t="s">
        <v>331</v>
      </c>
      <c r="H5174" s="15">
        <v>45627</v>
      </c>
      <c r="I5174">
        <v>17400</v>
      </c>
      <c r="J5174">
        <v>0</v>
      </c>
    </row>
    <row r="5175" spans="1:10" x14ac:dyDescent="0.3">
      <c r="A5175" s="15">
        <v>45870</v>
      </c>
      <c r="B5175" t="s">
        <v>400</v>
      </c>
      <c r="C5175" t="s">
        <v>91</v>
      </c>
      <c r="D5175" t="s">
        <v>82</v>
      </c>
      <c r="E5175" t="s">
        <v>103</v>
      </c>
      <c r="F5175">
        <v>4400</v>
      </c>
      <c r="G5175" t="s">
        <v>331</v>
      </c>
      <c r="H5175" s="15">
        <v>45627</v>
      </c>
      <c r="I5175">
        <v>4400</v>
      </c>
      <c r="J5175">
        <v>0</v>
      </c>
    </row>
    <row r="5176" spans="1:10" x14ac:dyDescent="0.3">
      <c r="A5176" s="15">
        <v>45870</v>
      </c>
      <c r="B5176" t="s">
        <v>403</v>
      </c>
      <c r="C5176" t="s">
        <v>81</v>
      </c>
      <c r="D5176" t="s">
        <v>82</v>
      </c>
      <c r="E5176" t="s">
        <v>101</v>
      </c>
      <c r="F5176">
        <v>1900</v>
      </c>
      <c r="G5176" t="s">
        <v>331</v>
      </c>
      <c r="H5176" s="15">
        <v>45658</v>
      </c>
      <c r="I5176">
        <v>1900</v>
      </c>
      <c r="J5176">
        <v>0</v>
      </c>
    </row>
    <row r="5177" spans="1:10" x14ac:dyDescent="0.3">
      <c r="A5177" s="15">
        <v>45870</v>
      </c>
      <c r="B5177" t="s">
        <v>404</v>
      </c>
      <c r="C5177" t="s">
        <v>81</v>
      </c>
      <c r="D5177" t="s">
        <v>86</v>
      </c>
      <c r="E5177" t="s">
        <v>83</v>
      </c>
      <c r="F5177">
        <v>2100</v>
      </c>
      <c r="G5177" t="s">
        <v>331</v>
      </c>
      <c r="H5177" s="15">
        <v>45658</v>
      </c>
      <c r="I5177">
        <v>2100</v>
      </c>
      <c r="J5177">
        <v>0</v>
      </c>
    </row>
    <row r="5178" spans="1:10" x14ac:dyDescent="0.3">
      <c r="A5178" s="15">
        <v>45870</v>
      </c>
      <c r="B5178" t="s">
        <v>405</v>
      </c>
      <c r="C5178" t="s">
        <v>81</v>
      </c>
      <c r="D5178" t="s">
        <v>82</v>
      </c>
      <c r="E5178" t="s">
        <v>92</v>
      </c>
      <c r="F5178">
        <v>1600</v>
      </c>
      <c r="G5178" t="s">
        <v>331</v>
      </c>
      <c r="H5178" s="15">
        <v>45658</v>
      </c>
      <c r="I5178">
        <v>1600</v>
      </c>
      <c r="J5178">
        <v>0</v>
      </c>
    </row>
    <row r="5179" spans="1:10" x14ac:dyDescent="0.3">
      <c r="A5179" s="15">
        <v>45870</v>
      </c>
      <c r="B5179" t="s">
        <v>406</v>
      </c>
      <c r="C5179" t="s">
        <v>91</v>
      </c>
      <c r="D5179" t="s">
        <v>86</v>
      </c>
      <c r="E5179" t="s">
        <v>87</v>
      </c>
      <c r="F5179">
        <v>4700</v>
      </c>
      <c r="G5179" t="s">
        <v>334</v>
      </c>
      <c r="H5179" s="15">
        <v>45658</v>
      </c>
      <c r="I5179">
        <v>5400</v>
      </c>
      <c r="J5179">
        <v>-700</v>
      </c>
    </row>
    <row r="5180" spans="1:10" x14ac:dyDescent="0.3">
      <c r="A5180" s="15">
        <v>45870</v>
      </c>
      <c r="B5180" t="s">
        <v>407</v>
      </c>
      <c r="C5180" t="s">
        <v>81</v>
      </c>
      <c r="D5180" t="s">
        <v>82</v>
      </c>
      <c r="E5180" t="s">
        <v>92</v>
      </c>
      <c r="F5180">
        <v>2400</v>
      </c>
      <c r="G5180" t="s">
        <v>331</v>
      </c>
      <c r="H5180" s="15">
        <v>45689</v>
      </c>
      <c r="I5180">
        <v>2400</v>
      </c>
      <c r="J5180">
        <v>0</v>
      </c>
    </row>
    <row r="5181" spans="1:10" x14ac:dyDescent="0.3">
      <c r="A5181" s="15">
        <v>45870</v>
      </c>
      <c r="B5181" t="s">
        <v>409</v>
      </c>
      <c r="C5181" t="s">
        <v>81</v>
      </c>
      <c r="D5181" t="s">
        <v>82</v>
      </c>
      <c r="E5181" t="s">
        <v>83</v>
      </c>
      <c r="F5181">
        <v>1700</v>
      </c>
      <c r="G5181" t="s">
        <v>331</v>
      </c>
      <c r="H5181" s="15">
        <v>45689</v>
      </c>
      <c r="I5181">
        <v>1700</v>
      </c>
      <c r="J5181">
        <v>0</v>
      </c>
    </row>
    <row r="5182" spans="1:10" x14ac:dyDescent="0.3">
      <c r="A5182" s="15">
        <v>45870</v>
      </c>
      <c r="B5182" t="s">
        <v>410</v>
      </c>
      <c r="C5182" t="s">
        <v>125</v>
      </c>
      <c r="D5182" t="s">
        <v>82</v>
      </c>
      <c r="E5182" t="s">
        <v>103</v>
      </c>
      <c r="F5182">
        <v>56400</v>
      </c>
      <c r="G5182" t="s">
        <v>331</v>
      </c>
      <c r="H5182" s="15">
        <v>45689</v>
      </c>
      <c r="I5182">
        <v>56400</v>
      </c>
      <c r="J5182">
        <v>0</v>
      </c>
    </row>
    <row r="5183" spans="1:10" x14ac:dyDescent="0.3">
      <c r="A5183" s="15">
        <v>45870</v>
      </c>
      <c r="B5183" t="s">
        <v>411</v>
      </c>
      <c r="C5183" t="s">
        <v>91</v>
      </c>
      <c r="D5183" t="s">
        <v>86</v>
      </c>
      <c r="E5183" t="s">
        <v>92</v>
      </c>
      <c r="F5183">
        <v>7700</v>
      </c>
      <c r="G5183" t="s">
        <v>334</v>
      </c>
      <c r="H5183" s="15">
        <v>45689</v>
      </c>
      <c r="I5183">
        <v>8900</v>
      </c>
      <c r="J5183">
        <v>-1200</v>
      </c>
    </row>
    <row r="5184" spans="1:10" x14ac:dyDescent="0.3">
      <c r="A5184" s="15">
        <v>45870</v>
      </c>
      <c r="B5184" t="s">
        <v>412</v>
      </c>
      <c r="C5184" t="s">
        <v>81</v>
      </c>
      <c r="D5184" t="s">
        <v>82</v>
      </c>
      <c r="E5184" t="s">
        <v>89</v>
      </c>
      <c r="F5184">
        <v>2200</v>
      </c>
      <c r="G5184" t="s">
        <v>331</v>
      </c>
      <c r="H5184" s="15">
        <v>45717</v>
      </c>
      <c r="I5184">
        <v>2200</v>
      </c>
      <c r="J5184">
        <v>0</v>
      </c>
    </row>
    <row r="5185" spans="1:10" x14ac:dyDescent="0.3">
      <c r="A5185" s="15">
        <v>45870</v>
      </c>
      <c r="B5185" t="s">
        <v>413</v>
      </c>
      <c r="C5185" t="s">
        <v>81</v>
      </c>
      <c r="D5185" t="s">
        <v>99</v>
      </c>
      <c r="E5185" t="s">
        <v>101</v>
      </c>
      <c r="F5185">
        <v>2300</v>
      </c>
      <c r="G5185" t="s">
        <v>331</v>
      </c>
      <c r="H5185" s="15">
        <v>45717</v>
      </c>
      <c r="I5185">
        <v>2300</v>
      </c>
      <c r="J5185">
        <v>0</v>
      </c>
    </row>
    <row r="5186" spans="1:10" x14ac:dyDescent="0.3">
      <c r="A5186" s="15">
        <v>45870</v>
      </c>
      <c r="B5186" t="s">
        <v>414</v>
      </c>
      <c r="C5186" t="s">
        <v>110</v>
      </c>
      <c r="D5186" t="s">
        <v>99</v>
      </c>
      <c r="E5186" t="s">
        <v>89</v>
      </c>
      <c r="F5186">
        <v>30900</v>
      </c>
      <c r="G5186" t="s">
        <v>331</v>
      </c>
      <c r="H5186" s="15">
        <v>45717</v>
      </c>
      <c r="I5186">
        <v>30900</v>
      </c>
      <c r="J5186">
        <v>0</v>
      </c>
    </row>
    <row r="5187" spans="1:10" x14ac:dyDescent="0.3">
      <c r="A5187" s="15">
        <v>45870</v>
      </c>
      <c r="B5187" t="s">
        <v>416</v>
      </c>
      <c r="C5187" t="s">
        <v>81</v>
      </c>
      <c r="D5187" t="s">
        <v>99</v>
      </c>
      <c r="E5187" t="s">
        <v>103</v>
      </c>
      <c r="F5187">
        <v>2500</v>
      </c>
      <c r="G5187" t="s">
        <v>331</v>
      </c>
      <c r="H5187" s="15">
        <v>45717</v>
      </c>
      <c r="I5187">
        <v>2500</v>
      </c>
      <c r="J5187">
        <v>0</v>
      </c>
    </row>
    <row r="5188" spans="1:10" x14ac:dyDescent="0.3">
      <c r="A5188" s="15">
        <v>45870</v>
      </c>
      <c r="B5188" t="s">
        <v>417</v>
      </c>
      <c r="C5188" t="s">
        <v>110</v>
      </c>
      <c r="D5188" t="s">
        <v>86</v>
      </c>
      <c r="E5188" t="s">
        <v>92</v>
      </c>
      <c r="F5188">
        <v>35600</v>
      </c>
      <c r="G5188" t="s">
        <v>331</v>
      </c>
      <c r="H5188" s="15">
        <v>45717</v>
      </c>
      <c r="I5188">
        <v>35600</v>
      </c>
      <c r="J5188">
        <v>0</v>
      </c>
    </row>
    <row r="5189" spans="1:10" x14ac:dyDescent="0.3">
      <c r="A5189" s="15">
        <v>45870</v>
      </c>
      <c r="B5189" t="s">
        <v>418</v>
      </c>
      <c r="C5189" t="s">
        <v>81</v>
      </c>
      <c r="D5189" t="s">
        <v>86</v>
      </c>
      <c r="E5189" t="s">
        <v>92</v>
      </c>
      <c r="F5189">
        <v>1800</v>
      </c>
      <c r="G5189" t="s">
        <v>332</v>
      </c>
      <c r="H5189" s="15">
        <v>45748</v>
      </c>
      <c r="I5189">
        <v>1600</v>
      </c>
      <c r="J5189">
        <v>200</v>
      </c>
    </row>
    <row r="5190" spans="1:10" x14ac:dyDescent="0.3">
      <c r="A5190" s="15">
        <v>45870</v>
      </c>
      <c r="B5190" t="s">
        <v>419</v>
      </c>
      <c r="C5190" t="s">
        <v>125</v>
      </c>
      <c r="D5190" t="s">
        <v>96</v>
      </c>
      <c r="E5190" t="s">
        <v>103</v>
      </c>
      <c r="F5190">
        <v>73300</v>
      </c>
      <c r="G5190" t="s">
        <v>331</v>
      </c>
      <c r="H5190" s="15">
        <v>45748</v>
      </c>
      <c r="I5190">
        <v>73300</v>
      </c>
      <c r="J5190">
        <v>0</v>
      </c>
    </row>
    <row r="5191" spans="1:10" x14ac:dyDescent="0.3">
      <c r="A5191" s="15">
        <v>45870</v>
      </c>
      <c r="B5191" t="s">
        <v>420</v>
      </c>
      <c r="C5191" t="s">
        <v>110</v>
      </c>
      <c r="D5191" t="s">
        <v>96</v>
      </c>
      <c r="E5191" t="s">
        <v>103</v>
      </c>
      <c r="F5191">
        <v>22900</v>
      </c>
      <c r="G5191" t="s">
        <v>331</v>
      </c>
      <c r="H5191" s="15">
        <v>45748</v>
      </c>
      <c r="I5191">
        <v>22900</v>
      </c>
      <c r="J5191">
        <v>0</v>
      </c>
    </row>
    <row r="5192" spans="1:10" x14ac:dyDescent="0.3">
      <c r="A5192" s="15">
        <v>45870</v>
      </c>
      <c r="B5192" t="s">
        <v>421</v>
      </c>
      <c r="C5192" t="s">
        <v>110</v>
      </c>
      <c r="D5192" t="s">
        <v>82</v>
      </c>
      <c r="E5192" t="s">
        <v>103</v>
      </c>
      <c r="F5192">
        <v>18800</v>
      </c>
      <c r="G5192" t="s">
        <v>331</v>
      </c>
      <c r="H5192" s="15">
        <v>45748</v>
      </c>
      <c r="I5192">
        <v>18800</v>
      </c>
      <c r="J5192">
        <v>0</v>
      </c>
    </row>
    <row r="5193" spans="1:10" x14ac:dyDescent="0.3">
      <c r="A5193" s="15">
        <v>45870</v>
      </c>
      <c r="B5193" t="s">
        <v>422</v>
      </c>
      <c r="C5193" t="s">
        <v>81</v>
      </c>
      <c r="D5193" t="s">
        <v>82</v>
      </c>
      <c r="E5193" t="s">
        <v>97</v>
      </c>
      <c r="F5193">
        <v>2300</v>
      </c>
      <c r="G5193" t="s">
        <v>331</v>
      </c>
      <c r="H5193" s="15">
        <v>45748</v>
      </c>
      <c r="I5193">
        <v>2300</v>
      </c>
      <c r="J5193">
        <v>0</v>
      </c>
    </row>
    <row r="5194" spans="1:10" x14ac:dyDescent="0.3">
      <c r="A5194" s="15">
        <v>45870</v>
      </c>
      <c r="B5194" t="s">
        <v>423</v>
      </c>
      <c r="C5194" t="s">
        <v>125</v>
      </c>
      <c r="D5194" t="s">
        <v>86</v>
      </c>
      <c r="E5194" t="s">
        <v>97</v>
      </c>
      <c r="F5194">
        <v>52800</v>
      </c>
      <c r="G5194" t="s">
        <v>331</v>
      </c>
      <c r="H5194" s="15">
        <v>45748</v>
      </c>
      <c r="I5194">
        <v>52800</v>
      </c>
      <c r="J5194">
        <v>0</v>
      </c>
    </row>
    <row r="5195" spans="1:10" x14ac:dyDescent="0.3">
      <c r="A5195" s="15">
        <v>45870</v>
      </c>
      <c r="B5195" t="s">
        <v>425</v>
      </c>
      <c r="C5195" t="s">
        <v>110</v>
      </c>
      <c r="D5195" t="s">
        <v>82</v>
      </c>
      <c r="E5195" t="s">
        <v>97</v>
      </c>
      <c r="F5195">
        <v>22700</v>
      </c>
      <c r="G5195" t="s">
        <v>331</v>
      </c>
      <c r="H5195" s="15">
        <v>45778</v>
      </c>
      <c r="I5195">
        <v>22700</v>
      </c>
      <c r="J5195">
        <v>0</v>
      </c>
    </row>
    <row r="5196" spans="1:10" x14ac:dyDescent="0.3">
      <c r="A5196" s="15">
        <v>45870</v>
      </c>
      <c r="B5196" t="s">
        <v>426</v>
      </c>
      <c r="C5196" t="s">
        <v>81</v>
      </c>
      <c r="D5196" t="s">
        <v>82</v>
      </c>
      <c r="E5196" t="s">
        <v>89</v>
      </c>
      <c r="F5196">
        <v>1900</v>
      </c>
      <c r="G5196" t="s">
        <v>331</v>
      </c>
      <c r="H5196" s="15">
        <v>45778</v>
      </c>
      <c r="I5196">
        <v>1900</v>
      </c>
      <c r="J5196">
        <v>0</v>
      </c>
    </row>
    <row r="5197" spans="1:10" x14ac:dyDescent="0.3">
      <c r="A5197" s="15">
        <v>45870</v>
      </c>
      <c r="B5197" t="s">
        <v>427</v>
      </c>
      <c r="C5197" t="s">
        <v>110</v>
      </c>
      <c r="D5197" t="s">
        <v>82</v>
      </c>
      <c r="E5197" t="s">
        <v>83</v>
      </c>
      <c r="F5197">
        <v>23900</v>
      </c>
      <c r="G5197" t="s">
        <v>331</v>
      </c>
      <c r="H5197" s="15">
        <v>45778</v>
      </c>
      <c r="I5197">
        <v>23900</v>
      </c>
      <c r="J5197">
        <v>0</v>
      </c>
    </row>
    <row r="5198" spans="1:10" x14ac:dyDescent="0.3">
      <c r="A5198" s="15">
        <v>45870</v>
      </c>
      <c r="B5198" t="s">
        <v>428</v>
      </c>
      <c r="C5198" t="s">
        <v>81</v>
      </c>
      <c r="D5198" t="s">
        <v>86</v>
      </c>
      <c r="E5198" t="s">
        <v>89</v>
      </c>
      <c r="F5198">
        <v>2300</v>
      </c>
      <c r="G5198" t="s">
        <v>331</v>
      </c>
      <c r="H5198" s="15">
        <v>45778</v>
      </c>
      <c r="I5198">
        <v>2300</v>
      </c>
      <c r="J5198">
        <v>0</v>
      </c>
    </row>
    <row r="5199" spans="1:10" x14ac:dyDescent="0.3">
      <c r="A5199" s="15">
        <v>45870</v>
      </c>
      <c r="B5199" t="s">
        <v>429</v>
      </c>
      <c r="C5199" t="s">
        <v>81</v>
      </c>
      <c r="D5199" t="s">
        <v>82</v>
      </c>
      <c r="E5199" t="s">
        <v>97</v>
      </c>
      <c r="F5199">
        <v>2100</v>
      </c>
      <c r="G5199" t="s">
        <v>331</v>
      </c>
      <c r="H5199" s="15">
        <v>45809</v>
      </c>
      <c r="I5199">
        <v>2100</v>
      </c>
      <c r="J5199">
        <v>0</v>
      </c>
    </row>
    <row r="5200" spans="1:10" x14ac:dyDescent="0.3">
      <c r="A5200" s="15">
        <v>45870</v>
      </c>
      <c r="B5200" t="s">
        <v>430</v>
      </c>
      <c r="C5200" t="s">
        <v>110</v>
      </c>
      <c r="D5200" t="s">
        <v>82</v>
      </c>
      <c r="E5200" t="s">
        <v>87</v>
      </c>
      <c r="F5200">
        <v>24300</v>
      </c>
      <c r="G5200" t="s">
        <v>331</v>
      </c>
      <c r="H5200" s="15">
        <v>45809</v>
      </c>
      <c r="I5200">
        <v>24300</v>
      </c>
      <c r="J5200">
        <v>0</v>
      </c>
    </row>
    <row r="5201" spans="1:10" x14ac:dyDescent="0.3">
      <c r="A5201" s="15">
        <v>45870</v>
      </c>
      <c r="B5201" t="s">
        <v>431</v>
      </c>
      <c r="C5201" t="s">
        <v>110</v>
      </c>
      <c r="D5201" t="s">
        <v>82</v>
      </c>
      <c r="E5201" t="s">
        <v>101</v>
      </c>
      <c r="F5201">
        <v>19800</v>
      </c>
      <c r="G5201" t="s">
        <v>331</v>
      </c>
      <c r="H5201" s="15">
        <v>45809</v>
      </c>
      <c r="I5201">
        <v>19800</v>
      </c>
      <c r="J5201">
        <v>0</v>
      </c>
    </row>
    <row r="5202" spans="1:10" x14ac:dyDescent="0.3">
      <c r="A5202" s="15">
        <v>45870</v>
      </c>
      <c r="B5202" t="s">
        <v>432</v>
      </c>
      <c r="C5202" t="s">
        <v>81</v>
      </c>
      <c r="D5202" t="s">
        <v>82</v>
      </c>
      <c r="E5202" t="s">
        <v>83</v>
      </c>
      <c r="F5202">
        <v>2400</v>
      </c>
      <c r="G5202" t="s">
        <v>331</v>
      </c>
      <c r="H5202" s="15">
        <v>45809</v>
      </c>
      <c r="I5202">
        <v>2400</v>
      </c>
      <c r="J5202">
        <v>0</v>
      </c>
    </row>
    <row r="5203" spans="1:10" x14ac:dyDescent="0.3">
      <c r="A5203" s="15">
        <v>45870</v>
      </c>
      <c r="B5203" t="s">
        <v>433</v>
      </c>
      <c r="C5203" t="s">
        <v>81</v>
      </c>
      <c r="D5203" t="s">
        <v>86</v>
      </c>
      <c r="E5203" t="s">
        <v>97</v>
      </c>
      <c r="F5203">
        <v>0</v>
      </c>
      <c r="G5203" t="s">
        <v>333</v>
      </c>
      <c r="H5203" s="15">
        <v>45809</v>
      </c>
      <c r="I5203">
        <v>1500</v>
      </c>
      <c r="J5203">
        <v>-1500</v>
      </c>
    </row>
    <row r="5204" spans="1:10" x14ac:dyDescent="0.3">
      <c r="A5204" s="15">
        <v>45870</v>
      </c>
      <c r="B5204" t="s">
        <v>435</v>
      </c>
      <c r="C5204" t="s">
        <v>81</v>
      </c>
      <c r="D5204" t="s">
        <v>82</v>
      </c>
      <c r="E5204" t="s">
        <v>92</v>
      </c>
      <c r="F5204">
        <v>1400</v>
      </c>
      <c r="G5204" t="s">
        <v>331</v>
      </c>
      <c r="H5204" s="15">
        <v>45809</v>
      </c>
      <c r="I5204">
        <v>1400</v>
      </c>
      <c r="J5204">
        <v>0</v>
      </c>
    </row>
    <row r="5205" spans="1:10" x14ac:dyDescent="0.3">
      <c r="A5205" s="15">
        <v>45870</v>
      </c>
      <c r="B5205" t="s">
        <v>436</v>
      </c>
      <c r="C5205" t="s">
        <v>81</v>
      </c>
      <c r="D5205" t="s">
        <v>82</v>
      </c>
      <c r="E5205" t="s">
        <v>97</v>
      </c>
      <c r="F5205">
        <v>2100</v>
      </c>
      <c r="G5205" t="s">
        <v>331</v>
      </c>
      <c r="H5205" s="15">
        <v>45839</v>
      </c>
      <c r="I5205">
        <v>2100</v>
      </c>
      <c r="J5205">
        <v>0</v>
      </c>
    </row>
    <row r="5206" spans="1:10" x14ac:dyDescent="0.3">
      <c r="A5206" s="15">
        <v>45870</v>
      </c>
      <c r="B5206" t="s">
        <v>437</v>
      </c>
      <c r="C5206" t="s">
        <v>81</v>
      </c>
      <c r="D5206" t="s">
        <v>99</v>
      </c>
      <c r="E5206" t="s">
        <v>92</v>
      </c>
      <c r="F5206">
        <v>1600</v>
      </c>
      <c r="G5206" t="s">
        <v>331</v>
      </c>
      <c r="H5206" s="15">
        <v>45839</v>
      </c>
      <c r="I5206">
        <v>1600</v>
      </c>
      <c r="J5206">
        <v>0</v>
      </c>
    </row>
    <row r="5207" spans="1:10" x14ac:dyDescent="0.3">
      <c r="A5207" s="15">
        <v>45870</v>
      </c>
      <c r="B5207" t="s">
        <v>438</v>
      </c>
      <c r="C5207" t="s">
        <v>91</v>
      </c>
      <c r="D5207" t="s">
        <v>96</v>
      </c>
      <c r="E5207" t="s">
        <v>101</v>
      </c>
      <c r="F5207">
        <v>8600</v>
      </c>
      <c r="G5207" t="s">
        <v>331</v>
      </c>
      <c r="H5207" s="15">
        <v>45839</v>
      </c>
      <c r="I5207">
        <v>8600</v>
      </c>
      <c r="J5207">
        <v>0</v>
      </c>
    </row>
    <row r="5208" spans="1:10" x14ac:dyDescent="0.3">
      <c r="A5208" s="15">
        <v>45870</v>
      </c>
      <c r="B5208" t="s">
        <v>439</v>
      </c>
      <c r="C5208" t="s">
        <v>81</v>
      </c>
      <c r="D5208" t="s">
        <v>99</v>
      </c>
      <c r="E5208" t="s">
        <v>87</v>
      </c>
      <c r="F5208">
        <v>1700</v>
      </c>
      <c r="G5208" t="s">
        <v>331</v>
      </c>
      <c r="H5208" s="15">
        <v>45839</v>
      </c>
      <c r="I5208">
        <v>1700</v>
      </c>
      <c r="J5208">
        <v>0</v>
      </c>
    </row>
    <row r="5209" spans="1:10" x14ac:dyDescent="0.3">
      <c r="A5209" s="15">
        <v>45870</v>
      </c>
      <c r="B5209" t="s">
        <v>440</v>
      </c>
      <c r="C5209" t="s">
        <v>81</v>
      </c>
      <c r="D5209" t="s">
        <v>82</v>
      </c>
      <c r="E5209" t="s">
        <v>97</v>
      </c>
      <c r="F5209">
        <v>2000</v>
      </c>
      <c r="G5209" t="s">
        <v>331</v>
      </c>
      <c r="H5209" s="15">
        <v>45839</v>
      </c>
      <c r="I5209">
        <v>2000</v>
      </c>
      <c r="J5209">
        <v>0</v>
      </c>
    </row>
    <row r="5210" spans="1:10" x14ac:dyDescent="0.3">
      <c r="A5210" s="15">
        <v>45870</v>
      </c>
      <c r="B5210" t="s">
        <v>441</v>
      </c>
      <c r="C5210" t="s">
        <v>110</v>
      </c>
      <c r="D5210" t="s">
        <v>86</v>
      </c>
      <c r="E5210" t="s">
        <v>97</v>
      </c>
      <c r="F5210">
        <v>35800</v>
      </c>
      <c r="G5210" t="s">
        <v>331</v>
      </c>
      <c r="H5210" s="15">
        <v>45839</v>
      </c>
      <c r="I5210">
        <v>35800</v>
      </c>
      <c r="J5210">
        <v>0</v>
      </c>
    </row>
    <row r="5211" spans="1:10" x14ac:dyDescent="0.3">
      <c r="A5211" s="15">
        <v>45870</v>
      </c>
      <c r="B5211" t="s">
        <v>442</v>
      </c>
      <c r="C5211" t="s">
        <v>110</v>
      </c>
      <c r="D5211" t="s">
        <v>86</v>
      </c>
      <c r="E5211" t="s">
        <v>83</v>
      </c>
      <c r="F5211">
        <v>23900</v>
      </c>
      <c r="G5211" t="s">
        <v>84</v>
      </c>
      <c r="H5211" s="15">
        <v>45870</v>
      </c>
      <c r="I5211">
        <v>0</v>
      </c>
      <c r="J5211">
        <v>23900</v>
      </c>
    </row>
    <row r="5212" spans="1:10" x14ac:dyDescent="0.3">
      <c r="A5212" s="15">
        <v>45870</v>
      </c>
      <c r="B5212" t="s">
        <v>443</v>
      </c>
      <c r="C5212" t="s">
        <v>81</v>
      </c>
      <c r="D5212" t="s">
        <v>86</v>
      </c>
      <c r="E5212" t="s">
        <v>101</v>
      </c>
      <c r="F5212">
        <v>1800</v>
      </c>
      <c r="G5212" t="s">
        <v>84</v>
      </c>
      <c r="H5212" s="15">
        <v>45870</v>
      </c>
      <c r="I5212">
        <v>0</v>
      </c>
      <c r="J5212">
        <v>1800</v>
      </c>
    </row>
    <row r="5213" spans="1:10" x14ac:dyDescent="0.3">
      <c r="A5213" s="15">
        <v>45870</v>
      </c>
      <c r="B5213" t="s">
        <v>444</v>
      </c>
      <c r="C5213" t="s">
        <v>125</v>
      </c>
      <c r="D5213" t="s">
        <v>82</v>
      </c>
      <c r="E5213" t="s">
        <v>92</v>
      </c>
      <c r="F5213">
        <v>68100</v>
      </c>
      <c r="G5213" t="s">
        <v>84</v>
      </c>
      <c r="H5213" s="15">
        <v>45870</v>
      </c>
      <c r="I5213">
        <v>0</v>
      </c>
      <c r="J5213">
        <v>68100</v>
      </c>
    </row>
    <row r="5214" spans="1:10" x14ac:dyDescent="0.3">
      <c r="A5214" s="15">
        <v>45870</v>
      </c>
      <c r="B5214" t="s">
        <v>445</v>
      </c>
      <c r="C5214" t="s">
        <v>91</v>
      </c>
      <c r="D5214" t="s">
        <v>82</v>
      </c>
      <c r="E5214" t="s">
        <v>89</v>
      </c>
      <c r="F5214">
        <v>4700</v>
      </c>
      <c r="G5214" t="s">
        <v>84</v>
      </c>
      <c r="H5214" s="15">
        <v>45870</v>
      </c>
      <c r="I5214">
        <v>0</v>
      </c>
      <c r="J5214">
        <v>4700</v>
      </c>
    </row>
    <row r="5215" spans="1:10" x14ac:dyDescent="0.3">
      <c r="A5215" s="15">
        <v>45870</v>
      </c>
      <c r="B5215" t="s">
        <v>446</v>
      </c>
      <c r="C5215" t="s">
        <v>81</v>
      </c>
      <c r="D5215" t="s">
        <v>86</v>
      </c>
      <c r="E5215" t="s">
        <v>97</v>
      </c>
      <c r="F5215">
        <v>1800</v>
      </c>
      <c r="G5215" t="s">
        <v>84</v>
      </c>
      <c r="H5215" s="15">
        <v>45870</v>
      </c>
      <c r="I5215">
        <v>0</v>
      </c>
      <c r="J5215">
        <v>1800</v>
      </c>
    </row>
    <row r="5216" spans="1:10" x14ac:dyDescent="0.3">
      <c r="A5216" s="15">
        <v>45870</v>
      </c>
      <c r="B5216" t="s">
        <v>447</v>
      </c>
      <c r="C5216" t="s">
        <v>81</v>
      </c>
      <c r="D5216" t="s">
        <v>86</v>
      </c>
      <c r="E5216" t="s">
        <v>103</v>
      </c>
      <c r="F5216">
        <v>2300</v>
      </c>
      <c r="G5216" t="s">
        <v>84</v>
      </c>
      <c r="H5216" s="15">
        <v>45870</v>
      </c>
      <c r="I5216">
        <v>0</v>
      </c>
      <c r="J5216">
        <v>2300</v>
      </c>
    </row>
    <row r="5217" spans="1:10" x14ac:dyDescent="0.3">
      <c r="A5217" s="15">
        <v>45870</v>
      </c>
      <c r="B5217" t="s">
        <v>448</v>
      </c>
      <c r="C5217" t="s">
        <v>125</v>
      </c>
      <c r="D5217" t="s">
        <v>86</v>
      </c>
      <c r="E5217" t="s">
        <v>89</v>
      </c>
      <c r="F5217">
        <v>68600</v>
      </c>
      <c r="G5217" t="s">
        <v>84</v>
      </c>
      <c r="H5217" s="15">
        <v>45870</v>
      </c>
      <c r="I5217">
        <v>0</v>
      </c>
      <c r="J5217">
        <v>68600</v>
      </c>
    </row>
    <row r="5218" spans="1:10" x14ac:dyDescent="0.3">
      <c r="A5218" s="15">
        <v>45870</v>
      </c>
      <c r="B5218" t="s">
        <v>449</v>
      </c>
      <c r="C5218" t="s">
        <v>81</v>
      </c>
      <c r="D5218" t="s">
        <v>82</v>
      </c>
      <c r="E5218" t="s">
        <v>92</v>
      </c>
      <c r="F5218">
        <v>1400</v>
      </c>
      <c r="G5218" t="s">
        <v>84</v>
      </c>
      <c r="H5218" s="15">
        <v>45870</v>
      </c>
      <c r="I5218">
        <v>0</v>
      </c>
      <c r="J5218">
        <v>1400</v>
      </c>
    </row>
    <row r="5219" spans="1:10" x14ac:dyDescent="0.3">
      <c r="A5219" s="15">
        <v>45901</v>
      </c>
      <c r="B5219" t="s">
        <v>80</v>
      </c>
      <c r="C5219" t="s">
        <v>81</v>
      </c>
      <c r="D5219" t="s">
        <v>82</v>
      </c>
      <c r="E5219" t="s">
        <v>83</v>
      </c>
      <c r="F5219">
        <v>1900</v>
      </c>
      <c r="G5219" t="s">
        <v>331</v>
      </c>
      <c r="H5219" s="15">
        <v>45292</v>
      </c>
      <c r="I5219">
        <v>1900</v>
      </c>
      <c r="J5219">
        <v>0</v>
      </c>
    </row>
    <row r="5220" spans="1:10" x14ac:dyDescent="0.3">
      <c r="A5220" s="15">
        <v>45901</v>
      </c>
      <c r="B5220" t="s">
        <v>85</v>
      </c>
      <c r="C5220" t="s">
        <v>81</v>
      </c>
      <c r="D5220" t="s">
        <v>86</v>
      </c>
      <c r="E5220" t="s">
        <v>87</v>
      </c>
      <c r="F5220">
        <v>2700</v>
      </c>
      <c r="G5220" t="s">
        <v>331</v>
      </c>
      <c r="H5220" s="15">
        <v>45292</v>
      </c>
      <c r="I5220">
        <v>2700</v>
      </c>
      <c r="J5220">
        <v>0</v>
      </c>
    </row>
    <row r="5221" spans="1:10" x14ac:dyDescent="0.3">
      <c r="A5221" s="15">
        <v>45901</v>
      </c>
      <c r="B5221" t="s">
        <v>88</v>
      </c>
      <c r="C5221" t="s">
        <v>81</v>
      </c>
      <c r="D5221" t="s">
        <v>86</v>
      </c>
      <c r="E5221" t="s">
        <v>89</v>
      </c>
      <c r="F5221">
        <v>2400</v>
      </c>
      <c r="G5221" t="s">
        <v>331</v>
      </c>
      <c r="H5221" s="15">
        <v>45292</v>
      </c>
      <c r="I5221">
        <v>2400</v>
      </c>
      <c r="J5221">
        <v>0</v>
      </c>
    </row>
    <row r="5222" spans="1:10" x14ac:dyDescent="0.3">
      <c r="A5222" s="15">
        <v>45901</v>
      </c>
      <c r="B5222" t="s">
        <v>90</v>
      </c>
      <c r="C5222" t="s">
        <v>91</v>
      </c>
      <c r="D5222" t="s">
        <v>82</v>
      </c>
      <c r="E5222" t="s">
        <v>92</v>
      </c>
      <c r="F5222">
        <v>8300</v>
      </c>
      <c r="G5222" t="s">
        <v>331</v>
      </c>
      <c r="H5222" s="15">
        <v>45292</v>
      </c>
      <c r="I5222">
        <v>8300</v>
      </c>
      <c r="J5222">
        <v>0</v>
      </c>
    </row>
    <row r="5223" spans="1:10" x14ac:dyDescent="0.3">
      <c r="A5223" s="15">
        <v>45901</v>
      </c>
      <c r="B5223" t="s">
        <v>93</v>
      </c>
      <c r="C5223" t="s">
        <v>81</v>
      </c>
      <c r="D5223" t="s">
        <v>86</v>
      </c>
      <c r="E5223" t="s">
        <v>83</v>
      </c>
      <c r="F5223">
        <v>2600</v>
      </c>
      <c r="G5223" t="s">
        <v>332</v>
      </c>
      <c r="H5223" s="15">
        <v>45292</v>
      </c>
      <c r="I5223">
        <v>2300</v>
      </c>
      <c r="J5223">
        <v>300</v>
      </c>
    </row>
    <row r="5224" spans="1:10" x14ac:dyDescent="0.3">
      <c r="A5224" s="15">
        <v>45901</v>
      </c>
      <c r="B5224" t="s">
        <v>94</v>
      </c>
      <c r="C5224" t="s">
        <v>91</v>
      </c>
      <c r="D5224" t="s">
        <v>86</v>
      </c>
      <c r="E5224" t="s">
        <v>83</v>
      </c>
      <c r="F5224">
        <v>8500</v>
      </c>
      <c r="G5224" t="s">
        <v>331</v>
      </c>
      <c r="H5224" s="15">
        <v>45292</v>
      </c>
      <c r="I5224">
        <v>8500</v>
      </c>
      <c r="J5224">
        <v>0</v>
      </c>
    </row>
    <row r="5225" spans="1:10" x14ac:dyDescent="0.3">
      <c r="A5225" s="15">
        <v>45901</v>
      </c>
      <c r="B5225" t="s">
        <v>95</v>
      </c>
      <c r="C5225" t="s">
        <v>81</v>
      </c>
      <c r="D5225" t="s">
        <v>96</v>
      </c>
      <c r="E5225" t="s">
        <v>97</v>
      </c>
      <c r="F5225">
        <v>3100</v>
      </c>
      <c r="G5225" t="s">
        <v>331</v>
      </c>
      <c r="H5225" s="15">
        <v>45292</v>
      </c>
      <c r="I5225">
        <v>3100</v>
      </c>
      <c r="J5225">
        <v>0</v>
      </c>
    </row>
    <row r="5226" spans="1:10" x14ac:dyDescent="0.3">
      <c r="A5226" s="15">
        <v>45901</v>
      </c>
      <c r="B5226" t="s">
        <v>98</v>
      </c>
      <c r="C5226" t="s">
        <v>81</v>
      </c>
      <c r="D5226" t="s">
        <v>99</v>
      </c>
      <c r="E5226" t="s">
        <v>92</v>
      </c>
      <c r="F5226">
        <v>2300</v>
      </c>
      <c r="G5226" t="s">
        <v>331</v>
      </c>
      <c r="H5226" s="15">
        <v>45292</v>
      </c>
      <c r="I5226">
        <v>2300</v>
      </c>
      <c r="J5226">
        <v>0</v>
      </c>
    </row>
    <row r="5227" spans="1:10" x14ac:dyDescent="0.3">
      <c r="A5227" s="15">
        <v>45901</v>
      </c>
      <c r="B5227" t="s">
        <v>100</v>
      </c>
      <c r="C5227" t="s">
        <v>81</v>
      </c>
      <c r="D5227" t="s">
        <v>86</v>
      </c>
      <c r="E5227" t="s">
        <v>101</v>
      </c>
      <c r="F5227">
        <v>1800</v>
      </c>
      <c r="G5227" t="s">
        <v>331</v>
      </c>
      <c r="H5227" s="15">
        <v>45292</v>
      </c>
      <c r="I5227">
        <v>1800</v>
      </c>
      <c r="J5227">
        <v>0</v>
      </c>
    </row>
    <row r="5228" spans="1:10" x14ac:dyDescent="0.3">
      <c r="A5228" s="15">
        <v>45901</v>
      </c>
      <c r="B5228" t="s">
        <v>102</v>
      </c>
      <c r="C5228" t="s">
        <v>81</v>
      </c>
      <c r="D5228" t="s">
        <v>99</v>
      </c>
      <c r="E5228" t="s">
        <v>103</v>
      </c>
      <c r="F5228">
        <v>3300</v>
      </c>
      <c r="G5228" t="s">
        <v>331</v>
      </c>
      <c r="H5228" s="15">
        <v>45292</v>
      </c>
      <c r="I5228">
        <v>3300</v>
      </c>
      <c r="J5228">
        <v>0</v>
      </c>
    </row>
    <row r="5229" spans="1:10" x14ac:dyDescent="0.3">
      <c r="A5229" s="15">
        <v>45901</v>
      </c>
      <c r="B5229" t="s">
        <v>104</v>
      </c>
      <c r="C5229" t="s">
        <v>91</v>
      </c>
      <c r="D5229" t="s">
        <v>99</v>
      </c>
      <c r="E5229" t="s">
        <v>87</v>
      </c>
      <c r="F5229">
        <v>7000</v>
      </c>
      <c r="G5229" t="s">
        <v>331</v>
      </c>
      <c r="H5229" s="15">
        <v>45292</v>
      </c>
      <c r="I5229">
        <v>7000</v>
      </c>
      <c r="J5229">
        <v>0</v>
      </c>
    </row>
    <row r="5230" spans="1:10" x14ac:dyDescent="0.3">
      <c r="A5230" s="15">
        <v>45901</v>
      </c>
      <c r="B5230" t="s">
        <v>105</v>
      </c>
      <c r="C5230" t="s">
        <v>91</v>
      </c>
      <c r="D5230" t="s">
        <v>86</v>
      </c>
      <c r="E5230" t="s">
        <v>89</v>
      </c>
      <c r="F5230">
        <v>12900</v>
      </c>
      <c r="G5230" t="s">
        <v>331</v>
      </c>
      <c r="H5230" s="15">
        <v>45292</v>
      </c>
      <c r="I5230">
        <v>12900</v>
      </c>
      <c r="J5230">
        <v>0</v>
      </c>
    </row>
    <row r="5231" spans="1:10" x14ac:dyDescent="0.3">
      <c r="A5231" s="15">
        <v>45901</v>
      </c>
      <c r="B5231" t="s">
        <v>106</v>
      </c>
      <c r="C5231" t="s">
        <v>81</v>
      </c>
      <c r="D5231" t="s">
        <v>99</v>
      </c>
      <c r="E5231" t="s">
        <v>92</v>
      </c>
      <c r="F5231">
        <v>2700</v>
      </c>
      <c r="G5231" t="s">
        <v>331</v>
      </c>
      <c r="H5231" s="15">
        <v>45292</v>
      </c>
      <c r="I5231">
        <v>2700</v>
      </c>
      <c r="J5231">
        <v>0</v>
      </c>
    </row>
    <row r="5232" spans="1:10" x14ac:dyDescent="0.3">
      <c r="A5232" s="15">
        <v>45901</v>
      </c>
      <c r="B5232" t="s">
        <v>109</v>
      </c>
      <c r="C5232" t="s">
        <v>110</v>
      </c>
      <c r="D5232" t="s">
        <v>82</v>
      </c>
      <c r="E5232" t="s">
        <v>103</v>
      </c>
      <c r="F5232">
        <v>37500</v>
      </c>
      <c r="G5232" t="s">
        <v>332</v>
      </c>
      <c r="H5232" s="15">
        <v>45292</v>
      </c>
      <c r="I5232">
        <v>32700</v>
      </c>
      <c r="J5232">
        <v>4800</v>
      </c>
    </row>
    <row r="5233" spans="1:10" x14ac:dyDescent="0.3">
      <c r="A5233" s="15">
        <v>45901</v>
      </c>
      <c r="B5233" t="s">
        <v>111</v>
      </c>
      <c r="C5233" t="s">
        <v>91</v>
      </c>
      <c r="D5233" t="s">
        <v>82</v>
      </c>
      <c r="E5233" t="s">
        <v>83</v>
      </c>
      <c r="F5233">
        <v>8800</v>
      </c>
      <c r="G5233" t="s">
        <v>331</v>
      </c>
      <c r="H5233" s="15">
        <v>45292</v>
      </c>
      <c r="I5233">
        <v>8800</v>
      </c>
      <c r="J5233">
        <v>0</v>
      </c>
    </row>
    <row r="5234" spans="1:10" x14ac:dyDescent="0.3">
      <c r="A5234" s="15">
        <v>45901</v>
      </c>
      <c r="B5234" t="s">
        <v>112</v>
      </c>
      <c r="C5234" t="s">
        <v>91</v>
      </c>
      <c r="D5234" t="s">
        <v>82</v>
      </c>
      <c r="E5234" t="s">
        <v>92</v>
      </c>
      <c r="F5234">
        <v>8600</v>
      </c>
      <c r="G5234" t="s">
        <v>331</v>
      </c>
      <c r="H5234" s="15">
        <v>45292</v>
      </c>
      <c r="I5234">
        <v>8600</v>
      </c>
      <c r="J5234">
        <v>0</v>
      </c>
    </row>
    <row r="5235" spans="1:10" x14ac:dyDescent="0.3">
      <c r="A5235" s="15">
        <v>45901</v>
      </c>
      <c r="B5235" t="s">
        <v>113</v>
      </c>
      <c r="C5235" t="s">
        <v>81</v>
      </c>
      <c r="D5235" t="s">
        <v>96</v>
      </c>
      <c r="E5235" t="s">
        <v>89</v>
      </c>
      <c r="F5235">
        <v>2500</v>
      </c>
      <c r="G5235" t="s">
        <v>331</v>
      </c>
      <c r="H5235" s="15">
        <v>45292</v>
      </c>
      <c r="I5235">
        <v>2500</v>
      </c>
      <c r="J5235">
        <v>0</v>
      </c>
    </row>
    <row r="5236" spans="1:10" x14ac:dyDescent="0.3">
      <c r="A5236" s="15">
        <v>45901</v>
      </c>
      <c r="B5236" t="s">
        <v>114</v>
      </c>
      <c r="C5236" t="s">
        <v>110</v>
      </c>
      <c r="D5236" t="s">
        <v>99</v>
      </c>
      <c r="E5236" t="s">
        <v>97</v>
      </c>
      <c r="F5236">
        <v>46200</v>
      </c>
      <c r="G5236" t="s">
        <v>331</v>
      </c>
      <c r="H5236" s="15">
        <v>45292</v>
      </c>
      <c r="I5236">
        <v>46200</v>
      </c>
      <c r="J5236">
        <v>0</v>
      </c>
    </row>
    <row r="5237" spans="1:10" x14ac:dyDescent="0.3">
      <c r="A5237" s="15">
        <v>45901</v>
      </c>
      <c r="B5237" t="s">
        <v>115</v>
      </c>
      <c r="C5237" t="s">
        <v>81</v>
      </c>
      <c r="D5237" t="s">
        <v>82</v>
      </c>
      <c r="E5237" t="s">
        <v>101</v>
      </c>
      <c r="F5237">
        <v>2600</v>
      </c>
      <c r="G5237" t="s">
        <v>331</v>
      </c>
      <c r="H5237" s="15">
        <v>45292</v>
      </c>
      <c r="I5237">
        <v>2600</v>
      </c>
      <c r="J5237">
        <v>0</v>
      </c>
    </row>
    <row r="5238" spans="1:10" x14ac:dyDescent="0.3">
      <c r="A5238" s="15">
        <v>45901</v>
      </c>
      <c r="B5238" t="s">
        <v>116</v>
      </c>
      <c r="C5238" t="s">
        <v>81</v>
      </c>
      <c r="D5238" t="s">
        <v>86</v>
      </c>
      <c r="E5238" t="s">
        <v>87</v>
      </c>
      <c r="F5238">
        <v>2900</v>
      </c>
      <c r="G5238" t="s">
        <v>331</v>
      </c>
      <c r="H5238" s="15">
        <v>45292</v>
      </c>
      <c r="I5238">
        <v>2900</v>
      </c>
      <c r="J5238">
        <v>0</v>
      </c>
    </row>
    <row r="5239" spans="1:10" x14ac:dyDescent="0.3">
      <c r="A5239" s="15">
        <v>45901</v>
      </c>
      <c r="B5239" t="s">
        <v>117</v>
      </c>
      <c r="C5239" t="s">
        <v>81</v>
      </c>
      <c r="D5239" t="s">
        <v>86</v>
      </c>
      <c r="E5239" t="s">
        <v>103</v>
      </c>
      <c r="F5239">
        <v>2500</v>
      </c>
      <c r="G5239" t="s">
        <v>331</v>
      </c>
      <c r="H5239" s="15">
        <v>45292</v>
      </c>
      <c r="I5239">
        <v>2500</v>
      </c>
      <c r="J5239">
        <v>0</v>
      </c>
    </row>
    <row r="5240" spans="1:10" x14ac:dyDescent="0.3">
      <c r="A5240" s="15">
        <v>45901</v>
      </c>
      <c r="B5240" t="s">
        <v>120</v>
      </c>
      <c r="C5240" t="s">
        <v>81</v>
      </c>
      <c r="D5240" t="s">
        <v>86</v>
      </c>
      <c r="E5240" t="s">
        <v>101</v>
      </c>
      <c r="F5240">
        <v>2200</v>
      </c>
      <c r="G5240" t="s">
        <v>331</v>
      </c>
      <c r="H5240" s="15">
        <v>45292</v>
      </c>
      <c r="I5240">
        <v>2200</v>
      </c>
      <c r="J5240">
        <v>0</v>
      </c>
    </row>
    <row r="5241" spans="1:10" x14ac:dyDescent="0.3">
      <c r="A5241" s="15">
        <v>45901</v>
      </c>
      <c r="B5241" t="s">
        <v>123</v>
      </c>
      <c r="C5241" t="s">
        <v>81</v>
      </c>
      <c r="D5241" t="s">
        <v>82</v>
      </c>
      <c r="E5241" t="s">
        <v>92</v>
      </c>
      <c r="F5241">
        <v>1900</v>
      </c>
      <c r="G5241" t="s">
        <v>334</v>
      </c>
      <c r="H5241" s="15">
        <v>45292</v>
      </c>
      <c r="I5241">
        <v>2200</v>
      </c>
      <c r="J5241">
        <v>-300</v>
      </c>
    </row>
    <row r="5242" spans="1:10" x14ac:dyDescent="0.3">
      <c r="A5242" s="15">
        <v>45901</v>
      </c>
      <c r="B5242" t="s">
        <v>124</v>
      </c>
      <c r="C5242" t="s">
        <v>125</v>
      </c>
      <c r="D5242" t="s">
        <v>82</v>
      </c>
      <c r="E5242" t="s">
        <v>97</v>
      </c>
      <c r="F5242">
        <v>67900</v>
      </c>
      <c r="G5242" t="s">
        <v>331</v>
      </c>
      <c r="H5242" s="15">
        <v>45292</v>
      </c>
      <c r="I5242">
        <v>67900</v>
      </c>
      <c r="J5242">
        <v>0</v>
      </c>
    </row>
    <row r="5243" spans="1:10" x14ac:dyDescent="0.3">
      <c r="A5243" s="15">
        <v>45901</v>
      </c>
      <c r="B5243" t="s">
        <v>126</v>
      </c>
      <c r="C5243" t="s">
        <v>91</v>
      </c>
      <c r="D5243" t="s">
        <v>82</v>
      </c>
      <c r="E5243" t="s">
        <v>83</v>
      </c>
      <c r="F5243">
        <v>8800</v>
      </c>
      <c r="G5243" t="s">
        <v>331</v>
      </c>
      <c r="H5243" s="15">
        <v>45292</v>
      </c>
      <c r="I5243">
        <v>8800</v>
      </c>
      <c r="J5243">
        <v>0</v>
      </c>
    </row>
    <row r="5244" spans="1:10" x14ac:dyDescent="0.3">
      <c r="A5244" s="15">
        <v>45901</v>
      </c>
      <c r="B5244" t="s">
        <v>127</v>
      </c>
      <c r="C5244" t="s">
        <v>81</v>
      </c>
      <c r="D5244" t="s">
        <v>82</v>
      </c>
      <c r="E5244" t="s">
        <v>101</v>
      </c>
      <c r="F5244">
        <v>2400</v>
      </c>
      <c r="G5244" t="s">
        <v>331</v>
      </c>
      <c r="H5244" s="15">
        <v>45292</v>
      </c>
      <c r="I5244">
        <v>2400</v>
      </c>
      <c r="J5244">
        <v>0</v>
      </c>
    </row>
    <row r="5245" spans="1:10" x14ac:dyDescent="0.3">
      <c r="A5245" s="15">
        <v>45901</v>
      </c>
      <c r="B5245" t="s">
        <v>128</v>
      </c>
      <c r="C5245" t="s">
        <v>81</v>
      </c>
      <c r="D5245" t="s">
        <v>82</v>
      </c>
      <c r="E5245" t="s">
        <v>92</v>
      </c>
      <c r="F5245">
        <v>1700</v>
      </c>
      <c r="G5245" t="s">
        <v>331</v>
      </c>
      <c r="H5245" s="15">
        <v>45292</v>
      </c>
      <c r="I5245">
        <v>1700</v>
      </c>
      <c r="J5245">
        <v>0</v>
      </c>
    </row>
    <row r="5246" spans="1:10" x14ac:dyDescent="0.3">
      <c r="A5246" s="15">
        <v>45901</v>
      </c>
      <c r="B5246" t="s">
        <v>129</v>
      </c>
      <c r="C5246" t="s">
        <v>110</v>
      </c>
      <c r="D5246" t="s">
        <v>86</v>
      </c>
      <c r="E5246" t="s">
        <v>92</v>
      </c>
      <c r="F5246">
        <v>34200</v>
      </c>
      <c r="G5246" t="s">
        <v>331</v>
      </c>
      <c r="H5246" s="15">
        <v>45292</v>
      </c>
      <c r="I5246">
        <v>34200</v>
      </c>
      <c r="J5246">
        <v>0</v>
      </c>
    </row>
    <row r="5247" spans="1:10" x14ac:dyDescent="0.3">
      <c r="A5247" s="15">
        <v>45901</v>
      </c>
      <c r="B5247" t="s">
        <v>133</v>
      </c>
      <c r="C5247" t="s">
        <v>81</v>
      </c>
      <c r="D5247" t="s">
        <v>96</v>
      </c>
      <c r="E5247" t="s">
        <v>87</v>
      </c>
      <c r="F5247">
        <v>2700</v>
      </c>
      <c r="G5247" t="s">
        <v>331</v>
      </c>
      <c r="H5247" s="15">
        <v>45292</v>
      </c>
      <c r="I5247">
        <v>2700</v>
      </c>
      <c r="J5247">
        <v>0</v>
      </c>
    </row>
    <row r="5248" spans="1:10" x14ac:dyDescent="0.3">
      <c r="A5248" s="15">
        <v>45901</v>
      </c>
      <c r="B5248" t="s">
        <v>134</v>
      </c>
      <c r="C5248" t="s">
        <v>81</v>
      </c>
      <c r="D5248" t="s">
        <v>82</v>
      </c>
      <c r="E5248" t="s">
        <v>92</v>
      </c>
      <c r="F5248">
        <v>2400</v>
      </c>
      <c r="G5248" t="s">
        <v>331</v>
      </c>
      <c r="H5248" s="15">
        <v>45292</v>
      </c>
      <c r="I5248">
        <v>2400</v>
      </c>
      <c r="J5248">
        <v>0</v>
      </c>
    </row>
    <row r="5249" spans="1:10" x14ac:dyDescent="0.3">
      <c r="A5249" s="15">
        <v>45901</v>
      </c>
      <c r="B5249" t="s">
        <v>135</v>
      </c>
      <c r="C5249" t="s">
        <v>81</v>
      </c>
      <c r="D5249" t="s">
        <v>82</v>
      </c>
      <c r="E5249" t="s">
        <v>103</v>
      </c>
      <c r="F5249">
        <v>2400</v>
      </c>
      <c r="G5249" t="s">
        <v>331</v>
      </c>
      <c r="H5249" s="15">
        <v>45292</v>
      </c>
      <c r="I5249">
        <v>2400</v>
      </c>
      <c r="J5249">
        <v>0</v>
      </c>
    </row>
    <row r="5250" spans="1:10" x14ac:dyDescent="0.3">
      <c r="A5250" s="15">
        <v>45901</v>
      </c>
      <c r="B5250" t="s">
        <v>136</v>
      </c>
      <c r="C5250" t="s">
        <v>81</v>
      </c>
      <c r="D5250" t="s">
        <v>82</v>
      </c>
      <c r="E5250" t="s">
        <v>101</v>
      </c>
      <c r="F5250">
        <v>2900</v>
      </c>
      <c r="G5250" t="s">
        <v>331</v>
      </c>
      <c r="H5250" s="15">
        <v>45292</v>
      </c>
      <c r="I5250">
        <v>2900</v>
      </c>
      <c r="J5250">
        <v>0</v>
      </c>
    </row>
    <row r="5251" spans="1:10" x14ac:dyDescent="0.3">
      <c r="A5251" s="15">
        <v>45901</v>
      </c>
      <c r="B5251" t="s">
        <v>138</v>
      </c>
      <c r="C5251" t="s">
        <v>81</v>
      </c>
      <c r="D5251" t="s">
        <v>86</v>
      </c>
      <c r="E5251" t="s">
        <v>97</v>
      </c>
      <c r="F5251">
        <v>3300</v>
      </c>
      <c r="G5251" t="s">
        <v>331</v>
      </c>
      <c r="H5251" s="15">
        <v>45292</v>
      </c>
      <c r="I5251">
        <v>3300</v>
      </c>
      <c r="J5251">
        <v>0</v>
      </c>
    </row>
    <row r="5252" spans="1:10" x14ac:dyDescent="0.3">
      <c r="A5252" s="15">
        <v>45901</v>
      </c>
      <c r="B5252" t="s">
        <v>139</v>
      </c>
      <c r="C5252" t="s">
        <v>91</v>
      </c>
      <c r="D5252" t="s">
        <v>82</v>
      </c>
      <c r="E5252" t="s">
        <v>103</v>
      </c>
      <c r="F5252">
        <v>6800</v>
      </c>
      <c r="G5252" t="s">
        <v>331</v>
      </c>
      <c r="H5252" s="15">
        <v>45292</v>
      </c>
      <c r="I5252">
        <v>6800</v>
      </c>
      <c r="J5252">
        <v>0</v>
      </c>
    </row>
    <row r="5253" spans="1:10" x14ac:dyDescent="0.3">
      <c r="A5253" s="15">
        <v>45901</v>
      </c>
      <c r="B5253" t="s">
        <v>141</v>
      </c>
      <c r="C5253" t="s">
        <v>125</v>
      </c>
      <c r="D5253" t="s">
        <v>99</v>
      </c>
      <c r="E5253" t="s">
        <v>103</v>
      </c>
      <c r="F5253">
        <v>127400</v>
      </c>
      <c r="G5253" t="s">
        <v>331</v>
      </c>
      <c r="H5253" s="15">
        <v>45292</v>
      </c>
      <c r="I5253">
        <v>127400</v>
      </c>
      <c r="J5253">
        <v>0</v>
      </c>
    </row>
    <row r="5254" spans="1:10" x14ac:dyDescent="0.3">
      <c r="A5254" s="15">
        <v>45901</v>
      </c>
      <c r="B5254" t="s">
        <v>142</v>
      </c>
      <c r="C5254" t="s">
        <v>125</v>
      </c>
      <c r="D5254" t="s">
        <v>82</v>
      </c>
      <c r="E5254" t="s">
        <v>92</v>
      </c>
      <c r="F5254">
        <v>103800</v>
      </c>
      <c r="G5254" t="s">
        <v>331</v>
      </c>
      <c r="H5254" s="15">
        <v>45292</v>
      </c>
      <c r="I5254">
        <v>103800</v>
      </c>
      <c r="J5254">
        <v>0</v>
      </c>
    </row>
    <row r="5255" spans="1:10" x14ac:dyDescent="0.3">
      <c r="A5255" s="15">
        <v>45901</v>
      </c>
      <c r="B5255" t="s">
        <v>143</v>
      </c>
      <c r="C5255" t="s">
        <v>91</v>
      </c>
      <c r="D5255" t="s">
        <v>99</v>
      </c>
      <c r="E5255" t="s">
        <v>103</v>
      </c>
      <c r="F5255">
        <v>8000</v>
      </c>
      <c r="G5255" t="s">
        <v>331</v>
      </c>
      <c r="H5255" s="15">
        <v>45292</v>
      </c>
      <c r="I5255">
        <v>8000</v>
      </c>
      <c r="J5255">
        <v>0</v>
      </c>
    </row>
    <row r="5256" spans="1:10" x14ac:dyDescent="0.3">
      <c r="A5256" s="15">
        <v>45901</v>
      </c>
      <c r="B5256" t="s">
        <v>144</v>
      </c>
      <c r="C5256" t="s">
        <v>81</v>
      </c>
      <c r="D5256" t="s">
        <v>82</v>
      </c>
      <c r="E5256" t="s">
        <v>92</v>
      </c>
      <c r="F5256">
        <v>2400</v>
      </c>
      <c r="G5256" t="s">
        <v>331</v>
      </c>
      <c r="H5256" s="15">
        <v>45292</v>
      </c>
      <c r="I5256">
        <v>2400</v>
      </c>
      <c r="J5256">
        <v>0</v>
      </c>
    </row>
    <row r="5257" spans="1:10" x14ac:dyDescent="0.3">
      <c r="A5257" s="15">
        <v>45901</v>
      </c>
      <c r="B5257" t="s">
        <v>145</v>
      </c>
      <c r="C5257" t="s">
        <v>91</v>
      </c>
      <c r="D5257" t="s">
        <v>82</v>
      </c>
      <c r="E5257" t="s">
        <v>87</v>
      </c>
      <c r="F5257">
        <v>8200</v>
      </c>
      <c r="G5257" t="s">
        <v>331</v>
      </c>
      <c r="H5257" s="15">
        <v>45292</v>
      </c>
      <c r="I5257">
        <v>8200</v>
      </c>
      <c r="J5257">
        <v>0</v>
      </c>
    </row>
    <row r="5258" spans="1:10" x14ac:dyDescent="0.3">
      <c r="A5258" s="15">
        <v>45901</v>
      </c>
      <c r="B5258" t="s">
        <v>146</v>
      </c>
      <c r="C5258" t="s">
        <v>91</v>
      </c>
      <c r="D5258" t="s">
        <v>86</v>
      </c>
      <c r="E5258" t="s">
        <v>87</v>
      </c>
      <c r="F5258">
        <v>10100</v>
      </c>
      <c r="G5258" t="s">
        <v>331</v>
      </c>
      <c r="H5258" s="15">
        <v>45292</v>
      </c>
      <c r="I5258">
        <v>10100</v>
      </c>
      <c r="J5258">
        <v>0</v>
      </c>
    </row>
    <row r="5259" spans="1:10" x14ac:dyDescent="0.3">
      <c r="A5259" s="15">
        <v>45901</v>
      </c>
      <c r="B5259" t="s">
        <v>149</v>
      </c>
      <c r="C5259" t="s">
        <v>110</v>
      </c>
      <c r="D5259" t="s">
        <v>82</v>
      </c>
      <c r="E5259" t="s">
        <v>103</v>
      </c>
      <c r="F5259">
        <v>31000</v>
      </c>
      <c r="G5259" t="s">
        <v>331</v>
      </c>
      <c r="H5259" s="15">
        <v>45292</v>
      </c>
      <c r="I5259">
        <v>31000</v>
      </c>
      <c r="J5259">
        <v>0</v>
      </c>
    </row>
    <row r="5260" spans="1:10" x14ac:dyDescent="0.3">
      <c r="A5260" s="15">
        <v>45901</v>
      </c>
      <c r="B5260" t="s">
        <v>151</v>
      </c>
      <c r="C5260" t="s">
        <v>91</v>
      </c>
      <c r="D5260" t="s">
        <v>82</v>
      </c>
      <c r="E5260" t="s">
        <v>97</v>
      </c>
      <c r="F5260">
        <v>6800</v>
      </c>
      <c r="G5260" t="s">
        <v>331</v>
      </c>
      <c r="H5260" s="15">
        <v>45292</v>
      </c>
      <c r="I5260">
        <v>6800</v>
      </c>
      <c r="J5260">
        <v>0</v>
      </c>
    </row>
    <row r="5261" spans="1:10" x14ac:dyDescent="0.3">
      <c r="A5261" s="15">
        <v>45901</v>
      </c>
      <c r="B5261" t="s">
        <v>154</v>
      </c>
      <c r="C5261" t="s">
        <v>91</v>
      </c>
      <c r="D5261" t="s">
        <v>86</v>
      </c>
      <c r="E5261" t="s">
        <v>103</v>
      </c>
      <c r="F5261">
        <v>8800</v>
      </c>
      <c r="G5261" t="s">
        <v>331</v>
      </c>
      <c r="H5261" s="15">
        <v>45292</v>
      </c>
      <c r="I5261">
        <v>8800</v>
      </c>
      <c r="J5261">
        <v>0</v>
      </c>
    </row>
    <row r="5262" spans="1:10" x14ac:dyDescent="0.3">
      <c r="A5262" s="15">
        <v>45901</v>
      </c>
      <c r="B5262" t="s">
        <v>155</v>
      </c>
      <c r="C5262" t="s">
        <v>91</v>
      </c>
      <c r="D5262" t="s">
        <v>82</v>
      </c>
      <c r="E5262" t="s">
        <v>92</v>
      </c>
      <c r="F5262">
        <v>7100</v>
      </c>
      <c r="G5262" t="s">
        <v>331</v>
      </c>
      <c r="H5262" s="15">
        <v>45292</v>
      </c>
      <c r="I5262">
        <v>7100</v>
      </c>
      <c r="J5262">
        <v>0</v>
      </c>
    </row>
    <row r="5263" spans="1:10" x14ac:dyDescent="0.3">
      <c r="A5263" s="15">
        <v>45901</v>
      </c>
      <c r="B5263" t="s">
        <v>156</v>
      </c>
      <c r="C5263" t="s">
        <v>81</v>
      </c>
      <c r="D5263" t="s">
        <v>86</v>
      </c>
      <c r="E5263" t="s">
        <v>101</v>
      </c>
      <c r="F5263">
        <v>2300</v>
      </c>
      <c r="G5263" t="s">
        <v>331</v>
      </c>
      <c r="H5263" s="15">
        <v>45292</v>
      </c>
      <c r="I5263">
        <v>2300</v>
      </c>
      <c r="J5263">
        <v>0</v>
      </c>
    </row>
    <row r="5264" spans="1:10" x14ac:dyDescent="0.3">
      <c r="A5264" s="15">
        <v>45901</v>
      </c>
      <c r="B5264" t="s">
        <v>157</v>
      </c>
      <c r="C5264" t="s">
        <v>81</v>
      </c>
      <c r="D5264" t="s">
        <v>82</v>
      </c>
      <c r="E5264" t="s">
        <v>92</v>
      </c>
      <c r="F5264">
        <v>1800</v>
      </c>
      <c r="G5264" t="s">
        <v>331</v>
      </c>
      <c r="H5264" s="15">
        <v>45292</v>
      </c>
      <c r="I5264">
        <v>1800</v>
      </c>
      <c r="J5264">
        <v>0</v>
      </c>
    </row>
    <row r="5265" spans="1:10" x14ac:dyDescent="0.3">
      <c r="A5265" s="15">
        <v>45901</v>
      </c>
      <c r="B5265" t="s">
        <v>158</v>
      </c>
      <c r="C5265" t="s">
        <v>91</v>
      </c>
      <c r="D5265" t="s">
        <v>96</v>
      </c>
      <c r="E5265" t="s">
        <v>83</v>
      </c>
      <c r="F5265">
        <v>12600</v>
      </c>
      <c r="G5265" t="s">
        <v>331</v>
      </c>
      <c r="H5265" s="15">
        <v>45292</v>
      </c>
      <c r="I5265">
        <v>12600</v>
      </c>
      <c r="J5265">
        <v>0</v>
      </c>
    </row>
    <row r="5266" spans="1:10" x14ac:dyDescent="0.3">
      <c r="A5266" s="15">
        <v>45901</v>
      </c>
      <c r="B5266" t="s">
        <v>159</v>
      </c>
      <c r="C5266" t="s">
        <v>81</v>
      </c>
      <c r="D5266" t="s">
        <v>86</v>
      </c>
      <c r="E5266" t="s">
        <v>87</v>
      </c>
      <c r="F5266">
        <v>2400</v>
      </c>
      <c r="G5266" t="s">
        <v>331</v>
      </c>
      <c r="H5266" s="15">
        <v>45292</v>
      </c>
      <c r="I5266">
        <v>2400</v>
      </c>
      <c r="J5266">
        <v>0</v>
      </c>
    </row>
    <row r="5267" spans="1:10" x14ac:dyDescent="0.3">
      <c r="A5267" s="15">
        <v>45901</v>
      </c>
      <c r="B5267" t="s">
        <v>161</v>
      </c>
      <c r="C5267" t="s">
        <v>91</v>
      </c>
      <c r="D5267" t="s">
        <v>99</v>
      </c>
      <c r="E5267" t="s">
        <v>83</v>
      </c>
      <c r="F5267">
        <v>11700</v>
      </c>
      <c r="G5267" t="s">
        <v>331</v>
      </c>
      <c r="H5267" s="15">
        <v>45292</v>
      </c>
      <c r="I5267">
        <v>11700</v>
      </c>
      <c r="J5267">
        <v>0</v>
      </c>
    </row>
    <row r="5268" spans="1:10" x14ac:dyDescent="0.3">
      <c r="A5268" s="15">
        <v>45901</v>
      </c>
      <c r="B5268" t="s">
        <v>162</v>
      </c>
      <c r="C5268" t="s">
        <v>91</v>
      </c>
      <c r="D5268" t="s">
        <v>82</v>
      </c>
      <c r="E5268" t="s">
        <v>103</v>
      </c>
      <c r="F5268">
        <v>10900</v>
      </c>
      <c r="G5268" t="s">
        <v>334</v>
      </c>
      <c r="H5268" s="15">
        <v>45292</v>
      </c>
      <c r="I5268">
        <v>12700</v>
      </c>
      <c r="J5268">
        <v>-1800</v>
      </c>
    </row>
    <row r="5269" spans="1:10" x14ac:dyDescent="0.3">
      <c r="A5269" s="15">
        <v>45901</v>
      </c>
      <c r="B5269" t="s">
        <v>164</v>
      </c>
      <c r="C5269" t="s">
        <v>81</v>
      </c>
      <c r="D5269" t="s">
        <v>99</v>
      </c>
      <c r="E5269" t="s">
        <v>89</v>
      </c>
      <c r="F5269">
        <v>2800</v>
      </c>
      <c r="G5269" t="s">
        <v>331</v>
      </c>
      <c r="H5269" s="15">
        <v>45292</v>
      </c>
      <c r="I5269">
        <v>2800</v>
      </c>
      <c r="J5269">
        <v>0</v>
      </c>
    </row>
    <row r="5270" spans="1:10" x14ac:dyDescent="0.3">
      <c r="A5270" s="15">
        <v>45901</v>
      </c>
      <c r="B5270" t="s">
        <v>165</v>
      </c>
      <c r="C5270" t="s">
        <v>81</v>
      </c>
      <c r="D5270" t="s">
        <v>82</v>
      </c>
      <c r="E5270" t="s">
        <v>97</v>
      </c>
      <c r="F5270">
        <v>2700</v>
      </c>
      <c r="G5270" t="s">
        <v>331</v>
      </c>
      <c r="H5270" s="15">
        <v>45292</v>
      </c>
      <c r="I5270">
        <v>2700</v>
      </c>
      <c r="J5270">
        <v>0</v>
      </c>
    </row>
    <row r="5271" spans="1:10" x14ac:dyDescent="0.3">
      <c r="A5271" s="15">
        <v>45901</v>
      </c>
      <c r="B5271" t="s">
        <v>166</v>
      </c>
      <c r="C5271" t="s">
        <v>81</v>
      </c>
      <c r="D5271" t="s">
        <v>99</v>
      </c>
      <c r="E5271" t="s">
        <v>103</v>
      </c>
      <c r="F5271">
        <v>2600</v>
      </c>
      <c r="G5271" t="s">
        <v>331</v>
      </c>
      <c r="H5271" s="15">
        <v>45292</v>
      </c>
      <c r="I5271">
        <v>2600</v>
      </c>
      <c r="J5271">
        <v>0</v>
      </c>
    </row>
    <row r="5272" spans="1:10" x14ac:dyDescent="0.3">
      <c r="A5272" s="15">
        <v>45901</v>
      </c>
      <c r="B5272" t="s">
        <v>167</v>
      </c>
      <c r="C5272" t="s">
        <v>81</v>
      </c>
      <c r="D5272" t="s">
        <v>82</v>
      </c>
      <c r="E5272" t="s">
        <v>97</v>
      </c>
      <c r="F5272">
        <v>1900</v>
      </c>
      <c r="G5272" t="s">
        <v>331</v>
      </c>
      <c r="H5272" s="15">
        <v>45292</v>
      </c>
      <c r="I5272">
        <v>1900</v>
      </c>
      <c r="J5272">
        <v>0</v>
      </c>
    </row>
    <row r="5273" spans="1:10" x14ac:dyDescent="0.3">
      <c r="A5273" s="15">
        <v>45901</v>
      </c>
      <c r="B5273" t="s">
        <v>168</v>
      </c>
      <c r="C5273" t="s">
        <v>91</v>
      </c>
      <c r="D5273" t="s">
        <v>86</v>
      </c>
      <c r="E5273" t="s">
        <v>103</v>
      </c>
      <c r="F5273">
        <v>13000</v>
      </c>
      <c r="G5273" t="s">
        <v>331</v>
      </c>
      <c r="H5273" s="15">
        <v>45292</v>
      </c>
      <c r="I5273">
        <v>13000</v>
      </c>
      <c r="J5273">
        <v>0</v>
      </c>
    </row>
    <row r="5274" spans="1:10" x14ac:dyDescent="0.3">
      <c r="A5274" s="15">
        <v>45901</v>
      </c>
      <c r="B5274" t="s">
        <v>170</v>
      </c>
      <c r="C5274" t="s">
        <v>91</v>
      </c>
      <c r="D5274" t="s">
        <v>99</v>
      </c>
      <c r="E5274" t="s">
        <v>83</v>
      </c>
      <c r="F5274">
        <v>6500</v>
      </c>
      <c r="G5274" t="s">
        <v>331</v>
      </c>
      <c r="H5274" s="15">
        <v>45292</v>
      </c>
      <c r="I5274">
        <v>6500</v>
      </c>
      <c r="J5274">
        <v>0</v>
      </c>
    </row>
    <row r="5275" spans="1:10" x14ac:dyDescent="0.3">
      <c r="A5275" s="15">
        <v>45901</v>
      </c>
      <c r="B5275" t="s">
        <v>171</v>
      </c>
      <c r="C5275" t="s">
        <v>81</v>
      </c>
      <c r="D5275" t="s">
        <v>99</v>
      </c>
      <c r="E5275" t="s">
        <v>97</v>
      </c>
      <c r="F5275">
        <v>1700</v>
      </c>
      <c r="G5275" t="s">
        <v>331</v>
      </c>
      <c r="H5275" s="15">
        <v>45292</v>
      </c>
      <c r="I5275">
        <v>1700</v>
      </c>
      <c r="J5275">
        <v>0</v>
      </c>
    </row>
    <row r="5276" spans="1:10" x14ac:dyDescent="0.3">
      <c r="A5276" s="15">
        <v>45901</v>
      </c>
      <c r="B5276" t="s">
        <v>174</v>
      </c>
      <c r="C5276" t="s">
        <v>81</v>
      </c>
      <c r="D5276" t="s">
        <v>82</v>
      </c>
      <c r="E5276" t="s">
        <v>92</v>
      </c>
      <c r="F5276">
        <v>2400</v>
      </c>
      <c r="G5276" t="s">
        <v>331</v>
      </c>
      <c r="H5276" s="15">
        <v>45292</v>
      </c>
      <c r="I5276">
        <v>2400</v>
      </c>
      <c r="J5276">
        <v>0</v>
      </c>
    </row>
    <row r="5277" spans="1:10" x14ac:dyDescent="0.3">
      <c r="A5277" s="15">
        <v>45901</v>
      </c>
      <c r="B5277" t="s">
        <v>175</v>
      </c>
      <c r="C5277" t="s">
        <v>91</v>
      </c>
      <c r="D5277" t="s">
        <v>96</v>
      </c>
      <c r="E5277" t="s">
        <v>83</v>
      </c>
      <c r="F5277">
        <v>8800</v>
      </c>
      <c r="G5277" t="s">
        <v>331</v>
      </c>
      <c r="H5277" s="15">
        <v>45292</v>
      </c>
      <c r="I5277">
        <v>8800</v>
      </c>
      <c r="J5277">
        <v>0</v>
      </c>
    </row>
    <row r="5278" spans="1:10" x14ac:dyDescent="0.3">
      <c r="A5278" s="15">
        <v>45901</v>
      </c>
      <c r="B5278" t="s">
        <v>176</v>
      </c>
      <c r="C5278" t="s">
        <v>81</v>
      </c>
      <c r="D5278" t="s">
        <v>99</v>
      </c>
      <c r="E5278" t="s">
        <v>92</v>
      </c>
      <c r="F5278">
        <v>2900</v>
      </c>
      <c r="G5278" t="s">
        <v>331</v>
      </c>
      <c r="H5278" s="15">
        <v>45292</v>
      </c>
      <c r="I5278">
        <v>2900</v>
      </c>
      <c r="J5278">
        <v>0</v>
      </c>
    </row>
    <row r="5279" spans="1:10" x14ac:dyDescent="0.3">
      <c r="A5279" s="15">
        <v>45901</v>
      </c>
      <c r="B5279" t="s">
        <v>177</v>
      </c>
      <c r="C5279" t="s">
        <v>81</v>
      </c>
      <c r="D5279" t="s">
        <v>96</v>
      </c>
      <c r="E5279" t="s">
        <v>83</v>
      </c>
      <c r="F5279">
        <v>2900</v>
      </c>
      <c r="G5279" t="s">
        <v>331</v>
      </c>
      <c r="H5279" s="15">
        <v>45292</v>
      </c>
      <c r="I5279">
        <v>2900</v>
      </c>
      <c r="J5279">
        <v>0</v>
      </c>
    </row>
    <row r="5280" spans="1:10" x14ac:dyDescent="0.3">
      <c r="A5280" s="15">
        <v>45901</v>
      </c>
      <c r="B5280" t="s">
        <v>178</v>
      </c>
      <c r="C5280" t="s">
        <v>91</v>
      </c>
      <c r="D5280" t="s">
        <v>82</v>
      </c>
      <c r="E5280" t="s">
        <v>89</v>
      </c>
      <c r="F5280">
        <v>8400</v>
      </c>
      <c r="G5280" t="s">
        <v>331</v>
      </c>
      <c r="H5280" s="15">
        <v>45292</v>
      </c>
      <c r="I5280">
        <v>8400</v>
      </c>
      <c r="J5280">
        <v>0</v>
      </c>
    </row>
    <row r="5281" spans="1:10" x14ac:dyDescent="0.3">
      <c r="A5281" s="15">
        <v>45901</v>
      </c>
      <c r="B5281" t="s">
        <v>179</v>
      </c>
      <c r="C5281" t="s">
        <v>110</v>
      </c>
      <c r="D5281" t="s">
        <v>86</v>
      </c>
      <c r="E5281" t="s">
        <v>87</v>
      </c>
      <c r="F5281">
        <v>30000</v>
      </c>
      <c r="G5281" t="s">
        <v>331</v>
      </c>
      <c r="H5281" s="15">
        <v>45292</v>
      </c>
      <c r="I5281">
        <v>30000</v>
      </c>
      <c r="J5281">
        <v>0</v>
      </c>
    </row>
    <row r="5282" spans="1:10" x14ac:dyDescent="0.3">
      <c r="A5282" s="15">
        <v>45901</v>
      </c>
      <c r="B5282" t="s">
        <v>180</v>
      </c>
      <c r="C5282" t="s">
        <v>91</v>
      </c>
      <c r="D5282" t="s">
        <v>86</v>
      </c>
      <c r="E5282" t="s">
        <v>83</v>
      </c>
      <c r="F5282">
        <v>8500</v>
      </c>
      <c r="G5282" t="s">
        <v>331</v>
      </c>
      <c r="H5282" s="15">
        <v>45292</v>
      </c>
      <c r="I5282">
        <v>8500</v>
      </c>
      <c r="J5282">
        <v>0</v>
      </c>
    </row>
    <row r="5283" spans="1:10" x14ac:dyDescent="0.3">
      <c r="A5283" s="15">
        <v>45901</v>
      </c>
      <c r="B5283" t="s">
        <v>181</v>
      </c>
      <c r="C5283" t="s">
        <v>91</v>
      </c>
      <c r="D5283" t="s">
        <v>82</v>
      </c>
      <c r="E5283" t="s">
        <v>97</v>
      </c>
      <c r="F5283">
        <v>10100</v>
      </c>
      <c r="G5283" t="s">
        <v>331</v>
      </c>
      <c r="H5283" s="15">
        <v>45292</v>
      </c>
      <c r="I5283">
        <v>10100</v>
      </c>
      <c r="J5283">
        <v>0</v>
      </c>
    </row>
    <row r="5284" spans="1:10" x14ac:dyDescent="0.3">
      <c r="A5284" s="15">
        <v>45901</v>
      </c>
      <c r="B5284" t="s">
        <v>182</v>
      </c>
      <c r="C5284" t="s">
        <v>125</v>
      </c>
      <c r="D5284" t="s">
        <v>82</v>
      </c>
      <c r="E5284" t="s">
        <v>92</v>
      </c>
      <c r="F5284">
        <v>93100</v>
      </c>
      <c r="G5284" t="s">
        <v>331</v>
      </c>
      <c r="H5284" s="15">
        <v>45292</v>
      </c>
      <c r="I5284">
        <v>93100</v>
      </c>
      <c r="J5284">
        <v>0</v>
      </c>
    </row>
    <row r="5285" spans="1:10" x14ac:dyDescent="0.3">
      <c r="A5285" s="15">
        <v>45901</v>
      </c>
      <c r="B5285" t="s">
        <v>183</v>
      </c>
      <c r="C5285" t="s">
        <v>91</v>
      </c>
      <c r="D5285" t="s">
        <v>96</v>
      </c>
      <c r="E5285" t="s">
        <v>92</v>
      </c>
      <c r="F5285">
        <v>9500</v>
      </c>
      <c r="G5285" t="s">
        <v>331</v>
      </c>
      <c r="H5285" s="15">
        <v>45292</v>
      </c>
      <c r="I5285">
        <v>9500</v>
      </c>
      <c r="J5285">
        <v>0</v>
      </c>
    </row>
    <row r="5286" spans="1:10" x14ac:dyDescent="0.3">
      <c r="A5286" s="15">
        <v>45901</v>
      </c>
      <c r="B5286" t="s">
        <v>184</v>
      </c>
      <c r="C5286" t="s">
        <v>81</v>
      </c>
      <c r="D5286" t="s">
        <v>82</v>
      </c>
      <c r="E5286" t="s">
        <v>83</v>
      </c>
      <c r="F5286">
        <v>2600</v>
      </c>
      <c r="G5286" t="s">
        <v>331</v>
      </c>
      <c r="H5286" s="15">
        <v>45292</v>
      </c>
      <c r="I5286">
        <v>2600</v>
      </c>
      <c r="J5286">
        <v>0</v>
      </c>
    </row>
    <row r="5287" spans="1:10" x14ac:dyDescent="0.3">
      <c r="A5287" s="15">
        <v>45901</v>
      </c>
      <c r="B5287" t="s">
        <v>185</v>
      </c>
      <c r="C5287" t="s">
        <v>81</v>
      </c>
      <c r="D5287" t="s">
        <v>96</v>
      </c>
      <c r="E5287" t="s">
        <v>97</v>
      </c>
      <c r="F5287">
        <v>1900</v>
      </c>
      <c r="G5287" t="s">
        <v>331</v>
      </c>
      <c r="H5287" s="15">
        <v>45292</v>
      </c>
      <c r="I5287">
        <v>1900</v>
      </c>
      <c r="J5287">
        <v>0</v>
      </c>
    </row>
    <row r="5288" spans="1:10" x14ac:dyDescent="0.3">
      <c r="A5288" s="15">
        <v>45901</v>
      </c>
      <c r="B5288" t="s">
        <v>186</v>
      </c>
      <c r="C5288" t="s">
        <v>91</v>
      </c>
      <c r="D5288" t="s">
        <v>82</v>
      </c>
      <c r="E5288" t="s">
        <v>103</v>
      </c>
      <c r="F5288">
        <v>13900</v>
      </c>
      <c r="G5288" t="s">
        <v>331</v>
      </c>
      <c r="H5288" s="15">
        <v>45292</v>
      </c>
      <c r="I5288">
        <v>13900</v>
      </c>
      <c r="J5288">
        <v>0</v>
      </c>
    </row>
    <row r="5289" spans="1:10" x14ac:dyDescent="0.3">
      <c r="A5289" s="15">
        <v>45901</v>
      </c>
      <c r="B5289" t="s">
        <v>187</v>
      </c>
      <c r="C5289" t="s">
        <v>110</v>
      </c>
      <c r="D5289" t="s">
        <v>86</v>
      </c>
      <c r="E5289" t="s">
        <v>97</v>
      </c>
      <c r="F5289">
        <v>26700</v>
      </c>
      <c r="G5289" t="s">
        <v>331</v>
      </c>
      <c r="H5289" s="15">
        <v>45292</v>
      </c>
      <c r="I5289">
        <v>26700</v>
      </c>
      <c r="J5289">
        <v>0</v>
      </c>
    </row>
    <row r="5290" spans="1:10" x14ac:dyDescent="0.3">
      <c r="A5290" s="15">
        <v>45901</v>
      </c>
      <c r="B5290" t="s">
        <v>188</v>
      </c>
      <c r="C5290" t="s">
        <v>91</v>
      </c>
      <c r="D5290" t="s">
        <v>82</v>
      </c>
      <c r="E5290" t="s">
        <v>92</v>
      </c>
      <c r="F5290">
        <v>9900</v>
      </c>
      <c r="G5290" t="s">
        <v>331</v>
      </c>
      <c r="H5290" s="15">
        <v>45292</v>
      </c>
      <c r="I5290">
        <v>9900</v>
      </c>
      <c r="J5290">
        <v>0</v>
      </c>
    </row>
    <row r="5291" spans="1:10" x14ac:dyDescent="0.3">
      <c r="A5291" s="15">
        <v>45901</v>
      </c>
      <c r="B5291" t="s">
        <v>189</v>
      </c>
      <c r="C5291" t="s">
        <v>81</v>
      </c>
      <c r="D5291" t="s">
        <v>86</v>
      </c>
      <c r="E5291" t="s">
        <v>103</v>
      </c>
      <c r="F5291">
        <v>2000</v>
      </c>
      <c r="G5291" t="s">
        <v>331</v>
      </c>
      <c r="H5291" s="15">
        <v>45292</v>
      </c>
      <c r="I5291">
        <v>2000</v>
      </c>
      <c r="J5291">
        <v>0</v>
      </c>
    </row>
    <row r="5292" spans="1:10" x14ac:dyDescent="0.3">
      <c r="A5292" s="15">
        <v>45901</v>
      </c>
      <c r="B5292" t="s">
        <v>190</v>
      </c>
      <c r="C5292" t="s">
        <v>81</v>
      </c>
      <c r="D5292" t="s">
        <v>99</v>
      </c>
      <c r="E5292" t="s">
        <v>89</v>
      </c>
      <c r="F5292">
        <v>1900</v>
      </c>
      <c r="G5292" t="s">
        <v>331</v>
      </c>
      <c r="H5292" s="15">
        <v>45292</v>
      </c>
      <c r="I5292">
        <v>1900</v>
      </c>
      <c r="J5292">
        <v>0</v>
      </c>
    </row>
    <row r="5293" spans="1:10" x14ac:dyDescent="0.3">
      <c r="A5293" s="15">
        <v>45901</v>
      </c>
      <c r="B5293" t="s">
        <v>191</v>
      </c>
      <c r="C5293" t="s">
        <v>91</v>
      </c>
      <c r="D5293" t="s">
        <v>86</v>
      </c>
      <c r="E5293" t="s">
        <v>87</v>
      </c>
      <c r="F5293">
        <v>6900</v>
      </c>
      <c r="G5293" t="s">
        <v>331</v>
      </c>
      <c r="H5293" s="15">
        <v>45292</v>
      </c>
      <c r="I5293">
        <v>6900</v>
      </c>
      <c r="J5293">
        <v>0</v>
      </c>
    </row>
    <row r="5294" spans="1:10" x14ac:dyDescent="0.3">
      <c r="A5294" s="15">
        <v>45901</v>
      </c>
      <c r="B5294" t="s">
        <v>192</v>
      </c>
      <c r="C5294" t="s">
        <v>81</v>
      </c>
      <c r="D5294" t="s">
        <v>82</v>
      </c>
      <c r="E5294" t="s">
        <v>97</v>
      </c>
      <c r="F5294">
        <v>3000</v>
      </c>
      <c r="G5294" t="s">
        <v>331</v>
      </c>
      <c r="H5294" s="15">
        <v>45292</v>
      </c>
      <c r="I5294">
        <v>3000</v>
      </c>
      <c r="J5294">
        <v>0</v>
      </c>
    </row>
    <row r="5295" spans="1:10" x14ac:dyDescent="0.3">
      <c r="A5295" s="15">
        <v>45901</v>
      </c>
      <c r="B5295" t="s">
        <v>193</v>
      </c>
      <c r="C5295" t="s">
        <v>81</v>
      </c>
      <c r="D5295" t="s">
        <v>82</v>
      </c>
      <c r="E5295" t="s">
        <v>87</v>
      </c>
      <c r="F5295">
        <v>3200</v>
      </c>
      <c r="G5295" t="s">
        <v>331</v>
      </c>
      <c r="H5295" s="15">
        <v>45292</v>
      </c>
      <c r="I5295">
        <v>3200</v>
      </c>
      <c r="J5295">
        <v>0</v>
      </c>
    </row>
    <row r="5296" spans="1:10" x14ac:dyDescent="0.3">
      <c r="A5296" s="15">
        <v>45901</v>
      </c>
      <c r="B5296" t="s">
        <v>194</v>
      </c>
      <c r="C5296" t="s">
        <v>91</v>
      </c>
      <c r="D5296" t="s">
        <v>82</v>
      </c>
      <c r="E5296" t="s">
        <v>101</v>
      </c>
      <c r="F5296">
        <v>11200</v>
      </c>
      <c r="G5296" t="s">
        <v>331</v>
      </c>
      <c r="H5296" s="15">
        <v>45292</v>
      </c>
      <c r="I5296">
        <v>11200</v>
      </c>
      <c r="J5296">
        <v>0</v>
      </c>
    </row>
    <row r="5297" spans="1:10" x14ac:dyDescent="0.3">
      <c r="A5297" s="15">
        <v>45901</v>
      </c>
      <c r="B5297" t="s">
        <v>195</v>
      </c>
      <c r="C5297" t="s">
        <v>91</v>
      </c>
      <c r="D5297" t="s">
        <v>86</v>
      </c>
      <c r="E5297" t="s">
        <v>97</v>
      </c>
      <c r="F5297">
        <v>6800</v>
      </c>
      <c r="G5297" t="s">
        <v>331</v>
      </c>
      <c r="H5297" s="15">
        <v>45292</v>
      </c>
      <c r="I5297">
        <v>6800</v>
      </c>
      <c r="J5297">
        <v>0</v>
      </c>
    </row>
    <row r="5298" spans="1:10" x14ac:dyDescent="0.3">
      <c r="A5298" s="15">
        <v>45901</v>
      </c>
      <c r="B5298" t="s">
        <v>197</v>
      </c>
      <c r="C5298" t="s">
        <v>91</v>
      </c>
      <c r="D5298" t="s">
        <v>82</v>
      </c>
      <c r="E5298" t="s">
        <v>89</v>
      </c>
      <c r="F5298">
        <v>12000</v>
      </c>
      <c r="G5298" t="s">
        <v>331</v>
      </c>
      <c r="H5298" s="15">
        <v>45292</v>
      </c>
      <c r="I5298">
        <v>12000</v>
      </c>
      <c r="J5298">
        <v>0</v>
      </c>
    </row>
    <row r="5299" spans="1:10" x14ac:dyDescent="0.3">
      <c r="A5299" s="15">
        <v>45901</v>
      </c>
      <c r="B5299" t="s">
        <v>198</v>
      </c>
      <c r="C5299" t="s">
        <v>81</v>
      </c>
      <c r="D5299" t="s">
        <v>82</v>
      </c>
      <c r="E5299" t="s">
        <v>89</v>
      </c>
      <c r="F5299">
        <v>2900</v>
      </c>
      <c r="G5299" t="s">
        <v>331</v>
      </c>
      <c r="H5299" s="15">
        <v>45292</v>
      </c>
      <c r="I5299">
        <v>2900</v>
      </c>
      <c r="J5299">
        <v>0</v>
      </c>
    </row>
    <row r="5300" spans="1:10" x14ac:dyDescent="0.3">
      <c r="A5300" s="15">
        <v>45901</v>
      </c>
      <c r="B5300" t="s">
        <v>199</v>
      </c>
      <c r="C5300" t="s">
        <v>81</v>
      </c>
      <c r="D5300" t="s">
        <v>86</v>
      </c>
      <c r="E5300" t="s">
        <v>89</v>
      </c>
      <c r="F5300">
        <v>2200</v>
      </c>
      <c r="G5300" t="s">
        <v>331</v>
      </c>
      <c r="H5300" s="15">
        <v>45292</v>
      </c>
      <c r="I5300">
        <v>2200</v>
      </c>
      <c r="J5300">
        <v>0</v>
      </c>
    </row>
    <row r="5301" spans="1:10" x14ac:dyDescent="0.3">
      <c r="A5301" s="15">
        <v>45901</v>
      </c>
      <c r="B5301" t="s">
        <v>200</v>
      </c>
      <c r="C5301" t="s">
        <v>91</v>
      </c>
      <c r="D5301" t="s">
        <v>86</v>
      </c>
      <c r="E5301" t="s">
        <v>92</v>
      </c>
      <c r="F5301">
        <v>8800</v>
      </c>
      <c r="G5301" t="s">
        <v>331</v>
      </c>
      <c r="H5301" s="15">
        <v>45292</v>
      </c>
      <c r="I5301">
        <v>8800</v>
      </c>
      <c r="J5301">
        <v>0</v>
      </c>
    </row>
    <row r="5302" spans="1:10" x14ac:dyDescent="0.3">
      <c r="A5302" s="15">
        <v>45901</v>
      </c>
      <c r="B5302" t="s">
        <v>201</v>
      </c>
      <c r="C5302" t="s">
        <v>81</v>
      </c>
      <c r="D5302" t="s">
        <v>86</v>
      </c>
      <c r="E5302" t="s">
        <v>83</v>
      </c>
      <c r="F5302">
        <v>1800</v>
      </c>
      <c r="G5302" t="s">
        <v>331</v>
      </c>
      <c r="H5302" s="15">
        <v>45292</v>
      </c>
      <c r="I5302">
        <v>1800</v>
      </c>
      <c r="J5302">
        <v>0</v>
      </c>
    </row>
    <row r="5303" spans="1:10" x14ac:dyDescent="0.3">
      <c r="A5303" s="15">
        <v>45901</v>
      </c>
      <c r="B5303" t="s">
        <v>202</v>
      </c>
      <c r="C5303" t="s">
        <v>91</v>
      </c>
      <c r="D5303" t="s">
        <v>82</v>
      </c>
      <c r="E5303" t="s">
        <v>92</v>
      </c>
      <c r="F5303">
        <v>11000</v>
      </c>
      <c r="G5303" t="s">
        <v>331</v>
      </c>
      <c r="H5303" s="15">
        <v>45292</v>
      </c>
      <c r="I5303">
        <v>11000</v>
      </c>
      <c r="J5303">
        <v>0</v>
      </c>
    </row>
    <row r="5304" spans="1:10" x14ac:dyDescent="0.3">
      <c r="A5304" s="15">
        <v>45901</v>
      </c>
      <c r="B5304" t="s">
        <v>204</v>
      </c>
      <c r="C5304" t="s">
        <v>81</v>
      </c>
      <c r="D5304" t="s">
        <v>82</v>
      </c>
      <c r="E5304" t="s">
        <v>87</v>
      </c>
      <c r="F5304">
        <v>1900</v>
      </c>
      <c r="G5304" t="s">
        <v>331</v>
      </c>
      <c r="H5304" s="15">
        <v>45292</v>
      </c>
      <c r="I5304">
        <v>1900</v>
      </c>
      <c r="J5304">
        <v>0</v>
      </c>
    </row>
    <row r="5305" spans="1:10" x14ac:dyDescent="0.3">
      <c r="A5305" s="15">
        <v>45901</v>
      </c>
      <c r="B5305" t="s">
        <v>205</v>
      </c>
      <c r="C5305" t="s">
        <v>91</v>
      </c>
      <c r="D5305" t="s">
        <v>86</v>
      </c>
      <c r="E5305" t="s">
        <v>103</v>
      </c>
      <c r="F5305">
        <v>9800</v>
      </c>
      <c r="G5305" t="s">
        <v>331</v>
      </c>
      <c r="H5305" s="15">
        <v>45292</v>
      </c>
      <c r="I5305">
        <v>9800</v>
      </c>
      <c r="J5305">
        <v>0</v>
      </c>
    </row>
    <row r="5306" spans="1:10" x14ac:dyDescent="0.3">
      <c r="A5306" s="15">
        <v>45901</v>
      </c>
      <c r="B5306" t="s">
        <v>206</v>
      </c>
      <c r="C5306" t="s">
        <v>81</v>
      </c>
      <c r="D5306" t="s">
        <v>86</v>
      </c>
      <c r="E5306" t="s">
        <v>89</v>
      </c>
      <c r="F5306">
        <v>3000</v>
      </c>
      <c r="G5306" t="s">
        <v>331</v>
      </c>
      <c r="H5306" s="15">
        <v>45292</v>
      </c>
      <c r="I5306">
        <v>3000</v>
      </c>
      <c r="J5306">
        <v>0</v>
      </c>
    </row>
    <row r="5307" spans="1:10" x14ac:dyDescent="0.3">
      <c r="A5307" s="15">
        <v>45901</v>
      </c>
      <c r="B5307" t="s">
        <v>207</v>
      </c>
      <c r="C5307" t="s">
        <v>81</v>
      </c>
      <c r="D5307" t="s">
        <v>82</v>
      </c>
      <c r="E5307" t="s">
        <v>89</v>
      </c>
      <c r="F5307">
        <v>3500</v>
      </c>
      <c r="G5307" t="s">
        <v>331</v>
      </c>
      <c r="H5307" s="15">
        <v>45292</v>
      </c>
      <c r="I5307">
        <v>3500</v>
      </c>
      <c r="J5307">
        <v>0</v>
      </c>
    </row>
    <row r="5308" spans="1:10" x14ac:dyDescent="0.3">
      <c r="A5308" s="15">
        <v>45901</v>
      </c>
      <c r="B5308" t="s">
        <v>208</v>
      </c>
      <c r="C5308" t="s">
        <v>91</v>
      </c>
      <c r="D5308" t="s">
        <v>99</v>
      </c>
      <c r="E5308" t="s">
        <v>89</v>
      </c>
      <c r="F5308">
        <v>8400</v>
      </c>
      <c r="G5308" t="s">
        <v>332</v>
      </c>
      <c r="H5308" s="15">
        <v>45292</v>
      </c>
      <c r="I5308">
        <v>7300</v>
      </c>
      <c r="J5308">
        <v>1100</v>
      </c>
    </row>
    <row r="5309" spans="1:10" x14ac:dyDescent="0.3">
      <c r="A5309" s="15">
        <v>45901</v>
      </c>
      <c r="B5309" t="s">
        <v>209</v>
      </c>
      <c r="C5309" t="s">
        <v>81</v>
      </c>
      <c r="D5309" t="s">
        <v>86</v>
      </c>
      <c r="E5309" t="s">
        <v>83</v>
      </c>
      <c r="F5309">
        <v>3100</v>
      </c>
      <c r="G5309" t="s">
        <v>331</v>
      </c>
      <c r="H5309" s="15">
        <v>45292</v>
      </c>
      <c r="I5309">
        <v>3100</v>
      </c>
      <c r="J5309">
        <v>0</v>
      </c>
    </row>
    <row r="5310" spans="1:10" x14ac:dyDescent="0.3">
      <c r="A5310" s="15">
        <v>45901</v>
      </c>
      <c r="B5310" t="s">
        <v>210</v>
      </c>
      <c r="C5310" t="s">
        <v>125</v>
      </c>
      <c r="D5310" t="s">
        <v>96</v>
      </c>
      <c r="E5310" t="s">
        <v>89</v>
      </c>
      <c r="F5310">
        <v>90300</v>
      </c>
      <c r="G5310" t="s">
        <v>331</v>
      </c>
      <c r="H5310" s="15">
        <v>45292</v>
      </c>
      <c r="I5310">
        <v>90300</v>
      </c>
      <c r="J5310">
        <v>0</v>
      </c>
    </row>
    <row r="5311" spans="1:10" x14ac:dyDescent="0.3">
      <c r="A5311" s="15">
        <v>45901</v>
      </c>
      <c r="B5311" t="s">
        <v>211</v>
      </c>
      <c r="C5311" t="s">
        <v>110</v>
      </c>
      <c r="D5311" t="s">
        <v>82</v>
      </c>
      <c r="E5311" t="s">
        <v>92</v>
      </c>
      <c r="F5311">
        <v>28900</v>
      </c>
      <c r="G5311" t="s">
        <v>331</v>
      </c>
      <c r="H5311" s="15">
        <v>45292</v>
      </c>
      <c r="I5311">
        <v>28900</v>
      </c>
      <c r="J5311">
        <v>0</v>
      </c>
    </row>
    <row r="5312" spans="1:10" x14ac:dyDescent="0.3">
      <c r="A5312" s="15">
        <v>45901</v>
      </c>
      <c r="B5312" t="s">
        <v>213</v>
      </c>
      <c r="C5312" t="s">
        <v>81</v>
      </c>
      <c r="D5312" t="s">
        <v>82</v>
      </c>
      <c r="E5312" t="s">
        <v>97</v>
      </c>
      <c r="F5312">
        <v>3300</v>
      </c>
      <c r="G5312" t="s">
        <v>331</v>
      </c>
      <c r="H5312" s="15">
        <v>45292</v>
      </c>
      <c r="I5312">
        <v>3300</v>
      </c>
      <c r="J5312">
        <v>0</v>
      </c>
    </row>
    <row r="5313" spans="1:10" x14ac:dyDescent="0.3">
      <c r="A5313" s="15">
        <v>45901</v>
      </c>
      <c r="B5313" t="s">
        <v>214</v>
      </c>
      <c r="C5313" t="s">
        <v>91</v>
      </c>
      <c r="D5313" t="s">
        <v>82</v>
      </c>
      <c r="E5313" t="s">
        <v>89</v>
      </c>
      <c r="F5313">
        <v>8700</v>
      </c>
      <c r="G5313" t="s">
        <v>331</v>
      </c>
      <c r="H5313" s="15">
        <v>45292</v>
      </c>
      <c r="I5313">
        <v>8700</v>
      </c>
      <c r="J5313">
        <v>0</v>
      </c>
    </row>
    <row r="5314" spans="1:10" x14ac:dyDescent="0.3">
      <c r="A5314" s="15">
        <v>45901</v>
      </c>
      <c r="B5314" t="s">
        <v>216</v>
      </c>
      <c r="C5314" t="s">
        <v>81</v>
      </c>
      <c r="D5314" t="s">
        <v>82</v>
      </c>
      <c r="E5314" t="s">
        <v>97</v>
      </c>
      <c r="F5314">
        <v>3500</v>
      </c>
      <c r="G5314" t="s">
        <v>331</v>
      </c>
      <c r="H5314" s="15">
        <v>45292</v>
      </c>
      <c r="I5314">
        <v>3500</v>
      </c>
      <c r="J5314">
        <v>0</v>
      </c>
    </row>
    <row r="5315" spans="1:10" x14ac:dyDescent="0.3">
      <c r="A5315" s="15">
        <v>45901</v>
      </c>
      <c r="B5315" t="s">
        <v>217</v>
      </c>
      <c r="C5315" t="s">
        <v>91</v>
      </c>
      <c r="D5315" t="s">
        <v>82</v>
      </c>
      <c r="E5315" t="s">
        <v>97</v>
      </c>
      <c r="F5315">
        <v>9000</v>
      </c>
      <c r="G5315" t="s">
        <v>331</v>
      </c>
      <c r="H5315" s="15">
        <v>45292</v>
      </c>
      <c r="I5315">
        <v>9000</v>
      </c>
      <c r="J5315">
        <v>0</v>
      </c>
    </row>
    <row r="5316" spans="1:10" x14ac:dyDescent="0.3">
      <c r="A5316" s="15">
        <v>45901</v>
      </c>
      <c r="B5316" t="s">
        <v>218</v>
      </c>
      <c r="C5316" t="s">
        <v>110</v>
      </c>
      <c r="D5316" t="s">
        <v>99</v>
      </c>
      <c r="E5316" t="s">
        <v>92</v>
      </c>
      <c r="F5316">
        <v>32200</v>
      </c>
      <c r="G5316" t="s">
        <v>331</v>
      </c>
      <c r="H5316" s="15">
        <v>45292</v>
      </c>
      <c r="I5316">
        <v>32200</v>
      </c>
      <c r="J5316">
        <v>0</v>
      </c>
    </row>
    <row r="5317" spans="1:10" x14ac:dyDescent="0.3">
      <c r="A5317" s="15">
        <v>45901</v>
      </c>
      <c r="B5317" t="s">
        <v>219</v>
      </c>
      <c r="C5317" t="s">
        <v>81</v>
      </c>
      <c r="D5317" t="s">
        <v>99</v>
      </c>
      <c r="E5317" t="s">
        <v>89</v>
      </c>
      <c r="F5317">
        <v>2500</v>
      </c>
      <c r="G5317" t="s">
        <v>331</v>
      </c>
      <c r="H5317" s="15">
        <v>45292</v>
      </c>
      <c r="I5317">
        <v>2500</v>
      </c>
      <c r="J5317">
        <v>0</v>
      </c>
    </row>
    <row r="5318" spans="1:10" x14ac:dyDescent="0.3">
      <c r="A5318" s="15">
        <v>45901</v>
      </c>
      <c r="B5318" t="s">
        <v>220</v>
      </c>
      <c r="C5318" t="s">
        <v>110</v>
      </c>
      <c r="D5318" t="s">
        <v>82</v>
      </c>
      <c r="E5318" t="s">
        <v>89</v>
      </c>
      <c r="F5318">
        <v>30800</v>
      </c>
      <c r="G5318" t="s">
        <v>331</v>
      </c>
      <c r="H5318" s="15">
        <v>45292</v>
      </c>
      <c r="I5318">
        <v>30800</v>
      </c>
      <c r="J5318">
        <v>0</v>
      </c>
    </row>
    <row r="5319" spans="1:10" x14ac:dyDescent="0.3">
      <c r="A5319" s="15">
        <v>45901</v>
      </c>
      <c r="B5319" t="s">
        <v>224</v>
      </c>
      <c r="C5319" t="s">
        <v>91</v>
      </c>
      <c r="D5319" t="s">
        <v>82</v>
      </c>
      <c r="E5319" t="s">
        <v>101</v>
      </c>
      <c r="F5319">
        <v>10600</v>
      </c>
      <c r="G5319" t="s">
        <v>331</v>
      </c>
      <c r="H5319" s="15">
        <v>45292</v>
      </c>
      <c r="I5319">
        <v>10600</v>
      </c>
      <c r="J5319">
        <v>0</v>
      </c>
    </row>
    <row r="5320" spans="1:10" x14ac:dyDescent="0.3">
      <c r="A5320" s="15">
        <v>45901</v>
      </c>
      <c r="B5320" t="s">
        <v>225</v>
      </c>
      <c r="C5320" t="s">
        <v>110</v>
      </c>
      <c r="D5320" t="s">
        <v>99</v>
      </c>
      <c r="E5320" t="s">
        <v>103</v>
      </c>
      <c r="F5320">
        <v>42200</v>
      </c>
      <c r="G5320" t="s">
        <v>331</v>
      </c>
      <c r="H5320" s="15">
        <v>45292</v>
      </c>
      <c r="I5320">
        <v>42200</v>
      </c>
      <c r="J5320">
        <v>0</v>
      </c>
    </row>
    <row r="5321" spans="1:10" x14ac:dyDescent="0.3">
      <c r="A5321" s="15">
        <v>45901</v>
      </c>
      <c r="B5321" t="s">
        <v>226</v>
      </c>
      <c r="C5321" t="s">
        <v>91</v>
      </c>
      <c r="D5321" t="s">
        <v>82</v>
      </c>
      <c r="E5321" t="s">
        <v>103</v>
      </c>
      <c r="F5321">
        <v>5300</v>
      </c>
      <c r="G5321" t="s">
        <v>331</v>
      </c>
      <c r="H5321" s="15">
        <v>45292</v>
      </c>
      <c r="I5321">
        <v>5300</v>
      </c>
      <c r="J5321">
        <v>0</v>
      </c>
    </row>
    <row r="5322" spans="1:10" x14ac:dyDescent="0.3">
      <c r="A5322" s="15">
        <v>45901</v>
      </c>
      <c r="B5322" t="s">
        <v>227</v>
      </c>
      <c r="C5322" t="s">
        <v>110</v>
      </c>
      <c r="D5322" t="s">
        <v>86</v>
      </c>
      <c r="E5322" t="s">
        <v>87</v>
      </c>
      <c r="F5322">
        <v>27900</v>
      </c>
      <c r="G5322" t="s">
        <v>331</v>
      </c>
      <c r="H5322" s="15">
        <v>45292</v>
      </c>
      <c r="I5322">
        <v>27900</v>
      </c>
      <c r="J5322">
        <v>0</v>
      </c>
    </row>
    <row r="5323" spans="1:10" x14ac:dyDescent="0.3">
      <c r="A5323" s="15">
        <v>45901</v>
      </c>
      <c r="B5323" t="s">
        <v>228</v>
      </c>
      <c r="C5323" t="s">
        <v>91</v>
      </c>
      <c r="D5323" t="s">
        <v>96</v>
      </c>
      <c r="E5323" t="s">
        <v>89</v>
      </c>
      <c r="F5323">
        <v>12000</v>
      </c>
      <c r="G5323" t="s">
        <v>331</v>
      </c>
      <c r="H5323" s="15">
        <v>45292</v>
      </c>
      <c r="I5323">
        <v>12000</v>
      </c>
      <c r="J5323">
        <v>0</v>
      </c>
    </row>
    <row r="5324" spans="1:10" x14ac:dyDescent="0.3">
      <c r="A5324" s="15">
        <v>45901</v>
      </c>
      <c r="B5324" t="s">
        <v>229</v>
      </c>
      <c r="C5324" t="s">
        <v>81</v>
      </c>
      <c r="D5324" t="s">
        <v>82</v>
      </c>
      <c r="E5324" t="s">
        <v>83</v>
      </c>
      <c r="F5324">
        <v>3400</v>
      </c>
      <c r="G5324" t="s">
        <v>331</v>
      </c>
      <c r="H5324" s="15">
        <v>45292</v>
      </c>
      <c r="I5324">
        <v>3400</v>
      </c>
      <c r="J5324">
        <v>0</v>
      </c>
    </row>
    <row r="5325" spans="1:10" x14ac:dyDescent="0.3">
      <c r="A5325" s="15">
        <v>45901</v>
      </c>
      <c r="B5325" t="s">
        <v>230</v>
      </c>
      <c r="C5325" t="s">
        <v>81</v>
      </c>
      <c r="D5325" t="s">
        <v>86</v>
      </c>
      <c r="E5325" t="s">
        <v>101</v>
      </c>
      <c r="F5325">
        <v>3400</v>
      </c>
      <c r="G5325" t="s">
        <v>331</v>
      </c>
      <c r="H5325" s="15">
        <v>45292</v>
      </c>
      <c r="I5325">
        <v>3400</v>
      </c>
      <c r="J5325">
        <v>0</v>
      </c>
    </row>
    <row r="5326" spans="1:10" x14ac:dyDescent="0.3">
      <c r="A5326" s="15">
        <v>45901</v>
      </c>
      <c r="B5326" t="s">
        <v>231</v>
      </c>
      <c r="C5326" t="s">
        <v>91</v>
      </c>
      <c r="D5326" t="s">
        <v>82</v>
      </c>
      <c r="E5326" t="s">
        <v>92</v>
      </c>
      <c r="F5326">
        <v>6900</v>
      </c>
      <c r="G5326" t="s">
        <v>331</v>
      </c>
      <c r="H5326" s="15">
        <v>45292</v>
      </c>
      <c r="I5326">
        <v>6900</v>
      </c>
      <c r="J5326">
        <v>0</v>
      </c>
    </row>
    <row r="5327" spans="1:10" x14ac:dyDescent="0.3">
      <c r="A5327" s="15">
        <v>45901</v>
      </c>
      <c r="B5327" t="s">
        <v>232</v>
      </c>
      <c r="C5327" t="s">
        <v>125</v>
      </c>
      <c r="D5327" t="s">
        <v>86</v>
      </c>
      <c r="E5327" t="s">
        <v>83</v>
      </c>
      <c r="F5327">
        <v>121100</v>
      </c>
      <c r="G5327" t="s">
        <v>331</v>
      </c>
      <c r="H5327" s="15">
        <v>45292</v>
      </c>
      <c r="I5327">
        <v>121100</v>
      </c>
      <c r="J5327">
        <v>0</v>
      </c>
    </row>
    <row r="5328" spans="1:10" x14ac:dyDescent="0.3">
      <c r="A5328" s="15">
        <v>45901</v>
      </c>
      <c r="B5328" t="s">
        <v>233</v>
      </c>
      <c r="C5328" t="s">
        <v>81</v>
      </c>
      <c r="D5328" t="s">
        <v>82</v>
      </c>
      <c r="E5328" t="s">
        <v>87</v>
      </c>
      <c r="F5328">
        <v>3300</v>
      </c>
      <c r="G5328" t="s">
        <v>331</v>
      </c>
      <c r="H5328" s="15">
        <v>45292</v>
      </c>
      <c r="I5328">
        <v>3300</v>
      </c>
      <c r="J5328">
        <v>0</v>
      </c>
    </row>
    <row r="5329" spans="1:10" x14ac:dyDescent="0.3">
      <c r="A5329" s="15">
        <v>45901</v>
      </c>
      <c r="B5329" t="s">
        <v>234</v>
      </c>
      <c r="C5329" t="s">
        <v>110</v>
      </c>
      <c r="D5329" t="s">
        <v>82</v>
      </c>
      <c r="E5329" t="s">
        <v>103</v>
      </c>
      <c r="F5329">
        <v>43400</v>
      </c>
      <c r="G5329" t="s">
        <v>331</v>
      </c>
      <c r="H5329" s="15">
        <v>45292</v>
      </c>
      <c r="I5329">
        <v>43400</v>
      </c>
      <c r="J5329">
        <v>0</v>
      </c>
    </row>
    <row r="5330" spans="1:10" x14ac:dyDescent="0.3">
      <c r="A5330" s="15">
        <v>45901</v>
      </c>
      <c r="B5330" t="s">
        <v>235</v>
      </c>
      <c r="C5330" t="s">
        <v>91</v>
      </c>
      <c r="D5330" t="s">
        <v>96</v>
      </c>
      <c r="E5330" t="s">
        <v>103</v>
      </c>
      <c r="F5330">
        <v>11100</v>
      </c>
      <c r="G5330" t="s">
        <v>331</v>
      </c>
      <c r="H5330" s="15">
        <v>45292</v>
      </c>
      <c r="I5330">
        <v>11100</v>
      </c>
      <c r="J5330">
        <v>0</v>
      </c>
    </row>
    <row r="5331" spans="1:10" x14ac:dyDescent="0.3">
      <c r="A5331" s="15">
        <v>45901</v>
      </c>
      <c r="B5331" t="s">
        <v>236</v>
      </c>
      <c r="C5331" t="s">
        <v>110</v>
      </c>
      <c r="D5331" t="s">
        <v>82</v>
      </c>
      <c r="E5331" t="s">
        <v>97</v>
      </c>
      <c r="F5331">
        <v>27200</v>
      </c>
      <c r="G5331" t="s">
        <v>331</v>
      </c>
      <c r="H5331" s="15">
        <v>45292</v>
      </c>
      <c r="I5331">
        <v>27200</v>
      </c>
      <c r="J5331">
        <v>0</v>
      </c>
    </row>
    <row r="5332" spans="1:10" x14ac:dyDescent="0.3">
      <c r="A5332" s="15">
        <v>45901</v>
      </c>
      <c r="B5332" t="s">
        <v>237</v>
      </c>
      <c r="C5332" t="s">
        <v>91</v>
      </c>
      <c r="D5332" t="s">
        <v>82</v>
      </c>
      <c r="E5332" t="s">
        <v>83</v>
      </c>
      <c r="F5332">
        <v>6900</v>
      </c>
      <c r="G5332" t="s">
        <v>334</v>
      </c>
      <c r="H5332" s="15">
        <v>45292</v>
      </c>
      <c r="I5332">
        <v>8100</v>
      </c>
      <c r="J5332">
        <v>-1200</v>
      </c>
    </row>
    <row r="5333" spans="1:10" x14ac:dyDescent="0.3">
      <c r="A5333" s="15">
        <v>45901</v>
      </c>
      <c r="B5333" t="s">
        <v>238</v>
      </c>
      <c r="C5333" t="s">
        <v>81</v>
      </c>
      <c r="D5333" t="s">
        <v>99</v>
      </c>
      <c r="E5333" t="s">
        <v>97</v>
      </c>
      <c r="F5333">
        <v>2300</v>
      </c>
      <c r="G5333" t="s">
        <v>331</v>
      </c>
      <c r="H5333" s="15">
        <v>45292</v>
      </c>
      <c r="I5333">
        <v>2300</v>
      </c>
      <c r="J5333">
        <v>0</v>
      </c>
    </row>
    <row r="5334" spans="1:10" x14ac:dyDescent="0.3">
      <c r="A5334" s="15">
        <v>45901</v>
      </c>
      <c r="B5334" t="s">
        <v>239</v>
      </c>
      <c r="C5334" t="s">
        <v>81</v>
      </c>
      <c r="D5334" t="s">
        <v>82</v>
      </c>
      <c r="E5334" t="s">
        <v>103</v>
      </c>
      <c r="F5334">
        <v>2500</v>
      </c>
      <c r="G5334" t="s">
        <v>331</v>
      </c>
      <c r="H5334" s="15">
        <v>45292</v>
      </c>
      <c r="I5334">
        <v>2500</v>
      </c>
      <c r="J5334">
        <v>0</v>
      </c>
    </row>
    <row r="5335" spans="1:10" x14ac:dyDescent="0.3">
      <c r="A5335" s="15">
        <v>45901</v>
      </c>
      <c r="B5335" t="s">
        <v>240</v>
      </c>
      <c r="C5335" t="s">
        <v>81</v>
      </c>
      <c r="D5335" t="s">
        <v>99</v>
      </c>
      <c r="E5335" t="s">
        <v>103</v>
      </c>
      <c r="F5335">
        <v>2300</v>
      </c>
      <c r="G5335" t="s">
        <v>331</v>
      </c>
      <c r="H5335" s="15">
        <v>45292</v>
      </c>
      <c r="I5335">
        <v>2300</v>
      </c>
      <c r="J5335">
        <v>0</v>
      </c>
    </row>
    <row r="5336" spans="1:10" x14ac:dyDescent="0.3">
      <c r="A5336" s="15">
        <v>45901</v>
      </c>
      <c r="B5336" t="s">
        <v>241</v>
      </c>
      <c r="C5336" t="s">
        <v>91</v>
      </c>
      <c r="D5336" t="s">
        <v>96</v>
      </c>
      <c r="E5336" t="s">
        <v>87</v>
      </c>
      <c r="F5336">
        <v>12100</v>
      </c>
      <c r="G5336" t="s">
        <v>331</v>
      </c>
      <c r="H5336" s="15">
        <v>45292</v>
      </c>
      <c r="I5336">
        <v>12100</v>
      </c>
      <c r="J5336">
        <v>0</v>
      </c>
    </row>
    <row r="5337" spans="1:10" x14ac:dyDescent="0.3">
      <c r="A5337" s="15">
        <v>45901</v>
      </c>
      <c r="B5337" t="s">
        <v>242</v>
      </c>
      <c r="C5337" t="s">
        <v>110</v>
      </c>
      <c r="D5337" t="s">
        <v>99</v>
      </c>
      <c r="E5337" t="s">
        <v>101</v>
      </c>
      <c r="F5337">
        <v>34800</v>
      </c>
      <c r="G5337" t="s">
        <v>331</v>
      </c>
      <c r="H5337" s="15">
        <v>45292</v>
      </c>
      <c r="I5337">
        <v>34800</v>
      </c>
      <c r="J5337">
        <v>0</v>
      </c>
    </row>
    <row r="5338" spans="1:10" x14ac:dyDescent="0.3">
      <c r="A5338" s="15">
        <v>45901</v>
      </c>
      <c r="B5338" t="s">
        <v>244</v>
      </c>
      <c r="C5338" t="s">
        <v>91</v>
      </c>
      <c r="D5338" t="s">
        <v>82</v>
      </c>
      <c r="E5338" t="s">
        <v>92</v>
      </c>
      <c r="F5338">
        <v>7800</v>
      </c>
      <c r="G5338" t="s">
        <v>331</v>
      </c>
      <c r="H5338" s="15">
        <v>45292</v>
      </c>
      <c r="I5338">
        <v>7800</v>
      </c>
      <c r="J5338">
        <v>0</v>
      </c>
    </row>
    <row r="5339" spans="1:10" x14ac:dyDescent="0.3">
      <c r="A5339" s="15">
        <v>45901</v>
      </c>
      <c r="B5339" t="s">
        <v>245</v>
      </c>
      <c r="C5339" t="s">
        <v>81</v>
      </c>
      <c r="D5339" t="s">
        <v>99</v>
      </c>
      <c r="E5339" t="s">
        <v>97</v>
      </c>
      <c r="F5339">
        <v>2900</v>
      </c>
      <c r="G5339" t="s">
        <v>331</v>
      </c>
      <c r="H5339" s="15">
        <v>45292</v>
      </c>
      <c r="I5339">
        <v>2900</v>
      </c>
      <c r="J5339">
        <v>0</v>
      </c>
    </row>
    <row r="5340" spans="1:10" x14ac:dyDescent="0.3">
      <c r="A5340" s="15">
        <v>45901</v>
      </c>
      <c r="B5340" t="s">
        <v>246</v>
      </c>
      <c r="C5340" t="s">
        <v>91</v>
      </c>
      <c r="D5340" t="s">
        <v>86</v>
      </c>
      <c r="E5340" t="s">
        <v>103</v>
      </c>
      <c r="F5340">
        <v>10100</v>
      </c>
      <c r="G5340" t="s">
        <v>331</v>
      </c>
      <c r="H5340" s="15">
        <v>45292</v>
      </c>
      <c r="I5340">
        <v>10100</v>
      </c>
      <c r="J5340">
        <v>0</v>
      </c>
    </row>
    <row r="5341" spans="1:10" x14ac:dyDescent="0.3">
      <c r="A5341" s="15">
        <v>45901</v>
      </c>
      <c r="B5341" t="s">
        <v>247</v>
      </c>
      <c r="C5341" t="s">
        <v>91</v>
      </c>
      <c r="D5341" t="s">
        <v>86</v>
      </c>
      <c r="E5341" t="s">
        <v>89</v>
      </c>
      <c r="F5341">
        <v>7800</v>
      </c>
      <c r="G5341" t="s">
        <v>331</v>
      </c>
      <c r="H5341" s="15">
        <v>45292</v>
      </c>
      <c r="I5341">
        <v>7800</v>
      </c>
      <c r="J5341">
        <v>0</v>
      </c>
    </row>
    <row r="5342" spans="1:10" x14ac:dyDescent="0.3">
      <c r="A5342" s="15">
        <v>45901</v>
      </c>
      <c r="B5342" t="s">
        <v>248</v>
      </c>
      <c r="C5342" t="s">
        <v>81</v>
      </c>
      <c r="D5342" t="s">
        <v>82</v>
      </c>
      <c r="E5342" t="s">
        <v>103</v>
      </c>
      <c r="F5342">
        <v>2100</v>
      </c>
      <c r="G5342" t="s">
        <v>331</v>
      </c>
      <c r="H5342" s="15">
        <v>45292</v>
      </c>
      <c r="I5342">
        <v>2100</v>
      </c>
      <c r="J5342">
        <v>0</v>
      </c>
    </row>
    <row r="5343" spans="1:10" x14ac:dyDescent="0.3">
      <c r="A5343" s="15">
        <v>45901</v>
      </c>
      <c r="B5343" t="s">
        <v>250</v>
      </c>
      <c r="C5343" t="s">
        <v>81</v>
      </c>
      <c r="D5343" t="s">
        <v>86</v>
      </c>
      <c r="E5343" t="s">
        <v>87</v>
      </c>
      <c r="F5343">
        <v>3000</v>
      </c>
      <c r="G5343" t="s">
        <v>331</v>
      </c>
      <c r="H5343" s="15">
        <v>45292</v>
      </c>
      <c r="I5343">
        <v>3000</v>
      </c>
      <c r="J5343">
        <v>0</v>
      </c>
    </row>
    <row r="5344" spans="1:10" x14ac:dyDescent="0.3">
      <c r="A5344" s="15">
        <v>45901</v>
      </c>
      <c r="B5344" t="s">
        <v>251</v>
      </c>
      <c r="C5344" t="s">
        <v>91</v>
      </c>
      <c r="D5344" t="s">
        <v>99</v>
      </c>
      <c r="E5344" t="s">
        <v>103</v>
      </c>
      <c r="F5344">
        <v>8800</v>
      </c>
      <c r="G5344" t="s">
        <v>331</v>
      </c>
      <c r="H5344" s="15">
        <v>45292</v>
      </c>
      <c r="I5344">
        <v>8800</v>
      </c>
      <c r="J5344">
        <v>0</v>
      </c>
    </row>
    <row r="5345" spans="1:10" x14ac:dyDescent="0.3">
      <c r="A5345" s="15">
        <v>45901</v>
      </c>
      <c r="B5345" t="s">
        <v>252</v>
      </c>
      <c r="C5345" t="s">
        <v>81</v>
      </c>
      <c r="D5345" t="s">
        <v>99</v>
      </c>
      <c r="E5345" t="s">
        <v>92</v>
      </c>
      <c r="F5345">
        <v>3400</v>
      </c>
      <c r="G5345" t="s">
        <v>331</v>
      </c>
      <c r="H5345" s="15">
        <v>45292</v>
      </c>
      <c r="I5345">
        <v>3400</v>
      </c>
      <c r="J5345">
        <v>0</v>
      </c>
    </row>
    <row r="5346" spans="1:10" x14ac:dyDescent="0.3">
      <c r="A5346" s="15">
        <v>45901</v>
      </c>
      <c r="B5346" t="s">
        <v>253</v>
      </c>
      <c r="C5346" t="s">
        <v>81</v>
      </c>
      <c r="D5346" t="s">
        <v>96</v>
      </c>
      <c r="E5346" t="s">
        <v>89</v>
      </c>
      <c r="F5346">
        <v>2400</v>
      </c>
      <c r="G5346" t="s">
        <v>331</v>
      </c>
      <c r="H5346" s="15">
        <v>45292</v>
      </c>
      <c r="I5346">
        <v>2400</v>
      </c>
      <c r="J5346">
        <v>0</v>
      </c>
    </row>
    <row r="5347" spans="1:10" x14ac:dyDescent="0.3">
      <c r="A5347" s="15">
        <v>45901</v>
      </c>
      <c r="B5347" t="s">
        <v>254</v>
      </c>
      <c r="C5347" t="s">
        <v>110</v>
      </c>
      <c r="D5347" t="s">
        <v>86</v>
      </c>
      <c r="E5347" t="s">
        <v>103</v>
      </c>
      <c r="F5347">
        <v>56100</v>
      </c>
      <c r="G5347" t="s">
        <v>331</v>
      </c>
      <c r="H5347" s="15">
        <v>45292</v>
      </c>
      <c r="I5347">
        <v>56100</v>
      </c>
      <c r="J5347">
        <v>0</v>
      </c>
    </row>
    <row r="5348" spans="1:10" x14ac:dyDescent="0.3">
      <c r="A5348" s="15">
        <v>45901</v>
      </c>
      <c r="B5348" t="s">
        <v>255</v>
      </c>
      <c r="C5348" t="s">
        <v>91</v>
      </c>
      <c r="D5348" t="s">
        <v>86</v>
      </c>
      <c r="E5348" t="s">
        <v>89</v>
      </c>
      <c r="F5348">
        <v>9900</v>
      </c>
      <c r="G5348" t="s">
        <v>331</v>
      </c>
      <c r="H5348" s="15">
        <v>45292</v>
      </c>
      <c r="I5348">
        <v>9900</v>
      </c>
      <c r="J5348">
        <v>0</v>
      </c>
    </row>
    <row r="5349" spans="1:10" x14ac:dyDescent="0.3">
      <c r="A5349" s="15">
        <v>45901</v>
      </c>
      <c r="B5349" t="s">
        <v>256</v>
      </c>
      <c r="C5349" t="s">
        <v>81</v>
      </c>
      <c r="D5349" t="s">
        <v>82</v>
      </c>
      <c r="E5349" t="s">
        <v>103</v>
      </c>
      <c r="F5349">
        <v>1800</v>
      </c>
      <c r="G5349" t="s">
        <v>331</v>
      </c>
      <c r="H5349" s="15">
        <v>45292</v>
      </c>
      <c r="I5349">
        <v>1800</v>
      </c>
      <c r="J5349">
        <v>0</v>
      </c>
    </row>
    <row r="5350" spans="1:10" x14ac:dyDescent="0.3">
      <c r="A5350" s="15">
        <v>45901</v>
      </c>
      <c r="B5350" t="s">
        <v>258</v>
      </c>
      <c r="C5350" t="s">
        <v>125</v>
      </c>
      <c r="D5350" t="s">
        <v>86</v>
      </c>
      <c r="E5350" t="s">
        <v>83</v>
      </c>
      <c r="F5350">
        <v>96300</v>
      </c>
      <c r="G5350" t="s">
        <v>331</v>
      </c>
      <c r="H5350" s="15">
        <v>45292</v>
      </c>
      <c r="I5350">
        <v>96300</v>
      </c>
      <c r="J5350">
        <v>0</v>
      </c>
    </row>
    <row r="5351" spans="1:10" x14ac:dyDescent="0.3">
      <c r="A5351" s="15">
        <v>45901</v>
      </c>
      <c r="B5351" t="s">
        <v>259</v>
      </c>
      <c r="C5351" t="s">
        <v>81</v>
      </c>
      <c r="D5351" t="s">
        <v>86</v>
      </c>
      <c r="E5351" t="s">
        <v>89</v>
      </c>
      <c r="F5351">
        <v>1900</v>
      </c>
      <c r="G5351" t="s">
        <v>331</v>
      </c>
      <c r="H5351" s="15">
        <v>45292</v>
      </c>
      <c r="I5351">
        <v>1900</v>
      </c>
      <c r="J5351">
        <v>0</v>
      </c>
    </row>
    <row r="5352" spans="1:10" x14ac:dyDescent="0.3">
      <c r="A5352" s="15">
        <v>45901</v>
      </c>
      <c r="B5352" t="s">
        <v>260</v>
      </c>
      <c r="C5352" t="s">
        <v>81</v>
      </c>
      <c r="D5352" t="s">
        <v>86</v>
      </c>
      <c r="E5352" t="s">
        <v>97</v>
      </c>
      <c r="F5352">
        <v>2000</v>
      </c>
      <c r="G5352" t="s">
        <v>331</v>
      </c>
      <c r="H5352" s="15">
        <v>45292</v>
      </c>
      <c r="I5352">
        <v>2000</v>
      </c>
      <c r="J5352">
        <v>0</v>
      </c>
    </row>
    <row r="5353" spans="1:10" x14ac:dyDescent="0.3">
      <c r="A5353" s="15">
        <v>45901</v>
      </c>
      <c r="B5353" t="s">
        <v>262</v>
      </c>
      <c r="C5353" t="s">
        <v>91</v>
      </c>
      <c r="D5353" t="s">
        <v>82</v>
      </c>
      <c r="E5353" t="s">
        <v>92</v>
      </c>
      <c r="F5353">
        <v>10800</v>
      </c>
      <c r="G5353" t="s">
        <v>331</v>
      </c>
      <c r="H5353" s="15">
        <v>45292</v>
      </c>
      <c r="I5353">
        <v>10800</v>
      </c>
      <c r="J5353">
        <v>0</v>
      </c>
    </row>
    <row r="5354" spans="1:10" x14ac:dyDescent="0.3">
      <c r="A5354" s="15">
        <v>45901</v>
      </c>
      <c r="B5354" t="s">
        <v>264</v>
      </c>
      <c r="C5354" t="s">
        <v>110</v>
      </c>
      <c r="D5354" t="s">
        <v>86</v>
      </c>
      <c r="E5354" t="s">
        <v>97</v>
      </c>
      <c r="F5354">
        <v>31500</v>
      </c>
      <c r="G5354" t="s">
        <v>331</v>
      </c>
      <c r="H5354" s="15">
        <v>45292</v>
      </c>
      <c r="I5354">
        <v>31500</v>
      </c>
      <c r="J5354">
        <v>0</v>
      </c>
    </row>
    <row r="5355" spans="1:10" x14ac:dyDescent="0.3">
      <c r="A5355" s="15">
        <v>45901</v>
      </c>
      <c r="B5355" t="s">
        <v>265</v>
      </c>
      <c r="C5355" t="s">
        <v>125</v>
      </c>
      <c r="D5355" t="s">
        <v>86</v>
      </c>
      <c r="E5355" t="s">
        <v>101</v>
      </c>
      <c r="F5355">
        <v>92200</v>
      </c>
      <c r="G5355" t="s">
        <v>331</v>
      </c>
      <c r="H5355" s="15">
        <v>45292</v>
      </c>
      <c r="I5355">
        <v>92200</v>
      </c>
      <c r="J5355">
        <v>0</v>
      </c>
    </row>
    <row r="5356" spans="1:10" x14ac:dyDescent="0.3">
      <c r="A5356" s="15">
        <v>45901</v>
      </c>
      <c r="B5356" t="s">
        <v>266</v>
      </c>
      <c r="C5356" t="s">
        <v>81</v>
      </c>
      <c r="D5356" t="s">
        <v>82</v>
      </c>
      <c r="E5356" t="s">
        <v>83</v>
      </c>
      <c r="F5356">
        <v>2200</v>
      </c>
      <c r="G5356" t="s">
        <v>331</v>
      </c>
      <c r="H5356" s="15">
        <v>45292</v>
      </c>
      <c r="I5356">
        <v>2200</v>
      </c>
      <c r="J5356">
        <v>0</v>
      </c>
    </row>
    <row r="5357" spans="1:10" x14ac:dyDescent="0.3">
      <c r="A5357" s="15">
        <v>45901</v>
      </c>
      <c r="B5357" t="s">
        <v>267</v>
      </c>
      <c r="C5357" t="s">
        <v>91</v>
      </c>
      <c r="D5357" t="s">
        <v>82</v>
      </c>
      <c r="E5357" t="s">
        <v>97</v>
      </c>
      <c r="F5357">
        <v>7300</v>
      </c>
      <c r="G5357" t="s">
        <v>331</v>
      </c>
      <c r="H5357" s="15">
        <v>45292</v>
      </c>
      <c r="I5357">
        <v>7300</v>
      </c>
      <c r="J5357">
        <v>0</v>
      </c>
    </row>
    <row r="5358" spans="1:10" x14ac:dyDescent="0.3">
      <c r="A5358" s="15">
        <v>45901</v>
      </c>
      <c r="B5358" t="s">
        <v>272</v>
      </c>
      <c r="C5358" t="s">
        <v>125</v>
      </c>
      <c r="D5358" t="s">
        <v>96</v>
      </c>
      <c r="E5358" t="s">
        <v>103</v>
      </c>
      <c r="F5358">
        <v>101100</v>
      </c>
      <c r="G5358" t="s">
        <v>331</v>
      </c>
      <c r="H5358" s="15">
        <v>45292</v>
      </c>
      <c r="I5358">
        <v>101100</v>
      </c>
      <c r="J5358">
        <v>0</v>
      </c>
    </row>
    <row r="5359" spans="1:10" x14ac:dyDescent="0.3">
      <c r="A5359" s="15">
        <v>45901</v>
      </c>
      <c r="B5359" t="s">
        <v>273</v>
      </c>
      <c r="C5359" t="s">
        <v>81</v>
      </c>
      <c r="D5359" t="s">
        <v>82</v>
      </c>
      <c r="E5359" t="s">
        <v>101</v>
      </c>
      <c r="F5359">
        <v>3300</v>
      </c>
      <c r="G5359" t="s">
        <v>331</v>
      </c>
      <c r="H5359" s="15">
        <v>45292</v>
      </c>
      <c r="I5359">
        <v>3300</v>
      </c>
      <c r="J5359">
        <v>0</v>
      </c>
    </row>
    <row r="5360" spans="1:10" x14ac:dyDescent="0.3">
      <c r="A5360" s="15">
        <v>45901</v>
      </c>
      <c r="B5360" t="s">
        <v>274</v>
      </c>
      <c r="C5360" t="s">
        <v>91</v>
      </c>
      <c r="D5360" t="s">
        <v>99</v>
      </c>
      <c r="E5360" t="s">
        <v>87</v>
      </c>
      <c r="F5360">
        <v>11400</v>
      </c>
      <c r="G5360" t="s">
        <v>331</v>
      </c>
      <c r="H5360" s="15">
        <v>45292</v>
      </c>
      <c r="I5360">
        <v>11400</v>
      </c>
      <c r="J5360">
        <v>0</v>
      </c>
    </row>
    <row r="5361" spans="1:10" x14ac:dyDescent="0.3">
      <c r="A5361" s="15">
        <v>45901</v>
      </c>
      <c r="B5361" t="s">
        <v>276</v>
      </c>
      <c r="C5361" t="s">
        <v>81</v>
      </c>
      <c r="D5361" t="s">
        <v>82</v>
      </c>
      <c r="E5361" t="s">
        <v>103</v>
      </c>
      <c r="F5361">
        <v>3300</v>
      </c>
      <c r="G5361" t="s">
        <v>331</v>
      </c>
      <c r="H5361" s="15">
        <v>45292</v>
      </c>
      <c r="I5361">
        <v>3300</v>
      </c>
      <c r="J5361">
        <v>0</v>
      </c>
    </row>
    <row r="5362" spans="1:10" x14ac:dyDescent="0.3">
      <c r="A5362" s="15">
        <v>45901</v>
      </c>
      <c r="B5362" t="s">
        <v>277</v>
      </c>
      <c r="C5362" t="s">
        <v>91</v>
      </c>
      <c r="D5362" t="s">
        <v>86</v>
      </c>
      <c r="E5362" t="s">
        <v>97</v>
      </c>
      <c r="F5362">
        <v>9200</v>
      </c>
      <c r="G5362" t="s">
        <v>331</v>
      </c>
      <c r="H5362" s="15">
        <v>45292</v>
      </c>
      <c r="I5362">
        <v>9200</v>
      </c>
      <c r="J5362">
        <v>0</v>
      </c>
    </row>
    <row r="5363" spans="1:10" x14ac:dyDescent="0.3">
      <c r="A5363" s="15">
        <v>45901</v>
      </c>
      <c r="B5363" t="s">
        <v>279</v>
      </c>
      <c r="C5363" t="s">
        <v>91</v>
      </c>
      <c r="D5363" t="s">
        <v>99</v>
      </c>
      <c r="E5363" t="s">
        <v>89</v>
      </c>
      <c r="F5363">
        <v>9800</v>
      </c>
      <c r="G5363" t="s">
        <v>331</v>
      </c>
      <c r="H5363" s="15">
        <v>45292</v>
      </c>
      <c r="I5363">
        <v>9800</v>
      </c>
      <c r="J5363">
        <v>0</v>
      </c>
    </row>
    <row r="5364" spans="1:10" x14ac:dyDescent="0.3">
      <c r="A5364" s="15">
        <v>45901</v>
      </c>
      <c r="B5364" t="s">
        <v>280</v>
      </c>
      <c r="C5364" t="s">
        <v>91</v>
      </c>
      <c r="D5364" t="s">
        <v>96</v>
      </c>
      <c r="E5364" t="s">
        <v>83</v>
      </c>
      <c r="F5364">
        <v>6300</v>
      </c>
      <c r="G5364" t="s">
        <v>331</v>
      </c>
      <c r="H5364" s="15">
        <v>45292</v>
      </c>
      <c r="I5364">
        <v>6300</v>
      </c>
      <c r="J5364">
        <v>0</v>
      </c>
    </row>
    <row r="5365" spans="1:10" x14ac:dyDescent="0.3">
      <c r="A5365" s="15">
        <v>45901</v>
      </c>
      <c r="B5365" t="s">
        <v>281</v>
      </c>
      <c r="C5365" t="s">
        <v>110</v>
      </c>
      <c r="D5365" t="s">
        <v>86</v>
      </c>
      <c r="E5365" t="s">
        <v>92</v>
      </c>
      <c r="F5365">
        <v>63400</v>
      </c>
      <c r="G5365" t="s">
        <v>331</v>
      </c>
      <c r="H5365" s="15">
        <v>45292</v>
      </c>
      <c r="I5365">
        <v>63400</v>
      </c>
      <c r="J5365">
        <v>0</v>
      </c>
    </row>
    <row r="5366" spans="1:10" x14ac:dyDescent="0.3">
      <c r="A5366" s="15">
        <v>45901</v>
      </c>
      <c r="B5366" t="s">
        <v>282</v>
      </c>
      <c r="C5366" t="s">
        <v>91</v>
      </c>
      <c r="D5366" t="s">
        <v>86</v>
      </c>
      <c r="E5366" t="s">
        <v>92</v>
      </c>
      <c r="F5366">
        <v>5800</v>
      </c>
      <c r="G5366" t="s">
        <v>331</v>
      </c>
      <c r="H5366" s="15">
        <v>45292</v>
      </c>
      <c r="I5366">
        <v>5800</v>
      </c>
      <c r="J5366">
        <v>0</v>
      </c>
    </row>
    <row r="5367" spans="1:10" x14ac:dyDescent="0.3">
      <c r="A5367" s="15">
        <v>45901</v>
      </c>
      <c r="B5367" t="s">
        <v>283</v>
      </c>
      <c r="C5367" t="s">
        <v>110</v>
      </c>
      <c r="D5367" t="s">
        <v>82</v>
      </c>
      <c r="E5367" t="s">
        <v>87</v>
      </c>
      <c r="F5367">
        <v>34200</v>
      </c>
      <c r="G5367" t="s">
        <v>331</v>
      </c>
      <c r="H5367" s="15">
        <v>45292</v>
      </c>
      <c r="I5367">
        <v>34200</v>
      </c>
      <c r="J5367">
        <v>0</v>
      </c>
    </row>
    <row r="5368" spans="1:10" x14ac:dyDescent="0.3">
      <c r="A5368" s="15">
        <v>45901</v>
      </c>
      <c r="B5368" t="s">
        <v>284</v>
      </c>
      <c r="C5368" t="s">
        <v>81</v>
      </c>
      <c r="D5368" t="s">
        <v>82</v>
      </c>
      <c r="E5368" t="s">
        <v>101</v>
      </c>
      <c r="F5368">
        <v>2200</v>
      </c>
      <c r="G5368" t="s">
        <v>334</v>
      </c>
      <c r="H5368" s="15">
        <v>45292</v>
      </c>
      <c r="I5368">
        <v>2400</v>
      </c>
      <c r="J5368">
        <v>-200</v>
      </c>
    </row>
    <row r="5369" spans="1:10" x14ac:dyDescent="0.3">
      <c r="A5369" s="15">
        <v>45901</v>
      </c>
      <c r="B5369" t="s">
        <v>285</v>
      </c>
      <c r="C5369" t="s">
        <v>91</v>
      </c>
      <c r="D5369" t="s">
        <v>82</v>
      </c>
      <c r="E5369" t="s">
        <v>83</v>
      </c>
      <c r="F5369">
        <v>10900</v>
      </c>
      <c r="G5369" t="s">
        <v>331</v>
      </c>
      <c r="H5369" s="15">
        <v>45292</v>
      </c>
      <c r="I5369">
        <v>10900</v>
      </c>
      <c r="J5369">
        <v>0</v>
      </c>
    </row>
    <row r="5370" spans="1:10" x14ac:dyDescent="0.3">
      <c r="A5370" s="15">
        <v>45901</v>
      </c>
      <c r="B5370" t="s">
        <v>286</v>
      </c>
      <c r="C5370" t="s">
        <v>125</v>
      </c>
      <c r="D5370" t="s">
        <v>86</v>
      </c>
      <c r="E5370" t="s">
        <v>92</v>
      </c>
      <c r="F5370">
        <v>92400</v>
      </c>
      <c r="G5370" t="s">
        <v>331</v>
      </c>
      <c r="H5370" s="15">
        <v>45292</v>
      </c>
      <c r="I5370">
        <v>92400</v>
      </c>
      <c r="J5370">
        <v>0</v>
      </c>
    </row>
    <row r="5371" spans="1:10" x14ac:dyDescent="0.3">
      <c r="A5371" s="15">
        <v>45901</v>
      </c>
      <c r="B5371" t="s">
        <v>287</v>
      </c>
      <c r="C5371" t="s">
        <v>81</v>
      </c>
      <c r="D5371" t="s">
        <v>99</v>
      </c>
      <c r="E5371" t="s">
        <v>87</v>
      </c>
      <c r="F5371">
        <v>2300</v>
      </c>
      <c r="G5371" t="s">
        <v>331</v>
      </c>
      <c r="H5371" s="15">
        <v>45292</v>
      </c>
      <c r="I5371">
        <v>2300</v>
      </c>
      <c r="J5371">
        <v>0</v>
      </c>
    </row>
    <row r="5372" spans="1:10" x14ac:dyDescent="0.3">
      <c r="A5372" s="15">
        <v>45901</v>
      </c>
      <c r="B5372" t="s">
        <v>288</v>
      </c>
      <c r="C5372" t="s">
        <v>81</v>
      </c>
      <c r="D5372" t="s">
        <v>99</v>
      </c>
      <c r="E5372" t="s">
        <v>97</v>
      </c>
      <c r="F5372">
        <v>2900</v>
      </c>
      <c r="G5372" t="s">
        <v>332</v>
      </c>
      <c r="H5372" s="15">
        <v>45292</v>
      </c>
      <c r="I5372">
        <v>2600</v>
      </c>
      <c r="J5372">
        <v>300</v>
      </c>
    </row>
    <row r="5373" spans="1:10" x14ac:dyDescent="0.3">
      <c r="A5373" s="15">
        <v>45901</v>
      </c>
      <c r="B5373" t="s">
        <v>289</v>
      </c>
      <c r="C5373" t="s">
        <v>91</v>
      </c>
      <c r="D5373" t="s">
        <v>86</v>
      </c>
      <c r="E5373" t="s">
        <v>101</v>
      </c>
      <c r="F5373">
        <v>9400</v>
      </c>
      <c r="G5373" t="s">
        <v>331</v>
      </c>
      <c r="H5373" s="15">
        <v>45292</v>
      </c>
      <c r="I5373">
        <v>9400</v>
      </c>
      <c r="J5373">
        <v>0</v>
      </c>
    </row>
    <row r="5374" spans="1:10" x14ac:dyDescent="0.3">
      <c r="A5374" s="15">
        <v>45901</v>
      </c>
      <c r="B5374" t="s">
        <v>290</v>
      </c>
      <c r="C5374" t="s">
        <v>81</v>
      </c>
      <c r="D5374" t="s">
        <v>82</v>
      </c>
      <c r="E5374" t="s">
        <v>103</v>
      </c>
      <c r="F5374">
        <v>2500</v>
      </c>
      <c r="G5374" t="s">
        <v>331</v>
      </c>
      <c r="H5374" s="15">
        <v>45292</v>
      </c>
      <c r="I5374">
        <v>2500</v>
      </c>
      <c r="J5374">
        <v>0</v>
      </c>
    </row>
    <row r="5375" spans="1:10" x14ac:dyDescent="0.3">
      <c r="A5375" s="15">
        <v>45901</v>
      </c>
      <c r="B5375" t="s">
        <v>291</v>
      </c>
      <c r="C5375" t="s">
        <v>81</v>
      </c>
      <c r="D5375" t="s">
        <v>82</v>
      </c>
      <c r="E5375" t="s">
        <v>83</v>
      </c>
      <c r="F5375">
        <v>3100</v>
      </c>
      <c r="G5375" t="s">
        <v>331</v>
      </c>
      <c r="H5375" s="15">
        <v>45292</v>
      </c>
      <c r="I5375">
        <v>3100</v>
      </c>
      <c r="J5375">
        <v>0</v>
      </c>
    </row>
    <row r="5376" spans="1:10" x14ac:dyDescent="0.3">
      <c r="A5376" s="15">
        <v>45901</v>
      </c>
      <c r="B5376" t="s">
        <v>292</v>
      </c>
      <c r="C5376" t="s">
        <v>91</v>
      </c>
      <c r="D5376" t="s">
        <v>86</v>
      </c>
      <c r="E5376" t="s">
        <v>89</v>
      </c>
      <c r="F5376">
        <v>9900</v>
      </c>
      <c r="G5376" t="s">
        <v>331</v>
      </c>
      <c r="H5376" s="15">
        <v>45292</v>
      </c>
      <c r="I5376">
        <v>9900</v>
      </c>
      <c r="J5376">
        <v>0</v>
      </c>
    </row>
    <row r="5377" spans="1:10" x14ac:dyDescent="0.3">
      <c r="A5377" s="15">
        <v>45901</v>
      </c>
      <c r="B5377" t="s">
        <v>293</v>
      </c>
      <c r="C5377" t="s">
        <v>81</v>
      </c>
      <c r="D5377" t="s">
        <v>86</v>
      </c>
      <c r="E5377" t="s">
        <v>103</v>
      </c>
      <c r="F5377">
        <v>2200</v>
      </c>
      <c r="G5377" t="s">
        <v>331</v>
      </c>
      <c r="H5377" s="15">
        <v>45292</v>
      </c>
      <c r="I5377">
        <v>2200</v>
      </c>
      <c r="J5377">
        <v>0</v>
      </c>
    </row>
    <row r="5378" spans="1:10" x14ac:dyDescent="0.3">
      <c r="A5378" s="15">
        <v>45901</v>
      </c>
      <c r="B5378" t="s">
        <v>294</v>
      </c>
      <c r="C5378" t="s">
        <v>91</v>
      </c>
      <c r="D5378" t="s">
        <v>82</v>
      </c>
      <c r="E5378" t="s">
        <v>97</v>
      </c>
      <c r="F5378">
        <v>10400</v>
      </c>
      <c r="G5378" t="s">
        <v>331</v>
      </c>
      <c r="H5378" s="15">
        <v>45292</v>
      </c>
      <c r="I5378">
        <v>10400</v>
      </c>
      <c r="J5378">
        <v>0</v>
      </c>
    </row>
    <row r="5379" spans="1:10" x14ac:dyDescent="0.3">
      <c r="A5379" s="15">
        <v>45901</v>
      </c>
      <c r="B5379" t="s">
        <v>295</v>
      </c>
      <c r="C5379" t="s">
        <v>81</v>
      </c>
      <c r="D5379" t="s">
        <v>82</v>
      </c>
      <c r="E5379" t="s">
        <v>103</v>
      </c>
      <c r="F5379">
        <v>2300</v>
      </c>
      <c r="G5379" t="s">
        <v>331</v>
      </c>
      <c r="H5379" s="15">
        <v>45292</v>
      </c>
      <c r="I5379">
        <v>2300</v>
      </c>
      <c r="J5379">
        <v>0</v>
      </c>
    </row>
    <row r="5380" spans="1:10" x14ac:dyDescent="0.3">
      <c r="A5380" s="15">
        <v>45901</v>
      </c>
      <c r="B5380" t="s">
        <v>298</v>
      </c>
      <c r="C5380" t="s">
        <v>81</v>
      </c>
      <c r="D5380" t="s">
        <v>86</v>
      </c>
      <c r="E5380" t="s">
        <v>89</v>
      </c>
      <c r="F5380">
        <v>2700</v>
      </c>
      <c r="G5380" t="s">
        <v>331</v>
      </c>
      <c r="H5380" s="15">
        <v>45292</v>
      </c>
      <c r="I5380">
        <v>2700</v>
      </c>
      <c r="J5380">
        <v>0</v>
      </c>
    </row>
    <row r="5381" spans="1:10" x14ac:dyDescent="0.3">
      <c r="A5381" s="15">
        <v>45901</v>
      </c>
      <c r="B5381" t="s">
        <v>299</v>
      </c>
      <c r="C5381" t="s">
        <v>81</v>
      </c>
      <c r="D5381" t="s">
        <v>99</v>
      </c>
      <c r="E5381" t="s">
        <v>103</v>
      </c>
      <c r="F5381">
        <v>2900</v>
      </c>
      <c r="G5381" t="s">
        <v>331</v>
      </c>
      <c r="H5381" s="15">
        <v>45292</v>
      </c>
      <c r="I5381">
        <v>2900</v>
      </c>
      <c r="J5381">
        <v>0</v>
      </c>
    </row>
    <row r="5382" spans="1:10" x14ac:dyDescent="0.3">
      <c r="A5382" s="15">
        <v>45901</v>
      </c>
      <c r="B5382" t="s">
        <v>300</v>
      </c>
      <c r="C5382" t="s">
        <v>91</v>
      </c>
      <c r="D5382" t="s">
        <v>82</v>
      </c>
      <c r="E5382" t="s">
        <v>89</v>
      </c>
      <c r="F5382">
        <v>11500</v>
      </c>
      <c r="G5382" t="s">
        <v>331</v>
      </c>
      <c r="H5382" s="15">
        <v>45292</v>
      </c>
      <c r="I5382">
        <v>11500</v>
      </c>
      <c r="J5382">
        <v>0</v>
      </c>
    </row>
    <row r="5383" spans="1:10" x14ac:dyDescent="0.3">
      <c r="A5383" s="15">
        <v>45901</v>
      </c>
      <c r="B5383" t="s">
        <v>303</v>
      </c>
      <c r="C5383" t="s">
        <v>81</v>
      </c>
      <c r="D5383" t="s">
        <v>82</v>
      </c>
      <c r="E5383" t="s">
        <v>83</v>
      </c>
      <c r="F5383">
        <v>1400</v>
      </c>
      <c r="G5383" t="s">
        <v>331</v>
      </c>
      <c r="H5383" s="15">
        <v>45292</v>
      </c>
      <c r="I5383">
        <v>1400</v>
      </c>
      <c r="J5383">
        <v>0</v>
      </c>
    </row>
    <row r="5384" spans="1:10" x14ac:dyDescent="0.3">
      <c r="A5384" s="15">
        <v>45901</v>
      </c>
      <c r="B5384" t="s">
        <v>304</v>
      </c>
      <c r="C5384" t="s">
        <v>81</v>
      </c>
      <c r="D5384" t="s">
        <v>86</v>
      </c>
      <c r="E5384" t="s">
        <v>92</v>
      </c>
      <c r="F5384">
        <v>2100</v>
      </c>
      <c r="G5384" t="s">
        <v>331</v>
      </c>
      <c r="H5384" s="15">
        <v>45292</v>
      </c>
      <c r="I5384">
        <v>2100</v>
      </c>
      <c r="J5384">
        <v>0</v>
      </c>
    </row>
    <row r="5385" spans="1:10" x14ac:dyDescent="0.3">
      <c r="A5385" s="15">
        <v>45901</v>
      </c>
      <c r="B5385" t="s">
        <v>306</v>
      </c>
      <c r="C5385" t="s">
        <v>91</v>
      </c>
      <c r="D5385" t="s">
        <v>82</v>
      </c>
      <c r="E5385" t="s">
        <v>87</v>
      </c>
      <c r="F5385">
        <v>11700</v>
      </c>
      <c r="G5385" t="s">
        <v>331</v>
      </c>
      <c r="H5385" s="15">
        <v>45292</v>
      </c>
      <c r="I5385">
        <v>11700</v>
      </c>
      <c r="J5385">
        <v>0</v>
      </c>
    </row>
    <row r="5386" spans="1:10" x14ac:dyDescent="0.3">
      <c r="A5386" s="15">
        <v>45901</v>
      </c>
      <c r="B5386" t="s">
        <v>307</v>
      </c>
      <c r="C5386" t="s">
        <v>81</v>
      </c>
      <c r="D5386" t="s">
        <v>86</v>
      </c>
      <c r="E5386" t="s">
        <v>97</v>
      </c>
      <c r="F5386">
        <v>2600</v>
      </c>
      <c r="G5386" t="s">
        <v>331</v>
      </c>
      <c r="H5386" s="15">
        <v>45292</v>
      </c>
      <c r="I5386">
        <v>2600</v>
      </c>
      <c r="J5386">
        <v>0</v>
      </c>
    </row>
    <row r="5387" spans="1:10" x14ac:dyDescent="0.3">
      <c r="A5387" s="15">
        <v>45901</v>
      </c>
      <c r="B5387" t="s">
        <v>309</v>
      </c>
      <c r="C5387" t="s">
        <v>91</v>
      </c>
      <c r="D5387" t="s">
        <v>82</v>
      </c>
      <c r="E5387" t="s">
        <v>87</v>
      </c>
      <c r="F5387">
        <v>11800</v>
      </c>
      <c r="G5387" t="s">
        <v>332</v>
      </c>
      <c r="H5387" s="15">
        <v>45292</v>
      </c>
      <c r="I5387">
        <v>10700</v>
      </c>
      <c r="J5387">
        <v>1100</v>
      </c>
    </row>
    <row r="5388" spans="1:10" x14ac:dyDescent="0.3">
      <c r="A5388" s="15">
        <v>45901</v>
      </c>
      <c r="B5388" t="s">
        <v>310</v>
      </c>
      <c r="C5388" t="s">
        <v>91</v>
      </c>
      <c r="D5388" t="s">
        <v>99</v>
      </c>
      <c r="E5388" t="s">
        <v>87</v>
      </c>
      <c r="F5388">
        <v>10000</v>
      </c>
      <c r="G5388" t="s">
        <v>331</v>
      </c>
      <c r="H5388" s="15">
        <v>45292</v>
      </c>
      <c r="I5388">
        <v>10000</v>
      </c>
      <c r="J5388">
        <v>0</v>
      </c>
    </row>
    <row r="5389" spans="1:10" x14ac:dyDescent="0.3">
      <c r="A5389" s="15">
        <v>45901</v>
      </c>
      <c r="B5389" t="s">
        <v>313</v>
      </c>
      <c r="C5389" t="s">
        <v>91</v>
      </c>
      <c r="D5389" t="s">
        <v>82</v>
      </c>
      <c r="E5389" t="s">
        <v>101</v>
      </c>
      <c r="F5389">
        <v>12700</v>
      </c>
      <c r="G5389" t="s">
        <v>331</v>
      </c>
      <c r="H5389" s="15">
        <v>45292</v>
      </c>
      <c r="I5389">
        <v>12700</v>
      </c>
      <c r="J5389">
        <v>0</v>
      </c>
    </row>
    <row r="5390" spans="1:10" x14ac:dyDescent="0.3">
      <c r="A5390" s="15">
        <v>45901</v>
      </c>
      <c r="B5390" t="s">
        <v>315</v>
      </c>
      <c r="C5390" t="s">
        <v>125</v>
      </c>
      <c r="D5390" t="s">
        <v>86</v>
      </c>
      <c r="E5390" t="s">
        <v>92</v>
      </c>
      <c r="F5390">
        <v>76200</v>
      </c>
      <c r="G5390" t="s">
        <v>331</v>
      </c>
      <c r="H5390" s="15">
        <v>45292</v>
      </c>
      <c r="I5390">
        <v>76200</v>
      </c>
      <c r="J5390">
        <v>0</v>
      </c>
    </row>
    <row r="5391" spans="1:10" x14ac:dyDescent="0.3">
      <c r="A5391" s="15">
        <v>45901</v>
      </c>
      <c r="B5391" t="s">
        <v>316</v>
      </c>
      <c r="C5391" t="s">
        <v>81</v>
      </c>
      <c r="D5391" t="s">
        <v>96</v>
      </c>
      <c r="E5391" t="s">
        <v>92</v>
      </c>
      <c r="F5391">
        <v>2000</v>
      </c>
      <c r="G5391" t="s">
        <v>331</v>
      </c>
      <c r="H5391" s="15">
        <v>45292</v>
      </c>
      <c r="I5391">
        <v>2000</v>
      </c>
      <c r="J5391">
        <v>0</v>
      </c>
    </row>
    <row r="5392" spans="1:10" x14ac:dyDescent="0.3">
      <c r="A5392" s="15">
        <v>45901</v>
      </c>
      <c r="B5392" t="s">
        <v>318</v>
      </c>
      <c r="C5392" t="s">
        <v>110</v>
      </c>
      <c r="D5392" t="s">
        <v>82</v>
      </c>
      <c r="E5392" t="s">
        <v>97</v>
      </c>
      <c r="F5392">
        <v>29600</v>
      </c>
      <c r="G5392" t="s">
        <v>331</v>
      </c>
      <c r="H5392" s="15">
        <v>45292</v>
      </c>
      <c r="I5392">
        <v>29600</v>
      </c>
      <c r="J5392">
        <v>0</v>
      </c>
    </row>
    <row r="5393" spans="1:10" x14ac:dyDescent="0.3">
      <c r="A5393" s="15">
        <v>45901</v>
      </c>
      <c r="B5393" t="s">
        <v>320</v>
      </c>
      <c r="C5393" t="s">
        <v>91</v>
      </c>
      <c r="D5393" t="s">
        <v>86</v>
      </c>
      <c r="E5393" t="s">
        <v>97</v>
      </c>
      <c r="F5393">
        <v>7700</v>
      </c>
      <c r="G5393" t="s">
        <v>331</v>
      </c>
      <c r="H5393" s="15">
        <v>45292</v>
      </c>
      <c r="I5393">
        <v>7700</v>
      </c>
      <c r="J5393">
        <v>0</v>
      </c>
    </row>
    <row r="5394" spans="1:10" x14ac:dyDescent="0.3">
      <c r="A5394" s="15">
        <v>45901</v>
      </c>
      <c r="B5394" t="s">
        <v>321</v>
      </c>
      <c r="C5394" t="s">
        <v>81</v>
      </c>
      <c r="D5394" t="s">
        <v>99</v>
      </c>
      <c r="E5394" t="s">
        <v>101</v>
      </c>
      <c r="F5394">
        <v>3500</v>
      </c>
      <c r="G5394" t="s">
        <v>331</v>
      </c>
      <c r="H5394" s="15">
        <v>45292</v>
      </c>
      <c r="I5394">
        <v>3500</v>
      </c>
      <c r="J5394">
        <v>0</v>
      </c>
    </row>
    <row r="5395" spans="1:10" x14ac:dyDescent="0.3">
      <c r="A5395" s="15">
        <v>45901</v>
      </c>
      <c r="B5395" t="s">
        <v>322</v>
      </c>
      <c r="C5395" t="s">
        <v>81</v>
      </c>
      <c r="D5395" t="s">
        <v>82</v>
      </c>
      <c r="E5395" t="s">
        <v>103</v>
      </c>
      <c r="F5395">
        <v>2000</v>
      </c>
      <c r="G5395" t="s">
        <v>331</v>
      </c>
      <c r="H5395" s="15">
        <v>45292</v>
      </c>
      <c r="I5395">
        <v>2000</v>
      </c>
      <c r="J5395">
        <v>0</v>
      </c>
    </row>
    <row r="5396" spans="1:10" x14ac:dyDescent="0.3">
      <c r="A5396" s="15">
        <v>45901</v>
      </c>
      <c r="B5396" t="s">
        <v>323</v>
      </c>
      <c r="C5396" t="s">
        <v>110</v>
      </c>
      <c r="D5396" t="s">
        <v>82</v>
      </c>
      <c r="E5396" t="s">
        <v>89</v>
      </c>
      <c r="F5396">
        <v>23400</v>
      </c>
      <c r="G5396" t="s">
        <v>331</v>
      </c>
      <c r="H5396" s="15">
        <v>45292</v>
      </c>
      <c r="I5396">
        <v>23400</v>
      </c>
      <c r="J5396">
        <v>0</v>
      </c>
    </row>
    <row r="5397" spans="1:10" x14ac:dyDescent="0.3">
      <c r="A5397" s="15">
        <v>45901</v>
      </c>
      <c r="B5397" t="s">
        <v>324</v>
      </c>
      <c r="C5397" t="s">
        <v>81</v>
      </c>
      <c r="D5397" t="s">
        <v>86</v>
      </c>
      <c r="E5397" t="s">
        <v>87</v>
      </c>
      <c r="F5397">
        <v>2700</v>
      </c>
      <c r="G5397" t="s">
        <v>331</v>
      </c>
      <c r="H5397" s="15">
        <v>45292</v>
      </c>
      <c r="I5397">
        <v>2700</v>
      </c>
      <c r="J5397">
        <v>0</v>
      </c>
    </row>
    <row r="5398" spans="1:10" x14ac:dyDescent="0.3">
      <c r="A5398" s="15">
        <v>45901</v>
      </c>
      <c r="B5398" t="s">
        <v>325</v>
      </c>
      <c r="C5398" t="s">
        <v>91</v>
      </c>
      <c r="D5398" t="s">
        <v>86</v>
      </c>
      <c r="E5398" t="s">
        <v>87</v>
      </c>
      <c r="F5398">
        <v>9400</v>
      </c>
      <c r="G5398" t="s">
        <v>331</v>
      </c>
      <c r="H5398" s="15">
        <v>45292</v>
      </c>
      <c r="I5398">
        <v>9400</v>
      </c>
      <c r="J5398">
        <v>0</v>
      </c>
    </row>
    <row r="5399" spans="1:10" x14ac:dyDescent="0.3">
      <c r="A5399" s="15">
        <v>45901</v>
      </c>
      <c r="B5399" t="s">
        <v>326</v>
      </c>
      <c r="C5399" t="s">
        <v>91</v>
      </c>
      <c r="D5399" t="s">
        <v>86</v>
      </c>
      <c r="E5399" t="s">
        <v>92</v>
      </c>
      <c r="F5399">
        <v>9100</v>
      </c>
      <c r="G5399" t="s">
        <v>331</v>
      </c>
      <c r="H5399" s="15">
        <v>45292</v>
      </c>
      <c r="I5399">
        <v>9100</v>
      </c>
      <c r="J5399">
        <v>0</v>
      </c>
    </row>
    <row r="5400" spans="1:10" x14ac:dyDescent="0.3">
      <c r="A5400" s="15">
        <v>45901</v>
      </c>
      <c r="B5400" t="s">
        <v>327</v>
      </c>
      <c r="C5400" t="s">
        <v>125</v>
      </c>
      <c r="D5400" t="s">
        <v>99</v>
      </c>
      <c r="E5400" t="s">
        <v>97</v>
      </c>
      <c r="F5400">
        <v>77500</v>
      </c>
      <c r="G5400" t="s">
        <v>331</v>
      </c>
      <c r="H5400" s="15">
        <v>45292</v>
      </c>
      <c r="I5400">
        <v>77500</v>
      </c>
      <c r="J5400">
        <v>0</v>
      </c>
    </row>
    <row r="5401" spans="1:10" x14ac:dyDescent="0.3">
      <c r="A5401" s="15">
        <v>45901</v>
      </c>
      <c r="B5401" t="s">
        <v>329</v>
      </c>
      <c r="C5401" t="s">
        <v>81</v>
      </c>
      <c r="D5401" t="s">
        <v>86</v>
      </c>
      <c r="E5401" t="s">
        <v>101</v>
      </c>
      <c r="F5401">
        <v>2200</v>
      </c>
      <c r="G5401" t="s">
        <v>331</v>
      </c>
      <c r="H5401" s="15">
        <v>45292</v>
      </c>
      <c r="I5401">
        <v>2200</v>
      </c>
      <c r="J5401">
        <v>0</v>
      </c>
    </row>
    <row r="5402" spans="1:10" x14ac:dyDescent="0.3">
      <c r="A5402" s="15">
        <v>45901</v>
      </c>
      <c r="B5402" t="s">
        <v>330</v>
      </c>
      <c r="C5402" t="s">
        <v>125</v>
      </c>
      <c r="D5402" t="s">
        <v>86</v>
      </c>
      <c r="E5402" t="s">
        <v>87</v>
      </c>
      <c r="F5402">
        <v>105400</v>
      </c>
      <c r="G5402" t="s">
        <v>331</v>
      </c>
      <c r="H5402" s="15">
        <v>45292</v>
      </c>
      <c r="I5402">
        <v>105400</v>
      </c>
      <c r="J5402">
        <v>0</v>
      </c>
    </row>
    <row r="5403" spans="1:10" x14ac:dyDescent="0.3">
      <c r="A5403" s="15">
        <v>45901</v>
      </c>
      <c r="B5403" t="s">
        <v>335</v>
      </c>
      <c r="C5403" t="s">
        <v>91</v>
      </c>
      <c r="D5403" t="s">
        <v>86</v>
      </c>
      <c r="E5403" t="s">
        <v>89</v>
      </c>
      <c r="F5403">
        <v>7300</v>
      </c>
      <c r="G5403" t="s">
        <v>331</v>
      </c>
      <c r="H5403" s="15">
        <v>45323</v>
      </c>
      <c r="I5403">
        <v>7300</v>
      </c>
      <c r="J5403">
        <v>0</v>
      </c>
    </row>
    <row r="5404" spans="1:10" x14ac:dyDescent="0.3">
      <c r="A5404" s="15">
        <v>45901</v>
      </c>
      <c r="B5404" t="s">
        <v>336</v>
      </c>
      <c r="C5404" t="s">
        <v>81</v>
      </c>
      <c r="D5404" t="s">
        <v>82</v>
      </c>
      <c r="E5404" t="s">
        <v>103</v>
      </c>
      <c r="F5404">
        <v>1500</v>
      </c>
      <c r="G5404" t="s">
        <v>331</v>
      </c>
      <c r="H5404" s="15">
        <v>45323</v>
      </c>
      <c r="I5404">
        <v>1500</v>
      </c>
      <c r="J5404">
        <v>0</v>
      </c>
    </row>
    <row r="5405" spans="1:10" x14ac:dyDescent="0.3">
      <c r="A5405" s="15">
        <v>45901</v>
      </c>
      <c r="B5405" t="s">
        <v>339</v>
      </c>
      <c r="C5405" t="s">
        <v>81</v>
      </c>
      <c r="D5405" t="s">
        <v>82</v>
      </c>
      <c r="E5405" t="s">
        <v>103</v>
      </c>
      <c r="F5405">
        <v>1600</v>
      </c>
      <c r="G5405" t="s">
        <v>331</v>
      </c>
      <c r="H5405" s="15">
        <v>45323</v>
      </c>
      <c r="I5405">
        <v>1600</v>
      </c>
      <c r="J5405">
        <v>0</v>
      </c>
    </row>
    <row r="5406" spans="1:10" x14ac:dyDescent="0.3">
      <c r="A5406" s="15">
        <v>45901</v>
      </c>
      <c r="B5406" t="s">
        <v>341</v>
      </c>
      <c r="C5406" t="s">
        <v>110</v>
      </c>
      <c r="D5406" t="s">
        <v>82</v>
      </c>
      <c r="E5406" t="s">
        <v>92</v>
      </c>
      <c r="F5406">
        <v>18800</v>
      </c>
      <c r="G5406" t="s">
        <v>331</v>
      </c>
      <c r="H5406" s="15">
        <v>45323</v>
      </c>
      <c r="I5406">
        <v>18800</v>
      </c>
      <c r="J5406">
        <v>0</v>
      </c>
    </row>
    <row r="5407" spans="1:10" x14ac:dyDescent="0.3">
      <c r="A5407" s="15">
        <v>45901</v>
      </c>
      <c r="B5407" t="s">
        <v>342</v>
      </c>
      <c r="C5407" t="s">
        <v>91</v>
      </c>
      <c r="D5407" t="s">
        <v>82</v>
      </c>
      <c r="E5407" t="s">
        <v>83</v>
      </c>
      <c r="F5407">
        <v>6300</v>
      </c>
      <c r="G5407" t="s">
        <v>331</v>
      </c>
      <c r="H5407" s="15">
        <v>45352</v>
      </c>
      <c r="I5407">
        <v>6300</v>
      </c>
      <c r="J5407">
        <v>0</v>
      </c>
    </row>
    <row r="5408" spans="1:10" x14ac:dyDescent="0.3">
      <c r="A5408" s="15">
        <v>45901</v>
      </c>
      <c r="B5408" t="s">
        <v>343</v>
      </c>
      <c r="C5408" t="s">
        <v>81</v>
      </c>
      <c r="D5408" t="s">
        <v>82</v>
      </c>
      <c r="E5408" t="s">
        <v>89</v>
      </c>
      <c r="F5408">
        <v>2500</v>
      </c>
      <c r="G5408" t="s">
        <v>331</v>
      </c>
      <c r="H5408" s="15">
        <v>45352</v>
      </c>
      <c r="I5408">
        <v>2500</v>
      </c>
      <c r="J5408">
        <v>0</v>
      </c>
    </row>
    <row r="5409" spans="1:10" x14ac:dyDescent="0.3">
      <c r="A5409" s="15">
        <v>45901</v>
      </c>
      <c r="B5409" t="s">
        <v>344</v>
      </c>
      <c r="C5409" t="s">
        <v>110</v>
      </c>
      <c r="D5409" t="s">
        <v>86</v>
      </c>
      <c r="E5409" t="s">
        <v>89</v>
      </c>
      <c r="F5409">
        <v>22300</v>
      </c>
      <c r="G5409" t="s">
        <v>331</v>
      </c>
      <c r="H5409" s="15">
        <v>45352</v>
      </c>
      <c r="I5409">
        <v>22300</v>
      </c>
      <c r="J5409">
        <v>0</v>
      </c>
    </row>
    <row r="5410" spans="1:10" x14ac:dyDescent="0.3">
      <c r="A5410" s="15">
        <v>45901</v>
      </c>
      <c r="B5410" t="s">
        <v>345</v>
      </c>
      <c r="C5410" t="s">
        <v>91</v>
      </c>
      <c r="D5410" t="s">
        <v>86</v>
      </c>
      <c r="E5410" t="s">
        <v>83</v>
      </c>
      <c r="F5410">
        <v>7900</v>
      </c>
      <c r="G5410" t="s">
        <v>331</v>
      </c>
      <c r="H5410" s="15">
        <v>45352</v>
      </c>
      <c r="I5410">
        <v>7900</v>
      </c>
      <c r="J5410">
        <v>0</v>
      </c>
    </row>
    <row r="5411" spans="1:10" x14ac:dyDescent="0.3">
      <c r="A5411" s="15">
        <v>45901</v>
      </c>
      <c r="B5411" t="s">
        <v>346</v>
      </c>
      <c r="C5411" t="s">
        <v>81</v>
      </c>
      <c r="D5411" t="s">
        <v>86</v>
      </c>
      <c r="E5411" t="s">
        <v>97</v>
      </c>
      <c r="F5411">
        <v>1700</v>
      </c>
      <c r="G5411" t="s">
        <v>331</v>
      </c>
      <c r="H5411" s="15">
        <v>45352</v>
      </c>
      <c r="I5411">
        <v>1700</v>
      </c>
      <c r="J5411">
        <v>0</v>
      </c>
    </row>
    <row r="5412" spans="1:10" x14ac:dyDescent="0.3">
      <c r="A5412" s="15">
        <v>45901</v>
      </c>
      <c r="B5412" t="s">
        <v>347</v>
      </c>
      <c r="C5412" t="s">
        <v>91</v>
      </c>
      <c r="D5412" t="s">
        <v>82</v>
      </c>
      <c r="E5412" t="s">
        <v>83</v>
      </c>
      <c r="F5412">
        <v>4700</v>
      </c>
      <c r="G5412" t="s">
        <v>331</v>
      </c>
      <c r="H5412" s="15">
        <v>45383</v>
      </c>
      <c r="I5412">
        <v>4700</v>
      </c>
      <c r="J5412">
        <v>0</v>
      </c>
    </row>
    <row r="5413" spans="1:10" x14ac:dyDescent="0.3">
      <c r="A5413" s="15">
        <v>45901</v>
      </c>
      <c r="B5413" t="s">
        <v>350</v>
      </c>
      <c r="C5413" t="s">
        <v>91</v>
      </c>
      <c r="D5413" t="s">
        <v>82</v>
      </c>
      <c r="E5413" t="s">
        <v>83</v>
      </c>
      <c r="F5413">
        <v>4400</v>
      </c>
      <c r="G5413" t="s">
        <v>331</v>
      </c>
      <c r="H5413" s="15">
        <v>45383</v>
      </c>
      <c r="I5413">
        <v>4400</v>
      </c>
      <c r="J5413">
        <v>0</v>
      </c>
    </row>
    <row r="5414" spans="1:10" x14ac:dyDescent="0.3">
      <c r="A5414" s="15">
        <v>45901</v>
      </c>
      <c r="B5414" t="s">
        <v>351</v>
      </c>
      <c r="C5414" t="s">
        <v>81</v>
      </c>
      <c r="D5414" t="s">
        <v>86</v>
      </c>
      <c r="E5414" t="s">
        <v>83</v>
      </c>
      <c r="F5414">
        <v>2700</v>
      </c>
      <c r="G5414" t="s">
        <v>332</v>
      </c>
      <c r="H5414" s="15">
        <v>45383</v>
      </c>
      <c r="I5414">
        <v>2300</v>
      </c>
      <c r="J5414">
        <v>400</v>
      </c>
    </row>
    <row r="5415" spans="1:10" x14ac:dyDescent="0.3">
      <c r="A5415" s="15">
        <v>45901</v>
      </c>
      <c r="B5415" t="s">
        <v>352</v>
      </c>
      <c r="C5415" t="s">
        <v>91</v>
      </c>
      <c r="D5415" t="s">
        <v>82</v>
      </c>
      <c r="E5415" t="s">
        <v>89</v>
      </c>
      <c r="F5415">
        <v>8800</v>
      </c>
      <c r="G5415" t="s">
        <v>331</v>
      </c>
      <c r="H5415" s="15">
        <v>45383</v>
      </c>
      <c r="I5415">
        <v>8800</v>
      </c>
      <c r="J5415">
        <v>0</v>
      </c>
    </row>
    <row r="5416" spans="1:10" x14ac:dyDescent="0.3">
      <c r="A5416" s="15">
        <v>45901</v>
      </c>
      <c r="B5416" t="s">
        <v>353</v>
      </c>
      <c r="C5416" t="s">
        <v>81</v>
      </c>
      <c r="D5416" t="s">
        <v>99</v>
      </c>
      <c r="E5416" t="s">
        <v>103</v>
      </c>
      <c r="F5416">
        <v>1200</v>
      </c>
      <c r="G5416" t="s">
        <v>331</v>
      </c>
      <c r="H5416" s="15">
        <v>45383</v>
      </c>
      <c r="I5416">
        <v>1200</v>
      </c>
      <c r="J5416">
        <v>0</v>
      </c>
    </row>
    <row r="5417" spans="1:10" x14ac:dyDescent="0.3">
      <c r="A5417" s="15">
        <v>45901</v>
      </c>
      <c r="B5417" t="s">
        <v>354</v>
      </c>
      <c r="C5417" t="s">
        <v>81</v>
      </c>
      <c r="D5417" t="s">
        <v>82</v>
      </c>
      <c r="E5417" t="s">
        <v>92</v>
      </c>
      <c r="F5417">
        <v>1700</v>
      </c>
      <c r="G5417" t="s">
        <v>331</v>
      </c>
      <c r="H5417" s="15">
        <v>45413</v>
      </c>
      <c r="I5417">
        <v>1700</v>
      </c>
      <c r="J5417">
        <v>0</v>
      </c>
    </row>
    <row r="5418" spans="1:10" x14ac:dyDescent="0.3">
      <c r="A5418" s="15">
        <v>45901</v>
      </c>
      <c r="B5418" t="s">
        <v>355</v>
      </c>
      <c r="C5418" t="s">
        <v>81</v>
      </c>
      <c r="D5418" t="s">
        <v>86</v>
      </c>
      <c r="E5418" t="s">
        <v>97</v>
      </c>
      <c r="F5418">
        <v>2000</v>
      </c>
      <c r="G5418" t="s">
        <v>331</v>
      </c>
      <c r="H5418" s="15">
        <v>45413</v>
      </c>
      <c r="I5418">
        <v>2000</v>
      </c>
      <c r="J5418">
        <v>0</v>
      </c>
    </row>
    <row r="5419" spans="1:10" x14ac:dyDescent="0.3">
      <c r="A5419" s="15">
        <v>45901</v>
      </c>
      <c r="B5419" t="s">
        <v>356</v>
      </c>
      <c r="C5419" t="s">
        <v>110</v>
      </c>
      <c r="D5419" t="s">
        <v>82</v>
      </c>
      <c r="E5419" t="s">
        <v>97</v>
      </c>
      <c r="F5419">
        <v>33000</v>
      </c>
      <c r="G5419" t="s">
        <v>331</v>
      </c>
      <c r="H5419" s="15">
        <v>45413</v>
      </c>
      <c r="I5419">
        <v>33000</v>
      </c>
      <c r="J5419">
        <v>0</v>
      </c>
    </row>
    <row r="5420" spans="1:10" x14ac:dyDescent="0.3">
      <c r="A5420" s="15">
        <v>45901</v>
      </c>
      <c r="B5420" t="s">
        <v>357</v>
      </c>
      <c r="C5420" t="s">
        <v>125</v>
      </c>
      <c r="D5420" t="s">
        <v>86</v>
      </c>
      <c r="E5420" t="s">
        <v>97</v>
      </c>
      <c r="F5420">
        <v>83400</v>
      </c>
      <c r="G5420" t="s">
        <v>331</v>
      </c>
      <c r="H5420" s="15">
        <v>45413</v>
      </c>
      <c r="I5420">
        <v>83400</v>
      </c>
      <c r="J5420">
        <v>0</v>
      </c>
    </row>
    <row r="5421" spans="1:10" x14ac:dyDescent="0.3">
      <c r="A5421" s="15">
        <v>45901</v>
      </c>
      <c r="B5421" t="s">
        <v>358</v>
      </c>
      <c r="C5421" t="s">
        <v>110</v>
      </c>
      <c r="D5421" t="s">
        <v>86</v>
      </c>
      <c r="E5421" t="s">
        <v>83</v>
      </c>
      <c r="F5421">
        <v>24100</v>
      </c>
      <c r="G5421" t="s">
        <v>331</v>
      </c>
      <c r="H5421" s="15">
        <v>45413</v>
      </c>
      <c r="I5421">
        <v>24100</v>
      </c>
      <c r="J5421">
        <v>0</v>
      </c>
    </row>
    <row r="5422" spans="1:10" x14ac:dyDescent="0.3">
      <c r="A5422" s="15">
        <v>45901</v>
      </c>
      <c r="B5422" t="s">
        <v>359</v>
      </c>
      <c r="C5422" t="s">
        <v>110</v>
      </c>
      <c r="D5422" t="s">
        <v>86</v>
      </c>
      <c r="E5422" t="s">
        <v>101</v>
      </c>
      <c r="F5422">
        <v>31400</v>
      </c>
      <c r="G5422" t="s">
        <v>331</v>
      </c>
      <c r="H5422" s="15">
        <v>45413</v>
      </c>
      <c r="I5422">
        <v>31400</v>
      </c>
      <c r="J5422">
        <v>0</v>
      </c>
    </row>
    <row r="5423" spans="1:10" x14ac:dyDescent="0.3">
      <c r="A5423" s="15">
        <v>45901</v>
      </c>
      <c r="B5423" t="s">
        <v>361</v>
      </c>
      <c r="C5423" t="s">
        <v>91</v>
      </c>
      <c r="D5423" t="s">
        <v>86</v>
      </c>
      <c r="E5423" t="s">
        <v>83</v>
      </c>
      <c r="F5423">
        <v>5700</v>
      </c>
      <c r="G5423" t="s">
        <v>331</v>
      </c>
      <c r="H5423" s="15">
        <v>45444</v>
      </c>
      <c r="I5423">
        <v>5700</v>
      </c>
      <c r="J5423">
        <v>0</v>
      </c>
    </row>
    <row r="5424" spans="1:10" x14ac:dyDescent="0.3">
      <c r="A5424" s="15">
        <v>45901</v>
      </c>
      <c r="B5424" t="s">
        <v>362</v>
      </c>
      <c r="C5424" t="s">
        <v>91</v>
      </c>
      <c r="D5424" t="s">
        <v>82</v>
      </c>
      <c r="E5424" t="s">
        <v>101</v>
      </c>
      <c r="F5424">
        <v>5700</v>
      </c>
      <c r="G5424" t="s">
        <v>331</v>
      </c>
      <c r="H5424" s="15">
        <v>45444</v>
      </c>
      <c r="I5424">
        <v>5700</v>
      </c>
      <c r="J5424">
        <v>0</v>
      </c>
    </row>
    <row r="5425" spans="1:10" x14ac:dyDescent="0.3">
      <c r="A5425" s="15">
        <v>45901</v>
      </c>
      <c r="B5425" t="s">
        <v>363</v>
      </c>
      <c r="C5425" t="s">
        <v>91</v>
      </c>
      <c r="D5425" t="s">
        <v>86</v>
      </c>
      <c r="E5425" t="s">
        <v>83</v>
      </c>
      <c r="F5425">
        <v>4400</v>
      </c>
      <c r="G5425" t="s">
        <v>331</v>
      </c>
      <c r="H5425" s="15">
        <v>45444</v>
      </c>
      <c r="I5425">
        <v>4400</v>
      </c>
      <c r="J5425">
        <v>0</v>
      </c>
    </row>
    <row r="5426" spans="1:10" x14ac:dyDescent="0.3">
      <c r="A5426" s="15">
        <v>45901</v>
      </c>
      <c r="B5426" t="s">
        <v>364</v>
      </c>
      <c r="C5426" t="s">
        <v>91</v>
      </c>
      <c r="D5426" t="s">
        <v>82</v>
      </c>
      <c r="E5426" t="s">
        <v>101</v>
      </c>
      <c r="F5426">
        <v>6700</v>
      </c>
      <c r="G5426" t="s">
        <v>331</v>
      </c>
      <c r="H5426" s="15">
        <v>45444</v>
      </c>
      <c r="I5426">
        <v>6700</v>
      </c>
      <c r="J5426">
        <v>0</v>
      </c>
    </row>
    <row r="5427" spans="1:10" x14ac:dyDescent="0.3">
      <c r="A5427" s="15">
        <v>45901</v>
      </c>
      <c r="B5427" t="s">
        <v>366</v>
      </c>
      <c r="C5427" t="s">
        <v>81</v>
      </c>
      <c r="D5427" t="s">
        <v>99</v>
      </c>
      <c r="E5427" t="s">
        <v>92</v>
      </c>
      <c r="F5427">
        <v>1600</v>
      </c>
      <c r="G5427" t="s">
        <v>331</v>
      </c>
      <c r="H5427" s="15">
        <v>45474</v>
      </c>
      <c r="I5427">
        <v>1600</v>
      </c>
      <c r="J5427">
        <v>0</v>
      </c>
    </row>
    <row r="5428" spans="1:10" x14ac:dyDescent="0.3">
      <c r="A5428" s="15">
        <v>45901</v>
      </c>
      <c r="B5428" t="s">
        <v>367</v>
      </c>
      <c r="C5428" t="s">
        <v>91</v>
      </c>
      <c r="D5428" t="s">
        <v>82</v>
      </c>
      <c r="E5428" t="s">
        <v>92</v>
      </c>
      <c r="F5428">
        <v>4400</v>
      </c>
      <c r="G5428" t="s">
        <v>334</v>
      </c>
      <c r="H5428" s="15">
        <v>45474</v>
      </c>
      <c r="I5428">
        <v>5000</v>
      </c>
      <c r="J5428">
        <v>-600</v>
      </c>
    </row>
    <row r="5429" spans="1:10" x14ac:dyDescent="0.3">
      <c r="A5429" s="15">
        <v>45901</v>
      </c>
      <c r="B5429" t="s">
        <v>368</v>
      </c>
      <c r="C5429" t="s">
        <v>81</v>
      </c>
      <c r="D5429" t="s">
        <v>86</v>
      </c>
      <c r="E5429" t="s">
        <v>89</v>
      </c>
      <c r="F5429">
        <v>1400</v>
      </c>
      <c r="G5429" t="s">
        <v>331</v>
      </c>
      <c r="H5429" s="15">
        <v>45474</v>
      </c>
      <c r="I5429">
        <v>1400</v>
      </c>
      <c r="J5429">
        <v>0</v>
      </c>
    </row>
    <row r="5430" spans="1:10" x14ac:dyDescent="0.3">
      <c r="A5430" s="15">
        <v>45901</v>
      </c>
      <c r="B5430" t="s">
        <v>369</v>
      </c>
      <c r="C5430" t="s">
        <v>81</v>
      </c>
      <c r="D5430" t="s">
        <v>86</v>
      </c>
      <c r="E5430" t="s">
        <v>83</v>
      </c>
      <c r="F5430">
        <v>2000</v>
      </c>
      <c r="G5430" t="s">
        <v>331</v>
      </c>
      <c r="H5430" s="15">
        <v>45474</v>
      </c>
      <c r="I5430">
        <v>2000</v>
      </c>
      <c r="J5430">
        <v>0</v>
      </c>
    </row>
    <row r="5431" spans="1:10" x14ac:dyDescent="0.3">
      <c r="A5431" s="15">
        <v>45901</v>
      </c>
      <c r="B5431" t="s">
        <v>370</v>
      </c>
      <c r="C5431" t="s">
        <v>81</v>
      </c>
      <c r="D5431" t="s">
        <v>99</v>
      </c>
      <c r="E5431" t="s">
        <v>87</v>
      </c>
      <c r="F5431">
        <v>2300</v>
      </c>
      <c r="G5431" t="s">
        <v>331</v>
      </c>
      <c r="H5431" s="15">
        <v>45474</v>
      </c>
      <c r="I5431">
        <v>2300</v>
      </c>
      <c r="J5431">
        <v>0</v>
      </c>
    </row>
    <row r="5432" spans="1:10" x14ac:dyDescent="0.3">
      <c r="A5432" s="15">
        <v>45901</v>
      </c>
      <c r="B5432" t="s">
        <v>373</v>
      </c>
      <c r="C5432" t="s">
        <v>91</v>
      </c>
      <c r="D5432" t="s">
        <v>99</v>
      </c>
      <c r="E5432" t="s">
        <v>101</v>
      </c>
      <c r="F5432">
        <v>5200</v>
      </c>
      <c r="G5432" t="s">
        <v>331</v>
      </c>
      <c r="H5432" s="15">
        <v>45505</v>
      </c>
      <c r="I5432">
        <v>5200</v>
      </c>
      <c r="J5432">
        <v>0</v>
      </c>
    </row>
    <row r="5433" spans="1:10" x14ac:dyDescent="0.3">
      <c r="A5433" s="15">
        <v>45901</v>
      </c>
      <c r="B5433" t="s">
        <v>374</v>
      </c>
      <c r="C5433" t="s">
        <v>91</v>
      </c>
      <c r="D5433" t="s">
        <v>99</v>
      </c>
      <c r="E5433" t="s">
        <v>87</v>
      </c>
      <c r="F5433">
        <v>5000</v>
      </c>
      <c r="G5433" t="s">
        <v>331</v>
      </c>
      <c r="H5433" s="15">
        <v>45505</v>
      </c>
      <c r="I5433">
        <v>5000</v>
      </c>
      <c r="J5433">
        <v>0</v>
      </c>
    </row>
    <row r="5434" spans="1:10" x14ac:dyDescent="0.3">
      <c r="A5434" s="15">
        <v>45901</v>
      </c>
      <c r="B5434" t="s">
        <v>376</v>
      </c>
      <c r="C5434" t="s">
        <v>110</v>
      </c>
      <c r="D5434" t="s">
        <v>86</v>
      </c>
      <c r="E5434" t="s">
        <v>103</v>
      </c>
      <c r="F5434">
        <v>22900</v>
      </c>
      <c r="G5434" t="s">
        <v>331</v>
      </c>
      <c r="H5434" s="15">
        <v>45505</v>
      </c>
      <c r="I5434">
        <v>22900</v>
      </c>
      <c r="J5434">
        <v>0</v>
      </c>
    </row>
    <row r="5435" spans="1:10" x14ac:dyDescent="0.3">
      <c r="A5435" s="15">
        <v>45901</v>
      </c>
      <c r="B5435" t="s">
        <v>377</v>
      </c>
      <c r="C5435" t="s">
        <v>81</v>
      </c>
      <c r="D5435" t="s">
        <v>99</v>
      </c>
      <c r="E5435" t="s">
        <v>92</v>
      </c>
      <c r="F5435">
        <v>2300</v>
      </c>
      <c r="G5435" t="s">
        <v>331</v>
      </c>
      <c r="H5435" s="15">
        <v>45536</v>
      </c>
      <c r="I5435">
        <v>2300</v>
      </c>
      <c r="J5435">
        <v>0</v>
      </c>
    </row>
    <row r="5436" spans="1:10" x14ac:dyDescent="0.3">
      <c r="A5436" s="15">
        <v>45901</v>
      </c>
      <c r="B5436" t="s">
        <v>379</v>
      </c>
      <c r="C5436" t="s">
        <v>81</v>
      </c>
      <c r="D5436" t="s">
        <v>99</v>
      </c>
      <c r="E5436" t="s">
        <v>101</v>
      </c>
      <c r="F5436">
        <v>2200</v>
      </c>
      <c r="G5436" t="s">
        <v>331</v>
      </c>
      <c r="H5436" s="15">
        <v>45536</v>
      </c>
      <c r="I5436">
        <v>2200</v>
      </c>
      <c r="J5436">
        <v>0</v>
      </c>
    </row>
    <row r="5437" spans="1:10" x14ac:dyDescent="0.3">
      <c r="A5437" s="15">
        <v>45901</v>
      </c>
      <c r="B5437" t="s">
        <v>381</v>
      </c>
      <c r="C5437" t="s">
        <v>91</v>
      </c>
      <c r="D5437" t="s">
        <v>86</v>
      </c>
      <c r="E5437" t="s">
        <v>92</v>
      </c>
      <c r="F5437">
        <v>4600</v>
      </c>
      <c r="G5437" t="s">
        <v>331</v>
      </c>
      <c r="H5437" s="15">
        <v>45536</v>
      </c>
      <c r="I5437">
        <v>4600</v>
      </c>
      <c r="J5437">
        <v>0</v>
      </c>
    </row>
    <row r="5438" spans="1:10" x14ac:dyDescent="0.3">
      <c r="A5438" s="15">
        <v>45901</v>
      </c>
      <c r="B5438" t="s">
        <v>382</v>
      </c>
      <c r="C5438" t="s">
        <v>81</v>
      </c>
      <c r="D5438" t="s">
        <v>96</v>
      </c>
      <c r="E5438" t="s">
        <v>101</v>
      </c>
      <c r="F5438">
        <v>2100</v>
      </c>
      <c r="G5438" t="s">
        <v>331</v>
      </c>
      <c r="H5438" s="15">
        <v>45536</v>
      </c>
      <c r="I5438">
        <v>2100</v>
      </c>
      <c r="J5438">
        <v>0</v>
      </c>
    </row>
    <row r="5439" spans="1:10" x14ac:dyDescent="0.3">
      <c r="A5439" s="15">
        <v>45901</v>
      </c>
      <c r="B5439" t="s">
        <v>383</v>
      </c>
      <c r="C5439" t="s">
        <v>81</v>
      </c>
      <c r="D5439" t="s">
        <v>82</v>
      </c>
      <c r="E5439" t="s">
        <v>87</v>
      </c>
      <c r="F5439">
        <v>1600</v>
      </c>
      <c r="G5439" t="s">
        <v>331</v>
      </c>
      <c r="H5439" s="15">
        <v>45536</v>
      </c>
      <c r="I5439">
        <v>1600</v>
      </c>
      <c r="J5439">
        <v>0</v>
      </c>
    </row>
    <row r="5440" spans="1:10" x14ac:dyDescent="0.3">
      <c r="A5440" s="15">
        <v>45901</v>
      </c>
      <c r="B5440" t="s">
        <v>384</v>
      </c>
      <c r="C5440" t="s">
        <v>91</v>
      </c>
      <c r="D5440" t="s">
        <v>82</v>
      </c>
      <c r="E5440" t="s">
        <v>103</v>
      </c>
      <c r="F5440">
        <v>0</v>
      </c>
      <c r="G5440" t="s">
        <v>333</v>
      </c>
      <c r="H5440" s="15">
        <v>45566</v>
      </c>
      <c r="I5440">
        <v>5000</v>
      </c>
      <c r="J5440">
        <v>-5000</v>
      </c>
    </row>
    <row r="5441" spans="1:10" x14ac:dyDescent="0.3">
      <c r="A5441" s="15">
        <v>45901</v>
      </c>
      <c r="B5441" t="s">
        <v>385</v>
      </c>
      <c r="C5441" t="s">
        <v>91</v>
      </c>
      <c r="D5441" t="s">
        <v>99</v>
      </c>
      <c r="E5441" t="s">
        <v>83</v>
      </c>
      <c r="F5441">
        <v>8300</v>
      </c>
      <c r="G5441" t="s">
        <v>331</v>
      </c>
      <c r="H5441" s="15">
        <v>45566</v>
      </c>
      <c r="I5441">
        <v>8300</v>
      </c>
      <c r="J5441">
        <v>0</v>
      </c>
    </row>
    <row r="5442" spans="1:10" x14ac:dyDescent="0.3">
      <c r="A5442" s="15">
        <v>45901</v>
      </c>
      <c r="B5442" t="s">
        <v>386</v>
      </c>
      <c r="C5442" t="s">
        <v>81</v>
      </c>
      <c r="D5442" t="s">
        <v>82</v>
      </c>
      <c r="E5442" t="s">
        <v>103</v>
      </c>
      <c r="F5442">
        <v>2200</v>
      </c>
      <c r="G5442" t="s">
        <v>331</v>
      </c>
      <c r="H5442" s="15">
        <v>45566</v>
      </c>
      <c r="I5442">
        <v>2200</v>
      </c>
      <c r="J5442">
        <v>0</v>
      </c>
    </row>
    <row r="5443" spans="1:10" x14ac:dyDescent="0.3">
      <c r="A5443" s="15">
        <v>45901</v>
      </c>
      <c r="B5443" t="s">
        <v>387</v>
      </c>
      <c r="C5443" t="s">
        <v>81</v>
      </c>
      <c r="D5443" t="s">
        <v>86</v>
      </c>
      <c r="E5443" t="s">
        <v>92</v>
      </c>
      <c r="F5443">
        <v>1700</v>
      </c>
      <c r="G5443" t="s">
        <v>331</v>
      </c>
      <c r="H5443" s="15">
        <v>45566</v>
      </c>
      <c r="I5443">
        <v>1700</v>
      </c>
      <c r="J5443">
        <v>0</v>
      </c>
    </row>
    <row r="5444" spans="1:10" x14ac:dyDescent="0.3">
      <c r="A5444" s="15">
        <v>45901</v>
      </c>
      <c r="B5444" t="s">
        <v>388</v>
      </c>
      <c r="C5444" t="s">
        <v>81</v>
      </c>
      <c r="D5444" t="s">
        <v>99</v>
      </c>
      <c r="E5444" t="s">
        <v>103</v>
      </c>
      <c r="F5444">
        <v>1700</v>
      </c>
      <c r="G5444" t="s">
        <v>331</v>
      </c>
      <c r="H5444" s="15">
        <v>45566</v>
      </c>
      <c r="I5444">
        <v>1700</v>
      </c>
      <c r="J5444">
        <v>0</v>
      </c>
    </row>
    <row r="5445" spans="1:10" x14ac:dyDescent="0.3">
      <c r="A5445" s="15">
        <v>45901</v>
      </c>
      <c r="B5445" t="s">
        <v>389</v>
      </c>
      <c r="C5445" t="s">
        <v>91</v>
      </c>
      <c r="D5445" t="s">
        <v>82</v>
      </c>
      <c r="E5445" t="s">
        <v>101</v>
      </c>
      <c r="F5445">
        <v>7300</v>
      </c>
      <c r="G5445" t="s">
        <v>331</v>
      </c>
      <c r="H5445" s="15">
        <v>45566</v>
      </c>
      <c r="I5445">
        <v>7300</v>
      </c>
      <c r="J5445">
        <v>0</v>
      </c>
    </row>
    <row r="5446" spans="1:10" x14ac:dyDescent="0.3">
      <c r="A5446" s="15">
        <v>45901</v>
      </c>
      <c r="B5446" t="s">
        <v>390</v>
      </c>
      <c r="C5446" t="s">
        <v>91</v>
      </c>
      <c r="D5446" t="s">
        <v>82</v>
      </c>
      <c r="E5446" t="s">
        <v>89</v>
      </c>
      <c r="F5446">
        <v>6200</v>
      </c>
      <c r="G5446" t="s">
        <v>331</v>
      </c>
      <c r="H5446" s="15">
        <v>45566</v>
      </c>
      <c r="I5446">
        <v>6200</v>
      </c>
      <c r="J5446">
        <v>0</v>
      </c>
    </row>
    <row r="5447" spans="1:10" x14ac:dyDescent="0.3">
      <c r="A5447" s="15">
        <v>45901</v>
      </c>
      <c r="B5447" t="s">
        <v>392</v>
      </c>
      <c r="C5447" t="s">
        <v>91</v>
      </c>
      <c r="D5447" t="s">
        <v>86</v>
      </c>
      <c r="E5447" t="s">
        <v>97</v>
      </c>
      <c r="F5447">
        <v>10000</v>
      </c>
      <c r="G5447" t="s">
        <v>331</v>
      </c>
      <c r="H5447" s="15">
        <v>45597</v>
      </c>
      <c r="I5447">
        <v>10000</v>
      </c>
      <c r="J5447">
        <v>0</v>
      </c>
    </row>
    <row r="5448" spans="1:10" x14ac:dyDescent="0.3">
      <c r="A5448" s="15">
        <v>45901</v>
      </c>
      <c r="B5448" t="s">
        <v>393</v>
      </c>
      <c r="C5448" t="s">
        <v>81</v>
      </c>
      <c r="D5448" t="s">
        <v>82</v>
      </c>
      <c r="E5448" t="s">
        <v>92</v>
      </c>
      <c r="F5448">
        <v>2100</v>
      </c>
      <c r="G5448" t="s">
        <v>331</v>
      </c>
      <c r="H5448" s="15">
        <v>45597</v>
      </c>
      <c r="I5448">
        <v>2100</v>
      </c>
      <c r="J5448">
        <v>0</v>
      </c>
    </row>
    <row r="5449" spans="1:10" x14ac:dyDescent="0.3">
      <c r="A5449" s="15">
        <v>45901</v>
      </c>
      <c r="B5449" t="s">
        <v>394</v>
      </c>
      <c r="C5449" t="s">
        <v>81</v>
      </c>
      <c r="D5449" t="s">
        <v>99</v>
      </c>
      <c r="E5449" t="s">
        <v>87</v>
      </c>
      <c r="F5449">
        <v>1400</v>
      </c>
      <c r="G5449" t="s">
        <v>331</v>
      </c>
      <c r="H5449" s="15">
        <v>45597</v>
      </c>
      <c r="I5449">
        <v>1400</v>
      </c>
      <c r="J5449">
        <v>0</v>
      </c>
    </row>
    <row r="5450" spans="1:10" x14ac:dyDescent="0.3">
      <c r="A5450" s="15">
        <v>45901</v>
      </c>
      <c r="B5450" t="s">
        <v>395</v>
      </c>
      <c r="C5450" t="s">
        <v>81</v>
      </c>
      <c r="D5450" t="s">
        <v>82</v>
      </c>
      <c r="E5450" t="s">
        <v>97</v>
      </c>
      <c r="F5450">
        <v>2200</v>
      </c>
      <c r="G5450" t="s">
        <v>331</v>
      </c>
      <c r="H5450" s="15">
        <v>45627</v>
      </c>
      <c r="I5450">
        <v>2200</v>
      </c>
      <c r="J5450">
        <v>0</v>
      </c>
    </row>
    <row r="5451" spans="1:10" x14ac:dyDescent="0.3">
      <c r="A5451" s="15">
        <v>45901</v>
      </c>
      <c r="B5451" t="s">
        <v>396</v>
      </c>
      <c r="C5451" t="s">
        <v>91</v>
      </c>
      <c r="D5451" t="s">
        <v>82</v>
      </c>
      <c r="E5451" t="s">
        <v>92</v>
      </c>
      <c r="F5451">
        <v>8800</v>
      </c>
      <c r="G5451" t="s">
        <v>331</v>
      </c>
      <c r="H5451" s="15">
        <v>45627</v>
      </c>
      <c r="I5451">
        <v>8800</v>
      </c>
      <c r="J5451">
        <v>0</v>
      </c>
    </row>
    <row r="5452" spans="1:10" x14ac:dyDescent="0.3">
      <c r="A5452" s="15">
        <v>45901</v>
      </c>
      <c r="B5452" t="s">
        <v>398</v>
      </c>
      <c r="C5452" t="s">
        <v>81</v>
      </c>
      <c r="D5452" t="s">
        <v>86</v>
      </c>
      <c r="E5452" t="s">
        <v>92</v>
      </c>
      <c r="F5452">
        <v>1600</v>
      </c>
      <c r="G5452" t="s">
        <v>331</v>
      </c>
      <c r="H5452" s="15">
        <v>45627</v>
      </c>
      <c r="I5452">
        <v>1600</v>
      </c>
      <c r="J5452">
        <v>0</v>
      </c>
    </row>
    <row r="5453" spans="1:10" x14ac:dyDescent="0.3">
      <c r="A5453" s="15">
        <v>45901</v>
      </c>
      <c r="B5453" t="s">
        <v>399</v>
      </c>
      <c r="C5453" t="s">
        <v>110</v>
      </c>
      <c r="D5453" t="s">
        <v>82</v>
      </c>
      <c r="E5453" t="s">
        <v>101</v>
      </c>
      <c r="F5453">
        <v>17400</v>
      </c>
      <c r="G5453" t="s">
        <v>331</v>
      </c>
      <c r="H5453" s="15">
        <v>45627</v>
      </c>
      <c r="I5453">
        <v>17400</v>
      </c>
      <c r="J5453">
        <v>0</v>
      </c>
    </row>
    <row r="5454" spans="1:10" x14ac:dyDescent="0.3">
      <c r="A5454" s="15">
        <v>45901</v>
      </c>
      <c r="B5454" t="s">
        <v>400</v>
      </c>
      <c r="C5454" t="s">
        <v>91</v>
      </c>
      <c r="D5454" t="s">
        <v>82</v>
      </c>
      <c r="E5454" t="s">
        <v>103</v>
      </c>
      <c r="F5454">
        <v>4400</v>
      </c>
      <c r="G5454" t="s">
        <v>331</v>
      </c>
      <c r="H5454" s="15">
        <v>45627</v>
      </c>
      <c r="I5454">
        <v>4400</v>
      </c>
      <c r="J5454">
        <v>0</v>
      </c>
    </row>
    <row r="5455" spans="1:10" x14ac:dyDescent="0.3">
      <c r="A5455" s="15">
        <v>45901</v>
      </c>
      <c r="B5455" t="s">
        <v>403</v>
      </c>
      <c r="C5455" t="s">
        <v>81</v>
      </c>
      <c r="D5455" t="s">
        <v>82</v>
      </c>
      <c r="E5455" t="s">
        <v>101</v>
      </c>
      <c r="F5455">
        <v>1900</v>
      </c>
      <c r="G5455" t="s">
        <v>331</v>
      </c>
      <c r="H5455" s="15">
        <v>45658</v>
      </c>
      <c r="I5455">
        <v>1900</v>
      </c>
      <c r="J5455">
        <v>0</v>
      </c>
    </row>
    <row r="5456" spans="1:10" x14ac:dyDescent="0.3">
      <c r="A5456" s="15">
        <v>45901</v>
      </c>
      <c r="B5456" t="s">
        <v>404</v>
      </c>
      <c r="C5456" t="s">
        <v>81</v>
      </c>
      <c r="D5456" t="s">
        <v>86</v>
      </c>
      <c r="E5456" t="s">
        <v>83</v>
      </c>
      <c r="F5456">
        <v>2100</v>
      </c>
      <c r="G5456" t="s">
        <v>331</v>
      </c>
      <c r="H5456" s="15">
        <v>45658</v>
      </c>
      <c r="I5456">
        <v>2100</v>
      </c>
      <c r="J5456">
        <v>0</v>
      </c>
    </row>
    <row r="5457" spans="1:10" x14ac:dyDescent="0.3">
      <c r="A5457" s="15">
        <v>45901</v>
      </c>
      <c r="B5457" t="s">
        <v>405</v>
      </c>
      <c r="C5457" t="s">
        <v>81</v>
      </c>
      <c r="D5457" t="s">
        <v>82</v>
      </c>
      <c r="E5457" t="s">
        <v>92</v>
      </c>
      <c r="F5457">
        <v>1600</v>
      </c>
      <c r="G5457" t="s">
        <v>331</v>
      </c>
      <c r="H5457" s="15">
        <v>45658</v>
      </c>
      <c r="I5457">
        <v>1600</v>
      </c>
      <c r="J5457">
        <v>0</v>
      </c>
    </row>
    <row r="5458" spans="1:10" x14ac:dyDescent="0.3">
      <c r="A5458" s="15">
        <v>45901</v>
      </c>
      <c r="B5458" t="s">
        <v>406</v>
      </c>
      <c r="C5458" t="s">
        <v>91</v>
      </c>
      <c r="D5458" t="s">
        <v>86</v>
      </c>
      <c r="E5458" t="s">
        <v>87</v>
      </c>
      <c r="F5458">
        <v>4700</v>
      </c>
      <c r="G5458" t="s">
        <v>331</v>
      </c>
      <c r="H5458" s="15">
        <v>45658</v>
      </c>
      <c r="I5458">
        <v>4700</v>
      </c>
      <c r="J5458">
        <v>0</v>
      </c>
    </row>
    <row r="5459" spans="1:10" x14ac:dyDescent="0.3">
      <c r="A5459" s="15">
        <v>45901</v>
      </c>
      <c r="B5459" t="s">
        <v>407</v>
      </c>
      <c r="C5459" t="s">
        <v>81</v>
      </c>
      <c r="D5459" t="s">
        <v>82</v>
      </c>
      <c r="E5459" t="s">
        <v>92</v>
      </c>
      <c r="F5459">
        <v>2400</v>
      </c>
      <c r="G5459" t="s">
        <v>331</v>
      </c>
      <c r="H5459" s="15">
        <v>45689</v>
      </c>
      <c r="I5459">
        <v>2400</v>
      </c>
      <c r="J5459">
        <v>0</v>
      </c>
    </row>
    <row r="5460" spans="1:10" x14ac:dyDescent="0.3">
      <c r="A5460" s="15">
        <v>45901</v>
      </c>
      <c r="B5460" t="s">
        <v>409</v>
      </c>
      <c r="C5460" t="s">
        <v>81</v>
      </c>
      <c r="D5460" t="s">
        <v>82</v>
      </c>
      <c r="E5460" t="s">
        <v>83</v>
      </c>
      <c r="F5460">
        <v>1700</v>
      </c>
      <c r="G5460" t="s">
        <v>331</v>
      </c>
      <c r="H5460" s="15">
        <v>45689</v>
      </c>
      <c r="I5460">
        <v>1700</v>
      </c>
      <c r="J5460">
        <v>0</v>
      </c>
    </row>
    <row r="5461" spans="1:10" x14ac:dyDescent="0.3">
      <c r="A5461" s="15">
        <v>45901</v>
      </c>
      <c r="B5461" t="s">
        <v>410</v>
      </c>
      <c r="C5461" t="s">
        <v>125</v>
      </c>
      <c r="D5461" t="s">
        <v>82</v>
      </c>
      <c r="E5461" t="s">
        <v>103</v>
      </c>
      <c r="F5461">
        <v>56400</v>
      </c>
      <c r="G5461" t="s">
        <v>331</v>
      </c>
      <c r="H5461" s="15">
        <v>45689</v>
      </c>
      <c r="I5461">
        <v>56400</v>
      </c>
      <c r="J5461">
        <v>0</v>
      </c>
    </row>
    <row r="5462" spans="1:10" x14ac:dyDescent="0.3">
      <c r="A5462" s="15">
        <v>45901</v>
      </c>
      <c r="B5462" t="s">
        <v>411</v>
      </c>
      <c r="C5462" t="s">
        <v>91</v>
      </c>
      <c r="D5462" t="s">
        <v>86</v>
      </c>
      <c r="E5462" t="s">
        <v>92</v>
      </c>
      <c r="F5462">
        <v>7700</v>
      </c>
      <c r="G5462" t="s">
        <v>331</v>
      </c>
      <c r="H5462" s="15">
        <v>45689</v>
      </c>
      <c r="I5462">
        <v>7700</v>
      </c>
      <c r="J5462">
        <v>0</v>
      </c>
    </row>
    <row r="5463" spans="1:10" x14ac:dyDescent="0.3">
      <c r="A5463" s="15">
        <v>45901</v>
      </c>
      <c r="B5463" t="s">
        <v>412</v>
      </c>
      <c r="C5463" t="s">
        <v>81</v>
      </c>
      <c r="D5463" t="s">
        <v>82</v>
      </c>
      <c r="E5463" t="s">
        <v>89</v>
      </c>
      <c r="F5463">
        <v>2200</v>
      </c>
      <c r="G5463" t="s">
        <v>331</v>
      </c>
      <c r="H5463" s="15">
        <v>45717</v>
      </c>
      <c r="I5463">
        <v>2200</v>
      </c>
      <c r="J5463">
        <v>0</v>
      </c>
    </row>
    <row r="5464" spans="1:10" x14ac:dyDescent="0.3">
      <c r="A5464" s="15">
        <v>45901</v>
      </c>
      <c r="B5464" t="s">
        <v>413</v>
      </c>
      <c r="C5464" t="s">
        <v>81</v>
      </c>
      <c r="D5464" t="s">
        <v>99</v>
      </c>
      <c r="E5464" t="s">
        <v>101</v>
      </c>
      <c r="F5464">
        <v>2300</v>
      </c>
      <c r="G5464" t="s">
        <v>331</v>
      </c>
      <c r="H5464" s="15">
        <v>45717</v>
      </c>
      <c r="I5464">
        <v>2300</v>
      </c>
      <c r="J5464">
        <v>0</v>
      </c>
    </row>
    <row r="5465" spans="1:10" x14ac:dyDescent="0.3">
      <c r="A5465" s="15">
        <v>45901</v>
      </c>
      <c r="B5465" t="s">
        <v>414</v>
      </c>
      <c r="C5465" t="s">
        <v>110</v>
      </c>
      <c r="D5465" t="s">
        <v>99</v>
      </c>
      <c r="E5465" t="s">
        <v>89</v>
      </c>
      <c r="F5465">
        <v>30900</v>
      </c>
      <c r="G5465" t="s">
        <v>331</v>
      </c>
      <c r="H5465" s="15">
        <v>45717</v>
      </c>
      <c r="I5465">
        <v>30900</v>
      </c>
      <c r="J5465">
        <v>0</v>
      </c>
    </row>
    <row r="5466" spans="1:10" x14ac:dyDescent="0.3">
      <c r="A5466" s="15">
        <v>45901</v>
      </c>
      <c r="B5466" t="s">
        <v>416</v>
      </c>
      <c r="C5466" t="s">
        <v>81</v>
      </c>
      <c r="D5466" t="s">
        <v>99</v>
      </c>
      <c r="E5466" t="s">
        <v>103</v>
      </c>
      <c r="F5466">
        <v>2500</v>
      </c>
      <c r="G5466" t="s">
        <v>331</v>
      </c>
      <c r="H5466" s="15">
        <v>45717</v>
      </c>
      <c r="I5466">
        <v>2500</v>
      </c>
      <c r="J5466">
        <v>0</v>
      </c>
    </row>
    <row r="5467" spans="1:10" x14ac:dyDescent="0.3">
      <c r="A5467" s="15">
        <v>45901</v>
      </c>
      <c r="B5467" t="s">
        <v>417</v>
      </c>
      <c r="C5467" t="s">
        <v>110</v>
      </c>
      <c r="D5467" t="s">
        <v>86</v>
      </c>
      <c r="E5467" t="s">
        <v>92</v>
      </c>
      <c r="F5467">
        <v>35600</v>
      </c>
      <c r="G5467" t="s">
        <v>331</v>
      </c>
      <c r="H5467" s="15">
        <v>45717</v>
      </c>
      <c r="I5467">
        <v>35600</v>
      </c>
      <c r="J5467">
        <v>0</v>
      </c>
    </row>
    <row r="5468" spans="1:10" x14ac:dyDescent="0.3">
      <c r="A5468" s="15">
        <v>45901</v>
      </c>
      <c r="B5468" t="s">
        <v>418</v>
      </c>
      <c r="C5468" t="s">
        <v>81</v>
      </c>
      <c r="D5468" t="s">
        <v>86</v>
      </c>
      <c r="E5468" t="s">
        <v>92</v>
      </c>
      <c r="F5468">
        <v>1800</v>
      </c>
      <c r="G5468" t="s">
        <v>331</v>
      </c>
      <c r="H5468" s="15">
        <v>45748</v>
      </c>
      <c r="I5468">
        <v>1800</v>
      </c>
      <c r="J5468">
        <v>0</v>
      </c>
    </row>
    <row r="5469" spans="1:10" x14ac:dyDescent="0.3">
      <c r="A5469" s="15">
        <v>45901</v>
      </c>
      <c r="B5469" t="s">
        <v>419</v>
      </c>
      <c r="C5469" t="s">
        <v>125</v>
      </c>
      <c r="D5469" t="s">
        <v>96</v>
      </c>
      <c r="E5469" t="s">
        <v>103</v>
      </c>
      <c r="F5469">
        <v>73300</v>
      </c>
      <c r="G5469" t="s">
        <v>331</v>
      </c>
      <c r="H5469" s="15">
        <v>45748</v>
      </c>
      <c r="I5469">
        <v>73300</v>
      </c>
      <c r="J5469">
        <v>0</v>
      </c>
    </row>
    <row r="5470" spans="1:10" x14ac:dyDescent="0.3">
      <c r="A5470" s="15">
        <v>45901</v>
      </c>
      <c r="B5470" t="s">
        <v>420</v>
      </c>
      <c r="C5470" t="s">
        <v>110</v>
      </c>
      <c r="D5470" t="s">
        <v>96</v>
      </c>
      <c r="E5470" t="s">
        <v>103</v>
      </c>
      <c r="F5470">
        <v>22900</v>
      </c>
      <c r="G5470" t="s">
        <v>331</v>
      </c>
      <c r="H5470" s="15">
        <v>45748</v>
      </c>
      <c r="I5470">
        <v>22900</v>
      </c>
      <c r="J5470">
        <v>0</v>
      </c>
    </row>
    <row r="5471" spans="1:10" x14ac:dyDescent="0.3">
      <c r="A5471" s="15">
        <v>45901</v>
      </c>
      <c r="B5471" t="s">
        <v>421</v>
      </c>
      <c r="C5471" t="s">
        <v>110</v>
      </c>
      <c r="D5471" t="s">
        <v>82</v>
      </c>
      <c r="E5471" t="s">
        <v>103</v>
      </c>
      <c r="F5471">
        <v>18800</v>
      </c>
      <c r="G5471" t="s">
        <v>331</v>
      </c>
      <c r="H5471" s="15">
        <v>45748</v>
      </c>
      <c r="I5471">
        <v>18800</v>
      </c>
      <c r="J5471">
        <v>0</v>
      </c>
    </row>
    <row r="5472" spans="1:10" x14ac:dyDescent="0.3">
      <c r="A5472" s="15">
        <v>45901</v>
      </c>
      <c r="B5472" t="s">
        <v>422</v>
      </c>
      <c r="C5472" t="s">
        <v>81</v>
      </c>
      <c r="D5472" t="s">
        <v>82</v>
      </c>
      <c r="E5472" t="s">
        <v>97</v>
      </c>
      <c r="F5472">
        <v>2300</v>
      </c>
      <c r="G5472" t="s">
        <v>331</v>
      </c>
      <c r="H5472" s="15">
        <v>45748</v>
      </c>
      <c r="I5472">
        <v>2300</v>
      </c>
      <c r="J5472">
        <v>0</v>
      </c>
    </row>
    <row r="5473" spans="1:10" x14ac:dyDescent="0.3">
      <c r="A5473" s="15">
        <v>45901</v>
      </c>
      <c r="B5473" t="s">
        <v>423</v>
      </c>
      <c r="C5473" t="s">
        <v>125</v>
      </c>
      <c r="D5473" t="s">
        <v>86</v>
      </c>
      <c r="E5473" t="s">
        <v>97</v>
      </c>
      <c r="F5473">
        <v>52800</v>
      </c>
      <c r="G5473" t="s">
        <v>331</v>
      </c>
      <c r="H5473" s="15">
        <v>45748</v>
      </c>
      <c r="I5473">
        <v>52800</v>
      </c>
      <c r="J5473">
        <v>0</v>
      </c>
    </row>
    <row r="5474" spans="1:10" x14ac:dyDescent="0.3">
      <c r="A5474" s="15">
        <v>45901</v>
      </c>
      <c r="B5474" t="s">
        <v>425</v>
      </c>
      <c r="C5474" t="s">
        <v>110</v>
      </c>
      <c r="D5474" t="s">
        <v>82</v>
      </c>
      <c r="E5474" t="s">
        <v>97</v>
      </c>
      <c r="F5474">
        <v>22700</v>
      </c>
      <c r="G5474" t="s">
        <v>331</v>
      </c>
      <c r="H5474" s="15">
        <v>45778</v>
      </c>
      <c r="I5474">
        <v>22700</v>
      </c>
      <c r="J5474">
        <v>0</v>
      </c>
    </row>
    <row r="5475" spans="1:10" x14ac:dyDescent="0.3">
      <c r="A5475" s="15">
        <v>45901</v>
      </c>
      <c r="B5475" t="s">
        <v>426</v>
      </c>
      <c r="C5475" t="s">
        <v>81</v>
      </c>
      <c r="D5475" t="s">
        <v>82</v>
      </c>
      <c r="E5475" t="s">
        <v>89</v>
      </c>
      <c r="F5475">
        <v>1900</v>
      </c>
      <c r="G5475" t="s">
        <v>331</v>
      </c>
      <c r="H5475" s="15">
        <v>45778</v>
      </c>
      <c r="I5475">
        <v>1900</v>
      </c>
      <c r="J5475">
        <v>0</v>
      </c>
    </row>
    <row r="5476" spans="1:10" x14ac:dyDescent="0.3">
      <c r="A5476" s="15">
        <v>45901</v>
      </c>
      <c r="B5476" t="s">
        <v>427</v>
      </c>
      <c r="C5476" t="s">
        <v>110</v>
      </c>
      <c r="D5476" t="s">
        <v>82</v>
      </c>
      <c r="E5476" t="s">
        <v>83</v>
      </c>
      <c r="F5476">
        <v>23900</v>
      </c>
      <c r="G5476" t="s">
        <v>331</v>
      </c>
      <c r="H5476" s="15">
        <v>45778</v>
      </c>
      <c r="I5476">
        <v>23900</v>
      </c>
      <c r="J5476">
        <v>0</v>
      </c>
    </row>
    <row r="5477" spans="1:10" x14ac:dyDescent="0.3">
      <c r="A5477" s="15">
        <v>45901</v>
      </c>
      <c r="B5477" t="s">
        <v>428</v>
      </c>
      <c r="C5477" t="s">
        <v>81</v>
      </c>
      <c r="D5477" t="s">
        <v>86</v>
      </c>
      <c r="E5477" t="s">
        <v>89</v>
      </c>
      <c r="F5477">
        <v>2300</v>
      </c>
      <c r="G5477" t="s">
        <v>331</v>
      </c>
      <c r="H5477" s="15">
        <v>45778</v>
      </c>
      <c r="I5477">
        <v>2300</v>
      </c>
      <c r="J5477">
        <v>0</v>
      </c>
    </row>
    <row r="5478" spans="1:10" x14ac:dyDescent="0.3">
      <c r="A5478" s="15">
        <v>45901</v>
      </c>
      <c r="B5478" t="s">
        <v>429</v>
      </c>
      <c r="C5478" t="s">
        <v>81</v>
      </c>
      <c r="D5478" t="s">
        <v>82</v>
      </c>
      <c r="E5478" t="s">
        <v>97</v>
      </c>
      <c r="F5478">
        <v>2100</v>
      </c>
      <c r="G5478" t="s">
        <v>331</v>
      </c>
      <c r="H5478" s="15">
        <v>45809</v>
      </c>
      <c r="I5478">
        <v>2100</v>
      </c>
      <c r="J5478">
        <v>0</v>
      </c>
    </row>
    <row r="5479" spans="1:10" x14ac:dyDescent="0.3">
      <c r="A5479" s="15">
        <v>45901</v>
      </c>
      <c r="B5479" t="s">
        <v>430</v>
      </c>
      <c r="C5479" t="s">
        <v>110</v>
      </c>
      <c r="D5479" t="s">
        <v>82</v>
      </c>
      <c r="E5479" t="s">
        <v>87</v>
      </c>
      <c r="F5479">
        <v>24300</v>
      </c>
      <c r="G5479" t="s">
        <v>331</v>
      </c>
      <c r="H5479" s="15">
        <v>45809</v>
      </c>
      <c r="I5479">
        <v>24300</v>
      </c>
      <c r="J5479">
        <v>0</v>
      </c>
    </row>
    <row r="5480" spans="1:10" x14ac:dyDescent="0.3">
      <c r="A5480" s="15">
        <v>45901</v>
      </c>
      <c r="B5480" t="s">
        <v>431</v>
      </c>
      <c r="C5480" t="s">
        <v>110</v>
      </c>
      <c r="D5480" t="s">
        <v>82</v>
      </c>
      <c r="E5480" t="s">
        <v>101</v>
      </c>
      <c r="F5480">
        <v>19800</v>
      </c>
      <c r="G5480" t="s">
        <v>331</v>
      </c>
      <c r="H5480" s="15">
        <v>45809</v>
      </c>
      <c r="I5480">
        <v>19800</v>
      </c>
      <c r="J5480">
        <v>0</v>
      </c>
    </row>
    <row r="5481" spans="1:10" x14ac:dyDescent="0.3">
      <c r="A5481" s="15">
        <v>45901</v>
      </c>
      <c r="B5481" t="s">
        <v>432</v>
      </c>
      <c r="C5481" t="s">
        <v>81</v>
      </c>
      <c r="D5481" t="s">
        <v>82</v>
      </c>
      <c r="E5481" t="s">
        <v>83</v>
      </c>
      <c r="F5481">
        <v>2400</v>
      </c>
      <c r="G5481" t="s">
        <v>331</v>
      </c>
      <c r="H5481" s="15">
        <v>45809</v>
      </c>
      <c r="I5481">
        <v>2400</v>
      </c>
      <c r="J5481">
        <v>0</v>
      </c>
    </row>
    <row r="5482" spans="1:10" x14ac:dyDescent="0.3">
      <c r="A5482" s="15">
        <v>45901</v>
      </c>
      <c r="B5482" t="s">
        <v>435</v>
      </c>
      <c r="C5482" t="s">
        <v>81</v>
      </c>
      <c r="D5482" t="s">
        <v>82</v>
      </c>
      <c r="E5482" t="s">
        <v>92</v>
      </c>
      <c r="F5482">
        <v>1400</v>
      </c>
      <c r="G5482" t="s">
        <v>331</v>
      </c>
      <c r="H5482" s="15">
        <v>45809</v>
      </c>
      <c r="I5482">
        <v>1400</v>
      </c>
      <c r="J5482">
        <v>0</v>
      </c>
    </row>
    <row r="5483" spans="1:10" x14ac:dyDescent="0.3">
      <c r="A5483" s="15">
        <v>45901</v>
      </c>
      <c r="B5483" t="s">
        <v>436</v>
      </c>
      <c r="C5483" t="s">
        <v>81</v>
      </c>
      <c r="D5483" t="s">
        <v>82</v>
      </c>
      <c r="E5483" t="s">
        <v>97</v>
      </c>
      <c r="F5483">
        <v>2100</v>
      </c>
      <c r="G5483" t="s">
        <v>331</v>
      </c>
      <c r="H5483" s="15">
        <v>45839</v>
      </c>
      <c r="I5483">
        <v>2100</v>
      </c>
      <c r="J5483">
        <v>0</v>
      </c>
    </row>
    <row r="5484" spans="1:10" x14ac:dyDescent="0.3">
      <c r="A5484" s="15">
        <v>45901</v>
      </c>
      <c r="B5484" t="s">
        <v>437</v>
      </c>
      <c r="C5484" t="s">
        <v>81</v>
      </c>
      <c r="D5484" t="s">
        <v>99</v>
      </c>
      <c r="E5484" t="s">
        <v>92</v>
      </c>
      <c r="F5484">
        <v>1600</v>
      </c>
      <c r="G5484" t="s">
        <v>331</v>
      </c>
      <c r="H5484" s="15">
        <v>45839</v>
      </c>
      <c r="I5484">
        <v>1600</v>
      </c>
      <c r="J5484">
        <v>0</v>
      </c>
    </row>
    <row r="5485" spans="1:10" x14ac:dyDescent="0.3">
      <c r="A5485" s="15">
        <v>45901</v>
      </c>
      <c r="B5485" t="s">
        <v>438</v>
      </c>
      <c r="C5485" t="s">
        <v>91</v>
      </c>
      <c r="D5485" t="s">
        <v>96</v>
      </c>
      <c r="E5485" t="s">
        <v>101</v>
      </c>
      <c r="F5485">
        <v>8600</v>
      </c>
      <c r="G5485" t="s">
        <v>331</v>
      </c>
      <c r="H5485" s="15">
        <v>45839</v>
      </c>
      <c r="I5485">
        <v>8600</v>
      </c>
      <c r="J5485">
        <v>0</v>
      </c>
    </row>
    <row r="5486" spans="1:10" x14ac:dyDescent="0.3">
      <c r="A5486" s="15">
        <v>45901</v>
      </c>
      <c r="B5486" t="s">
        <v>439</v>
      </c>
      <c r="C5486" t="s">
        <v>81</v>
      </c>
      <c r="D5486" t="s">
        <v>99</v>
      </c>
      <c r="E5486" t="s">
        <v>87</v>
      </c>
      <c r="F5486">
        <v>1700</v>
      </c>
      <c r="G5486" t="s">
        <v>331</v>
      </c>
      <c r="H5486" s="15">
        <v>45839</v>
      </c>
      <c r="I5486">
        <v>1700</v>
      </c>
      <c r="J5486">
        <v>0</v>
      </c>
    </row>
    <row r="5487" spans="1:10" x14ac:dyDescent="0.3">
      <c r="A5487" s="15">
        <v>45901</v>
      </c>
      <c r="B5487" t="s">
        <v>440</v>
      </c>
      <c r="C5487" t="s">
        <v>81</v>
      </c>
      <c r="D5487" t="s">
        <v>82</v>
      </c>
      <c r="E5487" t="s">
        <v>97</v>
      </c>
      <c r="F5487">
        <v>2000</v>
      </c>
      <c r="G5487" t="s">
        <v>331</v>
      </c>
      <c r="H5487" s="15">
        <v>45839</v>
      </c>
      <c r="I5487">
        <v>2000</v>
      </c>
      <c r="J5487">
        <v>0</v>
      </c>
    </row>
    <row r="5488" spans="1:10" x14ac:dyDescent="0.3">
      <c r="A5488" s="15">
        <v>45901</v>
      </c>
      <c r="B5488" t="s">
        <v>441</v>
      </c>
      <c r="C5488" t="s">
        <v>110</v>
      </c>
      <c r="D5488" t="s">
        <v>86</v>
      </c>
      <c r="E5488" t="s">
        <v>97</v>
      </c>
      <c r="F5488">
        <v>35800</v>
      </c>
      <c r="G5488" t="s">
        <v>331</v>
      </c>
      <c r="H5488" s="15">
        <v>45839</v>
      </c>
      <c r="I5488">
        <v>35800</v>
      </c>
      <c r="J5488">
        <v>0</v>
      </c>
    </row>
    <row r="5489" spans="1:10" x14ac:dyDescent="0.3">
      <c r="A5489" s="15">
        <v>45901</v>
      </c>
      <c r="B5489" t="s">
        <v>442</v>
      </c>
      <c r="C5489" t="s">
        <v>110</v>
      </c>
      <c r="D5489" t="s">
        <v>86</v>
      </c>
      <c r="E5489" t="s">
        <v>83</v>
      </c>
      <c r="F5489">
        <v>23900</v>
      </c>
      <c r="G5489" t="s">
        <v>331</v>
      </c>
      <c r="H5489" s="15">
        <v>45870</v>
      </c>
      <c r="I5489">
        <v>23900</v>
      </c>
      <c r="J5489">
        <v>0</v>
      </c>
    </row>
    <row r="5490" spans="1:10" x14ac:dyDescent="0.3">
      <c r="A5490" s="15">
        <v>45901</v>
      </c>
      <c r="B5490" t="s">
        <v>443</v>
      </c>
      <c r="C5490" t="s">
        <v>81</v>
      </c>
      <c r="D5490" t="s">
        <v>86</v>
      </c>
      <c r="E5490" t="s">
        <v>101</v>
      </c>
      <c r="F5490">
        <v>1800</v>
      </c>
      <c r="G5490" t="s">
        <v>331</v>
      </c>
      <c r="H5490" s="15">
        <v>45870</v>
      </c>
      <c r="I5490">
        <v>1800</v>
      </c>
      <c r="J5490">
        <v>0</v>
      </c>
    </row>
    <row r="5491" spans="1:10" x14ac:dyDescent="0.3">
      <c r="A5491" s="15">
        <v>45901</v>
      </c>
      <c r="B5491" t="s">
        <v>444</v>
      </c>
      <c r="C5491" t="s">
        <v>125</v>
      </c>
      <c r="D5491" t="s">
        <v>82</v>
      </c>
      <c r="E5491" t="s">
        <v>92</v>
      </c>
      <c r="F5491">
        <v>68100</v>
      </c>
      <c r="G5491" t="s">
        <v>331</v>
      </c>
      <c r="H5491" s="15">
        <v>45870</v>
      </c>
      <c r="I5491">
        <v>68100</v>
      </c>
      <c r="J5491">
        <v>0</v>
      </c>
    </row>
    <row r="5492" spans="1:10" x14ac:dyDescent="0.3">
      <c r="A5492" s="15">
        <v>45901</v>
      </c>
      <c r="B5492" t="s">
        <v>445</v>
      </c>
      <c r="C5492" t="s">
        <v>91</v>
      </c>
      <c r="D5492" t="s">
        <v>82</v>
      </c>
      <c r="E5492" t="s">
        <v>89</v>
      </c>
      <c r="F5492">
        <v>4700</v>
      </c>
      <c r="G5492" t="s">
        <v>331</v>
      </c>
      <c r="H5492" s="15">
        <v>45870</v>
      </c>
      <c r="I5492">
        <v>4700</v>
      </c>
      <c r="J5492">
        <v>0</v>
      </c>
    </row>
    <row r="5493" spans="1:10" x14ac:dyDescent="0.3">
      <c r="A5493" s="15">
        <v>45901</v>
      </c>
      <c r="B5493" t="s">
        <v>446</v>
      </c>
      <c r="C5493" t="s">
        <v>81</v>
      </c>
      <c r="D5493" t="s">
        <v>86</v>
      </c>
      <c r="E5493" t="s">
        <v>97</v>
      </c>
      <c r="F5493">
        <v>1800</v>
      </c>
      <c r="G5493" t="s">
        <v>331</v>
      </c>
      <c r="H5493" s="15">
        <v>45870</v>
      </c>
      <c r="I5493">
        <v>1800</v>
      </c>
      <c r="J5493">
        <v>0</v>
      </c>
    </row>
    <row r="5494" spans="1:10" x14ac:dyDescent="0.3">
      <c r="A5494" s="15">
        <v>45901</v>
      </c>
      <c r="B5494" t="s">
        <v>447</v>
      </c>
      <c r="C5494" t="s">
        <v>81</v>
      </c>
      <c r="D5494" t="s">
        <v>86</v>
      </c>
      <c r="E5494" t="s">
        <v>103</v>
      </c>
      <c r="F5494">
        <v>2300</v>
      </c>
      <c r="G5494" t="s">
        <v>331</v>
      </c>
      <c r="H5494" s="15">
        <v>45870</v>
      </c>
      <c r="I5494">
        <v>2300</v>
      </c>
      <c r="J5494">
        <v>0</v>
      </c>
    </row>
    <row r="5495" spans="1:10" x14ac:dyDescent="0.3">
      <c r="A5495" s="15">
        <v>45901</v>
      </c>
      <c r="B5495" t="s">
        <v>448</v>
      </c>
      <c r="C5495" t="s">
        <v>125</v>
      </c>
      <c r="D5495" t="s">
        <v>86</v>
      </c>
      <c r="E5495" t="s">
        <v>89</v>
      </c>
      <c r="F5495">
        <v>68600</v>
      </c>
      <c r="G5495" t="s">
        <v>331</v>
      </c>
      <c r="H5495" s="15">
        <v>45870</v>
      </c>
      <c r="I5495">
        <v>68600</v>
      </c>
      <c r="J5495">
        <v>0</v>
      </c>
    </row>
    <row r="5496" spans="1:10" x14ac:dyDescent="0.3">
      <c r="A5496" s="15">
        <v>45901</v>
      </c>
      <c r="B5496" t="s">
        <v>449</v>
      </c>
      <c r="C5496" t="s">
        <v>81</v>
      </c>
      <c r="D5496" t="s">
        <v>82</v>
      </c>
      <c r="E5496" t="s">
        <v>92</v>
      </c>
      <c r="F5496">
        <v>1400</v>
      </c>
      <c r="G5496" t="s">
        <v>331</v>
      </c>
      <c r="H5496" s="15">
        <v>45870</v>
      </c>
      <c r="I5496">
        <v>1400</v>
      </c>
      <c r="J5496">
        <v>0</v>
      </c>
    </row>
    <row r="5497" spans="1:10" x14ac:dyDescent="0.3">
      <c r="A5497" s="15">
        <v>45901</v>
      </c>
      <c r="B5497" t="s">
        <v>450</v>
      </c>
      <c r="C5497" t="s">
        <v>81</v>
      </c>
      <c r="D5497" t="s">
        <v>86</v>
      </c>
      <c r="E5497" t="s">
        <v>89</v>
      </c>
      <c r="F5497">
        <v>1500</v>
      </c>
      <c r="G5497" t="s">
        <v>84</v>
      </c>
      <c r="H5497" s="15">
        <v>45901</v>
      </c>
      <c r="I5497">
        <v>0</v>
      </c>
      <c r="J5497">
        <v>1500</v>
      </c>
    </row>
    <row r="5498" spans="1:10" x14ac:dyDescent="0.3">
      <c r="A5498" s="15">
        <v>45901</v>
      </c>
      <c r="B5498" t="s">
        <v>451</v>
      </c>
      <c r="C5498" t="s">
        <v>110</v>
      </c>
      <c r="D5498" t="s">
        <v>82</v>
      </c>
      <c r="E5498" t="s">
        <v>92</v>
      </c>
      <c r="F5498">
        <v>26100</v>
      </c>
      <c r="G5498" t="s">
        <v>84</v>
      </c>
      <c r="H5498" s="15">
        <v>45901</v>
      </c>
      <c r="I5498">
        <v>0</v>
      </c>
      <c r="J5498">
        <v>26100</v>
      </c>
    </row>
    <row r="5499" spans="1:10" x14ac:dyDescent="0.3">
      <c r="A5499" s="15">
        <v>45901</v>
      </c>
      <c r="B5499" t="s">
        <v>452</v>
      </c>
      <c r="C5499" t="s">
        <v>91</v>
      </c>
      <c r="D5499" t="s">
        <v>86</v>
      </c>
      <c r="E5499" t="s">
        <v>92</v>
      </c>
      <c r="F5499">
        <v>8600</v>
      </c>
      <c r="G5499" t="s">
        <v>84</v>
      </c>
      <c r="H5499" s="15">
        <v>45901</v>
      </c>
      <c r="I5499">
        <v>0</v>
      </c>
      <c r="J5499">
        <v>8600</v>
      </c>
    </row>
    <row r="5500" spans="1:10" x14ac:dyDescent="0.3">
      <c r="A5500" s="15">
        <v>45901</v>
      </c>
      <c r="B5500" t="s">
        <v>453</v>
      </c>
      <c r="C5500" t="s">
        <v>110</v>
      </c>
      <c r="D5500" t="s">
        <v>82</v>
      </c>
      <c r="E5500" t="s">
        <v>101</v>
      </c>
      <c r="F5500">
        <v>21700</v>
      </c>
      <c r="G5500" t="s">
        <v>84</v>
      </c>
      <c r="H5500" s="15">
        <v>45901</v>
      </c>
      <c r="I5500">
        <v>0</v>
      </c>
      <c r="J5500">
        <v>21700</v>
      </c>
    </row>
    <row r="5501" spans="1:10" x14ac:dyDescent="0.3">
      <c r="A5501" s="15">
        <v>45901</v>
      </c>
      <c r="B5501" t="s">
        <v>454</v>
      </c>
      <c r="C5501" t="s">
        <v>91</v>
      </c>
      <c r="D5501" t="s">
        <v>82</v>
      </c>
      <c r="E5501" t="s">
        <v>89</v>
      </c>
      <c r="F5501">
        <v>6200</v>
      </c>
      <c r="G5501" t="s">
        <v>84</v>
      </c>
      <c r="H5501" s="15">
        <v>45901</v>
      </c>
      <c r="I5501">
        <v>0</v>
      </c>
      <c r="J5501">
        <v>6200</v>
      </c>
    </row>
    <row r="5502" spans="1:10" x14ac:dyDescent="0.3">
      <c r="A5502" s="15">
        <v>45901</v>
      </c>
      <c r="B5502" t="s">
        <v>455</v>
      </c>
      <c r="C5502" t="s">
        <v>125</v>
      </c>
      <c r="D5502" t="s">
        <v>99</v>
      </c>
      <c r="E5502" t="s">
        <v>103</v>
      </c>
      <c r="F5502">
        <v>75900</v>
      </c>
      <c r="G5502" t="s">
        <v>84</v>
      </c>
      <c r="H5502" s="15">
        <v>45901</v>
      </c>
      <c r="I5502">
        <v>0</v>
      </c>
      <c r="J5502">
        <v>75900</v>
      </c>
    </row>
    <row r="5503" spans="1:10" x14ac:dyDescent="0.3">
      <c r="A5503" s="15">
        <v>45901</v>
      </c>
      <c r="B5503" t="s">
        <v>456</v>
      </c>
      <c r="C5503" t="s">
        <v>81</v>
      </c>
      <c r="D5503" t="s">
        <v>82</v>
      </c>
      <c r="E5503" t="s">
        <v>103</v>
      </c>
      <c r="F5503">
        <v>2000</v>
      </c>
      <c r="G5503" t="s">
        <v>84</v>
      </c>
      <c r="H5503" s="15">
        <v>45901</v>
      </c>
      <c r="I5503">
        <v>0</v>
      </c>
      <c r="J5503">
        <v>2000</v>
      </c>
    </row>
    <row r="5504" spans="1:10" x14ac:dyDescent="0.3">
      <c r="A5504" s="15">
        <v>45931</v>
      </c>
      <c r="B5504" t="s">
        <v>80</v>
      </c>
      <c r="C5504" t="s">
        <v>81</v>
      </c>
      <c r="D5504" t="s">
        <v>82</v>
      </c>
      <c r="E5504" t="s">
        <v>83</v>
      </c>
      <c r="F5504">
        <v>1900</v>
      </c>
      <c r="G5504" t="s">
        <v>331</v>
      </c>
      <c r="H5504" s="15">
        <v>45292</v>
      </c>
      <c r="I5504">
        <v>1900</v>
      </c>
      <c r="J5504">
        <v>0</v>
      </c>
    </row>
    <row r="5505" spans="1:10" x14ac:dyDescent="0.3">
      <c r="A5505" s="15">
        <v>45931</v>
      </c>
      <c r="B5505" t="s">
        <v>85</v>
      </c>
      <c r="C5505" t="s">
        <v>81</v>
      </c>
      <c r="D5505" t="s">
        <v>86</v>
      </c>
      <c r="E5505" t="s">
        <v>87</v>
      </c>
      <c r="F5505">
        <v>2400</v>
      </c>
      <c r="G5505" t="s">
        <v>334</v>
      </c>
      <c r="H5505" s="15">
        <v>45292</v>
      </c>
      <c r="I5505">
        <v>2700</v>
      </c>
      <c r="J5505">
        <v>-300</v>
      </c>
    </row>
    <row r="5506" spans="1:10" x14ac:dyDescent="0.3">
      <c r="A5506" s="15">
        <v>45931</v>
      </c>
      <c r="B5506" t="s">
        <v>88</v>
      </c>
      <c r="C5506" t="s">
        <v>81</v>
      </c>
      <c r="D5506" t="s">
        <v>86</v>
      </c>
      <c r="E5506" t="s">
        <v>89</v>
      </c>
      <c r="F5506">
        <v>2400</v>
      </c>
      <c r="G5506" t="s">
        <v>331</v>
      </c>
      <c r="H5506" s="15">
        <v>45292</v>
      </c>
      <c r="I5506">
        <v>2400</v>
      </c>
      <c r="J5506">
        <v>0</v>
      </c>
    </row>
    <row r="5507" spans="1:10" x14ac:dyDescent="0.3">
      <c r="A5507" s="15">
        <v>45931</v>
      </c>
      <c r="B5507" t="s">
        <v>90</v>
      </c>
      <c r="C5507" t="s">
        <v>91</v>
      </c>
      <c r="D5507" t="s">
        <v>82</v>
      </c>
      <c r="E5507" t="s">
        <v>92</v>
      </c>
      <c r="F5507">
        <v>8300</v>
      </c>
      <c r="G5507" t="s">
        <v>331</v>
      </c>
      <c r="H5507" s="15">
        <v>45292</v>
      </c>
      <c r="I5507">
        <v>8300</v>
      </c>
      <c r="J5507">
        <v>0</v>
      </c>
    </row>
    <row r="5508" spans="1:10" x14ac:dyDescent="0.3">
      <c r="A5508" s="15">
        <v>45931</v>
      </c>
      <c r="B5508" t="s">
        <v>93</v>
      </c>
      <c r="C5508" t="s">
        <v>81</v>
      </c>
      <c r="D5508" t="s">
        <v>86</v>
      </c>
      <c r="E5508" t="s">
        <v>83</v>
      </c>
      <c r="F5508">
        <v>2600</v>
      </c>
      <c r="G5508" t="s">
        <v>331</v>
      </c>
      <c r="H5508" s="15">
        <v>45292</v>
      </c>
      <c r="I5508">
        <v>2600</v>
      </c>
      <c r="J5508">
        <v>0</v>
      </c>
    </row>
    <row r="5509" spans="1:10" x14ac:dyDescent="0.3">
      <c r="A5509" s="15">
        <v>45931</v>
      </c>
      <c r="B5509" t="s">
        <v>94</v>
      </c>
      <c r="C5509" t="s">
        <v>91</v>
      </c>
      <c r="D5509" t="s">
        <v>86</v>
      </c>
      <c r="E5509" t="s">
        <v>83</v>
      </c>
      <c r="F5509">
        <v>8500</v>
      </c>
      <c r="G5509" t="s">
        <v>331</v>
      </c>
      <c r="H5509" s="15">
        <v>45292</v>
      </c>
      <c r="I5509">
        <v>8500</v>
      </c>
      <c r="J5509">
        <v>0</v>
      </c>
    </row>
    <row r="5510" spans="1:10" x14ac:dyDescent="0.3">
      <c r="A5510" s="15">
        <v>45931</v>
      </c>
      <c r="B5510" t="s">
        <v>95</v>
      </c>
      <c r="C5510" t="s">
        <v>81</v>
      </c>
      <c r="D5510" t="s">
        <v>96</v>
      </c>
      <c r="E5510" t="s">
        <v>97</v>
      </c>
      <c r="F5510">
        <v>3100</v>
      </c>
      <c r="G5510" t="s">
        <v>331</v>
      </c>
      <c r="H5510" s="15">
        <v>45292</v>
      </c>
      <c r="I5510">
        <v>3100</v>
      </c>
      <c r="J5510">
        <v>0</v>
      </c>
    </row>
    <row r="5511" spans="1:10" x14ac:dyDescent="0.3">
      <c r="A5511" s="15">
        <v>45931</v>
      </c>
      <c r="B5511" t="s">
        <v>98</v>
      </c>
      <c r="C5511" t="s">
        <v>81</v>
      </c>
      <c r="D5511" t="s">
        <v>99</v>
      </c>
      <c r="E5511" t="s">
        <v>92</v>
      </c>
      <c r="F5511">
        <v>2300</v>
      </c>
      <c r="G5511" t="s">
        <v>331</v>
      </c>
      <c r="H5511" s="15">
        <v>45292</v>
      </c>
      <c r="I5511">
        <v>2300</v>
      </c>
      <c r="J5511">
        <v>0</v>
      </c>
    </row>
    <row r="5512" spans="1:10" x14ac:dyDescent="0.3">
      <c r="A5512" s="15">
        <v>45931</v>
      </c>
      <c r="B5512" t="s">
        <v>100</v>
      </c>
      <c r="C5512" t="s">
        <v>81</v>
      </c>
      <c r="D5512" t="s">
        <v>86</v>
      </c>
      <c r="E5512" t="s">
        <v>101</v>
      </c>
      <c r="F5512">
        <v>1800</v>
      </c>
      <c r="G5512" t="s">
        <v>331</v>
      </c>
      <c r="H5512" s="15">
        <v>45292</v>
      </c>
      <c r="I5512">
        <v>1800</v>
      </c>
      <c r="J5512">
        <v>0</v>
      </c>
    </row>
    <row r="5513" spans="1:10" x14ac:dyDescent="0.3">
      <c r="A5513" s="15">
        <v>45931</v>
      </c>
      <c r="B5513" t="s">
        <v>102</v>
      </c>
      <c r="C5513" t="s">
        <v>81</v>
      </c>
      <c r="D5513" t="s">
        <v>99</v>
      </c>
      <c r="E5513" t="s">
        <v>103</v>
      </c>
      <c r="F5513">
        <v>3300</v>
      </c>
      <c r="G5513" t="s">
        <v>331</v>
      </c>
      <c r="H5513" s="15">
        <v>45292</v>
      </c>
      <c r="I5513">
        <v>3300</v>
      </c>
      <c r="J5513">
        <v>0</v>
      </c>
    </row>
    <row r="5514" spans="1:10" x14ac:dyDescent="0.3">
      <c r="A5514" s="15">
        <v>45931</v>
      </c>
      <c r="B5514" t="s">
        <v>104</v>
      </c>
      <c r="C5514" t="s">
        <v>91</v>
      </c>
      <c r="D5514" t="s">
        <v>99</v>
      </c>
      <c r="E5514" t="s">
        <v>87</v>
      </c>
      <c r="F5514">
        <v>7000</v>
      </c>
      <c r="G5514" t="s">
        <v>331</v>
      </c>
      <c r="H5514" s="15">
        <v>45292</v>
      </c>
      <c r="I5514">
        <v>7000</v>
      </c>
      <c r="J5514">
        <v>0</v>
      </c>
    </row>
    <row r="5515" spans="1:10" x14ac:dyDescent="0.3">
      <c r="A5515" s="15">
        <v>45931</v>
      </c>
      <c r="B5515" t="s">
        <v>105</v>
      </c>
      <c r="C5515" t="s">
        <v>91</v>
      </c>
      <c r="D5515" t="s">
        <v>86</v>
      </c>
      <c r="E5515" t="s">
        <v>89</v>
      </c>
      <c r="F5515">
        <v>12900</v>
      </c>
      <c r="G5515" t="s">
        <v>331</v>
      </c>
      <c r="H5515" s="15">
        <v>45292</v>
      </c>
      <c r="I5515">
        <v>12900</v>
      </c>
      <c r="J5515">
        <v>0</v>
      </c>
    </row>
    <row r="5516" spans="1:10" x14ac:dyDescent="0.3">
      <c r="A5516" s="15">
        <v>45931</v>
      </c>
      <c r="B5516" t="s">
        <v>106</v>
      </c>
      <c r="C5516" t="s">
        <v>81</v>
      </c>
      <c r="D5516" t="s">
        <v>99</v>
      </c>
      <c r="E5516" t="s">
        <v>92</v>
      </c>
      <c r="F5516">
        <v>2700</v>
      </c>
      <c r="G5516" t="s">
        <v>331</v>
      </c>
      <c r="H5516" s="15">
        <v>45292</v>
      </c>
      <c r="I5516">
        <v>2700</v>
      </c>
      <c r="J5516">
        <v>0</v>
      </c>
    </row>
    <row r="5517" spans="1:10" x14ac:dyDescent="0.3">
      <c r="A5517" s="15">
        <v>45931</v>
      </c>
      <c r="B5517" t="s">
        <v>109</v>
      </c>
      <c r="C5517" t="s">
        <v>110</v>
      </c>
      <c r="D5517" t="s">
        <v>82</v>
      </c>
      <c r="E5517" t="s">
        <v>103</v>
      </c>
      <c r="F5517">
        <v>37500</v>
      </c>
      <c r="G5517" t="s">
        <v>331</v>
      </c>
      <c r="H5517" s="15">
        <v>45292</v>
      </c>
      <c r="I5517">
        <v>37500</v>
      </c>
      <c r="J5517">
        <v>0</v>
      </c>
    </row>
    <row r="5518" spans="1:10" x14ac:dyDescent="0.3">
      <c r="A5518" s="15">
        <v>45931</v>
      </c>
      <c r="B5518" t="s">
        <v>111</v>
      </c>
      <c r="C5518" t="s">
        <v>91</v>
      </c>
      <c r="D5518" t="s">
        <v>82</v>
      </c>
      <c r="E5518" t="s">
        <v>83</v>
      </c>
      <c r="F5518">
        <v>8800</v>
      </c>
      <c r="G5518" t="s">
        <v>331</v>
      </c>
      <c r="H5518" s="15">
        <v>45292</v>
      </c>
      <c r="I5518">
        <v>8800</v>
      </c>
      <c r="J5518">
        <v>0</v>
      </c>
    </row>
    <row r="5519" spans="1:10" x14ac:dyDescent="0.3">
      <c r="A5519" s="15">
        <v>45931</v>
      </c>
      <c r="B5519" t="s">
        <v>112</v>
      </c>
      <c r="C5519" t="s">
        <v>91</v>
      </c>
      <c r="D5519" t="s">
        <v>82</v>
      </c>
      <c r="E5519" t="s">
        <v>92</v>
      </c>
      <c r="F5519">
        <v>8600</v>
      </c>
      <c r="G5519" t="s">
        <v>331</v>
      </c>
      <c r="H5519" s="15">
        <v>45292</v>
      </c>
      <c r="I5519">
        <v>8600</v>
      </c>
      <c r="J5519">
        <v>0</v>
      </c>
    </row>
    <row r="5520" spans="1:10" x14ac:dyDescent="0.3">
      <c r="A5520" s="15">
        <v>45931</v>
      </c>
      <c r="B5520" t="s">
        <v>113</v>
      </c>
      <c r="C5520" t="s">
        <v>81</v>
      </c>
      <c r="D5520" t="s">
        <v>96</v>
      </c>
      <c r="E5520" t="s">
        <v>89</v>
      </c>
      <c r="F5520">
        <v>2300</v>
      </c>
      <c r="G5520" t="s">
        <v>334</v>
      </c>
      <c r="H5520" s="15">
        <v>45292</v>
      </c>
      <c r="I5520">
        <v>2500</v>
      </c>
      <c r="J5520">
        <v>-200</v>
      </c>
    </row>
    <row r="5521" spans="1:10" x14ac:dyDescent="0.3">
      <c r="A5521" s="15">
        <v>45931</v>
      </c>
      <c r="B5521" t="s">
        <v>114</v>
      </c>
      <c r="C5521" t="s">
        <v>110</v>
      </c>
      <c r="D5521" t="s">
        <v>99</v>
      </c>
      <c r="E5521" t="s">
        <v>97</v>
      </c>
      <c r="F5521">
        <v>46200</v>
      </c>
      <c r="G5521" t="s">
        <v>331</v>
      </c>
      <c r="H5521" s="15">
        <v>45292</v>
      </c>
      <c r="I5521">
        <v>46200</v>
      </c>
      <c r="J5521">
        <v>0</v>
      </c>
    </row>
    <row r="5522" spans="1:10" x14ac:dyDescent="0.3">
      <c r="A5522" s="15">
        <v>45931</v>
      </c>
      <c r="B5522" t="s">
        <v>115</v>
      </c>
      <c r="C5522" t="s">
        <v>81</v>
      </c>
      <c r="D5522" t="s">
        <v>82</v>
      </c>
      <c r="E5522" t="s">
        <v>101</v>
      </c>
      <c r="F5522">
        <v>2600</v>
      </c>
      <c r="G5522" t="s">
        <v>331</v>
      </c>
      <c r="H5522" s="15">
        <v>45292</v>
      </c>
      <c r="I5522">
        <v>2600</v>
      </c>
      <c r="J5522">
        <v>0</v>
      </c>
    </row>
    <row r="5523" spans="1:10" x14ac:dyDescent="0.3">
      <c r="A5523" s="15">
        <v>45931</v>
      </c>
      <c r="B5523" t="s">
        <v>116</v>
      </c>
      <c r="C5523" t="s">
        <v>81</v>
      </c>
      <c r="D5523" t="s">
        <v>86</v>
      </c>
      <c r="E5523" t="s">
        <v>87</v>
      </c>
      <c r="F5523">
        <v>2900</v>
      </c>
      <c r="G5523" t="s">
        <v>331</v>
      </c>
      <c r="H5523" s="15">
        <v>45292</v>
      </c>
      <c r="I5523">
        <v>2900</v>
      </c>
      <c r="J5523">
        <v>0</v>
      </c>
    </row>
    <row r="5524" spans="1:10" x14ac:dyDescent="0.3">
      <c r="A5524" s="15">
        <v>45931</v>
      </c>
      <c r="B5524" t="s">
        <v>117</v>
      </c>
      <c r="C5524" t="s">
        <v>81</v>
      </c>
      <c r="D5524" t="s">
        <v>86</v>
      </c>
      <c r="E5524" t="s">
        <v>103</v>
      </c>
      <c r="F5524">
        <v>2500</v>
      </c>
      <c r="G5524" t="s">
        <v>331</v>
      </c>
      <c r="H5524" s="15">
        <v>45292</v>
      </c>
      <c r="I5524">
        <v>2500</v>
      </c>
      <c r="J5524">
        <v>0</v>
      </c>
    </row>
    <row r="5525" spans="1:10" x14ac:dyDescent="0.3">
      <c r="A5525" s="15">
        <v>45931</v>
      </c>
      <c r="B5525" t="s">
        <v>120</v>
      </c>
      <c r="C5525" t="s">
        <v>81</v>
      </c>
      <c r="D5525" t="s">
        <v>86</v>
      </c>
      <c r="E5525" t="s">
        <v>101</v>
      </c>
      <c r="F5525">
        <v>2200</v>
      </c>
      <c r="G5525" t="s">
        <v>331</v>
      </c>
      <c r="H5525" s="15">
        <v>45292</v>
      </c>
      <c r="I5525">
        <v>2200</v>
      </c>
      <c r="J5525">
        <v>0</v>
      </c>
    </row>
    <row r="5526" spans="1:10" x14ac:dyDescent="0.3">
      <c r="A5526" s="15">
        <v>45931</v>
      </c>
      <c r="B5526" t="s">
        <v>123</v>
      </c>
      <c r="C5526" t="s">
        <v>81</v>
      </c>
      <c r="D5526" t="s">
        <v>82</v>
      </c>
      <c r="E5526" t="s">
        <v>92</v>
      </c>
      <c r="F5526">
        <v>1900</v>
      </c>
      <c r="G5526" t="s">
        <v>331</v>
      </c>
      <c r="H5526" s="15">
        <v>45292</v>
      </c>
      <c r="I5526">
        <v>1900</v>
      </c>
      <c r="J5526">
        <v>0</v>
      </c>
    </row>
    <row r="5527" spans="1:10" x14ac:dyDescent="0.3">
      <c r="A5527" s="15">
        <v>45931</v>
      </c>
      <c r="B5527" t="s">
        <v>124</v>
      </c>
      <c r="C5527" t="s">
        <v>125</v>
      </c>
      <c r="D5527" t="s">
        <v>82</v>
      </c>
      <c r="E5527" t="s">
        <v>97</v>
      </c>
      <c r="F5527">
        <v>67900</v>
      </c>
      <c r="G5527" t="s">
        <v>331</v>
      </c>
      <c r="H5527" s="15">
        <v>45292</v>
      </c>
      <c r="I5527">
        <v>67900</v>
      </c>
      <c r="J5527">
        <v>0</v>
      </c>
    </row>
    <row r="5528" spans="1:10" x14ac:dyDescent="0.3">
      <c r="A5528" s="15">
        <v>45931</v>
      </c>
      <c r="B5528" t="s">
        <v>126</v>
      </c>
      <c r="C5528" t="s">
        <v>91</v>
      </c>
      <c r="D5528" t="s">
        <v>82</v>
      </c>
      <c r="E5528" t="s">
        <v>83</v>
      </c>
      <c r="F5528">
        <v>8800</v>
      </c>
      <c r="G5528" t="s">
        <v>331</v>
      </c>
      <c r="H5528" s="15">
        <v>45292</v>
      </c>
      <c r="I5528">
        <v>8800</v>
      </c>
      <c r="J5528">
        <v>0</v>
      </c>
    </row>
    <row r="5529" spans="1:10" x14ac:dyDescent="0.3">
      <c r="A5529" s="15">
        <v>45931</v>
      </c>
      <c r="B5529" t="s">
        <v>127</v>
      </c>
      <c r="C5529" t="s">
        <v>81</v>
      </c>
      <c r="D5529" t="s">
        <v>82</v>
      </c>
      <c r="E5529" t="s">
        <v>101</v>
      </c>
      <c r="F5529">
        <v>2400</v>
      </c>
      <c r="G5529" t="s">
        <v>331</v>
      </c>
      <c r="H5529" s="15">
        <v>45292</v>
      </c>
      <c r="I5529">
        <v>2400</v>
      </c>
      <c r="J5529">
        <v>0</v>
      </c>
    </row>
    <row r="5530" spans="1:10" x14ac:dyDescent="0.3">
      <c r="A5530" s="15">
        <v>45931</v>
      </c>
      <c r="B5530" t="s">
        <v>128</v>
      </c>
      <c r="C5530" t="s">
        <v>81</v>
      </c>
      <c r="D5530" t="s">
        <v>82</v>
      </c>
      <c r="E5530" t="s">
        <v>92</v>
      </c>
      <c r="F5530">
        <v>1700</v>
      </c>
      <c r="G5530" t="s">
        <v>331</v>
      </c>
      <c r="H5530" s="15">
        <v>45292</v>
      </c>
      <c r="I5530">
        <v>1700</v>
      </c>
      <c r="J5530">
        <v>0</v>
      </c>
    </row>
    <row r="5531" spans="1:10" x14ac:dyDescent="0.3">
      <c r="A5531" s="15">
        <v>45931</v>
      </c>
      <c r="B5531" t="s">
        <v>129</v>
      </c>
      <c r="C5531" t="s">
        <v>110</v>
      </c>
      <c r="D5531" t="s">
        <v>86</v>
      </c>
      <c r="E5531" t="s">
        <v>92</v>
      </c>
      <c r="F5531">
        <v>34200</v>
      </c>
      <c r="G5531" t="s">
        <v>331</v>
      </c>
      <c r="H5531" s="15">
        <v>45292</v>
      </c>
      <c r="I5531">
        <v>34200</v>
      </c>
      <c r="J5531">
        <v>0</v>
      </c>
    </row>
    <row r="5532" spans="1:10" x14ac:dyDescent="0.3">
      <c r="A5532" s="15">
        <v>45931</v>
      </c>
      <c r="B5532" t="s">
        <v>133</v>
      </c>
      <c r="C5532" t="s">
        <v>81</v>
      </c>
      <c r="D5532" t="s">
        <v>96</v>
      </c>
      <c r="E5532" t="s">
        <v>87</v>
      </c>
      <c r="F5532">
        <v>2700</v>
      </c>
      <c r="G5532" t="s">
        <v>331</v>
      </c>
      <c r="H5532" s="15">
        <v>45292</v>
      </c>
      <c r="I5532">
        <v>2700</v>
      </c>
      <c r="J5532">
        <v>0</v>
      </c>
    </row>
    <row r="5533" spans="1:10" x14ac:dyDescent="0.3">
      <c r="A5533" s="15">
        <v>45931</v>
      </c>
      <c r="B5533" t="s">
        <v>134</v>
      </c>
      <c r="C5533" t="s">
        <v>81</v>
      </c>
      <c r="D5533" t="s">
        <v>82</v>
      </c>
      <c r="E5533" t="s">
        <v>92</v>
      </c>
      <c r="F5533">
        <v>2400</v>
      </c>
      <c r="G5533" t="s">
        <v>331</v>
      </c>
      <c r="H5533" s="15">
        <v>45292</v>
      </c>
      <c r="I5533">
        <v>2400</v>
      </c>
      <c r="J5533">
        <v>0</v>
      </c>
    </row>
    <row r="5534" spans="1:10" x14ac:dyDescent="0.3">
      <c r="A5534" s="15">
        <v>45931</v>
      </c>
      <c r="B5534" t="s">
        <v>135</v>
      </c>
      <c r="C5534" t="s">
        <v>81</v>
      </c>
      <c r="D5534" t="s">
        <v>82</v>
      </c>
      <c r="E5534" t="s">
        <v>103</v>
      </c>
      <c r="F5534">
        <v>2400</v>
      </c>
      <c r="G5534" t="s">
        <v>331</v>
      </c>
      <c r="H5534" s="15">
        <v>45292</v>
      </c>
      <c r="I5534">
        <v>2400</v>
      </c>
      <c r="J5534">
        <v>0</v>
      </c>
    </row>
    <row r="5535" spans="1:10" x14ac:dyDescent="0.3">
      <c r="A5535" s="15">
        <v>45931</v>
      </c>
      <c r="B5535" t="s">
        <v>136</v>
      </c>
      <c r="C5535" t="s">
        <v>81</v>
      </c>
      <c r="D5535" t="s">
        <v>82</v>
      </c>
      <c r="E5535" t="s">
        <v>101</v>
      </c>
      <c r="F5535">
        <v>2900</v>
      </c>
      <c r="G5535" t="s">
        <v>331</v>
      </c>
      <c r="H5535" s="15">
        <v>45292</v>
      </c>
      <c r="I5535">
        <v>2900</v>
      </c>
      <c r="J5535">
        <v>0</v>
      </c>
    </row>
    <row r="5536" spans="1:10" x14ac:dyDescent="0.3">
      <c r="A5536" s="15">
        <v>45931</v>
      </c>
      <c r="B5536" t="s">
        <v>138</v>
      </c>
      <c r="C5536" t="s">
        <v>81</v>
      </c>
      <c r="D5536" t="s">
        <v>86</v>
      </c>
      <c r="E5536" t="s">
        <v>97</v>
      </c>
      <c r="F5536">
        <v>3300</v>
      </c>
      <c r="G5536" t="s">
        <v>331</v>
      </c>
      <c r="H5536" s="15">
        <v>45292</v>
      </c>
      <c r="I5536">
        <v>3300</v>
      </c>
      <c r="J5536">
        <v>0</v>
      </c>
    </row>
    <row r="5537" spans="1:10" x14ac:dyDescent="0.3">
      <c r="A5537" s="15">
        <v>45931</v>
      </c>
      <c r="B5537" t="s">
        <v>139</v>
      </c>
      <c r="C5537" t="s">
        <v>91</v>
      </c>
      <c r="D5537" t="s">
        <v>82</v>
      </c>
      <c r="E5537" t="s">
        <v>103</v>
      </c>
      <c r="F5537">
        <v>6800</v>
      </c>
      <c r="G5537" t="s">
        <v>331</v>
      </c>
      <c r="H5537" s="15">
        <v>45292</v>
      </c>
      <c r="I5537">
        <v>6800</v>
      </c>
      <c r="J5537">
        <v>0</v>
      </c>
    </row>
    <row r="5538" spans="1:10" x14ac:dyDescent="0.3">
      <c r="A5538" s="15">
        <v>45931</v>
      </c>
      <c r="B5538" t="s">
        <v>141</v>
      </c>
      <c r="C5538" t="s">
        <v>125</v>
      </c>
      <c r="D5538" t="s">
        <v>99</v>
      </c>
      <c r="E5538" t="s">
        <v>103</v>
      </c>
      <c r="F5538">
        <v>127400</v>
      </c>
      <c r="G5538" t="s">
        <v>331</v>
      </c>
      <c r="H5538" s="15">
        <v>45292</v>
      </c>
      <c r="I5538">
        <v>127400</v>
      </c>
      <c r="J5538">
        <v>0</v>
      </c>
    </row>
    <row r="5539" spans="1:10" x14ac:dyDescent="0.3">
      <c r="A5539" s="15">
        <v>45931</v>
      </c>
      <c r="B5539" t="s">
        <v>142</v>
      </c>
      <c r="C5539" t="s">
        <v>125</v>
      </c>
      <c r="D5539" t="s">
        <v>82</v>
      </c>
      <c r="E5539" t="s">
        <v>92</v>
      </c>
      <c r="F5539">
        <v>103800</v>
      </c>
      <c r="G5539" t="s">
        <v>331</v>
      </c>
      <c r="H5539" s="15">
        <v>45292</v>
      </c>
      <c r="I5539">
        <v>103800</v>
      </c>
      <c r="J5539">
        <v>0</v>
      </c>
    </row>
    <row r="5540" spans="1:10" x14ac:dyDescent="0.3">
      <c r="A5540" s="15">
        <v>45931</v>
      </c>
      <c r="B5540" t="s">
        <v>143</v>
      </c>
      <c r="C5540" t="s">
        <v>91</v>
      </c>
      <c r="D5540" t="s">
        <v>99</v>
      </c>
      <c r="E5540" t="s">
        <v>103</v>
      </c>
      <c r="F5540">
        <v>8000</v>
      </c>
      <c r="G5540" t="s">
        <v>331</v>
      </c>
      <c r="H5540" s="15">
        <v>45292</v>
      </c>
      <c r="I5540">
        <v>8000</v>
      </c>
      <c r="J5540">
        <v>0</v>
      </c>
    </row>
    <row r="5541" spans="1:10" x14ac:dyDescent="0.3">
      <c r="A5541" s="15">
        <v>45931</v>
      </c>
      <c r="B5541" t="s">
        <v>144</v>
      </c>
      <c r="C5541" t="s">
        <v>81</v>
      </c>
      <c r="D5541" t="s">
        <v>82</v>
      </c>
      <c r="E5541" t="s">
        <v>92</v>
      </c>
      <c r="F5541">
        <v>2400</v>
      </c>
      <c r="G5541" t="s">
        <v>331</v>
      </c>
      <c r="H5541" s="15">
        <v>45292</v>
      </c>
      <c r="I5541">
        <v>2400</v>
      </c>
      <c r="J5541">
        <v>0</v>
      </c>
    </row>
    <row r="5542" spans="1:10" x14ac:dyDescent="0.3">
      <c r="A5542" s="15">
        <v>45931</v>
      </c>
      <c r="B5542" t="s">
        <v>145</v>
      </c>
      <c r="C5542" t="s">
        <v>91</v>
      </c>
      <c r="D5542" t="s">
        <v>82</v>
      </c>
      <c r="E5542" t="s">
        <v>87</v>
      </c>
      <c r="F5542">
        <v>8200</v>
      </c>
      <c r="G5542" t="s">
        <v>331</v>
      </c>
      <c r="H5542" s="15">
        <v>45292</v>
      </c>
      <c r="I5542">
        <v>8200</v>
      </c>
      <c r="J5542">
        <v>0</v>
      </c>
    </row>
    <row r="5543" spans="1:10" x14ac:dyDescent="0.3">
      <c r="A5543" s="15">
        <v>45931</v>
      </c>
      <c r="B5543" t="s">
        <v>146</v>
      </c>
      <c r="C5543" t="s">
        <v>91</v>
      </c>
      <c r="D5543" t="s">
        <v>86</v>
      </c>
      <c r="E5543" t="s">
        <v>87</v>
      </c>
      <c r="F5543">
        <v>10100</v>
      </c>
      <c r="G5543" t="s">
        <v>331</v>
      </c>
      <c r="H5543" s="15">
        <v>45292</v>
      </c>
      <c r="I5543">
        <v>10100</v>
      </c>
      <c r="J5543">
        <v>0</v>
      </c>
    </row>
    <row r="5544" spans="1:10" x14ac:dyDescent="0.3">
      <c r="A5544" s="15">
        <v>45931</v>
      </c>
      <c r="B5544" t="s">
        <v>149</v>
      </c>
      <c r="C5544" t="s">
        <v>110</v>
      </c>
      <c r="D5544" t="s">
        <v>82</v>
      </c>
      <c r="E5544" t="s">
        <v>103</v>
      </c>
      <c r="F5544">
        <v>31000</v>
      </c>
      <c r="G5544" t="s">
        <v>331</v>
      </c>
      <c r="H5544" s="15">
        <v>45292</v>
      </c>
      <c r="I5544">
        <v>31000</v>
      </c>
      <c r="J5544">
        <v>0</v>
      </c>
    </row>
    <row r="5545" spans="1:10" x14ac:dyDescent="0.3">
      <c r="A5545" s="15">
        <v>45931</v>
      </c>
      <c r="B5545" t="s">
        <v>151</v>
      </c>
      <c r="C5545" t="s">
        <v>91</v>
      </c>
      <c r="D5545" t="s">
        <v>82</v>
      </c>
      <c r="E5545" t="s">
        <v>97</v>
      </c>
      <c r="F5545">
        <v>6800</v>
      </c>
      <c r="G5545" t="s">
        <v>331</v>
      </c>
      <c r="H5545" s="15">
        <v>45292</v>
      </c>
      <c r="I5545">
        <v>6800</v>
      </c>
      <c r="J5545">
        <v>0</v>
      </c>
    </row>
    <row r="5546" spans="1:10" x14ac:dyDescent="0.3">
      <c r="A5546" s="15">
        <v>45931</v>
      </c>
      <c r="B5546" t="s">
        <v>154</v>
      </c>
      <c r="C5546" t="s">
        <v>91</v>
      </c>
      <c r="D5546" t="s">
        <v>86</v>
      </c>
      <c r="E5546" t="s">
        <v>103</v>
      </c>
      <c r="F5546">
        <v>8800</v>
      </c>
      <c r="G5546" t="s">
        <v>331</v>
      </c>
      <c r="H5546" s="15">
        <v>45292</v>
      </c>
      <c r="I5546">
        <v>8800</v>
      </c>
      <c r="J5546">
        <v>0</v>
      </c>
    </row>
    <row r="5547" spans="1:10" x14ac:dyDescent="0.3">
      <c r="A5547" s="15">
        <v>45931</v>
      </c>
      <c r="B5547" t="s">
        <v>155</v>
      </c>
      <c r="C5547" t="s">
        <v>91</v>
      </c>
      <c r="D5547" t="s">
        <v>82</v>
      </c>
      <c r="E5547" t="s">
        <v>92</v>
      </c>
      <c r="F5547">
        <v>7100</v>
      </c>
      <c r="G5547" t="s">
        <v>331</v>
      </c>
      <c r="H5547" s="15">
        <v>45292</v>
      </c>
      <c r="I5547">
        <v>7100</v>
      </c>
      <c r="J5547">
        <v>0</v>
      </c>
    </row>
    <row r="5548" spans="1:10" x14ac:dyDescent="0.3">
      <c r="A5548" s="15">
        <v>45931</v>
      </c>
      <c r="B5548" t="s">
        <v>156</v>
      </c>
      <c r="C5548" t="s">
        <v>81</v>
      </c>
      <c r="D5548" t="s">
        <v>86</v>
      </c>
      <c r="E5548" t="s">
        <v>101</v>
      </c>
      <c r="F5548">
        <v>2300</v>
      </c>
      <c r="G5548" t="s">
        <v>331</v>
      </c>
      <c r="H5548" s="15">
        <v>45292</v>
      </c>
      <c r="I5548">
        <v>2300</v>
      </c>
      <c r="J5548">
        <v>0</v>
      </c>
    </row>
    <row r="5549" spans="1:10" x14ac:dyDescent="0.3">
      <c r="A5549" s="15">
        <v>45931</v>
      </c>
      <c r="B5549" t="s">
        <v>157</v>
      </c>
      <c r="C5549" t="s">
        <v>81</v>
      </c>
      <c r="D5549" t="s">
        <v>82</v>
      </c>
      <c r="E5549" t="s">
        <v>92</v>
      </c>
      <c r="F5549">
        <v>1800</v>
      </c>
      <c r="G5549" t="s">
        <v>331</v>
      </c>
      <c r="H5549" s="15">
        <v>45292</v>
      </c>
      <c r="I5549">
        <v>1800</v>
      </c>
      <c r="J5549">
        <v>0</v>
      </c>
    </row>
    <row r="5550" spans="1:10" x14ac:dyDescent="0.3">
      <c r="A5550" s="15">
        <v>45931</v>
      </c>
      <c r="B5550" t="s">
        <v>158</v>
      </c>
      <c r="C5550" t="s">
        <v>91</v>
      </c>
      <c r="D5550" t="s">
        <v>96</v>
      </c>
      <c r="E5550" t="s">
        <v>83</v>
      </c>
      <c r="F5550">
        <v>12600</v>
      </c>
      <c r="G5550" t="s">
        <v>331</v>
      </c>
      <c r="H5550" s="15">
        <v>45292</v>
      </c>
      <c r="I5550">
        <v>12600</v>
      </c>
      <c r="J5550">
        <v>0</v>
      </c>
    </row>
    <row r="5551" spans="1:10" x14ac:dyDescent="0.3">
      <c r="A5551" s="15">
        <v>45931</v>
      </c>
      <c r="B5551" t="s">
        <v>159</v>
      </c>
      <c r="C5551" t="s">
        <v>81</v>
      </c>
      <c r="D5551" t="s">
        <v>86</v>
      </c>
      <c r="E5551" t="s">
        <v>87</v>
      </c>
      <c r="F5551">
        <v>2400</v>
      </c>
      <c r="G5551" t="s">
        <v>331</v>
      </c>
      <c r="H5551" s="15">
        <v>45292</v>
      </c>
      <c r="I5551">
        <v>2400</v>
      </c>
      <c r="J5551">
        <v>0</v>
      </c>
    </row>
    <row r="5552" spans="1:10" x14ac:dyDescent="0.3">
      <c r="A5552" s="15">
        <v>45931</v>
      </c>
      <c r="B5552" t="s">
        <v>161</v>
      </c>
      <c r="C5552" t="s">
        <v>91</v>
      </c>
      <c r="D5552" t="s">
        <v>99</v>
      </c>
      <c r="E5552" t="s">
        <v>83</v>
      </c>
      <c r="F5552">
        <v>11700</v>
      </c>
      <c r="G5552" t="s">
        <v>331</v>
      </c>
      <c r="H5552" s="15">
        <v>45292</v>
      </c>
      <c r="I5552">
        <v>11700</v>
      </c>
      <c r="J5552">
        <v>0</v>
      </c>
    </row>
    <row r="5553" spans="1:10" x14ac:dyDescent="0.3">
      <c r="A5553" s="15">
        <v>45931</v>
      </c>
      <c r="B5553" t="s">
        <v>162</v>
      </c>
      <c r="C5553" t="s">
        <v>91</v>
      </c>
      <c r="D5553" t="s">
        <v>82</v>
      </c>
      <c r="E5553" t="s">
        <v>103</v>
      </c>
      <c r="F5553">
        <v>10900</v>
      </c>
      <c r="G5553" t="s">
        <v>331</v>
      </c>
      <c r="H5553" s="15">
        <v>45292</v>
      </c>
      <c r="I5553">
        <v>10900</v>
      </c>
      <c r="J5553">
        <v>0</v>
      </c>
    </row>
    <row r="5554" spans="1:10" x14ac:dyDescent="0.3">
      <c r="A5554" s="15">
        <v>45931</v>
      </c>
      <c r="B5554" t="s">
        <v>164</v>
      </c>
      <c r="C5554" t="s">
        <v>81</v>
      </c>
      <c r="D5554" t="s">
        <v>99</v>
      </c>
      <c r="E5554" t="s">
        <v>89</v>
      </c>
      <c r="F5554">
        <v>2800</v>
      </c>
      <c r="G5554" t="s">
        <v>331</v>
      </c>
      <c r="H5554" s="15">
        <v>45292</v>
      </c>
      <c r="I5554">
        <v>2800</v>
      </c>
      <c r="J5554">
        <v>0</v>
      </c>
    </row>
    <row r="5555" spans="1:10" x14ac:dyDescent="0.3">
      <c r="A5555" s="15">
        <v>45931</v>
      </c>
      <c r="B5555" t="s">
        <v>165</v>
      </c>
      <c r="C5555" t="s">
        <v>81</v>
      </c>
      <c r="D5555" t="s">
        <v>82</v>
      </c>
      <c r="E5555" t="s">
        <v>97</v>
      </c>
      <c r="F5555">
        <v>2700</v>
      </c>
      <c r="G5555" t="s">
        <v>331</v>
      </c>
      <c r="H5555" s="15">
        <v>45292</v>
      </c>
      <c r="I5555">
        <v>2700</v>
      </c>
      <c r="J5555">
        <v>0</v>
      </c>
    </row>
    <row r="5556" spans="1:10" x14ac:dyDescent="0.3">
      <c r="A5556" s="15">
        <v>45931</v>
      </c>
      <c r="B5556" t="s">
        <v>166</v>
      </c>
      <c r="C5556" t="s">
        <v>81</v>
      </c>
      <c r="D5556" t="s">
        <v>99</v>
      </c>
      <c r="E5556" t="s">
        <v>103</v>
      </c>
      <c r="F5556">
        <v>2600</v>
      </c>
      <c r="G5556" t="s">
        <v>331</v>
      </c>
      <c r="H5556" s="15">
        <v>45292</v>
      </c>
      <c r="I5556">
        <v>2600</v>
      </c>
      <c r="J5556">
        <v>0</v>
      </c>
    </row>
    <row r="5557" spans="1:10" x14ac:dyDescent="0.3">
      <c r="A5557" s="15">
        <v>45931</v>
      </c>
      <c r="B5557" t="s">
        <v>167</v>
      </c>
      <c r="C5557" t="s">
        <v>81</v>
      </c>
      <c r="D5557" t="s">
        <v>82</v>
      </c>
      <c r="E5557" t="s">
        <v>97</v>
      </c>
      <c r="F5557">
        <v>1900</v>
      </c>
      <c r="G5557" t="s">
        <v>331</v>
      </c>
      <c r="H5557" s="15">
        <v>45292</v>
      </c>
      <c r="I5557">
        <v>1900</v>
      </c>
      <c r="J5557">
        <v>0</v>
      </c>
    </row>
    <row r="5558" spans="1:10" x14ac:dyDescent="0.3">
      <c r="A5558" s="15">
        <v>45931</v>
      </c>
      <c r="B5558" t="s">
        <v>168</v>
      </c>
      <c r="C5558" t="s">
        <v>91</v>
      </c>
      <c r="D5558" t="s">
        <v>86</v>
      </c>
      <c r="E5558" t="s">
        <v>103</v>
      </c>
      <c r="F5558">
        <v>13000</v>
      </c>
      <c r="G5558" t="s">
        <v>331</v>
      </c>
      <c r="H5558" s="15">
        <v>45292</v>
      </c>
      <c r="I5558">
        <v>13000</v>
      </c>
      <c r="J5558">
        <v>0</v>
      </c>
    </row>
    <row r="5559" spans="1:10" x14ac:dyDescent="0.3">
      <c r="A5559" s="15">
        <v>45931</v>
      </c>
      <c r="B5559" t="s">
        <v>170</v>
      </c>
      <c r="C5559" t="s">
        <v>91</v>
      </c>
      <c r="D5559" t="s">
        <v>99</v>
      </c>
      <c r="E5559" t="s">
        <v>83</v>
      </c>
      <c r="F5559">
        <v>6500</v>
      </c>
      <c r="G5559" t="s">
        <v>331</v>
      </c>
      <c r="H5559" s="15">
        <v>45292</v>
      </c>
      <c r="I5559">
        <v>6500</v>
      </c>
      <c r="J5559">
        <v>0</v>
      </c>
    </row>
    <row r="5560" spans="1:10" x14ac:dyDescent="0.3">
      <c r="A5560" s="15">
        <v>45931</v>
      </c>
      <c r="B5560" t="s">
        <v>171</v>
      </c>
      <c r="C5560" t="s">
        <v>81</v>
      </c>
      <c r="D5560" t="s">
        <v>99</v>
      </c>
      <c r="E5560" t="s">
        <v>97</v>
      </c>
      <c r="F5560">
        <v>1700</v>
      </c>
      <c r="G5560" t="s">
        <v>331</v>
      </c>
      <c r="H5560" s="15">
        <v>45292</v>
      </c>
      <c r="I5560">
        <v>1700</v>
      </c>
      <c r="J5560">
        <v>0</v>
      </c>
    </row>
    <row r="5561" spans="1:10" x14ac:dyDescent="0.3">
      <c r="A5561" s="15">
        <v>45931</v>
      </c>
      <c r="B5561" t="s">
        <v>174</v>
      </c>
      <c r="C5561" t="s">
        <v>81</v>
      </c>
      <c r="D5561" t="s">
        <v>82</v>
      </c>
      <c r="E5561" t="s">
        <v>92</v>
      </c>
      <c r="F5561">
        <v>2400</v>
      </c>
      <c r="G5561" t="s">
        <v>331</v>
      </c>
      <c r="H5561" s="15">
        <v>45292</v>
      </c>
      <c r="I5561">
        <v>2400</v>
      </c>
      <c r="J5561">
        <v>0</v>
      </c>
    </row>
    <row r="5562" spans="1:10" x14ac:dyDescent="0.3">
      <c r="A5562" s="15">
        <v>45931</v>
      </c>
      <c r="B5562" t="s">
        <v>175</v>
      </c>
      <c r="C5562" t="s">
        <v>91</v>
      </c>
      <c r="D5562" t="s">
        <v>96</v>
      </c>
      <c r="E5562" t="s">
        <v>83</v>
      </c>
      <c r="F5562">
        <v>8800</v>
      </c>
      <c r="G5562" t="s">
        <v>331</v>
      </c>
      <c r="H5562" s="15">
        <v>45292</v>
      </c>
      <c r="I5562">
        <v>8800</v>
      </c>
      <c r="J5562">
        <v>0</v>
      </c>
    </row>
    <row r="5563" spans="1:10" x14ac:dyDescent="0.3">
      <c r="A5563" s="15">
        <v>45931</v>
      </c>
      <c r="B5563" t="s">
        <v>176</v>
      </c>
      <c r="C5563" t="s">
        <v>81</v>
      </c>
      <c r="D5563" t="s">
        <v>99</v>
      </c>
      <c r="E5563" t="s">
        <v>92</v>
      </c>
      <c r="F5563">
        <v>2900</v>
      </c>
      <c r="G5563" t="s">
        <v>331</v>
      </c>
      <c r="H5563" s="15">
        <v>45292</v>
      </c>
      <c r="I5563">
        <v>2900</v>
      </c>
      <c r="J5563">
        <v>0</v>
      </c>
    </row>
    <row r="5564" spans="1:10" x14ac:dyDescent="0.3">
      <c r="A5564" s="15">
        <v>45931</v>
      </c>
      <c r="B5564" t="s">
        <v>177</v>
      </c>
      <c r="C5564" t="s">
        <v>81</v>
      </c>
      <c r="D5564" t="s">
        <v>96</v>
      </c>
      <c r="E5564" t="s">
        <v>83</v>
      </c>
      <c r="F5564">
        <v>2900</v>
      </c>
      <c r="G5564" t="s">
        <v>331</v>
      </c>
      <c r="H5564" s="15">
        <v>45292</v>
      </c>
      <c r="I5564">
        <v>2900</v>
      </c>
      <c r="J5564">
        <v>0</v>
      </c>
    </row>
    <row r="5565" spans="1:10" x14ac:dyDescent="0.3">
      <c r="A5565" s="15">
        <v>45931</v>
      </c>
      <c r="B5565" t="s">
        <v>178</v>
      </c>
      <c r="C5565" t="s">
        <v>91</v>
      </c>
      <c r="D5565" t="s">
        <v>82</v>
      </c>
      <c r="E5565" t="s">
        <v>89</v>
      </c>
      <c r="F5565">
        <v>8400</v>
      </c>
      <c r="G5565" t="s">
        <v>331</v>
      </c>
      <c r="H5565" s="15">
        <v>45292</v>
      </c>
      <c r="I5565">
        <v>8400</v>
      </c>
      <c r="J5565">
        <v>0</v>
      </c>
    </row>
    <row r="5566" spans="1:10" x14ac:dyDescent="0.3">
      <c r="A5566" s="15">
        <v>45931</v>
      </c>
      <c r="B5566" t="s">
        <v>179</v>
      </c>
      <c r="C5566" t="s">
        <v>110</v>
      </c>
      <c r="D5566" t="s">
        <v>86</v>
      </c>
      <c r="E5566" t="s">
        <v>87</v>
      </c>
      <c r="F5566">
        <v>30000</v>
      </c>
      <c r="G5566" t="s">
        <v>331</v>
      </c>
      <c r="H5566" s="15">
        <v>45292</v>
      </c>
      <c r="I5566">
        <v>30000</v>
      </c>
      <c r="J5566">
        <v>0</v>
      </c>
    </row>
    <row r="5567" spans="1:10" x14ac:dyDescent="0.3">
      <c r="A5567" s="15">
        <v>45931</v>
      </c>
      <c r="B5567" t="s">
        <v>180</v>
      </c>
      <c r="C5567" t="s">
        <v>91</v>
      </c>
      <c r="D5567" t="s">
        <v>86</v>
      </c>
      <c r="E5567" t="s">
        <v>83</v>
      </c>
      <c r="F5567">
        <v>8500</v>
      </c>
      <c r="G5567" t="s">
        <v>331</v>
      </c>
      <c r="H5567" s="15">
        <v>45292</v>
      </c>
      <c r="I5567">
        <v>8500</v>
      </c>
      <c r="J5567">
        <v>0</v>
      </c>
    </row>
    <row r="5568" spans="1:10" x14ac:dyDescent="0.3">
      <c r="A5568" s="15">
        <v>45931</v>
      </c>
      <c r="B5568" t="s">
        <v>181</v>
      </c>
      <c r="C5568" t="s">
        <v>91</v>
      </c>
      <c r="D5568" t="s">
        <v>82</v>
      </c>
      <c r="E5568" t="s">
        <v>97</v>
      </c>
      <c r="F5568">
        <v>10100</v>
      </c>
      <c r="G5568" t="s">
        <v>331</v>
      </c>
      <c r="H5568" s="15">
        <v>45292</v>
      </c>
      <c r="I5568">
        <v>10100</v>
      </c>
      <c r="J5568">
        <v>0</v>
      </c>
    </row>
    <row r="5569" spans="1:10" x14ac:dyDescent="0.3">
      <c r="A5569" s="15">
        <v>45931</v>
      </c>
      <c r="B5569" t="s">
        <v>182</v>
      </c>
      <c r="C5569" t="s">
        <v>125</v>
      </c>
      <c r="D5569" t="s">
        <v>82</v>
      </c>
      <c r="E5569" t="s">
        <v>92</v>
      </c>
      <c r="F5569">
        <v>93100</v>
      </c>
      <c r="G5569" t="s">
        <v>331</v>
      </c>
      <c r="H5569" s="15">
        <v>45292</v>
      </c>
      <c r="I5569">
        <v>93100</v>
      </c>
      <c r="J5569">
        <v>0</v>
      </c>
    </row>
    <row r="5570" spans="1:10" x14ac:dyDescent="0.3">
      <c r="A5570" s="15">
        <v>45931</v>
      </c>
      <c r="B5570" t="s">
        <v>183</v>
      </c>
      <c r="C5570" t="s">
        <v>91</v>
      </c>
      <c r="D5570" t="s">
        <v>96</v>
      </c>
      <c r="E5570" t="s">
        <v>92</v>
      </c>
      <c r="F5570">
        <v>9500</v>
      </c>
      <c r="G5570" t="s">
        <v>331</v>
      </c>
      <c r="H5570" s="15">
        <v>45292</v>
      </c>
      <c r="I5570">
        <v>9500</v>
      </c>
      <c r="J5570">
        <v>0</v>
      </c>
    </row>
    <row r="5571" spans="1:10" x14ac:dyDescent="0.3">
      <c r="A5571" s="15">
        <v>45931</v>
      </c>
      <c r="B5571" t="s">
        <v>184</v>
      </c>
      <c r="C5571" t="s">
        <v>81</v>
      </c>
      <c r="D5571" t="s">
        <v>82</v>
      </c>
      <c r="E5571" t="s">
        <v>83</v>
      </c>
      <c r="F5571">
        <v>2600</v>
      </c>
      <c r="G5571" t="s">
        <v>331</v>
      </c>
      <c r="H5571" s="15">
        <v>45292</v>
      </c>
      <c r="I5571">
        <v>2600</v>
      </c>
      <c r="J5571">
        <v>0</v>
      </c>
    </row>
    <row r="5572" spans="1:10" x14ac:dyDescent="0.3">
      <c r="A5572" s="15">
        <v>45931</v>
      </c>
      <c r="B5572" t="s">
        <v>185</v>
      </c>
      <c r="C5572" t="s">
        <v>81</v>
      </c>
      <c r="D5572" t="s">
        <v>96</v>
      </c>
      <c r="E5572" t="s">
        <v>97</v>
      </c>
      <c r="F5572">
        <v>1900</v>
      </c>
      <c r="G5572" t="s">
        <v>331</v>
      </c>
      <c r="H5572" s="15">
        <v>45292</v>
      </c>
      <c r="I5572">
        <v>1900</v>
      </c>
      <c r="J5572">
        <v>0</v>
      </c>
    </row>
    <row r="5573" spans="1:10" x14ac:dyDescent="0.3">
      <c r="A5573" s="15">
        <v>45931</v>
      </c>
      <c r="B5573" t="s">
        <v>186</v>
      </c>
      <c r="C5573" t="s">
        <v>91</v>
      </c>
      <c r="D5573" t="s">
        <v>82</v>
      </c>
      <c r="E5573" t="s">
        <v>103</v>
      </c>
      <c r="F5573">
        <v>13900</v>
      </c>
      <c r="G5573" t="s">
        <v>331</v>
      </c>
      <c r="H5573" s="15">
        <v>45292</v>
      </c>
      <c r="I5573">
        <v>13900</v>
      </c>
      <c r="J5573">
        <v>0</v>
      </c>
    </row>
    <row r="5574" spans="1:10" x14ac:dyDescent="0.3">
      <c r="A5574" s="15">
        <v>45931</v>
      </c>
      <c r="B5574" t="s">
        <v>187</v>
      </c>
      <c r="C5574" t="s">
        <v>110</v>
      </c>
      <c r="D5574" t="s">
        <v>86</v>
      </c>
      <c r="E5574" t="s">
        <v>97</v>
      </c>
      <c r="F5574">
        <v>26700</v>
      </c>
      <c r="G5574" t="s">
        <v>331</v>
      </c>
      <c r="H5574" s="15">
        <v>45292</v>
      </c>
      <c r="I5574">
        <v>26700</v>
      </c>
      <c r="J5574">
        <v>0</v>
      </c>
    </row>
    <row r="5575" spans="1:10" x14ac:dyDescent="0.3">
      <c r="A5575" s="15">
        <v>45931</v>
      </c>
      <c r="B5575" t="s">
        <v>188</v>
      </c>
      <c r="C5575" t="s">
        <v>91</v>
      </c>
      <c r="D5575" t="s">
        <v>82</v>
      </c>
      <c r="E5575" t="s">
        <v>92</v>
      </c>
      <c r="F5575">
        <v>9900</v>
      </c>
      <c r="G5575" t="s">
        <v>331</v>
      </c>
      <c r="H5575" s="15">
        <v>45292</v>
      </c>
      <c r="I5575">
        <v>9900</v>
      </c>
      <c r="J5575">
        <v>0</v>
      </c>
    </row>
    <row r="5576" spans="1:10" x14ac:dyDescent="0.3">
      <c r="A5576" s="15">
        <v>45931</v>
      </c>
      <c r="B5576" t="s">
        <v>189</v>
      </c>
      <c r="C5576" t="s">
        <v>81</v>
      </c>
      <c r="D5576" t="s">
        <v>86</v>
      </c>
      <c r="E5576" t="s">
        <v>103</v>
      </c>
      <c r="F5576">
        <v>2000</v>
      </c>
      <c r="G5576" t="s">
        <v>331</v>
      </c>
      <c r="H5576" s="15">
        <v>45292</v>
      </c>
      <c r="I5576">
        <v>2000</v>
      </c>
      <c r="J5576">
        <v>0</v>
      </c>
    </row>
    <row r="5577" spans="1:10" x14ac:dyDescent="0.3">
      <c r="A5577" s="15">
        <v>45931</v>
      </c>
      <c r="B5577" t="s">
        <v>190</v>
      </c>
      <c r="C5577" t="s">
        <v>81</v>
      </c>
      <c r="D5577" t="s">
        <v>99</v>
      </c>
      <c r="E5577" t="s">
        <v>89</v>
      </c>
      <c r="F5577">
        <v>1900</v>
      </c>
      <c r="G5577" t="s">
        <v>331</v>
      </c>
      <c r="H5577" s="15">
        <v>45292</v>
      </c>
      <c r="I5577">
        <v>1900</v>
      </c>
      <c r="J5577">
        <v>0</v>
      </c>
    </row>
    <row r="5578" spans="1:10" x14ac:dyDescent="0.3">
      <c r="A5578" s="15">
        <v>45931</v>
      </c>
      <c r="B5578" t="s">
        <v>191</v>
      </c>
      <c r="C5578" t="s">
        <v>91</v>
      </c>
      <c r="D5578" t="s">
        <v>86</v>
      </c>
      <c r="E5578" t="s">
        <v>87</v>
      </c>
      <c r="F5578">
        <v>6900</v>
      </c>
      <c r="G5578" t="s">
        <v>331</v>
      </c>
      <c r="H5578" s="15">
        <v>45292</v>
      </c>
      <c r="I5578">
        <v>6900</v>
      </c>
      <c r="J5578">
        <v>0</v>
      </c>
    </row>
    <row r="5579" spans="1:10" x14ac:dyDescent="0.3">
      <c r="A5579" s="15">
        <v>45931</v>
      </c>
      <c r="B5579" t="s">
        <v>192</v>
      </c>
      <c r="C5579" t="s">
        <v>81</v>
      </c>
      <c r="D5579" t="s">
        <v>82</v>
      </c>
      <c r="E5579" t="s">
        <v>97</v>
      </c>
      <c r="F5579">
        <v>3000</v>
      </c>
      <c r="G5579" t="s">
        <v>331</v>
      </c>
      <c r="H5579" s="15">
        <v>45292</v>
      </c>
      <c r="I5579">
        <v>3000</v>
      </c>
      <c r="J5579">
        <v>0</v>
      </c>
    </row>
    <row r="5580" spans="1:10" x14ac:dyDescent="0.3">
      <c r="A5580" s="15">
        <v>45931</v>
      </c>
      <c r="B5580" t="s">
        <v>193</v>
      </c>
      <c r="C5580" t="s">
        <v>81</v>
      </c>
      <c r="D5580" t="s">
        <v>82</v>
      </c>
      <c r="E5580" t="s">
        <v>87</v>
      </c>
      <c r="F5580">
        <v>3200</v>
      </c>
      <c r="G5580" t="s">
        <v>331</v>
      </c>
      <c r="H5580" s="15">
        <v>45292</v>
      </c>
      <c r="I5580">
        <v>3200</v>
      </c>
      <c r="J5580">
        <v>0</v>
      </c>
    </row>
    <row r="5581" spans="1:10" x14ac:dyDescent="0.3">
      <c r="A5581" s="15">
        <v>45931</v>
      </c>
      <c r="B5581" t="s">
        <v>194</v>
      </c>
      <c r="C5581" t="s">
        <v>91</v>
      </c>
      <c r="D5581" t="s">
        <v>82</v>
      </c>
      <c r="E5581" t="s">
        <v>101</v>
      </c>
      <c r="F5581">
        <v>11200</v>
      </c>
      <c r="G5581" t="s">
        <v>331</v>
      </c>
      <c r="H5581" s="15">
        <v>45292</v>
      </c>
      <c r="I5581">
        <v>11200</v>
      </c>
      <c r="J5581">
        <v>0</v>
      </c>
    </row>
    <row r="5582" spans="1:10" x14ac:dyDescent="0.3">
      <c r="A5582" s="15">
        <v>45931</v>
      </c>
      <c r="B5582" t="s">
        <v>195</v>
      </c>
      <c r="C5582" t="s">
        <v>91</v>
      </c>
      <c r="D5582" t="s">
        <v>86</v>
      </c>
      <c r="E5582" t="s">
        <v>97</v>
      </c>
      <c r="F5582">
        <v>6800</v>
      </c>
      <c r="G5582" t="s">
        <v>331</v>
      </c>
      <c r="H5582" s="15">
        <v>45292</v>
      </c>
      <c r="I5582">
        <v>6800</v>
      </c>
      <c r="J5582">
        <v>0</v>
      </c>
    </row>
    <row r="5583" spans="1:10" x14ac:dyDescent="0.3">
      <c r="A5583" s="15">
        <v>45931</v>
      </c>
      <c r="B5583" t="s">
        <v>197</v>
      </c>
      <c r="C5583" t="s">
        <v>91</v>
      </c>
      <c r="D5583" t="s">
        <v>82</v>
      </c>
      <c r="E5583" t="s">
        <v>89</v>
      </c>
      <c r="F5583">
        <v>12000</v>
      </c>
      <c r="G5583" t="s">
        <v>331</v>
      </c>
      <c r="H5583" s="15">
        <v>45292</v>
      </c>
      <c r="I5583">
        <v>12000</v>
      </c>
      <c r="J5583">
        <v>0</v>
      </c>
    </row>
    <row r="5584" spans="1:10" x14ac:dyDescent="0.3">
      <c r="A5584" s="15">
        <v>45931</v>
      </c>
      <c r="B5584" t="s">
        <v>198</v>
      </c>
      <c r="C5584" t="s">
        <v>81</v>
      </c>
      <c r="D5584" t="s">
        <v>82</v>
      </c>
      <c r="E5584" t="s">
        <v>89</v>
      </c>
      <c r="F5584">
        <v>2900</v>
      </c>
      <c r="G5584" t="s">
        <v>331</v>
      </c>
      <c r="H5584" s="15">
        <v>45292</v>
      </c>
      <c r="I5584">
        <v>2900</v>
      </c>
      <c r="J5584">
        <v>0</v>
      </c>
    </row>
    <row r="5585" spans="1:10" x14ac:dyDescent="0.3">
      <c r="A5585" s="15">
        <v>45931</v>
      </c>
      <c r="B5585" t="s">
        <v>199</v>
      </c>
      <c r="C5585" t="s">
        <v>81</v>
      </c>
      <c r="D5585" t="s">
        <v>86</v>
      </c>
      <c r="E5585" t="s">
        <v>89</v>
      </c>
      <c r="F5585">
        <v>2200</v>
      </c>
      <c r="G5585" t="s">
        <v>331</v>
      </c>
      <c r="H5585" s="15">
        <v>45292</v>
      </c>
      <c r="I5585">
        <v>2200</v>
      </c>
      <c r="J5585">
        <v>0</v>
      </c>
    </row>
    <row r="5586" spans="1:10" x14ac:dyDescent="0.3">
      <c r="A5586" s="15">
        <v>45931</v>
      </c>
      <c r="B5586" t="s">
        <v>200</v>
      </c>
      <c r="C5586" t="s">
        <v>91</v>
      </c>
      <c r="D5586" t="s">
        <v>86</v>
      </c>
      <c r="E5586" t="s">
        <v>92</v>
      </c>
      <c r="F5586">
        <v>8800</v>
      </c>
      <c r="G5586" t="s">
        <v>331</v>
      </c>
      <c r="H5586" s="15">
        <v>45292</v>
      </c>
      <c r="I5586">
        <v>8800</v>
      </c>
      <c r="J5586">
        <v>0</v>
      </c>
    </row>
    <row r="5587" spans="1:10" x14ac:dyDescent="0.3">
      <c r="A5587" s="15">
        <v>45931</v>
      </c>
      <c r="B5587" t="s">
        <v>201</v>
      </c>
      <c r="C5587" t="s">
        <v>81</v>
      </c>
      <c r="D5587" t="s">
        <v>86</v>
      </c>
      <c r="E5587" t="s">
        <v>83</v>
      </c>
      <c r="F5587">
        <v>1800</v>
      </c>
      <c r="G5587" t="s">
        <v>331</v>
      </c>
      <c r="H5587" s="15">
        <v>45292</v>
      </c>
      <c r="I5587">
        <v>1800</v>
      </c>
      <c r="J5587">
        <v>0</v>
      </c>
    </row>
    <row r="5588" spans="1:10" x14ac:dyDescent="0.3">
      <c r="A5588" s="15">
        <v>45931</v>
      </c>
      <c r="B5588" t="s">
        <v>202</v>
      </c>
      <c r="C5588" t="s">
        <v>91</v>
      </c>
      <c r="D5588" t="s">
        <v>82</v>
      </c>
      <c r="E5588" t="s">
        <v>92</v>
      </c>
      <c r="F5588">
        <v>11000</v>
      </c>
      <c r="G5588" t="s">
        <v>331</v>
      </c>
      <c r="H5588" s="15">
        <v>45292</v>
      </c>
      <c r="I5588">
        <v>11000</v>
      </c>
      <c r="J5588">
        <v>0</v>
      </c>
    </row>
    <row r="5589" spans="1:10" x14ac:dyDescent="0.3">
      <c r="A5589" s="15">
        <v>45931</v>
      </c>
      <c r="B5589" t="s">
        <v>204</v>
      </c>
      <c r="C5589" t="s">
        <v>81</v>
      </c>
      <c r="D5589" t="s">
        <v>82</v>
      </c>
      <c r="E5589" t="s">
        <v>87</v>
      </c>
      <c r="F5589">
        <v>1900</v>
      </c>
      <c r="G5589" t="s">
        <v>331</v>
      </c>
      <c r="H5589" s="15">
        <v>45292</v>
      </c>
      <c r="I5589">
        <v>1900</v>
      </c>
      <c r="J5589">
        <v>0</v>
      </c>
    </row>
    <row r="5590" spans="1:10" x14ac:dyDescent="0.3">
      <c r="A5590" s="15">
        <v>45931</v>
      </c>
      <c r="B5590" t="s">
        <v>205</v>
      </c>
      <c r="C5590" t="s">
        <v>91</v>
      </c>
      <c r="D5590" t="s">
        <v>86</v>
      </c>
      <c r="E5590" t="s">
        <v>103</v>
      </c>
      <c r="F5590">
        <v>9800</v>
      </c>
      <c r="G5590" t="s">
        <v>331</v>
      </c>
      <c r="H5590" s="15">
        <v>45292</v>
      </c>
      <c r="I5590">
        <v>9800</v>
      </c>
      <c r="J5590">
        <v>0</v>
      </c>
    </row>
    <row r="5591" spans="1:10" x14ac:dyDescent="0.3">
      <c r="A5591" s="15">
        <v>45931</v>
      </c>
      <c r="B5591" t="s">
        <v>206</v>
      </c>
      <c r="C5591" t="s">
        <v>81</v>
      </c>
      <c r="D5591" t="s">
        <v>86</v>
      </c>
      <c r="E5591" t="s">
        <v>89</v>
      </c>
      <c r="F5591">
        <v>3000</v>
      </c>
      <c r="G5591" t="s">
        <v>331</v>
      </c>
      <c r="H5591" s="15">
        <v>45292</v>
      </c>
      <c r="I5591">
        <v>3000</v>
      </c>
      <c r="J5591">
        <v>0</v>
      </c>
    </row>
    <row r="5592" spans="1:10" x14ac:dyDescent="0.3">
      <c r="A5592" s="15">
        <v>45931</v>
      </c>
      <c r="B5592" t="s">
        <v>207</v>
      </c>
      <c r="C5592" t="s">
        <v>81</v>
      </c>
      <c r="D5592" t="s">
        <v>82</v>
      </c>
      <c r="E5592" t="s">
        <v>89</v>
      </c>
      <c r="F5592">
        <v>3500</v>
      </c>
      <c r="G5592" t="s">
        <v>331</v>
      </c>
      <c r="H5592" s="15">
        <v>45292</v>
      </c>
      <c r="I5592">
        <v>3500</v>
      </c>
      <c r="J5592">
        <v>0</v>
      </c>
    </row>
    <row r="5593" spans="1:10" x14ac:dyDescent="0.3">
      <c r="A5593" s="15">
        <v>45931</v>
      </c>
      <c r="B5593" t="s">
        <v>208</v>
      </c>
      <c r="C5593" t="s">
        <v>91</v>
      </c>
      <c r="D5593" t="s">
        <v>99</v>
      </c>
      <c r="E5593" t="s">
        <v>89</v>
      </c>
      <c r="F5593">
        <v>8400</v>
      </c>
      <c r="G5593" t="s">
        <v>331</v>
      </c>
      <c r="H5593" s="15">
        <v>45292</v>
      </c>
      <c r="I5593">
        <v>8400</v>
      </c>
      <c r="J5593">
        <v>0</v>
      </c>
    </row>
    <row r="5594" spans="1:10" x14ac:dyDescent="0.3">
      <c r="A5594" s="15">
        <v>45931</v>
      </c>
      <c r="B5594" t="s">
        <v>209</v>
      </c>
      <c r="C5594" t="s">
        <v>81</v>
      </c>
      <c r="D5594" t="s">
        <v>86</v>
      </c>
      <c r="E5594" t="s">
        <v>83</v>
      </c>
      <c r="F5594">
        <v>3100</v>
      </c>
      <c r="G5594" t="s">
        <v>331</v>
      </c>
      <c r="H5594" s="15">
        <v>45292</v>
      </c>
      <c r="I5594">
        <v>3100</v>
      </c>
      <c r="J5594">
        <v>0</v>
      </c>
    </row>
    <row r="5595" spans="1:10" x14ac:dyDescent="0.3">
      <c r="A5595" s="15">
        <v>45931</v>
      </c>
      <c r="B5595" t="s">
        <v>210</v>
      </c>
      <c r="C5595" t="s">
        <v>125</v>
      </c>
      <c r="D5595" t="s">
        <v>96</v>
      </c>
      <c r="E5595" t="s">
        <v>89</v>
      </c>
      <c r="F5595">
        <v>90300</v>
      </c>
      <c r="G5595" t="s">
        <v>331</v>
      </c>
      <c r="H5595" s="15">
        <v>45292</v>
      </c>
      <c r="I5595">
        <v>90300</v>
      </c>
      <c r="J5595">
        <v>0</v>
      </c>
    </row>
    <row r="5596" spans="1:10" x14ac:dyDescent="0.3">
      <c r="A5596" s="15">
        <v>45931</v>
      </c>
      <c r="B5596" t="s">
        <v>211</v>
      </c>
      <c r="C5596" t="s">
        <v>110</v>
      </c>
      <c r="D5596" t="s">
        <v>82</v>
      </c>
      <c r="E5596" t="s">
        <v>92</v>
      </c>
      <c r="F5596">
        <v>28900</v>
      </c>
      <c r="G5596" t="s">
        <v>331</v>
      </c>
      <c r="H5596" s="15">
        <v>45292</v>
      </c>
      <c r="I5596">
        <v>28900</v>
      </c>
      <c r="J5596">
        <v>0</v>
      </c>
    </row>
    <row r="5597" spans="1:10" x14ac:dyDescent="0.3">
      <c r="A5597" s="15">
        <v>45931</v>
      </c>
      <c r="B5597" t="s">
        <v>213</v>
      </c>
      <c r="C5597" t="s">
        <v>81</v>
      </c>
      <c r="D5597" t="s">
        <v>82</v>
      </c>
      <c r="E5597" t="s">
        <v>97</v>
      </c>
      <c r="F5597">
        <v>3300</v>
      </c>
      <c r="G5597" t="s">
        <v>331</v>
      </c>
      <c r="H5597" s="15">
        <v>45292</v>
      </c>
      <c r="I5597">
        <v>3300</v>
      </c>
      <c r="J5597">
        <v>0</v>
      </c>
    </row>
    <row r="5598" spans="1:10" x14ac:dyDescent="0.3">
      <c r="A5598" s="15">
        <v>45931</v>
      </c>
      <c r="B5598" t="s">
        <v>214</v>
      </c>
      <c r="C5598" t="s">
        <v>91</v>
      </c>
      <c r="D5598" t="s">
        <v>82</v>
      </c>
      <c r="E5598" t="s">
        <v>89</v>
      </c>
      <c r="F5598">
        <v>8700</v>
      </c>
      <c r="G5598" t="s">
        <v>331</v>
      </c>
      <c r="H5598" s="15">
        <v>45292</v>
      </c>
      <c r="I5598">
        <v>8700</v>
      </c>
      <c r="J5598">
        <v>0</v>
      </c>
    </row>
    <row r="5599" spans="1:10" x14ac:dyDescent="0.3">
      <c r="A5599" s="15">
        <v>45931</v>
      </c>
      <c r="B5599" t="s">
        <v>216</v>
      </c>
      <c r="C5599" t="s">
        <v>81</v>
      </c>
      <c r="D5599" t="s">
        <v>82</v>
      </c>
      <c r="E5599" t="s">
        <v>97</v>
      </c>
      <c r="F5599">
        <v>3500</v>
      </c>
      <c r="G5599" t="s">
        <v>331</v>
      </c>
      <c r="H5599" s="15">
        <v>45292</v>
      </c>
      <c r="I5599">
        <v>3500</v>
      </c>
      <c r="J5599">
        <v>0</v>
      </c>
    </row>
    <row r="5600" spans="1:10" x14ac:dyDescent="0.3">
      <c r="A5600" s="15">
        <v>45931</v>
      </c>
      <c r="B5600" t="s">
        <v>217</v>
      </c>
      <c r="C5600" t="s">
        <v>91</v>
      </c>
      <c r="D5600" t="s">
        <v>82</v>
      </c>
      <c r="E5600" t="s">
        <v>97</v>
      </c>
      <c r="F5600">
        <v>9000</v>
      </c>
      <c r="G5600" t="s">
        <v>331</v>
      </c>
      <c r="H5600" s="15">
        <v>45292</v>
      </c>
      <c r="I5600">
        <v>9000</v>
      </c>
      <c r="J5600">
        <v>0</v>
      </c>
    </row>
    <row r="5601" spans="1:10" x14ac:dyDescent="0.3">
      <c r="A5601" s="15">
        <v>45931</v>
      </c>
      <c r="B5601" t="s">
        <v>218</v>
      </c>
      <c r="C5601" t="s">
        <v>110</v>
      </c>
      <c r="D5601" t="s">
        <v>99</v>
      </c>
      <c r="E5601" t="s">
        <v>92</v>
      </c>
      <c r="F5601">
        <v>32200</v>
      </c>
      <c r="G5601" t="s">
        <v>331</v>
      </c>
      <c r="H5601" s="15">
        <v>45292</v>
      </c>
      <c r="I5601">
        <v>32200</v>
      </c>
      <c r="J5601">
        <v>0</v>
      </c>
    </row>
    <row r="5602" spans="1:10" x14ac:dyDescent="0.3">
      <c r="A5602" s="15">
        <v>45931</v>
      </c>
      <c r="B5602" t="s">
        <v>219</v>
      </c>
      <c r="C5602" t="s">
        <v>81</v>
      </c>
      <c r="D5602" t="s">
        <v>99</v>
      </c>
      <c r="E5602" t="s">
        <v>89</v>
      </c>
      <c r="F5602">
        <v>2500</v>
      </c>
      <c r="G5602" t="s">
        <v>331</v>
      </c>
      <c r="H5602" s="15">
        <v>45292</v>
      </c>
      <c r="I5602">
        <v>2500</v>
      </c>
      <c r="J5602">
        <v>0</v>
      </c>
    </row>
    <row r="5603" spans="1:10" x14ac:dyDescent="0.3">
      <c r="A5603" s="15">
        <v>45931</v>
      </c>
      <c r="B5603" t="s">
        <v>220</v>
      </c>
      <c r="C5603" t="s">
        <v>110</v>
      </c>
      <c r="D5603" t="s">
        <v>82</v>
      </c>
      <c r="E5603" t="s">
        <v>89</v>
      </c>
      <c r="F5603">
        <v>30800</v>
      </c>
      <c r="G5603" t="s">
        <v>331</v>
      </c>
      <c r="H5603" s="15">
        <v>45292</v>
      </c>
      <c r="I5603">
        <v>30800</v>
      </c>
      <c r="J5603">
        <v>0</v>
      </c>
    </row>
    <row r="5604" spans="1:10" x14ac:dyDescent="0.3">
      <c r="A5604" s="15">
        <v>45931</v>
      </c>
      <c r="B5604" t="s">
        <v>224</v>
      </c>
      <c r="C5604" t="s">
        <v>91</v>
      </c>
      <c r="D5604" t="s">
        <v>82</v>
      </c>
      <c r="E5604" t="s">
        <v>101</v>
      </c>
      <c r="F5604">
        <v>10600</v>
      </c>
      <c r="G5604" t="s">
        <v>331</v>
      </c>
      <c r="H5604" s="15">
        <v>45292</v>
      </c>
      <c r="I5604">
        <v>10600</v>
      </c>
      <c r="J5604">
        <v>0</v>
      </c>
    </row>
    <row r="5605" spans="1:10" x14ac:dyDescent="0.3">
      <c r="A5605" s="15">
        <v>45931</v>
      </c>
      <c r="B5605" t="s">
        <v>225</v>
      </c>
      <c r="C5605" t="s">
        <v>110</v>
      </c>
      <c r="D5605" t="s">
        <v>99</v>
      </c>
      <c r="E5605" t="s">
        <v>103</v>
      </c>
      <c r="F5605">
        <v>42200</v>
      </c>
      <c r="G5605" t="s">
        <v>331</v>
      </c>
      <c r="H5605" s="15">
        <v>45292</v>
      </c>
      <c r="I5605">
        <v>42200</v>
      </c>
      <c r="J5605">
        <v>0</v>
      </c>
    </row>
    <row r="5606" spans="1:10" x14ac:dyDescent="0.3">
      <c r="A5606" s="15">
        <v>45931</v>
      </c>
      <c r="B5606" t="s">
        <v>226</v>
      </c>
      <c r="C5606" t="s">
        <v>91</v>
      </c>
      <c r="D5606" t="s">
        <v>82</v>
      </c>
      <c r="E5606" t="s">
        <v>103</v>
      </c>
      <c r="F5606">
        <v>5300</v>
      </c>
      <c r="G5606" t="s">
        <v>331</v>
      </c>
      <c r="H5606" s="15">
        <v>45292</v>
      </c>
      <c r="I5606">
        <v>5300</v>
      </c>
      <c r="J5606">
        <v>0</v>
      </c>
    </row>
    <row r="5607" spans="1:10" x14ac:dyDescent="0.3">
      <c r="A5607" s="15">
        <v>45931</v>
      </c>
      <c r="B5607" t="s">
        <v>227</v>
      </c>
      <c r="C5607" t="s">
        <v>110</v>
      </c>
      <c r="D5607" t="s">
        <v>86</v>
      </c>
      <c r="E5607" t="s">
        <v>87</v>
      </c>
      <c r="F5607">
        <v>27900</v>
      </c>
      <c r="G5607" t="s">
        <v>331</v>
      </c>
      <c r="H5607" s="15">
        <v>45292</v>
      </c>
      <c r="I5607">
        <v>27900</v>
      </c>
      <c r="J5607">
        <v>0</v>
      </c>
    </row>
    <row r="5608" spans="1:10" x14ac:dyDescent="0.3">
      <c r="A5608" s="15">
        <v>45931</v>
      </c>
      <c r="B5608" t="s">
        <v>228</v>
      </c>
      <c r="C5608" t="s">
        <v>91</v>
      </c>
      <c r="D5608" t="s">
        <v>96</v>
      </c>
      <c r="E5608" t="s">
        <v>89</v>
      </c>
      <c r="F5608">
        <v>12000</v>
      </c>
      <c r="G5608" t="s">
        <v>331</v>
      </c>
      <c r="H5608" s="15">
        <v>45292</v>
      </c>
      <c r="I5608">
        <v>12000</v>
      </c>
      <c r="J5608">
        <v>0</v>
      </c>
    </row>
    <row r="5609" spans="1:10" x14ac:dyDescent="0.3">
      <c r="A5609" s="15">
        <v>45931</v>
      </c>
      <c r="B5609" t="s">
        <v>229</v>
      </c>
      <c r="C5609" t="s">
        <v>81</v>
      </c>
      <c r="D5609" t="s">
        <v>82</v>
      </c>
      <c r="E5609" t="s">
        <v>83</v>
      </c>
      <c r="F5609">
        <v>3700</v>
      </c>
      <c r="G5609" t="s">
        <v>332</v>
      </c>
      <c r="H5609" s="15">
        <v>45292</v>
      </c>
      <c r="I5609">
        <v>3400</v>
      </c>
      <c r="J5609">
        <v>300</v>
      </c>
    </row>
    <row r="5610" spans="1:10" x14ac:dyDescent="0.3">
      <c r="A5610" s="15">
        <v>45931</v>
      </c>
      <c r="B5610" t="s">
        <v>230</v>
      </c>
      <c r="C5610" t="s">
        <v>81</v>
      </c>
      <c r="D5610" t="s">
        <v>86</v>
      </c>
      <c r="E5610" t="s">
        <v>101</v>
      </c>
      <c r="F5610">
        <v>3400</v>
      </c>
      <c r="G5610" t="s">
        <v>331</v>
      </c>
      <c r="H5610" s="15">
        <v>45292</v>
      </c>
      <c r="I5610">
        <v>3400</v>
      </c>
      <c r="J5610">
        <v>0</v>
      </c>
    </row>
    <row r="5611" spans="1:10" x14ac:dyDescent="0.3">
      <c r="A5611" s="15">
        <v>45931</v>
      </c>
      <c r="B5611" t="s">
        <v>231</v>
      </c>
      <c r="C5611" t="s">
        <v>91</v>
      </c>
      <c r="D5611" t="s">
        <v>82</v>
      </c>
      <c r="E5611" t="s">
        <v>92</v>
      </c>
      <c r="F5611">
        <v>6900</v>
      </c>
      <c r="G5611" t="s">
        <v>331</v>
      </c>
      <c r="H5611" s="15">
        <v>45292</v>
      </c>
      <c r="I5611">
        <v>6900</v>
      </c>
      <c r="J5611">
        <v>0</v>
      </c>
    </row>
    <row r="5612" spans="1:10" x14ac:dyDescent="0.3">
      <c r="A5612" s="15">
        <v>45931</v>
      </c>
      <c r="B5612" t="s">
        <v>232</v>
      </c>
      <c r="C5612" t="s">
        <v>125</v>
      </c>
      <c r="D5612" t="s">
        <v>86</v>
      </c>
      <c r="E5612" t="s">
        <v>83</v>
      </c>
      <c r="F5612">
        <v>121100</v>
      </c>
      <c r="G5612" t="s">
        <v>331</v>
      </c>
      <c r="H5612" s="15">
        <v>45292</v>
      </c>
      <c r="I5612">
        <v>121100</v>
      </c>
      <c r="J5612">
        <v>0</v>
      </c>
    </row>
    <row r="5613" spans="1:10" x14ac:dyDescent="0.3">
      <c r="A5613" s="15">
        <v>45931</v>
      </c>
      <c r="B5613" t="s">
        <v>233</v>
      </c>
      <c r="C5613" t="s">
        <v>81</v>
      </c>
      <c r="D5613" t="s">
        <v>82</v>
      </c>
      <c r="E5613" t="s">
        <v>87</v>
      </c>
      <c r="F5613">
        <v>3300</v>
      </c>
      <c r="G5613" t="s">
        <v>331</v>
      </c>
      <c r="H5613" s="15">
        <v>45292</v>
      </c>
      <c r="I5613">
        <v>3300</v>
      </c>
      <c r="J5613">
        <v>0</v>
      </c>
    </row>
    <row r="5614" spans="1:10" x14ac:dyDescent="0.3">
      <c r="A5614" s="15">
        <v>45931</v>
      </c>
      <c r="B5614" t="s">
        <v>234</v>
      </c>
      <c r="C5614" t="s">
        <v>110</v>
      </c>
      <c r="D5614" t="s">
        <v>82</v>
      </c>
      <c r="E5614" t="s">
        <v>103</v>
      </c>
      <c r="F5614">
        <v>43400</v>
      </c>
      <c r="G5614" t="s">
        <v>331</v>
      </c>
      <c r="H5614" s="15">
        <v>45292</v>
      </c>
      <c r="I5614">
        <v>43400</v>
      </c>
      <c r="J5614">
        <v>0</v>
      </c>
    </row>
    <row r="5615" spans="1:10" x14ac:dyDescent="0.3">
      <c r="A5615" s="15">
        <v>45931</v>
      </c>
      <c r="B5615" t="s">
        <v>235</v>
      </c>
      <c r="C5615" t="s">
        <v>91</v>
      </c>
      <c r="D5615" t="s">
        <v>96</v>
      </c>
      <c r="E5615" t="s">
        <v>103</v>
      </c>
      <c r="F5615">
        <v>11100</v>
      </c>
      <c r="G5615" t="s">
        <v>331</v>
      </c>
      <c r="H5615" s="15">
        <v>45292</v>
      </c>
      <c r="I5615">
        <v>11100</v>
      </c>
      <c r="J5615">
        <v>0</v>
      </c>
    </row>
    <row r="5616" spans="1:10" x14ac:dyDescent="0.3">
      <c r="A5616" s="15">
        <v>45931</v>
      </c>
      <c r="B5616" t="s">
        <v>236</v>
      </c>
      <c r="C5616" t="s">
        <v>110</v>
      </c>
      <c r="D5616" t="s">
        <v>82</v>
      </c>
      <c r="E5616" t="s">
        <v>97</v>
      </c>
      <c r="F5616">
        <v>27200</v>
      </c>
      <c r="G5616" t="s">
        <v>331</v>
      </c>
      <c r="H5616" s="15">
        <v>45292</v>
      </c>
      <c r="I5616">
        <v>27200</v>
      </c>
      <c r="J5616">
        <v>0</v>
      </c>
    </row>
    <row r="5617" spans="1:10" x14ac:dyDescent="0.3">
      <c r="A5617" s="15">
        <v>45931</v>
      </c>
      <c r="B5617" t="s">
        <v>237</v>
      </c>
      <c r="C5617" t="s">
        <v>91</v>
      </c>
      <c r="D5617" t="s">
        <v>82</v>
      </c>
      <c r="E5617" t="s">
        <v>83</v>
      </c>
      <c r="F5617">
        <v>6900</v>
      </c>
      <c r="G5617" t="s">
        <v>331</v>
      </c>
      <c r="H5617" s="15">
        <v>45292</v>
      </c>
      <c r="I5617">
        <v>6900</v>
      </c>
      <c r="J5617">
        <v>0</v>
      </c>
    </row>
    <row r="5618" spans="1:10" x14ac:dyDescent="0.3">
      <c r="A5618" s="15">
        <v>45931</v>
      </c>
      <c r="B5618" t="s">
        <v>238</v>
      </c>
      <c r="C5618" t="s">
        <v>81</v>
      </c>
      <c r="D5618" t="s">
        <v>99</v>
      </c>
      <c r="E5618" t="s">
        <v>97</v>
      </c>
      <c r="F5618">
        <v>2300</v>
      </c>
      <c r="G5618" t="s">
        <v>331</v>
      </c>
      <c r="H5618" s="15">
        <v>45292</v>
      </c>
      <c r="I5618">
        <v>2300</v>
      </c>
      <c r="J5618">
        <v>0</v>
      </c>
    </row>
    <row r="5619" spans="1:10" x14ac:dyDescent="0.3">
      <c r="A5619" s="15">
        <v>45931</v>
      </c>
      <c r="B5619" t="s">
        <v>239</v>
      </c>
      <c r="C5619" t="s">
        <v>81</v>
      </c>
      <c r="D5619" t="s">
        <v>82</v>
      </c>
      <c r="E5619" t="s">
        <v>103</v>
      </c>
      <c r="F5619">
        <v>2500</v>
      </c>
      <c r="G5619" t="s">
        <v>331</v>
      </c>
      <c r="H5619" s="15">
        <v>45292</v>
      </c>
      <c r="I5619">
        <v>2500</v>
      </c>
      <c r="J5619">
        <v>0</v>
      </c>
    </row>
    <row r="5620" spans="1:10" x14ac:dyDescent="0.3">
      <c r="A5620" s="15">
        <v>45931</v>
      </c>
      <c r="B5620" t="s">
        <v>240</v>
      </c>
      <c r="C5620" t="s">
        <v>81</v>
      </c>
      <c r="D5620" t="s">
        <v>99</v>
      </c>
      <c r="E5620" t="s">
        <v>103</v>
      </c>
      <c r="F5620">
        <v>2300</v>
      </c>
      <c r="G5620" t="s">
        <v>331</v>
      </c>
      <c r="H5620" s="15">
        <v>45292</v>
      </c>
      <c r="I5620">
        <v>2300</v>
      </c>
      <c r="J5620">
        <v>0</v>
      </c>
    </row>
    <row r="5621" spans="1:10" x14ac:dyDescent="0.3">
      <c r="A5621" s="15">
        <v>45931</v>
      </c>
      <c r="B5621" t="s">
        <v>241</v>
      </c>
      <c r="C5621" t="s">
        <v>91</v>
      </c>
      <c r="D5621" t="s">
        <v>96</v>
      </c>
      <c r="E5621" t="s">
        <v>87</v>
      </c>
      <c r="F5621">
        <v>12100</v>
      </c>
      <c r="G5621" t="s">
        <v>331</v>
      </c>
      <c r="H5621" s="15">
        <v>45292</v>
      </c>
      <c r="I5621">
        <v>12100</v>
      </c>
      <c r="J5621">
        <v>0</v>
      </c>
    </row>
    <row r="5622" spans="1:10" x14ac:dyDescent="0.3">
      <c r="A5622" s="15">
        <v>45931</v>
      </c>
      <c r="B5622" t="s">
        <v>242</v>
      </c>
      <c r="C5622" t="s">
        <v>110</v>
      </c>
      <c r="D5622" t="s">
        <v>99</v>
      </c>
      <c r="E5622" t="s">
        <v>101</v>
      </c>
      <c r="F5622">
        <v>34800</v>
      </c>
      <c r="G5622" t="s">
        <v>331</v>
      </c>
      <c r="H5622" s="15">
        <v>45292</v>
      </c>
      <c r="I5622">
        <v>34800</v>
      </c>
      <c r="J5622">
        <v>0</v>
      </c>
    </row>
    <row r="5623" spans="1:10" x14ac:dyDescent="0.3">
      <c r="A5623" s="15">
        <v>45931</v>
      </c>
      <c r="B5623" t="s">
        <v>244</v>
      </c>
      <c r="C5623" t="s">
        <v>91</v>
      </c>
      <c r="D5623" t="s">
        <v>82</v>
      </c>
      <c r="E5623" t="s">
        <v>92</v>
      </c>
      <c r="F5623">
        <v>7800</v>
      </c>
      <c r="G5623" t="s">
        <v>331</v>
      </c>
      <c r="H5623" s="15">
        <v>45292</v>
      </c>
      <c r="I5623">
        <v>7800</v>
      </c>
      <c r="J5623">
        <v>0</v>
      </c>
    </row>
    <row r="5624" spans="1:10" x14ac:dyDescent="0.3">
      <c r="A5624" s="15">
        <v>45931</v>
      </c>
      <c r="B5624" t="s">
        <v>245</v>
      </c>
      <c r="C5624" t="s">
        <v>81</v>
      </c>
      <c r="D5624" t="s">
        <v>99</v>
      </c>
      <c r="E5624" t="s">
        <v>97</v>
      </c>
      <c r="F5624">
        <v>2900</v>
      </c>
      <c r="G5624" t="s">
        <v>331</v>
      </c>
      <c r="H5624" s="15">
        <v>45292</v>
      </c>
      <c r="I5624">
        <v>2900</v>
      </c>
      <c r="J5624">
        <v>0</v>
      </c>
    </row>
    <row r="5625" spans="1:10" x14ac:dyDescent="0.3">
      <c r="A5625" s="15">
        <v>45931</v>
      </c>
      <c r="B5625" t="s">
        <v>246</v>
      </c>
      <c r="C5625" t="s">
        <v>91</v>
      </c>
      <c r="D5625" t="s">
        <v>86</v>
      </c>
      <c r="E5625" t="s">
        <v>103</v>
      </c>
      <c r="F5625">
        <v>10100</v>
      </c>
      <c r="G5625" t="s">
        <v>331</v>
      </c>
      <c r="H5625" s="15">
        <v>45292</v>
      </c>
      <c r="I5625">
        <v>10100</v>
      </c>
      <c r="J5625">
        <v>0</v>
      </c>
    </row>
    <row r="5626" spans="1:10" x14ac:dyDescent="0.3">
      <c r="A5626" s="15">
        <v>45931</v>
      </c>
      <c r="B5626" t="s">
        <v>247</v>
      </c>
      <c r="C5626" t="s">
        <v>91</v>
      </c>
      <c r="D5626" t="s">
        <v>86</v>
      </c>
      <c r="E5626" t="s">
        <v>89</v>
      </c>
      <c r="F5626">
        <v>7800</v>
      </c>
      <c r="G5626" t="s">
        <v>331</v>
      </c>
      <c r="H5626" s="15">
        <v>45292</v>
      </c>
      <c r="I5626">
        <v>7800</v>
      </c>
      <c r="J5626">
        <v>0</v>
      </c>
    </row>
    <row r="5627" spans="1:10" x14ac:dyDescent="0.3">
      <c r="A5627" s="15">
        <v>45931</v>
      </c>
      <c r="B5627" t="s">
        <v>248</v>
      </c>
      <c r="C5627" t="s">
        <v>81</v>
      </c>
      <c r="D5627" t="s">
        <v>82</v>
      </c>
      <c r="E5627" t="s">
        <v>103</v>
      </c>
      <c r="F5627">
        <v>2100</v>
      </c>
      <c r="G5627" t="s">
        <v>331</v>
      </c>
      <c r="H5627" s="15">
        <v>45292</v>
      </c>
      <c r="I5627">
        <v>2100</v>
      </c>
      <c r="J5627">
        <v>0</v>
      </c>
    </row>
    <row r="5628" spans="1:10" x14ac:dyDescent="0.3">
      <c r="A5628" s="15">
        <v>45931</v>
      </c>
      <c r="B5628" t="s">
        <v>250</v>
      </c>
      <c r="C5628" t="s">
        <v>81</v>
      </c>
      <c r="D5628" t="s">
        <v>86</v>
      </c>
      <c r="E5628" t="s">
        <v>87</v>
      </c>
      <c r="F5628">
        <v>2600</v>
      </c>
      <c r="G5628" t="s">
        <v>334</v>
      </c>
      <c r="H5628" s="15">
        <v>45292</v>
      </c>
      <c r="I5628">
        <v>3000</v>
      </c>
      <c r="J5628">
        <v>-400</v>
      </c>
    </row>
    <row r="5629" spans="1:10" x14ac:dyDescent="0.3">
      <c r="A5629" s="15">
        <v>45931</v>
      </c>
      <c r="B5629" t="s">
        <v>251</v>
      </c>
      <c r="C5629" t="s">
        <v>91</v>
      </c>
      <c r="D5629" t="s">
        <v>99</v>
      </c>
      <c r="E5629" t="s">
        <v>103</v>
      </c>
      <c r="F5629">
        <v>8800</v>
      </c>
      <c r="G5629" t="s">
        <v>331</v>
      </c>
      <c r="H5629" s="15">
        <v>45292</v>
      </c>
      <c r="I5629">
        <v>8800</v>
      </c>
      <c r="J5629">
        <v>0</v>
      </c>
    </row>
    <row r="5630" spans="1:10" x14ac:dyDescent="0.3">
      <c r="A5630" s="15">
        <v>45931</v>
      </c>
      <c r="B5630" t="s">
        <v>252</v>
      </c>
      <c r="C5630" t="s">
        <v>81</v>
      </c>
      <c r="D5630" t="s">
        <v>99</v>
      </c>
      <c r="E5630" t="s">
        <v>92</v>
      </c>
      <c r="F5630">
        <v>3400</v>
      </c>
      <c r="G5630" t="s">
        <v>331</v>
      </c>
      <c r="H5630" s="15">
        <v>45292</v>
      </c>
      <c r="I5630">
        <v>3400</v>
      </c>
      <c r="J5630">
        <v>0</v>
      </c>
    </row>
    <row r="5631" spans="1:10" x14ac:dyDescent="0.3">
      <c r="A5631" s="15">
        <v>45931</v>
      </c>
      <c r="B5631" t="s">
        <v>253</v>
      </c>
      <c r="C5631" t="s">
        <v>81</v>
      </c>
      <c r="D5631" t="s">
        <v>96</v>
      </c>
      <c r="E5631" t="s">
        <v>89</v>
      </c>
      <c r="F5631">
        <v>2400</v>
      </c>
      <c r="G5631" t="s">
        <v>331</v>
      </c>
      <c r="H5631" s="15">
        <v>45292</v>
      </c>
      <c r="I5631">
        <v>2400</v>
      </c>
      <c r="J5631">
        <v>0</v>
      </c>
    </row>
    <row r="5632" spans="1:10" x14ac:dyDescent="0.3">
      <c r="A5632" s="15">
        <v>45931</v>
      </c>
      <c r="B5632" t="s">
        <v>254</v>
      </c>
      <c r="C5632" t="s">
        <v>110</v>
      </c>
      <c r="D5632" t="s">
        <v>86</v>
      </c>
      <c r="E5632" t="s">
        <v>103</v>
      </c>
      <c r="F5632">
        <v>56100</v>
      </c>
      <c r="G5632" t="s">
        <v>331</v>
      </c>
      <c r="H5632" s="15">
        <v>45292</v>
      </c>
      <c r="I5632">
        <v>56100</v>
      </c>
      <c r="J5632">
        <v>0</v>
      </c>
    </row>
    <row r="5633" spans="1:10" x14ac:dyDescent="0.3">
      <c r="A5633" s="15">
        <v>45931</v>
      </c>
      <c r="B5633" t="s">
        <v>255</v>
      </c>
      <c r="C5633" t="s">
        <v>91</v>
      </c>
      <c r="D5633" t="s">
        <v>86</v>
      </c>
      <c r="E5633" t="s">
        <v>89</v>
      </c>
      <c r="F5633">
        <v>9900</v>
      </c>
      <c r="G5633" t="s">
        <v>331</v>
      </c>
      <c r="H5633" s="15">
        <v>45292</v>
      </c>
      <c r="I5633">
        <v>9900</v>
      </c>
      <c r="J5633">
        <v>0</v>
      </c>
    </row>
    <row r="5634" spans="1:10" x14ac:dyDescent="0.3">
      <c r="A5634" s="15">
        <v>45931</v>
      </c>
      <c r="B5634" t="s">
        <v>256</v>
      </c>
      <c r="C5634" t="s">
        <v>81</v>
      </c>
      <c r="D5634" t="s">
        <v>82</v>
      </c>
      <c r="E5634" t="s">
        <v>103</v>
      </c>
      <c r="F5634">
        <v>1800</v>
      </c>
      <c r="G5634" t="s">
        <v>331</v>
      </c>
      <c r="H5634" s="15">
        <v>45292</v>
      </c>
      <c r="I5634">
        <v>1800</v>
      </c>
      <c r="J5634">
        <v>0</v>
      </c>
    </row>
    <row r="5635" spans="1:10" x14ac:dyDescent="0.3">
      <c r="A5635" s="15">
        <v>45931</v>
      </c>
      <c r="B5635" t="s">
        <v>258</v>
      </c>
      <c r="C5635" t="s">
        <v>125</v>
      </c>
      <c r="D5635" t="s">
        <v>86</v>
      </c>
      <c r="E5635" t="s">
        <v>83</v>
      </c>
      <c r="F5635">
        <v>96300</v>
      </c>
      <c r="G5635" t="s">
        <v>331</v>
      </c>
      <c r="H5635" s="15">
        <v>45292</v>
      </c>
      <c r="I5635">
        <v>96300</v>
      </c>
      <c r="J5635">
        <v>0</v>
      </c>
    </row>
    <row r="5636" spans="1:10" x14ac:dyDescent="0.3">
      <c r="A5636" s="15">
        <v>45931</v>
      </c>
      <c r="B5636" t="s">
        <v>259</v>
      </c>
      <c r="C5636" t="s">
        <v>81</v>
      </c>
      <c r="D5636" t="s">
        <v>86</v>
      </c>
      <c r="E5636" t="s">
        <v>89</v>
      </c>
      <c r="F5636">
        <v>1900</v>
      </c>
      <c r="G5636" t="s">
        <v>331</v>
      </c>
      <c r="H5636" s="15">
        <v>45292</v>
      </c>
      <c r="I5636">
        <v>1900</v>
      </c>
      <c r="J5636">
        <v>0</v>
      </c>
    </row>
    <row r="5637" spans="1:10" x14ac:dyDescent="0.3">
      <c r="A5637" s="15">
        <v>45931</v>
      </c>
      <c r="B5637" t="s">
        <v>260</v>
      </c>
      <c r="C5637" t="s">
        <v>81</v>
      </c>
      <c r="D5637" t="s">
        <v>86</v>
      </c>
      <c r="E5637" t="s">
        <v>97</v>
      </c>
      <c r="F5637">
        <v>2000</v>
      </c>
      <c r="G5637" t="s">
        <v>331</v>
      </c>
      <c r="H5637" s="15">
        <v>45292</v>
      </c>
      <c r="I5637">
        <v>2000</v>
      </c>
      <c r="J5637">
        <v>0</v>
      </c>
    </row>
    <row r="5638" spans="1:10" x14ac:dyDescent="0.3">
      <c r="A5638" s="15">
        <v>45931</v>
      </c>
      <c r="B5638" t="s">
        <v>262</v>
      </c>
      <c r="C5638" t="s">
        <v>91</v>
      </c>
      <c r="D5638" t="s">
        <v>82</v>
      </c>
      <c r="E5638" t="s">
        <v>92</v>
      </c>
      <c r="F5638">
        <v>10800</v>
      </c>
      <c r="G5638" t="s">
        <v>331</v>
      </c>
      <c r="H5638" s="15">
        <v>45292</v>
      </c>
      <c r="I5638">
        <v>10800</v>
      </c>
      <c r="J5638">
        <v>0</v>
      </c>
    </row>
    <row r="5639" spans="1:10" x14ac:dyDescent="0.3">
      <c r="A5639" s="15">
        <v>45931</v>
      </c>
      <c r="B5639" t="s">
        <v>264</v>
      </c>
      <c r="C5639" t="s">
        <v>110</v>
      </c>
      <c r="D5639" t="s">
        <v>86</v>
      </c>
      <c r="E5639" t="s">
        <v>97</v>
      </c>
      <c r="F5639">
        <v>31500</v>
      </c>
      <c r="G5639" t="s">
        <v>331</v>
      </c>
      <c r="H5639" s="15">
        <v>45292</v>
      </c>
      <c r="I5639">
        <v>31500</v>
      </c>
      <c r="J5639">
        <v>0</v>
      </c>
    </row>
    <row r="5640" spans="1:10" x14ac:dyDescent="0.3">
      <c r="A5640" s="15">
        <v>45931</v>
      </c>
      <c r="B5640" t="s">
        <v>265</v>
      </c>
      <c r="C5640" t="s">
        <v>125</v>
      </c>
      <c r="D5640" t="s">
        <v>86</v>
      </c>
      <c r="E5640" t="s">
        <v>101</v>
      </c>
      <c r="F5640">
        <v>92200</v>
      </c>
      <c r="G5640" t="s">
        <v>331</v>
      </c>
      <c r="H5640" s="15">
        <v>45292</v>
      </c>
      <c r="I5640">
        <v>92200</v>
      </c>
      <c r="J5640">
        <v>0</v>
      </c>
    </row>
    <row r="5641" spans="1:10" x14ac:dyDescent="0.3">
      <c r="A5641" s="15">
        <v>45931</v>
      </c>
      <c r="B5641" t="s">
        <v>266</v>
      </c>
      <c r="C5641" t="s">
        <v>81</v>
      </c>
      <c r="D5641" t="s">
        <v>82</v>
      </c>
      <c r="E5641" t="s">
        <v>83</v>
      </c>
      <c r="F5641">
        <v>2200</v>
      </c>
      <c r="G5641" t="s">
        <v>331</v>
      </c>
      <c r="H5641" s="15">
        <v>45292</v>
      </c>
      <c r="I5641">
        <v>2200</v>
      </c>
      <c r="J5641">
        <v>0</v>
      </c>
    </row>
    <row r="5642" spans="1:10" x14ac:dyDescent="0.3">
      <c r="A5642" s="15">
        <v>45931</v>
      </c>
      <c r="B5642" t="s">
        <v>267</v>
      </c>
      <c r="C5642" t="s">
        <v>91</v>
      </c>
      <c r="D5642" t="s">
        <v>82</v>
      </c>
      <c r="E5642" t="s">
        <v>97</v>
      </c>
      <c r="F5642">
        <v>7300</v>
      </c>
      <c r="G5642" t="s">
        <v>331</v>
      </c>
      <c r="H5642" s="15">
        <v>45292</v>
      </c>
      <c r="I5642">
        <v>7300</v>
      </c>
      <c r="J5642">
        <v>0</v>
      </c>
    </row>
    <row r="5643" spans="1:10" x14ac:dyDescent="0.3">
      <c r="A5643" s="15">
        <v>45931</v>
      </c>
      <c r="B5643" t="s">
        <v>272</v>
      </c>
      <c r="C5643" t="s">
        <v>125</v>
      </c>
      <c r="D5643" t="s">
        <v>96</v>
      </c>
      <c r="E5643" t="s">
        <v>103</v>
      </c>
      <c r="F5643">
        <v>101100</v>
      </c>
      <c r="G5643" t="s">
        <v>331</v>
      </c>
      <c r="H5643" s="15">
        <v>45292</v>
      </c>
      <c r="I5643">
        <v>101100</v>
      </c>
      <c r="J5643">
        <v>0</v>
      </c>
    </row>
    <row r="5644" spans="1:10" x14ac:dyDescent="0.3">
      <c r="A5644" s="15">
        <v>45931</v>
      </c>
      <c r="B5644" t="s">
        <v>273</v>
      </c>
      <c r="C5644" t="s">
        <v>81</v>
      </c>
      <c r="D5644" t="s">
        <v>82</v>
      </c>
      <c r="E5644" t="s">
        <v>101</v>
      </c>
      <c r="F5644">
        <v>3300</v>
      </c>
      <c r="G5644" t="s">
        <v>331</v>
      </c>
      <c r="H5644" s="15">
        <v>45292</v>
      </c>
      <c r="I5644">
        <v>3300</v>
      </c>
      <c r="J5644">
        <v>0</v>
      </c>
    </row>
    <row r="5645" spans="1:10" x14ac:dyDescent="0.3">
      <c r="A5645" s="15">
        <v>45931</v>
      </c>
      <c r="B5645" t="s">
        <v>274</v>
      </c>
      <c r="C5645" t="s">
        <v>91</v>
      </c>
      <c r="D5645" t="s">
        <v>99</v>
      </c>
      <c r="E5645" t="s">
        <v>87</v>
      </c>
      <c r="F5645">
        <v>11400</v>
      </c>
      <c r="G5645" t="s">
        <v>331</v>
      </c>
      <c r="H5645" s="15">
        <v>45292</v>
      </c>
      <c r="I5645">
        <v>11400</v>
      </c>
      <c r="J5645">
        <v>0</v>
      </c>
    </row>
    <row r="5646" spans="1:10" x14ac:dyDescent="0.3">
      <c r="A5646" s="15">
        <v>45931</v>
      </c>
      <c r="B5646" t="s">
        <v>276</v>
      </c>
      <c r="C5646" t="s">
        <v>81</v>
      </c>
      <c r="D5646" t="s">
        <v>82</v>
      </c>
      <c r="E5646" t="s">
        <v>103</v>
      </c>
      <c r="F5646">
        <v>3300</v>
      </c>
      <c r="G5646" t="s">
        <v>331</v>
      </c>
      <c r="H5646" s="15">
        <v>45292</v>
      </c>
      <c r="I5646">
        <v>3300</v>
      </c>
      <c r="J5646">
        <v>0</v>
      </c>
    </row>
    <row r="5647" spans="1:10" x14ac:dyDescent="0.3">
      <c r="A5647" s="15">
        <v>45931</v>
      </c>
      <c r="B5647" t="s">
        <v>277</v>
      </c>
      <c r="C5647" t="s">
        <v>91</v>
      </c>
      <c r="D5647" t="s">
        <v>86</v>
      </c>
      <c r="E5647" t="s">
        <v>97</v>
      </c>
      <c r="F5647">
        <v>9200</v>
      </c>
      <c r="G5647" t="s">
        <v>331</v>
      </c>
      <c r="H5647" s="15">
        <v>45292</v>
      </c>
      <c r="I5647">
        <v>9200</v>
      </c>
      <c r="J5647">
        <v>0</v>
      </c>
    </row>
    <row r="5648" spans="1:10" x14ac:dyDescent="0.3">
      <c r="A5648" s="15">
        <v>45931</v>
      </c>
      <c r="B5648" t="s">
        <v>279</v>
      </c>
      <c r="C5648" t="s">
        <v>91</v>
      </c>
      <c r="D5648" t="s">
        <v>99</v>
      </c>
      <c r="E5648" t="s">
        <v>89</v>
      </c>
      <c r="F5648">
        <v>9800</v>
      </c>
      <c r="G5648" t="s">
        <v>331</v>
      </c>
      <c r="H5648" s="15">
        <v>45292</v>
      </c>
      <c r="I5648">
        <v>9800</v>
      </c>
      <c r="J5648">
        <v>0</v>
      </c>
    </row>
    <row r="5649" spans="1:10" x14ac:dyDescent="0.3">
      <c r="A5649" s="15">
        <v>45931</v>
      </c>
      <c r="B5649" t="s">
        <v>280</v>
      </c>
      <c r="C5649" t="s">
        <v>91</v>
      </c>
      <c r="D5649" t="s">
        <v>96</v>
      </c>
      <c r="E5649" t="s">
        <v>83</v>
      </c>
      <c r="F5649">
        <v>6300</v>
      </c>
      <c r="G5649" t="s">
        <v>331</v>
      </c>
      <c r="H5649" s="15">
        <v>45292</v>
      </c>
      <c r="I5649">
        <v>6300</v>
      </c>
      <c r="J5649">
        <v>0</v>
      </c>
    </row>
    <row r="5650" spans="1:10" x14ac:dyDescent="0.3">
      <c r="A5650" s="15">
        <v>45931</v>
      </c>
      <c r="B5650" t="s">
        <v>281</v>
      </c>
      <c r="C5650" t="s">
        <v>110</v>
      </c>
      <c r="D5650" t="s">
        <v>86</v>
      </c>
      <c r="E5650" t="s">
        <v>92</v>
      </c>
      <c r="F5650">
        <v>63400</v>
      </c>
      <c r="G5650" t="s">
        <v>331</v>
      </c>
      <c r="H5650" s="15">
        <v>45292</v>
      </c>
      <c r="I5650">
        <v>63400</v>
      </c>
      <c r="J5650">
        <v>0</v>
      </c>
    </row>
    <row r="5651" spans="1:10" x14ac:dyDescent="0.3">
      <c r="A5651" s="15">
        <v>45931</v>
      </c>
      <c r="B5651" t="s">
        <v>282</v>
      </c>
      <c r="C5651" t="s">
        <v>91</v>
      </c>
      <c r="D5651" t="s">
        <v>86</v>
      </c>
      <c r="E5651" t="s">
        <v>92</v>
      </c>
      <c r="F5651">
        <v>5800</v>
      </c>
      <c r="G5651" t="s">
        <v>331</v>
      </c>
      <c r="H5651" s="15">
        <v>45292</v>
      </c>
      <c r="I5651">
        <v>5800</v>
      </c>
      <c r="J5651">
        <v>0</v>
      </c>
    </row>
    <row r="5652" spans="1:10" x14ac:dyDescent="0.3">
      <c r="A5652" s="15">
        <v>45931</v>
      </c>
      <c r="B5652" t="s">
        <v>283</v>
      </c>
      <c r="C5652" t="s">
        <v>110</v>
      </c>
      <c r="D5652" t="s">
        <v>82</v>
      </c>
      <c r="E5652" t="s">
        <v>87</v>
      </c>
      <c r="F5652">
        <v>34200</v>
      </c>
      <c r="G5652" t="s">
        <v>331</v>
      </c>
      <c r="H5652" s="15">
        <v>45292</v>
      </c>
      <c r="I5652">
        <v>34200</v>
      </c>
      <c r="J5652">
        <v>0</v>
      </c>
    </row>
    <row r="5653" spans="1:10" x14ac:dyDescent="0.3">
      <c r="A5653" s="15">
        <v>45931</v>
      </c>
      <c r="B5653" t="s">
        <v>284</v>
      </c>
      <c r="C5653" t="s">
        <v>81</v>
      </c>
      <c r="D5653" t="s">
        <v>82</v>
      </c>
      <c r="E5653" t="s">
        <v>101</v>
      </c>
      <c r="F5653">
        <v>2200</v>
      </c>
      <c r="G5653" t="s">
        <v>331</v>
      </c>
      <c r="H5653" s="15">
        <v>45292</v>
      </c>
      <c r="I5653">
        <v>2200</v>
      </c>
      <c r="J5653">
        <v>0</v>
      </c>
    </row>
    <row r="5654" spans="1:10" x14ac:dyDescent="0.3">
      <c r="A5654" s="15">
        <v>45931</v>
      </c>
      <c r="B5654" t="s">
        <v>285</v>
      </c>
      <c r="C5654" t="s">
        <v>91</v>
      </c>
      <c r="D5654" t="s">
        <v>82</v>
      </c>
      <c r="E5654" t="s">
        <v>83</v>
      </c>
      <c r="F5654">
        <v>10900</v>
      </c>
      <c r="G5654" t="s">
        <v>331</v>
      </c>
      <c r="H5654" s="15">
        <v>45292</v>
      </c>
      <c r="I5654">
        <v>10900</v>
      </c>
      <c r="J5654">
        <v>0</v>
      </c>
    </row>
    <row r="5655" spans="1:10" x14ac:dyDescent="0.3">
      <c r="A5655" s="15">
        <v>45931</v>
      </c>
      <c r="B5655" t="s">
        <v>286</v>
      </c>
      <c r="C5655" t="s">
        <v>125</v>
      </c>
      <c r="D5655" t="s">
        <v>86</v>
      </c>
      <c r="E5655" t="s">
        <v>92</v>
      </c>
      <c r="F5655">
        <v>92400</v>
      </c>
      <c r="G5655" t="s">
        <v>331</v>
      </c>
      <c r="H5655" s="15">
        <v>45292</v>
      </c>
      <c r="I5655">
        <v>92400</v>
      </c>
      <c r="J5655">
        <v>0</v>
      </c>
    </row>
    <row r="5656" spans="1:10" x14ac:dyDescent="0.3">
      <c r="A5656" s="15">
        <v>45931</v>
      </c>
      <c r="B5656" t="s">
        <v>287</v>
      </c>
      <c r="C5656" t="s">
        <v>81</v>
      </c>
      <c r="D5656" t="s">
        <v>99</v>
      </c>
      <c r="E5656" t="s">
        <v>87</v>
      </c>
      <c r="F5656">
        <v>2300</v>
      </c>
      <c r="G5656" t="s">
        <v>331</v>
      </c>
      <c r="H5656" s="15">
        <v>45292</v>
      </c>
      <c r="I5656">
        <v>2300</v>
      </c>
      <c r="J5656">
        <v>0</v>
      </c>
    </row>
    <row r="5657" spans="1:10" x14ac:dyDescent="0.3">
      <c r="A5657" s="15">
        <v>45931</v>
      </c>
      <c r="B5657" t="s">
        <v>288</v>
      </c>
      <c r="C5657" t="s">
        <v>81</v>
      </c>
      <c r="D5657" t="s">
        <v>99</v>
      </c>
      <c r="E5657" t="s">
        <v>97</v>
      </c>
      <c r="F5657">
        <v>2900</v>
      </c>
      <c r="G5657" t="s">
        <v>331</v>
      </c>
      <c r="H5657" s="15">
        <v>45292</v>
      </c>
      <c r="I5657">
        <v>2900</v>
      </c>
      <c r="J5657">
        <v>0</v>
      </c>
    </row>
    <row r="5658" spans="1:10" x14ac:dyDescent="0.3">
      <c r="A5658" s="15">
        <v>45931</v>
      </c>
      <c r="B5658" t="s">
        <v>289</v>
      </c>
      <c r="C5658" t="s">
        <v>91</v>
      </c>
      <c r="D5658" t="s">
        <v>86</v>
      </c>
      <c r="E5658" t="s">
        <v>101</v>
      </c>
      <c r="F5658">
        <v>9400</v>
      </c>
      <c r="G5658" t="s">
        <v>331</v>
      </c>
      <c r="H5658" s="15">
        <v>45292</v>
      </c>
      <c r="I5658">
        <v>9400</v>
      </c>
      <c r="J5658">
        <v>0</v>
      </c>
    </row>
    <row r="5659" spans="1:10" x14ac:dyDescent="0.3">
      <c r="A5659" s="15">
        <v>45931</v>
      </c>
      <c r="B5659" t="s">
        <v>290</v>
      </c>
      <c r="C5659" t="s">
        <v>81</v>
      </c>
      <c r="D5659" t="s">
        <v>82</v>
      </c>
      <c r="E5659" t="s">
        <v>103</v>
      </c>
      <c r="F5659">
        <v>2500</v>
      </c>
      <c r="G5659" t="s">
        <v>331</v>
      </c>
      <c r="H5659" s="15">
        <v>45292</v>
      </c>
      <c r="I5659">
        <v>2500</v>
      </c>
      <c r="J5659">
        <v>0</v>
      </c>
    </row>
    <row r="5660" spans="1:10" x14ac:dyDescent="0.3">
      <c r="A5660" s="15">
        <v>45931</v>
      </c>
      <c r="B5660" t="s">
        <v>291</v>
      </c>
      <c r="C5660" t="s">
        <v>81</v>
      </c>
      <c r="D5660" t="s">
        <v>82</v>
      </c>
      <c r="E5660" t="s">
        <v>83</v>
      </c>
      <c r="F5660">
        <v>3100</v>
      </c>
      <c r="G5660" t="s">
        <v>331</v>
      </c>
      <c r="H5660" s="15">
        <v>45292</v>
      </c>
      <c r="I5660">
        <v>3100</v>
      </c>
      <c r="J5660">
        <v>0</v>
      </c>
    </row>
    <row r="5661" spans="1:10" x14ac:dyDescent="0.3">
      <c r="A5661" s="15">
        <v>45931</v>
      </c>
      <c r="B5661" t="s">
        <v>292</v>
      </c>
      <c r="C5661" t="s">
        <v>91</v>
      </c>
      <c r="D5661" t="s">
        <v>86</v>
      </c>
      <c r="E5661" t="s">
        <v>89</v>
      </c>
      <c r="F5661">
        <v>9900</v>
      </c>
      <c r="G5661" t="s">
        <v>331</v>
      </c>
      <c r="H5661" s="15">
        <v>45292</v>
      </c>
      <c r="I5661">
        <v>9900</v>
      </c>
      <c r="J5661">
        <v>0</v>
      </c>
    </row>
    <row r="5662" spans="1:10" x14ac:dyDescent="0.3">
      <c r="A5662" s="15">
        <v>45931</v>
      </c>
      <c r="B5662" t="s">
        <v>293</v>
      </c>
      <c r="C5662" t="s">
        <v>81</v>
      </c>
      <c r="D5662" t="s">
        <v>86</v>
      </c>
      <c r="E5662" t="s">
        <v>103</v>
      </c>
      <c r="F5662">
        <v>2200</v>
      </c>
      <c r="G5662" t="s">
        <v>331</v>
      </c>
      <c r="H5662" s="15">
        <v>45292</v>
      </c>
      <c r="I5662">
        <v>2200</v>
      </c>
      <c r="J5662">
        <v>0</v>
      </c>
    </row>
    <row r="5663" spans="1:10" x14ac:dyDescent="0.3">
      <c r="A5663" s="15">
        <v>45931</v>
      </c>
      <c r="B5663" t="s">
        <v>294</v>
      </c>
      <c r="C5663" t="s">
        <v>91</v>
      </c>
      <c r="D5663" t="s">
        <v>82</v>
      </c>
      <c r="E5663" t="s">
        <v>97</v>
      </c>
      <c r="F5663">
        <v>9100</v>
      </c>
      <c r="G5663" t="s">
        <v>334</v>
      </c>
      <c r="H5663" s="15">
        <v>45292</v>
      </c>
      <c r="I5663">
        <v>10400</v>
      </c>
      <c r="J5663">
        <v>-1300</v>
      </c>
    </row>
    <row r="5664" spans="1:10" x14ac:dyDescent="0.3">
      <c r="A5664" s="15">
        <v>45931</v>
      </c>
      <c r="B5664" t="s">
        <v>295</v>
      </c>
      <c r="C5664" t="s">
        <v>81</v>
      </c>
      <c r="D5664" t="s">
        <v>82</v>
      </c>
      <c r="E5664" t="s">
        <v>103</v>
      </c>
      <c r="F5664">
        <v>2300</v>
      </c>
      <c r="G5664" t="s">
        <v>331</v>
      </c>
      <c r="H5664" s="15">
        <v>45292</v>
      </c>
      <c r="I5664">
        <v>2300</v>
      </c>
      <c r="J5664">
        <v>0</v>
      </c>
    </row>
    <row r="5665" spans="1:10" x14ac:dyDescent="0.3">
      <c r="A5665" s="15">
        <v>45931</v>
      </c>
      <c r="B5665" t="s">
        <v>298</v>
      </c>
      <c r="C5665" t="s">
        <v>81</v>
      </c>
      <c r="D5665" t="s">
        <v>86</v>
      </c>
      <c r="E5665" t="s">
        <v>89</v>
      </c>
      <c r="F5665">
        <v>2700</v>
      </c>
      <c r="G5665" t="s">
        <v>331</v>
      </c>
      <c r="H5665" s="15">
        <v>45292</v>
      </c>
      <c r="I5665">
        <v>2700</v>
      </c>
      <c r="J5665">
        <v>0</v>
      </c>
    </row>
    <row r="5666" spans="1:10" x14ac:dyDescent="0.3">
      <c r="A5666" s="15">
        <v>45931</v>
      </c>
      <c r="B5666" t="s">
        <v>299</v>
      </c>
      <c r="C5666" t="s">
        <v>81</v>
      </c>
      <c r="D5666" t="s">
        <v>99</v>
      </c>
      <c r="E5666" t="s">
        <v>103</v>
      </c>
      <c r="F5666">
        <v>2900</v>
      </c>
      <c r="G5666" t="s">
        <v>331</v>
      </c>
      <c r="H5666" s="15">
        <v>45292</v>
      </c>
      <c r="I5666">
        <v>2900</v>
      </c>
      <c r="J5666">
        <v>0</v>
      </c>
    </row>
    <row r="5667" spans="1:10" x14ac:dyDescent="0.3">
      <c r="A5667" s="15">
        <v>45931</v>
      </c>
      <c r="B5667" t="s">
        <v>300</v>
      </c>
      <c r="C5667" t="s">
        <v>91</v>
      </c>
      <c r="D5667" t="s">
        <v>82</v>
      </c>
      <c r="E5667" t="s">
        <v>89</v>
      </c>
      <c r="F5667">
        <v>11500</v>
      </c>
      <c r="G5667" t="s">
        <v>331</v>
      </c>
      <c r="H5667" s="15">
        <v>45292</v>
      </c>
      <c r="I5667">
        <v>11500</v>
      </c>
      <c r="J5667">
        <v>0</v>
      </c>
    </row>
    <row r="5668" spans="1:10" x14ac:dyDescent="0.3">
      <c r="A5668" s="15">
        <v>45931</v>
      </c>
      <c r="B5668" t="s">
        <v>303</v>
      </c>
      <c r="C5668" t="s">
        <v>81</v>
      </c>
      <c r="D5668" t="s">
        <v>82</v>
      </c>
      <c r="E5668" t="s">
        <v>83</v>
      </c>
      <c r="F5668">
        <v>1400</v>
      </c>
      <c r="G5668" t="s">
        <v>331</v>
      </c>
      <c r="H5668" s="15">
        <v>45292</v>
      </c>
      <c r="I5668">
        <v>1400</v>
      </c>
      <c r="J5668">
        <v>0</v>
      </c>
    </row>
    <row r="5669" spans="1:10" x14ac:dyDescent="0.3">
      <c r="A5669" s="15">
        <v>45931</v>
      </c>
      <c r="B5669" t="s">
        <v>304</v>
      </c>
      <c r="C5669" t="s">
        <v>81</v>
      </c>
      <c r="D5669" t="s">
        <v>86</v>
      </c>
      <c r="E5669" t="s">
        <v>92</v>
      </c>
      <c r="F5669">
        <v>2100</v>
      </c>
      <c r="G5669" t="s">
        <v>331</v>
      </c>
      <c r="H5669" s="15">
        <v>45292</v>
      </c>
      <c r="I5669">
        <v>2100</v>
      </c>
      <c r="J5669">
        <v>0</v>
      </c>
    </row>
    <row r="5670" spans="1:10" x14ac:dyDescent="0.3">
      <c r="A5670" s="15">
        <v>45931</v>
      </c>
      <c r="B5670" t="s">
        <v>306</v>
      </c>
      <c r="C5670" t="s">
        <v>91</v>
      </c>
      <c r="D5670" t="s">
        <v>82</v>
      </c>
      <c r="E5670" t="s">
        <v>87</v>
      </c>
      <c r="F5670">
        <v>11700</v>
      </c>
      <c r="G5670" t="s">
        <v>331</v>
      </c>
      <c r="H5670" s="15">
        <v>45292</v>
      </c>
      <c r="I5670">
        <v>11700</v>
      </c>
      <c r="J5670">
        <v>0</v>
      </c>
    </row>
    <row r="5671" spans="1:10" x14ac:dyDescent="0.3">
      <c r="A5671" s="15">
        <v>45931</v>
      </c>
      <c r="B5671" t="s">
        <v>307</v>
      </c>
      <c r="C5671" t="s">
        <v>81</v>
      </c>
      <c r="D5671" t="s">
        <v>86</v>
      </c>
      <c r="E5671" t="s">
        <v>97</v>
      </c>
      <c r="F5671">
        <v>2600</v>
      </c>
      <c r="G5671" t="s">
        <v>331</v>
      </c>
      <c r="H5671" s="15">
        <v>45292</v>
      </c>
      <c r="I5671">
        <v>2600</v>
      </c>
      <c r="J5671">
        <v>0</v>
      </c>
    </row>
    <row r="5672" spans="1:10" x14ac:dyDescent="0.3">
      <c r="A5672" s="15">
        <v>45931</v>
      </c>
      <c r="B5672" t="s">
        <v>309</v>
      </c>
      <c r="C5672" t="s">
        <v>91</v>
      </c>
      <c r="D5672" t="s">
        <v>82</v>
      </c>
      <c r="E5672" t="s">
        <v>87</v>
      </c>
      <c r="F5672">
        <v>11800</v>
      </c>
      <c r="G5672" t="s">
        <v>331</v>
      </c>
      <c r="H5672" s="15">
        <v>45292</v>
      </c>
      <c r="I5672">
        <v>11800</v>
      </c>
      <c r="J5672">
        <v>0</v>
      </c>
    </row>
    <row r="5673" spans="1:10" x14ac:dyDescent="0.3">
      <c r="A5673" s="15">
        <v>45931</v>
      </c>
      <c r="B5673" t="s">
        <v>310</v>
      </c>
      <c r="C5673" t="s">
        <v>91</v>
      </c>
      <c r="D5673" t="s">
        <v>99</v>
      </c>
      <c r="E5673" t="s">
        <v>87</v>
      </c>
      <c r="F5673">
        <v>10000</v>
      </c>
      <c r="G5673" t="s">
        <v>331</v>
      </c>
      <c r="H5673" s="15">
        <v>45292</v>
      </c>
      <c r="I5673">
        <v>10000</v>
      </c>
      <c r="J5673">
        <v>0</v>
      </c>
    </row>
    <row r="5674" spans="1:10" x14ac:dyDescent="0.3">
      <c r="A5674" s="15">
        <v>45931</v>
      </c>
      <c r="B5674" t="s">
        <v>313</v>
      </c>
      <c r="C5674" t="s">
        <v>91</v>
      </c>
      <c r="D5674" t="s">
        <v>82</v>
      </c>
      <c r="E5674" t="s">
        <v>101</v>
      </c>
      <c r="F5674">
        <v>12700</v>
      </c>
      <c r="G5674" t="s">
        <v>331</v>
      </c>
      <c r="H5674" s="15">
        <v>45292</v>
      </c>
      <c r="I5674">
        <v>12700</v>
      </c>
      <c r="J5674">
        <v>0</v>
      </c>
    </row>
    <row r="5675" spans="1:10" x14ac:dyDescent="0.3">
      <c r="A5675" s="15">
        <v>45931</v>
      </c>
      <c r="B5675" t="s">
        <v>315</v>
      </c>
      <c r="C5675" t="s">
        <v>125</v>
      </c>
      <c r="D5675" t="s">
        <v>86</v>
      </c>
      <c r="E5675" t="s">
        <v>92</v>
      </c>
      <c r="F5675">
        <v>76200</v>
      </c>
      <c r="G5675" t="s">
        <v>331</v>
      </c>
      <c r="H5675" s="15">
        <v>45292</v>
      </c>
      <c r="I5675">
        <v>76200</v>
      </c>
      <c r="J5675">
        <v>0</v>
      </c>
    </row>
    <row r="5676" spans="1:10" x14ac:dyDescent="0.3">
      <c r="A5676" s="15">
        <v>45931</v>
      </c>
      <c r="B5676" t="s">
        <v>316</v>
      </c>
      <c r="C5676" t="s">
        <v>81</v>
      </c>
      <c r="D5676" t="s">
        <v>96</v>
      </c>
      <c r="E5676" t="s">
        <v>92</v>
      </c>
      <c r="F5676">
        <v>2000</v>
      </c>
      <c r="G5676" t="s">
        <v>331</v>
      </c>
      <c r="H5676" s="15">
        <v>45292</v>
      </c>
      <c r="I5676">
        <v>2000</v>
      </c>
      <c r="J5676">
        <v>0</v>
      </c>
    </row>
    <row r="5677" spans="1:10" x14ac:dyDescent="0.3">
      <c r="A5677" s="15">
        <v>45931</v>
      </c>
      <c r="B5677" t="s">
        <v>318</v>
      </c>
      <c r="C5677" t="s">
        <v>110</v>
      </c>
      <c r="D5677" t="s">
        <v>82</v>
      </c>
      <c r="E5677" t="s">
        <v>97</v>
      </c>
      <c r="F5677">
        <v>29600</v>
      </c>
      <c r="G5677" t="s">
        <v>331</v>
      </c>
      <c r="H5677" s="15">
        <v>45292</v>
      </c>
      <c r="I5677">
        <v>29600</v>
      </c>
      <c r="J5677">
        <v>0</v>
      </c>
    </row>
    <row r="5678" spans="1:10" x14ac:dyDescent="0.3">
      <c r="A5678" s="15">
        <v>45931</v>
      </c>
      <c r="B5678" t="s">
        <v>320</v>
      </c>
      <c r="C5678" t="s">
        <v>91</v>
      </c>
      <c r="D5678" t="s">
        <v>86</v>
      </c>
      <c r="E5678" t="s">
        <v>97</v>
      </c>
      <c r="F5678">
        <v>7700</v>
      </c>
      <c r="G5678" t="s">
        <v>331</v>
      </c>
      <c r="H5678" s="15">
        <v>45292</v>
      </c>
      <c r="I5678">
        <v>7700</v>
      </c>
      <c r="J5678">
        <v>0</v>
      </c>
    </row>
    <row r="5679" spans="1:10" x14ac:dyDescent="0.3">
      <c r="A5679" s="15">
        <v>45931</v>
      </c>
      <c r="B5679" t="s">
        <v>321</v>
      </c>
      <c r="C5679" t="s">
        <v>81</v>
      </c>
      <c r="D5679" t="s">
        <v>99</v>
      </c>
      <c r="E5679" t="s">
        <v>101</v>
      </c>
      <c r="F5679">
        <v>3500</v>
      </c>
      <c r="G5679" t="s">
        <v>331</v>
      </c>
      <c r="H5679" s="15">
        <v>45292</v>
      </c>
      <c r="I5679">
        <v>3500</v>
      </c>
      <c r="J5679">
        <v>0</v>
      </c>
    </row>
    <row r="5680" spans="1:10" x14ac:dyDescent="0.3">
      <c r="A5680" s="15">
        <v>45931</v>
      </c>
      <c r="B5680" t="s">
        <v>322</v>
      </c>
      <c r="C5680" t="s">
        <v>81</v>
      </c>
      <c r="D5680" t="s">
        <v>82</v>
      </c>
      <c r="E5680" t="s">
        <v>103</v>
      </c>
      <c r="F5680">
        <v>2000</v>
      </c>
      <c r="G5680" t="s">
        <v>331</v>
      </c>
      <c r="H5680" s="15">
        <v>45292</v>
      </c>
      <c r="I5680">
        <v>2000</v>
      </c>
      <c r="J5680">
        <v>0</v>
      </c>
    </row>
    <row r="5681" spans="1:10" x14ac:dyDescent="0.3">
      <c r="A5681" s="15">
        <v>45931</v>
      </c>
      <c r="B5681" t="s">
        <v>323</v>
      </c>
      <c r="C5681" t="s">
        <v>110</v>
      </c>
      <c r="D5681" t="s">
        <v>82</v>
      </c>
      <c r="E5681" t="s">
        <v>89</v>
      </c>
      <c r="F5681">
        <v>23400</v>
      </c>
      <c r="G5681" t="s">
        <v>331</v>
      </c>
      <c r="H5681" s="15">
        <v>45292</v>
      </c>
      <c r="I5681">
        <v>23400</v>
      </c>
      <c r="J5681">
        <v>0</v>
      </c>
    </row>
    <row r="5682" spans="1:10" x14ac:dyDescent="0.3">
      <c r="A5682" s="15">
        <v>45931</v>
      </c>
      <c r="B5682" t="s">
        <v>324</v>
      </c>
      <c r="C5682" t="s">
        <v>81</v>
      </c>
      <c r="D5682" t="s">
        <v>86</v>
      </c>
      <c r="E5682" t="s">
        <v>87</v>
      </c>
      <c r="F5682">
        <v>2700</v>
      </c>
      <c r="G5682" t="s">
        <v>331</v>
      </c>
      <c r="H5682" s="15">
        <v>45292</v>
      </c>
      <c r="I5682">
        <v>2700</v>
      </c>
      <c r="J5682">
        <v>0</v>
      </c>
    </row>
    <row r="5683" spans="1:10" x14ac:dyDescent="0.3">
      <c r="A5683" s="15">
        <v>45931</v>
      </c>
      <c r="B5683" t="s">
        <v>325</v>
      </c>
      <c r="C5683" t="s">
        <v>91</v>
      </c>
      <c r="D5683" t="s">
        <v>86</v>
      </c>
      <c r="E5683" t="s">
        <v>87</v>
      </c>
      <c r="F5683">
        <v>9400</v>
      </c>
      <c r="G5683" t="s">
        <v>331</v>
      </c>
      <c r="H5683" s="15">
        <v>45292</v>
      </c>
      <c r="I5683">
        <v>9400</v>
      </c>
      <c r="J5683">
        <v>0</v>
      </c>
    </row>
    <row r="5684" spans="1:10" x14ac:dyDescent="0.3">
      <c r="A5684" s="15">
        <v>45931</v>
      </c>
      <c r="B5684" t="s">
        <v>326</v>
      </c>
      <c r="C5684" t="s">
        <v>91</v>
      </c>
      <c r="D5684" t="s">
        <v>86</v>
      </c>
      <c r="E5684" t="s">
        <v>92</v>
      </c>
      <c r="F5684">
        <v>0</v>
      </c>
      <c r="G5684" t="s">
        <v>333</v>
      </c>
      <c r="H5684" s="15">
        <v>45292</v>
      </c>
      <c r="I5684">
        <v>9100</v>
      </c>
      <c r="J5684">
        <v>-9100</v>
      </c>
    </row>
    <row r="5685" spans="1:10" x14ac:dyDescent="0.3">
      <c r="A5685" s="15">
        <v>45931</v>
      </c>
      <c r="B5685" t="s">
        <v>327</v>
      </c>
      <c r="C5685" t="s">
        <v>125</v>
      </c>
      <c r="D5685" t="s">
        <v>99</v>
      </c>
      <c r="E5685" t="s">
        <v>97</v>
      </c>
      <c r="F5685">
        <v>77500</v>
      </c>
      <c r="G5685" t="s">
        <v>331</v>
      </c>
      <c r="H5685" s="15">
        <v>45292</v>
      </c>
      <c r="I5685">
        <v>77500</v>
      </c>
      <c r="J5685">
        <v>0</v>
      </c>
    </row>
    <row r="5686" spans="1:10" x14ac:dyDescent="0.3">
      <c r="A5686" s="15">
        <v>45931</v>
      </c>
      <c r="B5686" t="s">
        <v>329</v>
      </c>
      <c r="C5686" t="s">
        <v>81</v>
      </c>
      <c r="D5686" t="s">
        <v>86</v>
      </c>
      <c r="E5686" t="s">
        <v>101</v>
      </c>
      <c r="F5686">
        <v>2200</v>
      </c>
      <c r="G5686" t="s">
        <v>331</v>
      </c>
      <c r="H5686" s="15">
        <v>45292</v>
      </c>
      <c r="I5686">
        <v>2200</v>
      </c>
      <c r="J5686">
        <v>0</v>
      </c>
    </row>
    <row r="5687" spans="1:10" x14ac:dyDescent="0.3">
      <c r="A5687" s="15">
        <v>45931</v>
      </c>
      <c r="B5687" t="s">
        <v>330</v>
      </c>
      <c r="C5687" t="s">
        <v>125</v>
      </c>
      <c r="D5687" t="s">
        <v>86</v>
      </c>
      <c r="E5687" t="s">
        <v>87</v>
      </c>
      <c r="F5687">
        <v>105400</v>
      </c>
      <c r="G5687" t="s">
        <v>331</v>
      </c>
      <c r="H5687" s="15">
        <v>45292</v>
      </c>
      <c r="I5687">
        <v>105400</v>
      </c>
      <c r="J5687">
        <v>0</v>
      </c>
    </row>
    <row r="5688" spans="1:10" x14ac:dyDescent="0.3">
      <c r="A5688" s="15">
        <v>45931</v>
      </c>
      <c r="B5688" t="s">
        <v>335</v>
      </c>
      <c r="C5688" t="s">
        <v>91</v>
      </c>
      <c r="D5688" t="s">
        <v>86</v>
      </c>
      <c r="E5688" t="s">
        <v>89</v>
      </c>
      <c r="F5688">
        <v>7300</v>
      </c>
      <c r="G5688" t="s">
        <v>331</v>
      </c>
      <c r="H5688" s="15">
        <v>45323</v>
      </c>
      <c r="I5688">
        <v>7300</v>
      </c>
      <c r="J5688">
        <v>0</v>
      </c>
    </row>
    <row r="5689" spans="1:10" x14ac:dyDescent="0.3">
      <c r="A5689" s="15">
        <v>45931</v>
      </c>
      <c r="B5689" t="s">
        <v>336</v>
      </c>
      <c r="C5689" t="s">
        <v>81</v>
      </c>
      <c r="D5689" t="s">
        <v>82</v>
      </c>
      <c r="E5689" t="s">
        <v>103</v>
      </c>
      <c r="F5689">
        <v>1500</v>
      </c>
      <c r="G5689" t="s">
        <v>331</v>
      </c>
      <c r="H5689" s="15">
        <v>45323</v>
      </c>
      <c r="I5689">
        <v>1500</v>
      </c>
      <c r="J5689">
        <v>0</v>
      </c>
    </row>
    <row r="5690" spans="1:10" x14ac:dyDescent="0.3">
      <c r="A5690" s="15">
        <v>45931</v>
      </c>
      <c r="B5690" t="s">
        <v>339</v>
      </c>
      <c r="C5690" t="s">
        <v>81</v>
      </c>
      <c r="D5690" t="s">
        <v>82</v>
      </c>
      <c r="E5690" t="s">
        <v>103</v>
      </c>
      <c r="F5690">
        <v>1600</v>
      </c>
      <c r="G5690" t="s">
        <v>331</v>
      </c>
      <c r="H5690" s="15">
        <v>45323</v>
      </c>
      <c r="I5690">
        <v>1600</v>
      </c>
      <c r="J5690">
        <v>0</v>
      </c>
    </row>
    <row r="5691" spans="1:10" x14ac:dyDescent="0.3">
      <c r="A5691" s="15">
        <v>45931</v>
      </c>
      <c r="B5691" t="s">
        <v>341</v>
      </c>
      <c r="C5691" t="s">
        <v>110</v>
      </c>
      <c r="D5691" t="s">
        <v>82</v>
      </c>
      <c r="E5691" t="s">
        <v>92</v>
      </c>
      <c r="F5691">
        <v>18800</v>
      </c>
      <c r="G5691" t="s">
        <v>331</v>
      </c>
      <c r="H5691" s="15">
        <v>45323</v>
      </c>
      <c r="I5691">
        <v>18800</v>
      </c>
      <c r="J5691">
        <v>0</v>
      </c>
    </row>
    <row r="5692" spans="1:10" x14ac:dyDescent="0.3">
      <c r="A5692" s="15">
        <v>45931</v>
      </c>
      <c r="B5692" t="s">
        <v>342</v>
      </c>
      <c r="C5692" t="s">
        <v>91</v>
      </c>
      <c r="D5692" t="s">
        <v>82</v>
      </c>
      <c r="E5692" t="s">
        <v>83</v>
      </c>
      <c r="F5692">
        <v>6300</v>
      </c>
      <c r="G5692" t="s">
        <v>331</v>
      </c>
      <c r="H5692" s="15">
        <v>45352</v>
      </c>
      <c r="I5692">
        <v>6300</v>
      </c>
      <c r="J5692">
        <v>0</v>
      </c>
    </row>
    <row r="5693" spans="1:10" x14ac:dyDescent="0.3">
      <c r="A5693" s="15">
        <v>45931</v>
      </c>
      <c r="B5693" t="s">
        <v>343</v>
      </c>
      <c r="C5693" t="s">
        <v>81</v>
      </c>
      <c r="D5693" t="s">
        <v>82</v>
      </c>
      <c r="E5693" t="s">
        <v>89</v>
      </c>
      <c r="F5693">
        <v>2500</v>
      </c>
      <c r="G5693" t="s">
        <v>331</v>
      </c>
      <c r="H5693" s="15">
        <v>45352</v>
      </c>
      <c r="I5693">
        <v>2500</v>
      </c>
      <c r="J5693">
        <v>0</v>
      </c>
    </row>
    <row r="5694" spans="1:10" x14ac:dyDescent="0.3">
      <c r="A5694" s="15">
        <v>45931</v>
      </c>
      <c r="B5694" t="s">
        <v>344</v>
      </c>
      <c r="C5694" t="s">
        <v>110</v>
      </c>
      <c r="D5694" t="s">
        <v>86</v>
      </c>
      <c r="E5694" t="s">
        <v>89</v>
      </c>
      <c r="F5694">
        <v>22300</v>
      </c>
      <c r="G5694" t="s">
        <v>331</v>
      </c>
      <c r="H5694" s="15">
        <v>45352</v>
      </c>
      <c r="I5694">
        <v>22300</v>
      </c>
      <c r="J5694">
        <v>0</v>
      </c>
    </row>
    <row r="5695" spans="1:10" x14ac:dyDescent="0.3">
      <c r="A5695" s="15">
        <v>45931</v>
      </c>
      <c r="B5695" t="s">
        <v>345</v>
      </c>
      <c r="C5695" t="s">
        <v>91</v>
      </c>
      <c r="D5695" t="s">
        <v>86</v>
      </c>
      <c r="E5695" t="s">
        <v>83</v>
      </c>
      <c r="F5695">
        <v>7900</v>
      </c>
      <c r="G5695" t="s">
        <v>331</v>
      </c>
      <c r="H5695" s="15">
        <v>45352</v>
      </c>
      <c r="I5695">
        <v>7900</v>
      </c>
      <c r="J5695">
        <v>0</v>
      </c>
    </row>
    <row r="5696" spans="1:10" x14ac:dyDescent="0.3">
      <c r="A5696" s="15">
        <v>45931</v>
      </c>
      <c r="B5696" t="s">
        <v>346</v>
      </c>
      <c r="C5696" t="s">
        <v>81</v>
      </c>
      <c r="D5696" t="s">
        <v>86</v>
      </c>
      <c r="E5696" t="s">
        <v>97</v>
      </c>
      <c r="F5696">
        <v>1700</v>
      </c>
      <c r="G5696" t="s">
        <v>331</v>
      </c>
      <c r="H5696" s="15">
        <v>45352</v>
      </c>
      <c r="I5696">
        <v>1700</v>
      </c>
      <c r="J5696">
        <v>0</v>
      </c>
    </row>
    <row r="5697" spans="1:10" x14ac:dyDescent="0.3">
      <c r="A5697" s="15">
        <v>45931</v>
      </c>
      <c r="B5697" t="s">
        <v>347</v>
      </c>
      <c r="C5697" t="s">
        <v>91</v>
      </c>
      <c r="D5697" t="s">
        <v>82</v>
      </c>
      <c r="E5697" t="s">
        <v>83</v>
      </c>
      <c r="F5697">
        <v>4700</v>
      </c>
      <c r="G5697" t="s">
        <v>331</v>
      </c>
      <c r="H5697" s="15">
        <v>45383</v>
      </c>
      <c r="I5697">
        <v>4700</v>
      </c>
      <c r="J5697">
        <v>0</v>
      </c>
    </row>
    <row r="5698" spans="1:10" x14ac:dyDescent="0.3">
      <c r="A5698" s="15">
        <v>45931</v>
      </c>
      <c r="B5698" t="s">
        <v>350</v>
      </c>
      <c r="C5698" t="s">
        <v>91</v>
      </c>
      <c r="D5698" t="s">
        <v>82</v>
      </c>
      <c r="E5698" t="s">
        <v>83</v>
      </c>
      <c r="F5698">
        <v>4400</v>
      </c>
      <c r="G5698" t="s">
        <v>331</v>
      </c>
      <c r="H5698" s="15">
        <v>45383</v>
      </c>
      <c r="I5698">
        <v>4400</v>
      </c>
      <c r="J5698">
        <v>0</v>
      </c>
    </row>
    <row r="5699" spans="1:10" x14ac:dyDescent="0.3">
      <c r="A5699" s="15">
        <v>45931</v>
      </c>
      <c r="B5699" t="s">
        <v>351</v>
      </c>
      <c r="C5699" t="s">
        <v>81</v>
      </c>
      <c r="D5699" t="s">
        <v>86</v>
      </c>
      <c r="E5699" t="s">
        <v>83</v>
      </c>
      <c r="F5699">
        <v>2700</v>
      </c>
      <c r="G5699" t="s">
        <v>331</v>
      </c>
      <c r="H5699" s="15">
        <v>45383</v>
      </c>
      <c r="I5699">
        <v>2700</v>
      </c>
      <c r="J5699">
        <v>0</v>
      </c>
    </row>
    <row r="5700" spans="1:10" x14ac:dyDescent="0.3">
      <c r="A5700" s="15">
        <v>45931</v>
      </c>
      <c r="B5700" t="s">
        <v>352</v>
      </c>
      <c r="C5700" t="s">
        <v>91</v>
      </c>
      <c r="D5700" t="s">
        <v>82</v>
      </c>
      <c r="E5700" t="s">
        <v>89</v>
      </c>
      <c r="F5700">
        <v>8800</v>
      </c>
      <c r="G5700" t="s">
        <v>331</v>
      </c>
      <c r="H5700" s="15">
        <v>45383</v>
      </c>
      <c r="I5700">
        <v>8800</v>
      </c>
      <c r="J5700">
        <v>0</v>
      </c>
    </row>
    <row r="5701" spans="1:10" x14ac:dyDescent="0.3">
      <c r="A5701" s="15">
        <v>45931</v>
      </c>
      <c r="B5701" t="s">
        <v>353</v>
      </c>
      <c r="C5701" t="s">
        <v>81</v>
      </c>
      <c r="D5701" t="s">
        <v>99</v>
      </c>
      <c r="E5701" t="s">
        <v>103</v>
      </c>
      <c r="F5701">
        <v>1200</v>
      </c>
      <c r="G5701" t="s">
        <v>331</v>
      </c>
      <c r="H5701" s="15">
        <v>45383</v>
      </c>
      <c r="I5701">
        <v>1200</v>
      </c>
      <c r="J5701">
        <v>0</v>
      </c>
    </row>
    <row r="5702" spans="1:10" x14ac:dyDescent="0.3">
      <c r="A5702" s="15">
        <v>45931</v>
      </c>
      <c r="B5702" t="s">
        <v>354</v>
      </c>
      <c r="C5702" t="s">
        <v>81</v>
      </c>
      <c r="D5702" t="s">
        <v>82</v>
      </c>
      <c r="E5702" t="s">
        <v>92</v>
      </c>
      <c r="F5702">
        <v>1700</v>
      </c>
      <c r="G5702" t="s">
        <v>331</v>
      </c>
      <c r="H5702" s="15">
        <v>45413</v>
      </c>
      <c r="I5702">
        <v>1700</v>
      </c>
      <c r="J5702">
        <v>0</v>
      </c>
    </row>
    <row r="5703" spans="1:10" x14ac:dyDescent="0.3">
      <c r="A5703" s="15">
        <v>45931</v>
      </c>
      <c r="B5703" t="s">
        <v>355</v>
      </c>
      <c r="C5703" t="s">
        <v>81</v>
      </c>
      <c r="D5703" t="s">
        <v>86</v>
      </c>
      <c r="E5703" t="s">
        <v>97</v>
      </c>
      <c r="F5703">
        <v>2000</v>
      </c>
      <c r="G5703" t="s">
        <v>331</v>
      </c>
      <c r="H5703" s="15">
        <v>45413</v>
      </c>
      <c r="I5703">
        <v>2000</v>
      </c>
      <c r="J5703">
        <v>0</v>
      </c>
    </row>
    <row r="5704" spans="1:10" x14ac:dyDescent="0.3">
      <c r="A5704" s="15">
        <v>45931</v>
      </c>
      <c r="B5704" t="s">
        <v>356</v>
      </c>
      <c r="C5704" t="s">
        <v>110</v>
      </c>
      <c r="D5704" t="s">
        <v>82</v>
      </c>
      <c r="E5704" t="s">
        <v>97</v>
      </c>
      <c r="F5704">
        <v>33000</v>
      </c>
      <c r="G5704" t="s">
        <v>331</v>
      </c>
      <c r="H5704" s="15">
        <v>45413</v>
      </c>
      <c r="I5704">
        <v>33000</v>
      </c>
      <c r="J5704">
        <v>0</v>
      </c>
    </row>
    <row r="5705" spans="1:10" x14ac:dyDescent="0.3">
      <c r="A5705" s="15">
        <v>45931</v>
      </c>
      <c r="B5705" t="s">
        <v>357</v>
      </c>
      <c r="C5705" t="s">
        <v>125</v>
      </c>
      <c r="D5705" t="s">
        <v>86</v>
      </c>
      <c r="E5705" t="s">
        <v>97</v>
      </c>
      <c r="F5705">
        <v>83400</v>
      </c>
      <c r="G5705" t="s">
        <v>331</v>
      </c>
      <c r="H5705" s="15">
        <v>45413</v>
      </c>
      <c r="I5705">
        <v>83400</v>
      </c>
      <c r="J5705">
        <v>0</v>
      </c>
    </row>
    <row r="5706" spans="1:10" x14ac:dyDescent="0.3">
      <c r="A5706" s="15">
        <v>45931</v>
      </c>
      <c r="B5706" t="s">
        <v>358</v>
      </c>
      <c r="C5706" t="s">
        <v>110</v>
      </c>
      <c r="D5706" t="s">
        <v>86</v>
      </c>
      <c r="E5706" t="s">
        <v>83</v>
      </c>
      <c r="F5706">
        <v>24100</v>
      </c>
      <c r="G5706" t="s">
        <v>331</v>
      </c>
      <c r="H5706" s="15">
        <v>45413</v>
      </c>
      <c r="I5706">
        <v>24100</v>
      </c>
      <c r="J5706">
        <v>0</v>
      </c>
    </row>
    <row r="5707" spans="1:10" x14ac:dyDescent="0.3">
      <c r="A5707" s="15">
        <v>45931</v>
      </c>
      <c r="B5707" t="s">
        <v>359</v>
      </c>
      <c r="C5707" t="s">
        <v>110</v>
      </c>
      <c r="D5707" t="s">
        <v>86</v>
      </c>
      <c r="E5707" t="s">
        <v>101</v>
      </c>
      <c r="F5707">
        <v>31400</v>
      </c>
      <c r="G5707" t="s">
        <v>331</v>
      </c>
      <c r="H5707" s="15">
        <v>45413</v>
      </c>
      <c r="I5707">
        <v>31400</v>
      </c>
      <c r="J5707">
        <v>0</v>
      </c>
    </row>
    <row r="5708" spans="1:10" x14ac:dyDescent="0.3">
      <c r="A5708" s="15">
        <v>45931</v>
      </c>
      <c r="B5708" t="s">
        <v>361</v>
      </c>
      <c r="C5708" t="s">
        <v>91</v>
      </c>
      <c r="D5708" t="s">
        <v>86</v>
      </c>
      <c r="E5708" t="s">
        <v>83</v>
      </c>
      <c r="F5708">
        <v>5700</v>
      </c>
      <c r="G5708" t="s">
        <v>331</v>
      </c>
      <c r="H5708" s="15">
        <v>45444</v>
      </c>
      <c r="I5708">
        <v>5700</v>
      </c>
      <c r="J5708">
        <v>0</v>
      </c>
    </row>
    <row r="5709" spans="1:10" x14ac:dyDescent="0.3">
      <c r="A5709" s="15">
        <v>45931</v>
      </c>
      <c r="B5709" t="s">
        <v>362</v>
      </c>
      <c r="C5709" t="s">
        <v>91</v>
      </c>
      <c r="D5709" t="s">
        <v>82</v>
      </c>
      <c r="E5709" t="s">
        <v>101</v>
      </c>
      <c r="F5709">
        <v>5700</v>
      </c>
      <c r="G5709" t="s">
        <v>331</v>
      </c>
      <c r="H5709" s="15">
        <v>45444</v>
      </c>
      <c r="I5709">
        <v>5700</v>
      </c>
      <c r="J5709">
        <v>0</v>
      </c>
    </row>
    <row r="5710" spans="1:10" x14ac:dyDescent="0.3">
      <c r="A5710" s="15">
        <v>45931</v>
      </c>
      <c r="B5710" t="s">
        <v>363</v>
      </c>
      <c r="C5710" t="s">
        <v>91</v>
      </c>
      <c r="D5710" t="s">
        <v>86</v>
      </c>
      <c r="E5710" t="s">
        <v>83</v>
      </c>
      <c r="F5710">
        <v>4400</v>
      </c>
      <c r="G5710" t="s">
        <v>331</v>
      </c>
      <c r="H5710" s="15">
        <v>45444</v>
      </c>
      <c r="I5710">
        <v>4400</v>
      </c>
      <c r="J5710">
        <v>0</v>
      </c>
    </row>
    <row r="5711" spans="1:10" x14ac:dyDescent="0.3">
      <c r="A5711" s="15">
        <v>45931</v>
      </c>
      <c r="B5711" t="s">
        <v>364</v>
      </c>
      <c r="C5711" t="s">
        <v>91</v>
      </c>
      <c r="D5711" t="s">
        <v>82</v>
      </c>
      <c r="E5711" t="s">
        <v>101</v>
      </c>
      <c r="F5711">
        <v>6700</v>
      </c>
      <c r="G5711" t="s">
        <v>331</v>
      </c>
      <c r="H5711" s="15">
        <v>45444</v>
      </c>
      <c r="I5711">
        <v>6700</v>
      </c>
      <c r="J5711">
        <v>0</v>
      </c>
    </row>
    <row r="5712" spans="1:10" x14ac:dyDescent="0.3">
      <c r="A5712" s="15">
        <v>45931</v>
      </c>
      <c r="B5712" t="s">
        <v>366</v>
      </c>
      <c r="C5712" t="s">
        <v>81</v>
      </c>
      <c r="D5712" t="s">
        <v>99</v>
      </c>
      <c r="E5712" t="s">
        <v>92</v>
      </c>
      <c r="F5712">
        <v>1600</v>
      </c>
      <c r="G5712" t="s">
        <v>331</v>
      </c>
      <c r="H5712" s="15">
        <v>45474</v>
      </c>
      <c r="I5712">
        <v>1600</v>
      </c>
      <c r="J5712">
        <v>0</v>
      </c>
    </row>
    <row r="5713" spans="1:10" x14ac:dyDescent="0.3">
      <c r="A5713" s="15">
        <v>45931</v>
      </c>
      <c r="B5713" t="s">
        <v>367</v>
      </c>
      <c r="C5713" t="s">
        <v>91</v>
      </c>
      <c r="D5713" t="s">
        <v>82</v>
      </c>
      <c r="E5713" t="s">
        <v>92</v>
      </c>
      <c r="F5713">
        <v>4400</v>
      </c>
      <c r="G5713" t="s">
        <v>331</v>
      </c>
      <c r="H5713" s="15">
        <v>45474</v>
      </c>
      <c r="I5713">
        <v>4400</v>
      </c>
      <c r="J5713">
        <v>0</v>
      </c>
    </row>
    <row r="5714" spans="1:10" x14ac:dyDescent="0.3">
      <c r="A5714" s="15">
        <v>45931</v>
      </c>
      <c r="B5714" t="s">
        <v>368</v>
      </c>
      <c r="C5714" t="s">
        <v>81</v>
      </c>
      <c r="D5714" t="s">
        <v>86</v>
      </c>
      <c r="E5714" t="s">
        <v>89</v>
      </c>
      <c r="F5714">
        <v>1400</v>
      </c>
      <c r="G5714" t="s">
        <v>331</v>
      </c>
      <c r="H5714" s="15">
        <v>45474</v>
      </c>
      <c r="I5714">
        <v>1400</v>
      </c>
      <c r="J5714">
        <v>0</v>
      </c>
    </row>
    <row r="5715" spans="1:10" x14ac:dyDescent="0.3">
      <c r="A5715" s="15">
        <v>45931</v>
      </c>
      <c r="B5715" t="s">
        <v>369</v>
      </c>
      <c r="C5715" t="s">
        <v>81</v>
      </c>
      <c r="D5715" t="s">
        <v>86</v>
      </c>
      <c r="E5715" t="s">
        <v>83</v>
      </c>
      <c r="F5715">
        <v>2000</v>
      </c>
      <c r="G5715" t="s">
        <v>331</v>
      </c>
      <c r="H5715" s="15">
        <v>45474</v>
      </c>
      <c r="I5715">
        <v>2000</v>
      </c>
      <c r="J5715">
        <v>0</v>
      </c>
    </row>
    <row r="5716" spans="1:10" x14ac:dyDescent="0.3">
      <c r="A5716" s="15">
        <v>45931</v>
      </c>
      <c r="B5716" t="s">
        <v>370</v>
      </c>
      <c r="C5716" t="s">
        <v>81</v>
      </c>
      <c r="D5716" t="s">
        <v>99</v>
      </c>
      <c r="E5716" t="s">
        <v>87</v>
      </c>
      <c r="F5716">
        <v>2300</v>
      </c>
      <c r="G5716" t="s">
        <v>331</v>
      </c>
      <c r="H5716" s="15">
        <v>45474</v>
      </c>
      <c r="I5716">
        <v>2300</v>
      </c>
      <c r="J5716">
        <v>0</v>
      </c>
    </row>
    <row r="5717" spans="1:10" x14ac:dyDescent="0.3">
      <c r="A5717" s="15">
        <v>45931</v>
      </c>
      <c r="B5717" t="s">
        <v>373</v>
      </c>
      <c r="C5717" t="s">
        <v>91</v>
      </c>
      <c r="D5717" t="s">
        <v>99</v>
      </c>
      <c r="E5717" t="s">
        <v>101</v>
      </c>
      <c r="F5717">
        <v>5200</v>
      </c>
      <c r="G5717" t="s">
        <v>331</v>
      </c>
      <c r="H5717" s="15">
        <v>45505</v>
      </c>
      <c r="I5717">
        <v>5200</v>
      </c>
      <c r="J5717">
        <v>0</v>
      </c>
    </row>
    <row r="5718" spans="1:10" x14ac:dyDescent="0.3">
      <c r="A5718" s="15">
        <v>45931</v>
      </c>
      <c r="B5718" t="s">
        <v>374</v>
      </c>
      <c r="C5718" t="s">
        <v>91</v>
      </c>
      <c r="D5718" t="s">
        <v>99</v>
      </c>
      <c r="E5718" t="s">
        <v>87</v>
      </c>
      <c r="F5718">
        <v>0</v>
      </c>
      <c r="G5718" t="s">
        <v>333</v>
      </c>
      <c r="H5718" s="15">
        <v>45505</v>
      </c>
      <c r="I5718">
        <v>5000</v>
      </c>
      <c r="J5718">
        <v>-5000</v>
      </c>
    </row>
    <row r="5719" spans="1:10" x14ac:dyDescent="0.3">
      <c r="A5719" s="15">
        <v>45931</v>
      </c>
      <c r="B5719" t="s">
        <v>376</v>
      </c>
      <c r="C5719" t="s">
        <v>110</v>
      </c>
      <c r="D5719" t="s">
        <v>86</v>
      </c>
      <c r="E5719" t="s">
        <v>103</v>
      </c>
      <c r="F5719">
        <v>22900</v>
      </c>
      <c r="G5719" t="s">
        <v>331</v>
      </c>
      <c r="H5719" s="15">
        <v>45505</v>
      </c>
      <c r="I5719">
        <v>22900</v>
      </c>
      <c r="J5719">
        <v>0</v>
      </c>
    </row>
    <row r="5720" spans="1:10" x14ac:dyDescent="0.3">
      <c r="A5720" s="15">
        <v>45931</v>
      </c>
      <c r="B5720" t="s">
        <v>377</v>
      </c>
      <c r="C5720" t="s">
        <v>81</v>
      </c>
      <c r="D5720" t="s">
        <v>99</v>
      </c>
      <c r="E5720" t="s">
        <v>92</v>
      </c>
      <c r="F5720">
        <v>2300</v>
      </c>
      <c r="G5720" t="s">
        <v>331</v>
      </c>
      <c r="H5720" s="15">
        <v>45536</v>
      </c>
      <c r="I5720">
        <v>2300</v>
      </c>
      <c r="J5720">
        <v>0</v>
      </c>
    </row>
    <row r="5721" spans="1:10" x14ac:dyDescent="0.3">
      <c r="A5721" s="15">
        <v>45931</v>
      </c>
      <c r="B5721" t="s">
        <v>379</v>
      </c>
      <c r="C5721" t="s">
        <v>81</v>
      </c>
      <c r="D5721" t="s">
        <v>99</v>
      </c>
      <c r="E5721" t="s">
        <v>101</v>
      </c>
      <c r="F5721">
        <v>2200</v>
      </c>
      <c r="G5721" t="s">
        <v>331</v>
      </c>
      <c r="H5721" s="15">
        <v>45536</v>
      </c>
      <c r="I5721">
        <v>2200</v>
      </c>
      <c r="J5721">
        <v>0</v>
      </c>
    </row>
    <row r="5722" spans="1:10" x14ac:dyDescent="0.3">
      <c r="A5722" s="15">
        <v>45931</v>
      </c>
      <c r="B5722" t="s">
        <v>381</v>
      </c>
      <c r="C5722" t="s">
        <v>91</v>
      </c>
      <c r="D5722" t="s">
        <v>86</v>
      </c>
      <c r="E5722" t="s">
        <v>92</v>
      </c>
      <c r="F5722">
        <v>4600</v>
      </c>
      <c r="G5722" t="s">
        <v>331</v>
      </c>
      <c r="H5722" s="15">
        <v>45536</v>
      </c>
      <c r="I5722">
        <v>4600</v>
      </c>
      <c r="J5722">
        <v>0</v>
      </c>
    </row>
    <row r="5723" spans="1:10" x14ac:dyDescent="0.3">
      <c r="A5723" s="15">
        <v>45931</v>
      </c>
      <c r="B5723" t="s">
        <v>382</v>
      </c>
      <c r="C5723" t="s">
        <v>81</v>
      </c>
      <c r="D5723" t="s">
        <v>96</v>
      </c>
      <c r="E5723" t="s">
        <v>101</v>
      </c>
      <c r="F5723">
        <v>2100</v>
      </c>
      <c r="G5723" t="s">
        <v>331</v>
      </c>
      <c r="H5723" s="15">
        <v>45536</v>
      </c>
      <c r="I5723">
        <v>2100</v>
      </c>
      <c r="J5723">
        <v>0</v>
      </c>
    </row>
    <row r="5724" spans="1:10" x14ac:dyDescent="0.3">
      <c r="A5724" s="15">
        <v>45931</v>
      </c>
      <c r="B5724" t="s">
        <v>383</v>
      </c>
      <c r="C5724" t="s">
        <v>81</v>
      </c>
      <c r="D5724" t="s">
        <v>82</v>
      </c>
      <c r="E5724" t="s">
        <v>87</v>
      </c>
      <c r="F5724">
        <v>1600</v>
      </c>
      <c r="G5724" t="s">
        <v>331</v>
      </c>
      <c r="H5724" s="15">
        <v>45536</v>
      </c>
      <c r="I5724">
        <v>1600</v>
      </c>
      <c r="J5724">
        <v>0</v>
      </c>
    </row>
    <row r="5725" spans="1:10" x14ac:dyDescent="0.3">
      <c r="A5725" s="15">
        <v>45931</v>
      </c>
      <c r="B5725" t="s">
        <v>385</v>
      </c>
      <c r="C5725" t="s">
        <v>91</v>
      </c>
      <c r="D5725" t="s">
        <v>99</v>
      </c>
      <c r="E5725" t="s">
        <v>83</v>
      </c>
      <c r="F5725">
        <v>8300</v>
      </c>
      <c r="G5725" t="s">
        <v>331</v>
      </c>
      <c r="H5725" s="15">
        <v>45566</v>
      </c>
      <c r="I5725">
        <v>8300</v>
      </c>
      <c r="J5725">
        <v>0</v>
      </c>
    </row>
    <row r="5726" spans="1:10" x14ac:dyDescent="0.3">
      <c r="A5726" s="15">
        <v>45931</v>
      </c>
      <c r="B5726" t="s">
        <v>386</v>
      </c>
      <c r="C5726" t="s">
        <v>81</v>
      </c>
      <c r="D5726" t="s">
        <v>82</v>
      </c>
      <c r="E5726" t="s">
        <v>103</v>
      </c>
      <c r="F5726">
        <v>2200</v>
      </c>
      <c r="G5726" t="s">
        <v>331</v>
      </c>
      <c r="H5726" s="15">
        <v>45566</v>
      </c>
      <c r="I5726">
        <v>2200</v>
      </c>
      <c r="J5726">
        <v>0</v>
      </c>
    </row>
    <row r="5727" spans="1:10" x14ac:dyDescent="0.3">
      <c r="A5727" s="15">
        <v>45931</v>
      </c>
      <c r="B5727" t="s">
        <v>387</v>
      </c>
      <c r="C5727" t="s">
        <v>81</v>
      </c>
      <c r="D5727" t="s">
        <v>86</v>
      </c>
      <c r="E5727" t="s">
        <v>92</v>
      </c>
      <c r="F5727">
        <v>1700</v>
      </c>
      <c r="G5727" t="s">
        <v>331</v>
      </c>
      <c r="H5727" s="15">
        <v>45566</v>
      </c>
      <c r="I5727">
        <v>1700</v>
      </c>
      <c r="J5727">
        <v>0</v>
      </c>
    </row>
    <row r="5728" spans="1:10" x14ac:dyDescent="0.3">
      <c r="A5728" s="15">
        <v>45931</v>
      </c>
      <c r="B5728" t="s">
        <v>388</v>
      </c>
      <c r="C5728" t="s">
        <v>81</v>
      </c>
      <c r="D5728" t="s">
        <v>99</v>
      </c>
      <c r="E5728" t="s">
        <v>103</v>
      </c>
      <c r="F5728">
        <v>1700</v>
      </c>
      <c r="G5728" t="s">
        <v>331</v>
      </c>
      <c r="H5728" s="15">
        <v>45566</v>
      </c>
      <c r="I5728">
        <v>1700</v>
      </c>
      <c r="J5728">
        <v>0</v>
      </c>
    </row>
    <row r="5729" spans="1:10" x14ac:dyDescent="0.3">
      <c r="A5729" s="15">
        <v>45931</v>
      </c>
      <c r="B5729" t="s">
        <v>389</v>
      </c>
      <c r="C5729" t="s">
        <v>91</v>
      </c>
      <c r="D5729" t="s">
        <v>82</v>
      </c>
      <c r="E5729" t="s">
        <v>101</v>
      </c>
      <c r="F5729">
        <v>7300</v>
      </c>
      <c r="G5729" t="s">
        <v>331</v>
      </c>
      <c r="H5729" s="15">
        <v>45566</v>
      </c>
      <c r="I5729">
        <v>7300</v>
      </c>
      <c r="J5729">
        <v>0</v>
      </c>
    </row>
    <row r="5730" spans="1:10" x14ac:dyDescent="0.3">
      <c r="A5730" s="15">
        <v>45931</v>
      </c>
      <c r="B5730" t="s">
        <v>390</v>
      </c>
      <c r="C5730" t="s">
        <v>91</v>
      </c>
      <c r="D5730" t="s">
        <v>82</v>
      </c>
      <c r="E5730" t="s">
        <v>89</v>
      </c>
      <c r="F5730">
        <v>6200</v>
      </c>
      <c r="G5730" t="s">
        <v>331</v>
      </c>
      <c r="H5730" s="15">
        <v>45566</v>
      </c>
      <c r="I5730">
        <v>6200</v>
      </c>
      <c r="J5730">
        <v>0</v>
      </c>
    </row>
    <row r="5731" spans="1:10" x14ac:dyDescent="0.3">
      <c r="A5731" s="15">
        <v>45931</v>
      </c>
      <c r="B5731" t="s">
        <v>392</v>
      </c>
      <c r="C5731" t="s">
        <v>91</v>
      </c>
      <c r="D5731" t="s">
        <v>86</v>
      </c>
      <c r="E5731" t="s">
        <v>97</v>
      </c>
      <c r="F5731">
        <v>10000</v>
      </c>
      <c r="G5731" t="s">
        <v>331</v>
      </c>
      <c r="H5731" s="15">
        <v>45597</v>
      </c>
      <c r="I5731">
        <v>10000</v>
      </c>
      <c r="J5731">
        <v>0</v>
      </c>
    </row>
    <row r="5732" spans="1:10" x14ac:dyDescent="0.3">
      <c r="A5732" s="15">
        <v>45931</v>
      </c>
      <c r="B5732" t="s">
        <v>393</v>
      </c>
      <c r="C5732" t="s">
        <v>81</v>
      </c>
      <c r="D5732" t="s">
        <v>82</v>
      </c>
      <c r="E5732" t="s">
        <v>92</v>
      </c>
      <c r="F5732">
        <v>2100</v>
      </c>
      <c r="G5732" t="s">
        <v>331</v>
      </c>
      <c r="H5732" s="15">
        <v>45597</v>
      </c>
      <c r="I5732">
        <v>2100</v>
      </c>
      <c r="J5732">
        <v>0</v>
      </c>
    </row>
    <row r="5733" spans="1:10" x14ac:dyDescent="0.3">
      <c r="A5733" s="15">
        <v>45931</v>
      </c>
      <c r="B5733" t="s">
        <v>394</v>
      </c>
      <c r="C5733" t="s">
        <v>81</v>
      </c>
      <c r="D5733" t="s">
        <v>99</v>
      </c>
      <c r="E5733" t="s">
        <v>87</v>
      </c>
      <c r="F5733">
        <v>1400</v>
      </c>
      <c r="G5733" t="s">
        <v>331</v>
      </c>
      <c r="H5733" s="15">
        <v>45597</v>
      </c>
      <c r="I5733">
        <v>1400</v>
      </c>
      <c r="J5733">
        <v>0</v>
      </c>
    </row>
    <row r="5734" spans="1:10" x14ac:dyDescent="0.3">
      <c r="A5734" s="15">
        <v>45931</v>
      </c>
      <c r="B5734" t="s">
        <v>395</v>
      </c>
      <c r="C5734" t="s">
        <v>81</v>
      </c>
      <c r="D5734" t="s">
        <v>82</v>
      </c>
      <c r="E5734" t="s">
        <v>97</v>
      </c>
      <c r="F5734">
        <v>2200</v>
      </c>
      <c r="G5734" t="s">
        <v>331</v>
      </c>
      <c r="H5734" s="15">
        <v>45627</v>
      </c>
      <c r="I5734">
        <v>2200</v>
      </c>
      <c r="J5734">
        <v>0</v>
      </c>
    </row>
    <row r="5735" spans="1:10" x14ac:dyDescent="0.3">
      <c r="A5735" s="15">
        <v>45931</v>
      </c>
      <c r="B5735" t="s">
        <v>396</v>
      </c>
      <c r="C5735" t="s">
        <v>91</v>
      </c>
      <c r="D5735" t="s">
        <v>82</v>
      </c>
      <c r="E5735" t="s">
        <v>92</v>
      </c>
      <c r="F5735">
        <v>8800</v>
      </c>
      <c r="G5735" t="s">
        <v>331</v>
      </c>
      <c r="H5735" s="15">
        <v>45627</v>
      </c>
      <c r="I5735">
        <v>8800</v>
      </c>
      <c r="J5735">
        <v>0</v>
      </c>
    </row>
    <row r="5736" spans="1:10" x14ac:dyDescent="0.3">
      <c r="A5736" s="15">
        <v>45931</v>
      </c>
      <c r="B5736" t="s">
        <v>398</v>
      </c>
      <c r="C5736" t="s">
        <v>81</v>
      </c>
      <c r="D5736" t="s">
        <v>86</v>
      </c>
      <c r="E5736" t="s">
        <v>92</v>
      </c>
      <c r="F5736">
        <v>1400</v>
      </c>
      <c r="G5736" t="s">
        <v>334</v>
      </c>
      <c r="H5736" s="15">
        <v>45627</v>
      </c>
      <c r="I5736">
        <v>1600</v>
      </c>
      <c r="J5736">
        <v>-200</v>
      </c>
    </row>
    <row r="5737" spans="1:10" x14ac:dyDescent="0.3">
      <c r="A5737" s="15">
        <v>45931</v>
      </c>
      <c r="B5737" t="s">
        <v>399</v>
      </c>
      <c r="C5737" t="s">
        <v>110</v>
      </c>
      <c r="D5737" t="s">
        <v>82</v>
      </c>
      <c r="E5737" t="s">
        <v>101</v>
      </c>
      <c r="F5737">
        <v>17400</v>
      </c>
      <c r="G5737" t="s">
        <v>331</v>
      </c>
      <c r="H5737" s="15">
        <v>45627</v>
      </c>
      <c r="I5737">
        <v>17400</v>
      </c>
      <c r="J5737">
        <v>0</v>
      </c>
    </row>
    <row r="5738" spans="1:10" x14ac:dyDescent="0.3">
      <c r="A5738" s="15">
        <v>45931</v>
      </c>
      <c r="B5738" t="s">
        <v>400</v>
      </c>
      <c r="C5738" t="s">
        <v>91</v>
      </c>
      <c r="D5738" t="s">
        <v>82</v>
      </c>
      <c r="E5738" t="s">
        <v>103</v>
      </c>
      <c r="F5738">
        <v>4400</v>
      </c>
      <c r="G5738" t="s">
        <v>331</v>
      </c>
      <c r="H5738" s="15">
        <v>45627</v>
      </c>
      <c r="I5738">
        <v>4400</v>
      </c>
      <c r="J5738">
        <v>0</v>
      </c>
    </row>
    <row r="5739" spans="1:10" x14ac:dyDescent="0.3">
      <c r="A5739" s="15">
        <v>45931</v>
      </c>
      <c r="B5739" t="s">
        <v>403</v>
      </c>
      <c r="C5739" t="s">
        <v>81</v>
      </c>
      <c r="D5739" t="s">
        <v>82</v>
      </c>
      <c r="E5739" t="s">
        <v>101</v>
      </c>
      <c r="F5739">
        <v>1900</v>
      </c>
      <c r="G5739" t="s">
        <v>331</v>
      </c>
      <c r="H5739" s="15">
        <v>45658</v>
      </c>
      <c r="I5739">
        <v>1900</v>
      </c>
      <c r="J5739">
        <v>0</v>
      </c>
    </row>
    <row r="5740" spans="1:10" x14ac:dyDescent="0.3">
      <c r="A5740" s="15">
        <v>45931</v>
      </c>
      <c r="B5740" t="s">
        <v>404</v>
      </c>
      <c r="C5740" t="s">
        <v>81</v>
      </c>
      <c r="D5740" t="s">
        <v>86</v>
      </c>
      <c r="E5740" t="s">
        <v>83</v>
      </c>
      <c r="F5740">
        <v>2100</v>
      </c>
      <c r="G5740" t="s">
        <v>331</v>
      </c>
      <c r="H5740" s="15">
        <v>45658</v>
      </c>
      <c r="I5740">
        <v>2100</v>
      </c>
      <c r="J5740">
        <v>0</v>
      </c>
    </row>
    <row r="5741" spans="1:10" x14ac:dyDescent="0.3">
      <c r="A5741" s="15">
        <v>45931</v>
      </c>
      <c r="B5741" t="s">
        <v>405</v>
      </c>
      <c r="C5741" t="s">
        <v>81</v>
      </c>
      <c r="D5741" t="s">
        <v>82</v>
      </c>
      <c r="E5741" t="s">
        <v>92</v>
      </c>
      <c r="F5741">
        <v>1600</v>
      </c>
      <c r="G5741" t="s">
        <v>331</v>
      </c>
      <c r="H5741" s="15">
        <v>45658</v>
      </c>
      <c r="I5741">
        <v>1600</v>
      </c>
      <c r="J5741">
        <v>0</v>
      </c>
    </row>
    <row r="5742" spans="1:10" x14ac:dyDescent="0.3">
      <c r="A5742" s="15">
        <v>45931</v>
      </c>
      <c r="B5742" t="s">
        <v>406</v>
      </c>
      <c r="C5742" t="s">
        <v>91</v>
      </c>
      <c r="D5742" t="s">
        <v>86</v>
      </c>
      <c r="E5742" t="s">
        <v>87</v>
      </c>
      <c r="F5742">
        <v>4700</v>
      </c>
      <c r="G5742" t="s">
        <v>331</v>
      </c>
      <c r="H5742" s="15">
        <v>45658</v>
      </c>
      <c r="I5742">
        <v>4700</v>
      </c>
      <c r="J5742">
        <v>0</v>
      </c>
    </row>
    <row r="5743" spans="1:10" x14ac:dyDescent="0.3">
      <c r="A5743" s="15">
        <v>45931</v>
      </c>
      <c r="B5743" t="s">
        <v>407</v>
      </c>
      <c r="C5743" t="s">
        <v>81</v>
      </c>
      <c r="D5743" t="s">
        <v>82</v>
      </c>
      <c r="E5743" t="s">
        <v>92</v>
      </c>
      <c r="F5743">
        <v>2400</v>
      </c>
      <c r="G5743" t="s">
        <v>331</v>
      </c>
      <c r="H5743" s="15">
        <v>45689</v>
      </c>
      <c r="I5743">
        <v>2400</v>
      </c>
      <c r="J5743">
        <v>0</v>
      </c>
    </row>
    <row r="5744" spans="1:10" x14ac:dyDescent="0.3">
      <c r="A5744" s="15">
        <v>45931</v>
      </c>
      <c r="B5744" t="s">
        <v>409</v>
      </c>
      <c r="C5744" t="s">
        <v>81</v>
      </c>
      <c r="D5744" t="s">
        <v>82</v>
      </c>
      <c r="E5744" t="s">
        <v>83</v>
      </c>
      <c r="F5744">
        <v>1700</v>
      </c>
      <c r="G5744" t="s">
        <v>331</v>
      </c>
      <c r="H5744" s="15">
        <v>45689</v>
      </c>
      <c r="I5744">
        <v>1700</v>
      </c>
      <c r="J5744">
        <v>0</v>
      </c>
    </row>
    <row r="5745" spans="1:10" x14ac:dyDescent="0.3">
      <c r="A5745" s="15">
        <v>45931</v>
      </c>
      <c r="B5745" t="s">
        <v>410</v>
      </c>
      <c r="C5745" t="s">
        <v>125</v>
      </c>
      <c r="D5745" t="s">
        <v>82</v>
      </c>
      <c r="E5745" t="s">
        <v>103</v>
      </c>
      <c r="F5745">
        <v>56400</v>
      </c>
      <c r="G5745" t="s">
        <v>331</v>
      </c>
      <c r="H5745" s="15">
        <v>45689</v>
      </c>
      <c r="I5745">
        <v>56400</v>
      </c>
      <c r="J5745">
        <v>0</v>
      </c>
    </row>
    <row r="5746" spans="1:10" x14ac:dyDescent="0.3">
      <c r="A5746" s="15">
        <v>45931</v>
      </c>
      <c r="B5746" t="s">
        <v>411</v>
      </c>
      <c r="C5746" t="s">
        <v>91</v>
      </c>
      <c r="D5746" t="s">
        <v>86</v>
      </c>
      <c r="E5746" t="s">
        <v>92</v>
      </c>
      <c r="F5746">
        <v>7700</v>
      </c>
      <c r="G5746" t="s">
        <v>331</v>
      </c>
      <c r="H5746" s="15">
        <v>45689</v>
      </c>
      <c r="I5746">
        <v>7700</v>
      </c>
      <c r="J5746">
        <v>0</v>
      </c>
    </row>
    <row r="5747" spans="1:10" x14ac:dyDescent="0.3">
      <c r="A5747" s="15">
        <v>45931</v>
      </c>
      <c r="B5747" t="s">
        <v>412</v>
      </c>
      <c r="C5747" t="s">
        <v>81</v>
      </c>
      <c r="D5747" t="s">
        <v>82</v>
      </c>
      <c r="E5747" t="s">
        <v>89</v>
      </c>
      <c r="F5747">
        <v>2200</v>
      </c>
      <c r="G5747" t="s">
        <v>331</v>
      </c>
      <c r="H5747" s="15">
        <v>45717</v>
      </c>
      <c r="I5747">
        <v>2200</v>
      </c>
      <c r="J5747">
        <v>0</v>
      </c>
    </row>
    <row r="5748" spans="1:10" x14ac:dyDescent="0.3">
      <c r="A5748" s="15">
        <v>45931</v>
      </c>
      <c r="B5748" t="s">
        <v>413</v>
      </c>
      <c r="C5748" t="s">
        <v>81</v>
      </c>
      <c r="D5748" t="s">
        <v>99</v>
      </c>
      <c r="E5748" t="s">
        <v>101</v>
      </c>
      <c r="F5748">
        <v>2300</v>
      </c>
      <c r="G5748" t="s">
        <v>331</v>
      </c>
      <c r="H5748" s="15">
        <v>45717</v>
      </c>
      <c r="I5748">
        <v>2300</v>
      </c>
      <c r="J5748">
        <v>0</v>
      </c>
    </row>
    <row r="5749" spans="1:10" x14ac:dyDescent="0.3">
      <c r="A5749" s="15">
        <v>45931</v>
      </c>
      <c r="B5749" t="s">
        <v>414</v>
      </c>
      <c r="C5749" t="s">
        <v>110</v>
      </c>
      <c r="D5749" t="s">
        <v>99</v>
      </c>
      <c r="E5749" t="s">
        <v>89</v>
      </c>
      <c r="F5749">
        <v>30900</v>
      </c>
      <c r="G5749" t="s">
        <v>331</v>
      </c>
      <c r="H5749" s="15">
        <v>45717</v>
      </c>
      <c r="I5749">
        <v>30900</v>
      </c>
      <c r="J5749">
        <v>0</v>
      </c>
    </row>
    <row r="5750" spans="1:10" x14ac:dyDescent="0.3">
      <c r="A5750" s="15">
        <v>45931</v>
      </c>
      <c r="B5750" t="s">
        <v>416</v>
      </c>
      <c r="C5750" t="s">
        <v>81</v>
      </c>
      <c r="D5750" t="s">
        <v>99</v>
      </c>
      <c r="E5750" t="s">
        <v>103</v>
      </c>
      <c r="F5750">
        <v>2500</v>
      </c>
      <c r="G5750" t="s">
        <v>331</v>
      </c>
      <c r="H5750" s="15">
        <v>45717</v>
      </c>
      <c r="I5750">
        <v>2500</v>
      </c>
      <c r="J5750">
        <v>0</v>
      </c>
    </row>
    <row r="5751" spans="1:10" x14ac:dyDescent="0.3">
      <c r="A5751" s="15">
        <v>45931</v>
      </c>
      <c r="B5751" t="s">
        <v>417</v>
      </c>
      <c r="C5751" t="s">
        <v>110</v>
      </c>
      <c r="D5751" t="s">
        <v>86</v>
      </c>
      <c r="E5751" t="s">
        <v>92</v>
      </c>
      <c r="F5751">
        <v>35600</v>
      </c>
      <c r="G5751" t="s">
        <v>331</v>
      </c>
      <c r="H5751" s="15">
        <v>45717</v>
      </c>
      <c r="I5751">
        <v>35600</v>
      </c>
      <c r="J5751">
        <v>0</v>
      </c>
    </row>
    <row r="5752" spans="1:10" x14ac:dyDescent="0.3">
      <c r="A5752" s="15">
        <v>45931</v>
      </c>
      <c r="B5752" t="s">
        <v>418</v>
      </c>
      <c r="C5752" t="s">
        <v>81</v>
      </c>
      <c r="D5752" t="s">
        <v>86</v>
      </c>
      <c r="E5752" t="s">
        <v>92</v>
      </c>
      <c r="F5752">
        <v>1800</v>
      </c>
      <c r="G5752" t="s">
        <v>331</v>
      </c>
      <c r="H5752" s="15">
        <v>45748</v>
      </c>
      <c r="I5752">
        <v>1800</v>
      </c>
      <c r="J5752">
        <v>0</v>
      </c>
    </row>
    <row r="5753" spans="1:10" x14ac:dyDescent="0.3">
      <c r="A5753" s="15">
        <v>45931</v>
      </c>
      <c r="B5753" t="s">
        <v>419</v>
      </c>
      <c r="C5753" t="s">
        <v>125</v>
      </c>
      <c r="D5753" t="s">
        <v>96</v>
      </c>
      <c r="E5753" t="s">
        <v>103</v>
      </c>
      <c r="F5753">
        <v>73300</v>
      </c>
      <c r="G5753" t="s">
        <v>331</v>
      </c>
      <c r="H5753" s="15">
        <v>45748</v>
      </c>
      <c r="I5753">
        <v>73300</v>
      </c>
      <c r="J5753">
        <v>0</v>
      </c>
    </row>
    <row r="5754" spans="1:10" x14ac:dyDescent="0.3">
      <c r="A5754" s="15">
        <v>45931</v>
      </c>
      <c r="B5754" t="s">
        <v>420</v>
      </c>
      <c r="C5754" t="s">
        <v>110</v>
      </c>
      <c r="D5754" t="s">
        <v>96</v>
      </c>
      <c r="E5754" t="s">
        <v>103</v>
      </c>
      <c r="F5754">
        <v>22900</v>
      </c>
      <c r="G5754" t="s">
        <v>331</v>
      </c>
      <c r="H5754" s="15">
        <v>45748</v>
      </c>
      <c r="I5754">
        <v>22900</v>
      </c>
      <c r="J5754">
        <v>0</v>
      </c>
    </row>
    <row r="5755" spans="1:10" x14ac:dyDescent="0.3">
      <c r="A5755" s="15">
        <v>45931</v>
      </c>
      <c r="B5755" t="s">
        <v>421</v>
      </c>
      <c r="C5755" t="s">
        <v>110</v>
      </c>
      <c r="D5755" t="s">
        <v>82</v>
      </c>
      <c r="E5755" t="s">
        <v>103</v>
      </c>
      <c r="F5755">
        <v>18800</v>
      </c>
      <c r="G5755" t="s">
        <v>331</v>
      </c>
      <c r="H5755" s="15">
        <v>45748</v>
      </c>
      <c r="I5755">
        <v>18800</v>
      </c>
      <c r="J5755">
        <v>0</v>
      </c>
    </row>
    <row r="5756" spans="1:10" x14ac:dyDescent="0.3">
      <c r="A5756" s="15">
        <v>45931</v>
      </c>
      <c r="B5756" t="s">
        <v>422</v>
      </c>
      <c r="C5756" t="s">
        <v>81</v>
      </c>
      <c r="D5756" t="s">
        <v>82</v>
      </c>
      <c r="E5756" t="s">
        <v>97</v>
      </c>
      <c r="F5756">
        <v>2300</v>
      </c>
      <c r="G5756" t="s">
        <v>331</v>
      </c>
      <c r="H5756" s="15">
        <v>45748</v>
      </c>
      <c r="I5756">
        <v>2300</v>
      </c>
      <c r="J5756">
        <v>0</v>
      </c>
    </row>
    <row r="5757" spans="1:10" x14ac:dyDescent="0.3">
      <c r="A5757" s="15">
        <v>45931</v>
      </c>
      <c r="B5757" t="s">
        <v>423</v>
      </c>
      <c r="C5757" t="s">
        <v>125</v>
      </c>
      <c r="D5757" t="s">
        <v>86</v>
      </c>
      <c r="E5757" t="s">
        <v>97</v>
      </c>
      <c r="F5757">
        <v>52800</v>
      </c>
      <c r="G5757" t="s">
        <v>331</v>
      </c>
      <c r="H5757" s="15">
        <v>45748</v>
      </c>
      <c r="I5757">
        <v>52800</v>
      </c>
      <c r="J5757">
        <v>0</v>
      </c>
    </row>
    <row r="5758" spans="1:10" x14ac:dyDescent="0.3">
      <c r="A5758" s="15">
        <v>45931</v>
      </c>
      <c r="B5758" t="s">
        <v>425</v>
      </c>
      <c r="C5758" t="s">
        <v>110</v>
      </c>
      <c r="D5758" t="s">
        <v>82</v>
      </c>
      <c r="E5758" t="s">
        <v>97</v>
      </c>
      <c r="F5758">
        <v>22700</v>
      </c>
      <c r="G5758" t="s">
        <v>331</v>
      </c>
      <c r="H5758" s="15">
        <v>45778</v>
      </c>
      <c r="I5758">
        <v>22700</v>
      </c>
      <c r="J5758">
        <v>0</v>
      </c>
    </row>
    <row r="5759" spans="1:10" x14ac:dyDescent="0.3">
      <c r="A5759" s="15">
        <v>45931</v>
      </c>
      <c r="B5759" t="s">
        <v>426</v>
      </c>
      <c r="C5759" t="s">
        <v>81</v>
      </c>
      <c r="D5759" t="s">
        <v>82</v>
      </c>
      <c r="E5759" t="s">
        <v>89</v>
      </c>
      <c r="F5759">
        <v>1900</v>
      </c>
      <c r="G5759" t="s">
        <v>331</v>
      </c>
      <c r="H5759" s="15">
        <v>45778</v>
      </c>
      <c r="I5759">
        <v>1900</v>
      </c>
      <c r="J5759">
        <v>0</v>
      </c>
    </row>
    <row r="5760" spans="1:10" x14ac:dyDescent="0.3">
      <c r="A5760" s="15">
        <v>45931</v>
      </c>
      <c r="B5760" t="s">
        <v>427</v>
      </c>
      <c r="C5760" t="s">
        <v>110</v>
      </c>
      <c r="D5760" t="s">
        <v>82</v>
      </c>
      <c r="E5760" t="s">
        <v>83</v>
      </c>
      <c r="F5760">
        <v>25300</v>
      </c>
      <c r="G5760" t="s">
        <v>332</v>
      </c>
      <c r="H5760" s="15">
        <v>45778</v>
      </c>
      <c r="I5760">
        <v>23900</v>
      </c>
      <c r="J5760">
        <v>1400</v>
      </c>
    </row>
    <row r="5761" spans="1:10" x14ac:dyDescent="0.3">
      <c r="A5761" s="15">
        <v>45931</v>
      </c>
      <c r="B5761" t="s">
        <v>428</v>
      </c>
      <c r="C5761" t="s">
        <v>81</v>
      </c>
      <c r="D5761" t="s">
        <v>86</v>
      </c>
      <c r="E5761" t="s">
        <v>89</v>
      </c>
      <c r="F5761">
        <v>2300</v>
      </c>
      <c r="G5761" t="s">
        <v>331</v>
      </c>
      <c r="H5761" s="15">
        <v>45778</v>
      </c>
      <c r="I5761">
        <v>2300</v>
      </c>
      <c r="J5761">
        <v>0</v>
      </c>
    </row>
    <row r="5762" spans="1:10" x14ac:dyDescent="0.3">
      <c r="A5762" s="15">
        <v>45931</v>
      </c>
      <c r="B5762" t="s">
        <v>429</v>
      </c>
      <c r="C5762" t="s">
        <v>81</v>
      </c>
      <c r="D5762" t="s">
        <v>82</v>
      </c>
      <c r="E5762" t="s">
        <v>97</v>
      </c>
      <c r="F5762">
        <v>2100</v>
      </c>
      <c r="G5762" t="s">
        <v>331</v>
      </c>
      <c r="H5762" s="15">
        <v>45809</v>
      </c>
      <c r="I5762">
        <v>2100</v>
      </c>
      <c r="J5762">
        <v>0</v>
      </c>
    </row>
    <row r="5763" spans="1:10" x14ac:dyDescent="0.3">
      <c r="A5763" s="15">
        <v>45931</v>
      </c>
      <c r="B5763" t="s">
        <v>430</v>
      </c>
      <c r="C5763" t="s">
        <v>110</v>
      </c>
      <c r="D5763" t="s">
        <v>82</v>
      </c>
      <c r="E5763" t="s">
        <v>87</v>
      </c>
      <c r="F5763">
        <v>24300</v>
      </c>
      <c r="G5763" t="s">
        <v>331</v>
      </c>
      <c r="H5763" s="15">
        <v>45809</v>
      </c>
      <c r="I5763">
        <v>24300</v>
      </c>
      <c r="J5763">
        <v>0</v>
      </c>
    </row>
    <row r="5764" spans="1:10" x14ac:dyDescent="0.3">
      <c r="A5764" s="15">
        <v>45931</v>
      </c>
      <c r="B5764" t="s">
        <v>431</v>
      </c>
      <c r="C5764" t="s">
        <v>110</v>
      </c>
      <c r="D5764" t="s">
        <v>82</v>
      </c>
      <c r="E5764" t="s">
        <v>101</v>
      </c>
      <c r="F5764">
        <v>19800</v>
      </c>
      <c r="G5764" t="s">
        <v>331</v>
      </c>
      <c r="H5764" s="15">
        <v>45809</v>
      </c>
      <c r="I5764">
        <v>19800</v>
      </c>
      <c r="J5764">
        <v>0</v>
      </c>
    </row>
    <row r="5765" spans="1:10" x14ac:dyDescent="0.3">
      <c r="A5765" s="15">
        <v>45931</v>
      </c>
      <c r="B5765" t="s">
        <v>432</v>
      </c>
      <c r="C5765" t="s">
        <v>81</v>
      </c>
      <c r="D5765" t="s">
        <v>82</v>
      </c>
      <c r="E5765" t="s">
        <v>83</v>
      </c>
      <c r="F5765">
        <v>2400</v>
      </c>
      <c r="G5765" t="s">
        <v>331</v>
      </c>
      <c r="H5765" s="15">
        <v>45809</v>
      </c>
      <c r="I5765">
        <v>2400</v>
      </c>
      <c r="J5765">
        <v>0</v>
      </c>
    </row>
    <row r="5766" spans="1:10" x14ac:dyDescent="0.3">
      <c r="A5766" s="15">
        <v>45931</v>
      </c>
      <c r="B5766" t="s">
        <v>435</v>
      </c>
      <c r="C5766" t="s">
        <v>81</v>
      </c>
      <c r="D5766" t="s">
        <v>82</v>
      </c>
      <c r="E5766" t="s">
        <v>92</v>
      </c>
      <c r="F5766">
        <v>1400</v>
      </c>
      <c r="G5766" t="s">
        <v>331</v>
      </c>
      <c r="H5766" s="15">
        <v>45809</v>
      </c>
      <c r="I5766">
        <v>1400</v>
      </c>
      <c r="J5766">
        <v>0</v>
      </c>
    </row>
    <row r="5767" spans="1:10" x14ac:dyDescent="0.3">
      <c r="A5767" s="15">
        <v>45931</v>
      </c>
      <c r="B5767" t="s">
        <v>436</v>
      </c>
      <c r="C5767" t="s">
        <v>81</v>
      </c>
      <c r="D5767" t="s">
        <v>82</v>
      </c>
      <c r="E5767" t="s">
        <v>97</v>
      </c>
      <c r="F5767">
        <v>2100</v>
      </c>
      <c r="G5767" t="s">
        <v>331</v>
      </c>
      <c r="H5767" s="15">
        <v>45839</v>
      </c>
      <c r="I5767">
        <v>2100</v>
      </c>
      <c r="J5767">
        <v>0</v>
      </c>
    </row>
    <row r="5768" spans="1:10" x14ac:dyDescent="0.3">
      <c r="A5768" s="15">
        <v>45931</v>
      </c>
      <c r="B5768" t="s">
        <v>437</v>
      </c>
      <c r="C5768" t="s">
        <v>81</v>
      </c>
      <c r="D5768" t="s">
        <v>99</v>
      </c>
      <c r="E5768" t="s">
        <v>92</v>
      </c>
      <c r="F5768">
        <v>1600</v>
      </c>
      <c r="G5768" t="s">
        <v>331</v>
      </c>
      <c r="H5768" s="15">
        <v>45839</v>
      </c>
      <c r="I5768">
        <v>1600</v>
      </c>
      <c r="J5768">
        <v>0</v>
      </c>
    </row>
    <row r="5769" spans="1:10" x14ac:dyDescent="0.3">
      <c r="A5769" s="15">
        <v>45931</v>
      </c>
      <c r="B5769" t="s">
        <v>438</v>
      </c>
      <c r="C5769" t="s">
        <v>91</v>
      </c>
      <c r="D5769" t="s">
        <v>96</v>
      </c>
      <c r="E5769" t="s">
        <v>101</v>
      </c>
      <c r="F5769">
        <v>8600</v>
      </c>
      <c r="G5769" t="s">
        <v>331</v>
      </c>
      <c r="H5769" s="15">
        <v>45839</v>
      </c>
      <c r="I5769">
        <v>8600</v>
      </c>
      <c r="J5769">
        <v>0</v>
      </c>
    </row>
    <row r="5770" spans="1:10" x14ac:dyDescent="0.3">
      <c r="A5770" s="15">
        <v>45931</v>
      </c>
      <c r="B5770" t="s">
        <v>439</v>
      </c>
      <c r="C5770" t="s">
        <v>81</v>
      </c>
      <c r="D5770" t="s">
        <v>99</v>
      </c>
      <c r="E5770" t="s">
        <v>87</v>
      </c>
      <c r="F5770">
        <v>1700</v>
      </c>
      <c r="G5770" t="s">
        <v>331</v>
      </c>
      <c r="H5770" s="15">
        <v>45839</v>
      </c>
      <c r="I5770">
        <v>1700</v>
      </c>
      <c r="J5770">
        <v>0</v>
      </c>
    </row>
    <row r="5771" spans="1:10" x14ac:dyDescent="0.3">
      <c r="A5771" s="15">
        <v>45931</v>
      </c>
      <c r="B5771" t="s">
        <v>440</v>
      </c>
      <c r="C5771" t="s">
        <v>81</v>
      </c>
      <c r="D5771" t="s">
        <v>82</v>
      </c>
      <c r="E5771" t="s">
        <v>97</v>
      </c>
      <c r="F5771">
        <v>2000</v>
      </c>
      <c r="G5771" t="s">
        <v>331</v>
      </c>
      <c r="H5771" s="15">
        <v>45839</v>
      </c>
      <c r="I5771">
        <v>2000</v>
      </c>
      <c r="J5771">
        <v>0</v>
      </c>
    </row>
    <row r="5772" spans="1:10" x14ac:dyDescent="0.3">
      <c r="A5772" s="15">
        <v>45931</v>
      </c>
      <c r="B5772" t="s">
        <v>441</v>
      </c>
      <c r="C5772" t="s">
        <v>110</v>
      </c>
      <c r="D5772" t="s">
        <v>86</v>
      </c>
      <c r="E5772" t="s">
        <v>97</v>
      </c>
      <c r="F5772">
        <v>35800</v>
      </c>
      <c r="G5772" t="s">
        <v>331</v>
      </c>
      <c r="H5772" s="15">
        <v>45839</v>
      </c>
      <c r="I5772">
        <v>35800</v>
      </c>
      <c r="J5772">
        <v>0</v>
      </c>
    </row>
    <row r="5773" spans="1:10" x14ac:dyDescent="0.3">
      <c r="A5773" s="15">
        <v>45931</v>
      </c>
      <c r="B5773" t="s">
        <v>442</v>
      </c>
      <c r="C5773" t="s">
        <v>110</v>
      </c>
      <c r="D5773" t="s">
        <v>86</v>
      </c>
      <c r="E5773" t="s">
        <v>83</v>
      </c>
      <c r="F5773">
        <v>23900</v>
      </c>
      <c r="G5773" t="s">
        <v>331</v>
      </c>
      <c r="H5773" s="15">
        <v>45870</v>
      </c>
      <c r="I5773">
        <v>23900</v>
      </c>
      <c r="J5773">
        <v>0</v>
      </c>
    </row>
    <row r="5774" spans="1:10" x14ac:dyDescent="0.3">
      <c r="A5774" s="15">
        <v>45931</v>
      </c>
      <c r="B5774" t="s">
        <v>443</v>
      </c>
      <c r="C5774" t="s">
        <v>81</v>
      </c>
      <c r="D5774" t="s">
        <v>86</v>
      </c>
      <c r="E5774" t="s">
        <v>101</v>
      </c>
      <c r="F5774">
        <v>1800</v>
      </c>
      <c r="G5774" t="s">
        <v>331</v>
      </c>
      <c r="H5774" s="15">
        <v>45870</v>
      </c>
      <c r="I5774">
        <v>1800</v>
      </c>
      <c r="J5774">
        <v>0</v>
      </c>
    </row>
    <row r="5775" spans="1:10" x14ac:dyDescent="0.3">
      <c r="A5775" s="15">
        <v>45931</v>
      </c>
      <c r="B5775" t="s">
        <v>444</v>
      </c>
      <c r="C5775" t="s">
        <v>125</v>
      </c>
      <c r="D5775" t="s">
        <v>82</v>
      </c>
      <c r="E5775" t="s">
        <v>92</v>
      </c>
      <c r="F5775">
        <v>68100</v>
      </c>
      <c r="G5775" t="s">
        <v>331</v>
      </c>
      <c r="H5775" s="15">
        <v>45870</v>
      </c>
      <c r="I5775">
        <v>68100</v>
      </c>
      <c r="J5775">
        <v>0</v>
      </c>
    </row>
    <row r="5776" spans="1:10" x14ac:dyDescent="0.3">
      <c r="A5776" s="15">
        <v>45931</v>
      </c>
      <c r="B5776" t="s">
        <v>445</v>
      </c>
      <c r="C5776" t="s">
        <v>91</v>
      </c>
      <c r="D5776" t="s">
        <v>82</v>
      </c>
      <c r="E5776" t="s">
        <v>89</v>
      </c>
      <c r="F5776">
        <v>4700</v>
      </c>
      <c r="G5776" t="s">
        <v>331</v>
      </c>
      <c r="H5776" s="15">
        <v>45870</v>
      </c>
      <c r="I5776">
        <v>4700</v>
      </c>
      <c r="J5776">
        <v>0</v>
      </c>
    </row>
    <row r="5777" spans="1:10" x14ac:dyDescent="0.3">
      <c r="A5777" s="15">
        <v>45931</v>
      </c>
      <c r="B5777" t="s">
        <v>446</v>
      </c>
      <c r="C5777" t="s">
        <v>81</v>
      </c>
      <c r="D5777" t="s">
        <v>86</v>
      </c>
      <c r="E5777" t="s">
        <v>97</v>
      </c>
      <c r="F5777">
        <v>1800</v>
      </c>
      <c r="G5777" t="s">
        <v>331</v>
      </c>
      <c r="H5777" s="15">
        <v>45870</v>
      </c>
      <c r="I5777">
        <v>1800</v>
      </c>
      <c r="J5777">
        <v>0</v>
      </c>
    </row>
    <row r="5778" spans="1:10" x14ac:dyDescent="0.3">
      <c r="A5778" s="15">
        <v>45931</v>
      </c>
      <c r="B5778" t="s">
        <v>447</v>
      </c>
      <c r="C5778" t="s">
        <v>81</v>
      </c>
      <c r="D5778" t="s">
        <v>86</v>
      </c>
      <c r="E5778" t="s">
        <v>103</v>
      </c>
      <c r="F5778">
        <v>2300</v>
      </c>
      <c r="G5778" t="s">
        <v>331</v>
      </c>
      <c r="H5778" s="15">
        <v>45870</v>
      </c>
      <c r="I5778">
        <v>2300</v>
      </c>
      <c r="J5778">
        <v>0</v>
      </c>
    </row>
    <row r="5779" spans="1:10" x14ac:dyDescent="0.3">
      <c r="A5779" s="15">
        <v>45931</v>
      </c>
      <c r="B5779" t="s">
        <v>448</v>
      </c>
      <c r="C5779" t="s">
        <v>125</v>
      </c>
      <c r="D5779" t="s">
        <v>86</v>
      </c>
      <c r="E5779" t="s">
        <v>89</v>
      </c>
      <c r="F5779">
        <v>64000</v>
      </c>
      <c r="G5779" t="s">
        <v>334</v>
      </c>
      <c r="H5779" s="15">
        <v>45870</v>
      </c>
      <c r="I5779">
        <v>68600</v>
      </c>
      <c r="J5779">
        <v>-4600</v>
      </c>
    </row>
    <row r="5780" spans="1:10" x14ac:dyDescent="0.3">
      <c r="A5780" s="15">
        <v>45931</v>
      </c>
      <c r="B5780" t="s">
        <v>449</v>
      </c>
      <c r="C5780" t="s">
        <v>81</v>
      </c>
      <c r="D5780" t="s">
        <v>82</v>
      </c>
      <c r="E5780" t="s">
        <v>92</v>
      </c>
      <c r="F5780">
        <v>1400</v>
      </c>
      <c r="G5780" t="s">
        <v>331</v>
      </c>
      <c r="H5780" s="15">
        <v>45870</v>
      </c>
      <c r="I5780">
        <v>1400</v>
      </c>
      <c r="J5780">
        <v>0</v>
      </c>
    </row>
    <row r="5781" spans="1:10" x14ac:dyDescent="0.3">
      <c r="A5781" s="15">
        <v>45931</v>
      </c>
      <c r="B5781" t="s">
        <v>450</v>
      </c>
      <c r="C5781" t="s">
        <v>81</v>
      </c>
      <c r="D5781" t="s">
        <v>86</v>
      </c>
      <c r="E5781" t="s">
        <v>89</v>
      </c>
      <c r="F5781">
        <v>1500</v>
      </c>
      <c r="G5781" t="s">
        <v>331</v>
      </c>
      <c r="H5781" s="15">
        <v>45901</v>
      </c>
      <c r="I5781">
        <v>1500</v>
      </c>
      <c r="J5781">
        <v>0</v>
      </c>
    </row>
    <row r="5782" spans="1:10" x14ac:dyDescent="0.3">
      <c r="A5782" s="15">
        <v>45931</v>
      </c>
      <c r="B5782" t="s">
        <v>451</v>
      </c>
      <c r="C5782" t="s">
        <v>110</v>
      </c>
      <c r="D5782" t="s">
        <v>82</v>
      </c>
      <c r="E5782" t="s">
        <v>92</v>
      </c>
      <c r="F5782">
        <v>26100</v>
      </c>
      <c r="G5782" t="s">
        <v>331</v>
      </c>
      <c r="H5782" s="15">
        <v>45901</v>
      </c>
      <c r="I5782">
        <v>26100</v>
      </c>
      <c r="J5782">
        <v>0</v>
      </c>
    </row>
    <row r="5783" spans="1:10" x14ac:dyDescent="0.3">
      <c r="A5783" s="15">
        <v>45931</v>
      </c>
      <c r="B5783" t="s">
        <v>452</v>
      </c>
      <c r="C5783" t="s">
        <v>91</v>
      </c>
      <c r="D5783" t="s">
        <v>86</v>
      </c>
      <c r="E5783" t="s">
        <v>92</v>
      </c>
      <c r="F5783">
        <v>8600</v>
      </c>
      <c r="G5783" t="s">
        <v>331</v>
      </c>
      <c r="H5783" s="15">
        <v>45901</v>
      </c>
      <c r="I5783">
        <v>8600</v>
      </c>
      <c r="J5783">
        <v>0</v>
      </c>
    </row>
    <row r="5784" spans="1:10" x14ac:dyDescent="0.3">
      <c r="A5784" s="15">
        <v>45931</v>
      </c>
      <c r="B5784" t="s">
        <v>453</v>
      </c>
      <c r="C5784" t="s">
        <v>110</v>
      </c>
      <c r="D5784" t="s">
        <v>82</v>
      </c>
      <c r="E5784" t="s">
        <v>101</v>
      </c>
      <c r="F5784">
        <v>21700</v>
      </c>
      <c r="G5784" t="s">
        <v>331</v>
      </c>
      <c r="H5784" s="15">
        <v>45901</v>
      </c>
      <c r="I5784">
        <v>21700</v>
      </c>
      <c r="J5784">
        <v>0</v>
      </c>
    </row>
    <row r="5785" spans="1:10" x14ac:dyDescent="0.3">
      <c r="A5785" s="15">
        <v>45931</v>
      </c>
      <c r="B5785" t="s">
        <v>454</v>
      </c>
      <c r="C5785" t="s">
        <v>91</v>
      </c>
      <c r="D5785" t="s">
        <v>82</v>
      </c>
      <c r="E5785" t="s">
        <v>89</v>
      </c>
      <c r="F5785">
        <v>6200</v>
      </c>
      <c r="G5785" t="s">
        <v>331</v>
      </c>
      <c r="H5785" s="15">
        <v>45901</v>
      </c>
      <c r="I5785">
        <v>6200</v>
      </c>
      <c r="J5785">
        <v>0</v>
      </c>
    </row>
    <row r="5786" spans="1:10" x14ac:dyDescent="0.3">
      <c r="A5786" s="15">
        <v>45931</v>
      </c>
      <c r="B5786" t="s">
        <v>455</v>
      </c>
      <c r="C5786" t="s">
        <v>125</v>
      </c>
      <c r="D5786" t="s">
        <v>99</v>
      </c>
      <c r="E5786" t="s">
        <v>103</v>
      </c>
      <c r="F5786">
        <v>75900</v>
      </c>
      <c r="G5786" t="s">
        <v>331</v>
      </c>
      <c r="H5786" s="15">
        <v>45901</v>
      </c>
      <c r="I5786">
        <v>75900</v>
      </c>
      <c r="J5786">
        <v>0</v>
      </c>
    </row>
    <row r="5787" spans="1:10" x14ac:dyDescent="0.3">
      <c r="A5787" s="15">
        <v>45931</v>
      </c>
      <c r="B5787" t="s">
        <v>456</v>
      </c>
      <c r="C5787" t="s">
        <v>81</v>
      </c>
      <c r="D5787" t="s">
        <v>82</v>
      </c>
      <c r="E5787" t="s">
        <v>103</v>
      </c>
      <c r="F5787">
        <v>2000</v>
      </c>
      <c r="G5787" t="s">
        <v>331</v>
      </c>
      <c r="H5787" s="15">
        <v>45901</v>
      </c>
      <c r="I5787">
        <v>2000</v>
      </c>
      <c r="J5787">
        <v>0</v>
      </c>
    </row>
    <row r="5788" spans="1:10" x14ac:dyDescent="0.3">
      <c r="A5788" s="15">
        <v>45931</v>
      </c>
      <c r="B5788" t="s">
        <v>457</v>
      </c>
      <c r="C5788" t="s">
        <v>81</v>
      </c>
      <c r="D5788" t="s">
        <v>86</v>
      </c>
      <c r="E5788" t="s">
        <v>89</v>
      </c>
      <c r="F5788">
        <v>2200</v>
      </c>
      <c r="G5788" t="s">
        <v>84</v>
      </c>
      <c r="H5788" s="15">
        <v>45931</v>
      </c>
      <c r="I5788">
        <v>0</v>
      </c>
      <c r="J5788">
        <v>2200</v>
      </c>
    </row>
    <row r="5789" spans="1:10" x14ac:dyDescent="0.3">
      <c r="A5789" s="15">
        <v>45931</v>
      </c>
      <c r="B5789" t="s">
        <v>458</v>
      </c>
      <c r="C5789" t="s">
        <v>91</v>
      </c>
      <c r="D5789" t="s">
        <v>86</v>
      </c>
      <c r="E5789" t="s">
        <v>83</v>
      </c>
      <c r="F5789">
        <v>8300</v>
      </c>
      <c r="G5789" t="s">
        <v>84</v>
      </c>
      <c r="H5789" s="15">
        <v>45931</v>
      </c>
      <c r="I5789">
        <v>0</v>
      </c>
      <c r="J5789">
        <v>8300</v>
      </c>
    </row>
    <row r="5790" spans="1:10" x14ac:dyDescent="0.3">
      <c r="A5790" s="15">
        <v>45931</v>
      </c>
      <c r="B5790" t="s">
        <v>459</v>
      </c>
      <c r="C5790" t="s">
        <v>91</v>
      </c>
      <c r="D5790" t="s">
        <v>99</v>
      </c>
      <c r="E5790" t="s">
        <v>87</v>
      </c>
      <c r="F5790">
        <v>5800</v>
      </c>
      <c r="G5790" t="s">
        <v>84</v>
      </c>
      <c r="H5790" s="15">
        <v>45931</v>
      </c>
      <c r="I5790">
        <v>0</v>
      </c>
      <c r="J5790">
        <v>5800</v>
      </c>
    </row>
    <row r="5791" spans="1:10" x14ac:dyDescent="0.3">
      <c r="A5791" s="15">
        <v>45931</v>
      </c>
      <c r="B5791" t="s">
        <v>460</v>
      </c>
      <c r="C5791" t="s">
        <v>91</v>
      </c>
      <c r="D5791" t="s">
        <v>86</v>
      </c>
      <c r="E5791" t="s">
        <v>101</v>
      </c>
      <c r="F5791">
        <v>5300</v>
      </c>
      <c r="G5791" t="s">
        <v>84</v>
      </c>
      <c r="H5791" s="15">
        <v>45931</v>
      </c>
      <c r="I5791">
        <v>0</v>
      </c>
      <c r="J5791">
        <v>5300</v>
      </c>
    </row>
    <row r="5792" spans="1:10" x14ac:dyDescent="0.3">
      <c r="A5792" s="15">
        <v>45931</v>
      </c>
      <c r="B5792" t="s">
        <v>461</v>
      </c>
      <c r="C5792" t="s">
        <v>81</v>
      </c>
      <c r="D5792" t="s">
        <v>86</v>
      </c>
      <c r="E5792" t="s">
        <v>92</v>
      </c>
      <c r="F5792">
        <v>1800</v>
      </c>
      <c r="G5792" t="s">
        <v>84</v>
      </c>
      <c r="H5792" s="15">
        <v>45931</v>
      </c>
      <c r="I5792">
        <v>0</v>
      </c>
      <c r="J5792">
        <v>1800</v>
      </c>
    </row>
    <row r="5793" spans="1:10" x14ac:dyDescent="0.3">
      <c r="A5793" s="15">
        <v>45931</v>
      </c>
      <c r="B5793" t="s">
        <v>462</v>
      </c>
      <c r="C5793" t="s">
        <v>81</v>
      </c>
      <c r="D5793" t="s">
        <v>86</v>
      </c>
      <c r="E5793" t="s">
        <v>92</v>
      </c>
      <c r="F5793">
        <v>2200</v>
      </c>
      <c r="G5793" t="s">
        <v>84</v>
      </c>
      <c r="H5793" s="15">
        <v>45931</v>
      </c>
      <c r="I5793">
        <v>0</v>
      </c>
      <c r="J5793">
        <v>2200</v>
      </c>
    </row>
    <row r="5794" spans="1:10" x14ac:dyDescent="0.3">
      <c r="A5794" s="15">
        <v>45962</v>
      </c>
      <c r="B5794" t="s">
        <v>80</v>
      </c>
      <c r="C5794" t="s">
        <v>81</v>
      </c>
      <c r="D5794" t="s">
        <v>82</v>
      </c>
      <c r="E5794" t="s">
        <v>83</v>
      </c>
      <c r="F5794">
        <v>1900</v>
      </c>
      <c r="G5794" t="s">
        <v>331</v>
      </c>
      <c r="H5794" s="15">
        <v>45292</v>
      </c>
      <c r="I5794">
        <v>1900</v>
      </c>
      <c r="J5794">
        <v>0</v>
      </c>
    </row>
    <row r="5795" spans="1:10" x14ac:dyDescent="0.3">
      <c r="A5795" s="15">
        <v>45962</v>
      </c>
      <c r="B5795" t="s">
        <v>85</v>
      </c>
      <c r="C5795" t="s">
        <v>81</v>
      </c>
      <c r="D5795" t="s">
        <v>86</v>
      </c>
      <c r="E5795" t="s">
        <v>87</v>
      </c>
      <c r="F5795">
        <v>2400</v>
      </c>
      <c r="G5795" t="s">
        <v>331</v>
      </c>
      <c r="H5795" s="15">
        <v>45292</v>
      </c>
      <c r="I5795">
        <v>2400</v>
      </c>
      <c r="J5795">
        <v>0</v>
      </c>
    </row>
    <row r="5796" spans="1:10" x14ac:dyDescent="0.3">
      <c r="A5796" s="15">
        <v>45962</v>
      </c>
      <c r="B5796" t="s">
        <v>88</v>
      </c>
      <c r="C5796" t="s">
        <v>81</v>
      </c>
      <c r="D5796" t="s">
        <v>86</v>
      </c>
      <c r="E5796" t="s">
        <v>89</v>
      </c>
      <c r="F5796">
        <v>2400</v>
      </c>
      <c r="G5796" t="s">
        <v>331</v>
      </c>
      <c r="H5796" s="15">
        <v>45292</v>
      </c>
      <c r="I5796">
        <v>2400</v>
      </c>
      <c r="J5796">
        <v>0</v>
      </c>
    </row>
    <row r="5797" spans="1:10" x14ac:dyDescent="0.3">
      <c r="A5797" s="15">
        <v>45962</v>
      </c>
      <c r="B5797" t="s">
        <v>90</v>
      </c>
      <c r="C5797" t="s">
        <v>91</v>
      </c>
      <c r="D5797" t="s">
        <v>82</v>
      </c>
      <c r="E5797" t="s">
        <v>92</v>
      </c>
      <c r="F5797">
        <v>8300</v>
      </c>
      <c r="G5797" t="s">
        <v>331</v>
      </c>
      <c r="H5797" s="15">
        <v>45292</v>
      </c>
      <c r="I5797">
        <v>8300</v>
      </c>
      <c r="J5797">
        <v>0</v>
      </c>
    </row>
    <row r="5798" spans="1:10" x14ac:dyDescent="0.3">
      <c r="A5798" s="15">
        <v>45962</v>
      </c>
      <c r="B5798" t="s">
        <v>93</v>
      </c>
      <c r="C5798" t="s">
        <v>81</v>
      </c>
      <c r="D5798" t="s">
        <v>86</v>
      </c>
      <c r="E5798" t="s">
        <v>83</v>
      </c>
      <c r="F5798">
        <v>2600</v>
      </c>
      <c r="G5798" t="s">
        <v>331</v>
      </c>
      <c r="H5798" s="15">
        <v>45292</v>
      </c>
      <c r="I5798">
        <v>2600</v>
      </c>
      <c r="J5798">
        <v>0</v>
      </c>
    </row>
    <row r="5799" spans="1:10" x14ac:dyDescent="0.3">
      <c r="A5799" s="15">
        <v>45962</v>
      </c>
      <c r="B5799" t="s">
        <v>94</v>
      </c>
      <c r="C5799" t="s">
        <v>91</v>
      </c>
      <c r="D5799" t="s">
        <v>86</v>
      </c>
      <c r="E5799" t="s">
        <v>83</v>
      </c>
      <c r="F5799">
        <v>8500</v>
      </c>
      <c r="G5799" t="s">
        <v>331</v>
      </c>
      <c r="H5799" s="15">
        <v>45292</v>
      </c>
      <c r="I5799">
        <v>8500</v>
      </c>
      <c r="J5799">
        <v>0</v>
      </c>
    </row>
    <row r="5800" spans="1:10" x14ac:dyDescent="0.3">
      <c r="A5800" s="15">
        <v>45962</v>
      </c>
      <c r="B5800" t="s">
        <v>95</v>
      </c>
      <c r="C5800" t="s">
        <v>81</v>
      </c>
      <c r="D5800" t="s">
        <v>96</v>
      </c>
      <c r="E5800" t="s">
        <v>97</v>
      </c>
      <c r="F5800">
        <v>3100</v>
      </c>
      <c r="G5800" t="s">
        <v>331</v>
      </c>
      <c r="H5800" s="15">
        <v>45292</v>
      </c>
      <c r="I5800">
        <v>3100</v>
      </c>
      <c r="J5800">
        <v>0</v>
      </c>
    </row>
    <row r="5801" spans="1:10" x14ac:dyDescent="0.3">
      <c r="A5801" s="15">
        <v>45962</v>
      </c>
      <c r="B5801" t="s">
        <v>98</v>
      </c>
      <c r="C5801" t="s">
        <v>81</v>
      </c>
      <c r="D5801" t="s">
        <v>99</v>
      </c>
      <c r="E5801" t="s">
        <v>92</v>
      </c>
      <c r="F5801">
        <v>2300</v>
      </c>
      <c r="G5801" t="s">
        <v>331</v>
      </c>
      <c r="H5801" s="15">
        <v>45292</v>
      </c>
      <c r="I5801">
        <v>2300</v>
      </c>
      <c r="J5801">
        <v>0</v>
      </c>
    </row>
    <row r="5802" spans="1:10" x14ac:dyDescent="0.3">
      <c r="A5802" s="15">
        <v>45962</v>
      </c>
      <c r="B5802" t="s">
        <v>100</v>
      </c>
      <c r="C5802" t="s">
        <v>81</v>
      </c>
      <c r="D5802" t="s">
        <v>86</v>
      </c>
      <c r="E5802" t="s">
        <v>101</v>
      </c>
      <c r="F5802">
        <v>1800</v>
      </c>
      <c r="G5802" t="s">
        <v>331</v>
      </c>
      <c r="H5802" s="15">
        <v>45292</v>
      </c>
      <c r="I5802">
        <v>1800</v>
      </c>
      <c r="J5802">
        <v>0</v>
      </c>
    </row>
    <row r="5803" spans="1:10" x14ac:dyDescent="0.3">
      <c r="A5803" s="15">
        <v>45962</v>
      </c>
      <c r="B5803" t="s">
        <v>102</v>
      </c>
      <c r="C5803" t="s">
        <v>81</v>
      </c>
      <c r="D5803" t="s">
        <v>99</v>
      </c>
      <c r="E5803" t="s">
        <v>103</v>
      </c>
      <c r="F5803">
        <v>2900</v>
      </c>
      <c r="G5803" t="s">
        <v>334</v>
      </c>
      <c r="H5803" s="15">
        <v>45292</v>
      </c>
      <c r="I5803">
        <v>3300</v>
      </c>
      <c r="J5803">
        <v>-400</v>
      </c>
    </row>
    <row r="5804" spans="1:10" x14ac:dyDescent="0.3">
      <c r="A5804" s="15">
        <v>45962</v>
      </c>
      <c r="B5804" t="s">
        <v>104</v>
      </c>
      <c r="C5804" t="s">
        <v>91</v>
      </c>
      <c r="D5804" t="s">
        <v>99</v>
      </c>
      <c r="E5804" t="s">
        <v>87</v>
      </c>
      <c r="F5804">
        <v>7000</v>
      </c>
      <c r="G5804" t="s">
        <v>331</v>
      </c>
      <c r="H5804" s="15">
        <v>45292</v>
      </c>
      <c r="I5804">
        <v>7000</v>
      </c>
      <c r="J5804">
        <v>0</v>
      </c>
    </row>
    <row r="5805" spans="1:10" x14ac:dyDescent="0.3">
      <c r="A5805" s="15">
        <v>45962</v>
      </c>
      <c r="B5805" t="s">
        <v>105</v>
      </c>
      <c r="C5805" t="s">
        <v>91</v>
      </c>
      <c r="D5805" t="s">
        <v>86</v>
      </c>
      <c r="E5805" t="s">
        <v>89</v>
      </c>
      <c r="F5805">
        <v>12900</v>
      </c>
      <c r="G5805" t="s">
        <v>331</v>
      </c>
      <c r="H5805" s="15">
        <v>45292</v>
      </c>
      <c r="I5805">
        <v>12900</v>
      </c>
      <c r="J5805">
        <v>0</v>
      </c>
    </row>
    <row r="5806" spans="1:10" x14ac:dyDescent="0.3">
      <c r="A5806" s="15">
        <v>45962</v>
      </c>
      <c r="B5806" t="s">
        <v>106</v>
      </c>
      <c r="C5806" t="s">
        <v>81</v>
      </c>
      <c r="D5806" t="s">
        <v>99</v>
      </c>
      <c r="E5806" t="s">
        <v>92</v>
      </c>
      <c r="F5806">
        <v>2700</v>
      </c>
      <c r="G5806" t="s">
        <v>331</v>
      </c>
      <c r="H5806" s="15">
        <v>45292</v>
      </c>
      <c r="I5806">
        <v>2700</v>
      </c>
      <c r="J5806">
        <v>0</v>
      </c>
    </row>
    <row r="5807" spans="1:10" x14ac:dyDescent="0.3">
      <c r="A5807" s="15">
        <v>45962</v>
      </c>
      <c r="B5807" t="s">
        <v>109</v>
      </c>
      <c r="C5807" t="s">
        <v>110</v>
      </c>
      <c r="D5807" t="s">
        <v>82</v>
      </c>
      <c r="E5807" t="s">
        <v>103</v>
      </c>
      <c r="F5807">
        <v>37500</v>
      </c>
      <c r="G5807" t="s">
        <v>331</v>
      </c>
      <c r="H5807" s="15">
        <v>45292</v>
      </c>
      <c r="I5807">
        <v>37500</v>
      </c>
      <c r="J5807">
        <v>0</v>
      </c>
    </row>
    <row r="5808" spans="1:10" x14ac:dyDescent="0.3">
      <c r="A5808" s="15">
        <v>45962</v>
      </c>
      <c r="B5808" t="s">
        <v>111</v>
      </c>
      <c r="C5808" t="s">
        <v>91</v>
      </c>
      <c r="D5808" t="s">
        <v>82</v>
      </c>
      <c r="E5808" t="s">
        <v>83</v>
      </c>
      <c r="F5808">
        <v>8800</v>
      </c>
      <c r="G5808" t="s">
        <v>331</v>
      </c>
      <c r="H5808" s="15">
        <v>45292</v>
      </c>
      <c r="I5808">
        <v>8800</v>
      </c>
      <c r="J5808">
        <v>0</v>
      </c>
    </row>
    <row r="5809" spans="1:10" x14ac:dyDescent="0.3">
      <c r="A5809" s="15">
        <v>45962</v>
      </c>
      <c r="B5809" t="s">
        <v>112</v>
      </c>
      <c r="C5809" t="s">
        <v>91</v>
      </c>
      <c r="D5809" t="s">
        <v>82</v>
      </c>
      <c r="E5809" t="s">
        <v>92</v>
      </c>
      <c r="F5809">
        <v>8600</v>
      </c>
      <c r="G5809" t="s">
        <v>331</v>
      </c>
      <c r="H5809" s="15">
        <v>45292</v>
      </c>
      <c r="I5809">
        <v>8600</v>
      </c>
      <c r="J5809">
        <v>0</v>
      </c>
    </row>
    <row r="5810" spans="1:10" x14ac:dyDescent="0.3">
      <c r="A5810" s="15">
        <v>45962</v>
      </c>
      <c r="B5810" t="s">
        <v>113</v>
      </c>
      <c r="C5810" t="s">
        <v>81</v>
      </c>
      <c r="D5810" t="s">
        <v>96</v>
      </c>
      <c r="E5810" t="s">
        <v>89</v>
      </c>
      <c r="F5810">
        <v>2300</v>
      </c>
      <c r="G5810" t="s">
        <v>331</v>
      </c>
      <c r="H5810" s="15">
        <v>45292</v>
      </c>
      <c r="I5810">
        <v>2300</v>
      </c>
      <c r="J5810">
        <v>0</v>
      </c>
    </row>
    <row r="5811" spans="1:10" x14ac:dyDescent="0.3">
      <c r="A5811" s="15">
        <v>45962</v>
      </c>
      <c r="B5811" t="s">
        <v>114</v>
      </c>
      <c r="C5811" t="s">
        <v>110</v>
      </c>
      <c r="D5811" t="s">
        <v>99</v>
      </c>
      <c r="E5811" t="s">
        <v>97</v>
      </c>
      <c r="F5811">
        <v>46200</v>
      </c>
      <c r="G5811" t="s">
        <v>331</v>
      </c>
      <c r="H5811" s="15">
        <v>45292</v>
      </c>
      <c r="I5811">
        <v>46200</v>
      </c>
      <c r="J5811">
        <v>0</v>
      </c>
    </row>
    <row r="5812" spans="1:10" x14ac:dyDescent="0.3">
      <c r="A5812" s="15">
        <v>45962</v>
      </c>
      <c r="B5812" t="s">
        <v>115</v>
      </c>
      <c r="C5812" t="s">
        <v>81</v>
      </c>
      <c r="D5812" t="s">
        <v>82</v>
      </c>
      <c r="E5812" t="s">
        <v>101</v>
      </c>
      <c r="F5812">
        <v>2600</v>
      </c>
      <c r="G5812" t="s">
        <v>331</v>
      </c>
      <c r="H5812" s="15">
        <v>45292</v>
      </c>
      <c r="I5812">
        <v>2600</v>
      </c>
      <c r="J5812">
        <v>0</v>
      </c>
    </row>
    <row r="5813" spans="1:10" x14ac:dyDescent="0.3">
      <c r="A5813" s="15">
        <v>45962</v>
      </c>
      <c r="B5813" t="s">
        <v>116</v>
      </c>
      <c r="C5813" t="s">
        <v>81</v>
      </c>
      <c r="D5813" t="s">
        <v>86</v>
      </c>
      <c r="E5813" t="s">
        <v>87</v>
      </c>
      <c r="F5813">
        <v>2900</v>
      </c>
      <c r="G5813" t="s">
        <v>331</v>
      </c>
      <c r="H5813" s="15">
        <v>45292</v>
      </c>
      <c r="I5813">
        <v>2900</v>
      </c>
      <c r="J5813">
        <v>0</v>
      </c>
    </row>
    <row r="5814" spans="1:10" x14ac:dyDescent="0.3">
      <c r="A5814" s="15">
        <v>45962</v>
      </c>
      <c r="B5814" t="s">
        <v>117</v>
      </c>
      <c r="C5814" t="s">
        <v>81</v>
      </c>
      <c r="D5814" t="s">
        <v>86</v>
      </c>
      <c r="E5814" t="s">
        <v>103</v>
      </c>
      <c r="F5814">
        <v>2500</v>
      </c>
      <c r="G5814" t="s">
        <v>331</v>
      </c>
      <c r="H5814" s="15">
        <v>45292</v>
      </c>
      <c r="I5814">
        <v>2500</v>
      </c>
      <c r="J5814">
        <v>0</v>
      </c>
    </row>
    <row r="5815" spans="1:10" x14ac:dyDescent="0.3">
      <c r="A5815" s="15">
        <v>45962</v>
      </c>
      <c r="B5815" t="s">
        <v>120</v>
      </c>
      <c r="C5815" t="s">
        <v>81</v>
      </c>
      <c r="D5815" t="s">
        <v>86</v>
      </c>
      <c r="E5815" t="s">
        <v>101</v>
      </c>
      <c r="F5815">
        <v>2200</v>
      </c>
      <c r="G5815" t="s">
        <v>331</v>
      </c>
      <c r="H5815" s="15">
        <v>45292</v>
      </c>
      <c r="I5815">
        <v>2200</v>
      </c>
      <c r="J5815">
        <v>0</v>
      </c>
    </row>
    <row r="5816" spans="1:10" x14ac:dyDescent="0.3">
      <c r="A5816" s="15">
        <v>45962</v>
      </c>
      <c r="B5816" t="s">
        <v>123</v>
      </c>
      <c r="C5816" t="s">
        <v>81</v>
      </c>
      <c r="D5816" t="s">
        <v>82</v>
      </c>
      <c r="E5816" t="s">
        <v>92</v>
      </c>
      <c r="F5816">
        <v>1900</v>
      </c>
      <c r="G5816" t="s">
        <v>331</v>
      </c>
      <c r="H5816" s="15">
        <v>45292</v>
      </c>
      <c r="I5816">
        <v>1900</v>
      </c>
      <c r="J5816">
        <v>0</v>
      </c>
    </row>
    <row r="5817" spans="1:10" x14ac:dyDescent="0.3">
      <c r="A5817" s="15">
        <v>45962</v>
      </c>
      <c r="B5817" t="s">
        <v>124</v>
      </c>
      <c r="C5817" t="s">
        <v>125</v>
      </c>
      <c r="D5817" t="s">
        <v>82</v>
      </c>
      <c r="E5817" t="s">
        <v>97</v>
      </c>
      <c r="F5817">
        <v>67900</v>
      </c>
      <c r="G5817" t="s">
        <v>331</v>
      </c>
      <c r="H5817" s="15">
        <v>45292</v>
      </c>
      <c r="I5817">
        <v>67900</v>
      </c>
      <c r="J5817">
        <v>0</v>
      </c>
    </row>
    <row r="5818" spans="1:10" x14ac:dyDescent="0.3">
      <c r="A5818" s="15">
        <v>45962</v>
      </c>
      <c r="B5818" t="s">
        <v>126</v>
      </c>
      <c r="C5818" t="s">
        <v>91</v>
      </c>
      <c r="D5818" t="s">
        <v>82</v>
      </c>
      <c r="E5818" t="s">
        <v>83</v>
      </c>
      <c r="F5818">
        <v>8800</v>
      </c>
      <c r="G5818" t="s">
        <v>331</v>
      </c>
      <c r="H5818" s="15">
        <v>45292</v>
      </c>
      <c r="I5818">
        <v>8800</v>
      </c>
      <c r="J5818">
        <v>0</v>
      </c>
    </row>
    <row r="5819" spans="1:10" x14ac:dyDescent="0.3">
      <c r="A5819" s="15">
        <v>45962</v>
      </c>
      <c r="B5819" t="s">
        <v>127</v>
      </c>
      <c r="C5819" t="s">
        <v>81</v>
      </c>
      <c r="D5819" t="s">
        <v>82</v>
      </c>
      <c r="E5819" t="s">
        <v>101</v>
      </c>
      <c r="F5819">
        <v>2400</v>
      </c>
      <c r="G5819" t="s">
        <v>331</v>
      </c>
      <c r="H5819" s="15">
        <v>45292</v>
      </c>
      <c r="I5819">
        <v>2400</v>
      </c>
      <c r="J5819">
        <v>0</v>
      </c>
    </row>
    <row r="5820" spans="1:10" x14ac:dyDescent="0.3">
      <c r="A5820" s="15">
        <v>45962</v>
      </c>
      <c r="B5820" t="s">
        <v>128</v>
      </c>
      <c r="C5820" t="s">
        <v>81</v>
      </c>
      <c r="D5820" t="s">
        <v>82</v>
      </c>
      <c r="E5820" t="s">
        <v>92</v>
      </c>
      <c r="F5820">
        <v>1700</v>
      </c>
      <c r="G5820" t="s">
        <v>331</v>
      </c>
      <c r="H5820" s="15">
        <v>45292</v>
      </c>
      <c r="I5820">
        <v>1700</v>
      </c>
      <c r="J5820">
        <v>0</v>
      </c>
    </row>
    <row r="5821" spans="1:10" x14ac:dyDescent="0.3">
      <c r="A5821" s="15">
        <v>45962</v>
      </c>
      <c r="B5821" t="s">
        <v>129</v>
      </c>
      <c r="C5821" t="s">
        <v>110</v>
      </c>
      <c r="D5821" t="s">
        <v>86</v>
      </c>
      <c r="E5821" t="s">
        <v>92</v>
      </c>
      <c r="F5821">
        <v>36900</v>
      </c>
      <c r="G5821" t="s">
        <v>332</v>
      </c>
      <c r="H5821" s="15">
        <v>45292</v>
      </c>
      <c r="I5821">
        <v>34200</v>
      </c>
      <c r="J5821">
        <v>2700</v>
      </c>
    </row>
    <row r="5822" spans="1:10" x14ac:dyDescent="0.3">
      <c r="A5822" s="15">
        <v>45962</v>
      </c>
      <c r="B5822" t="s">
        <v>133</v>
      </c>
      <c r="C5822" t="s">
        <v>81</v>
      </c>
      <c r="D5822" t="s">
        <v>96</v>
      </c>
      <c r="E5822" t="s">
        <v>87</v>
      </c>
      <c r="F5822">
        <v>2700</v>
      </c>
      <c r="G5822" t="s">
        <v>331</v>
      </c>
      <c r="H5822" s="15">
        <v>45292</v>
      </c>
      <c r="I5822">
        <v>2700</v>
      </c>
      <c r="J5822">
        <v>0</v>
      </c>
    </row>
    <row r="5823" spans="1:10" x14ac:dyDescent="0.3">
      <c r="A5823" s="15">
        <v>45962</v>
      </c>
      <c r="B5823" t="s">
        <v>134</v>
      </c>
      <c r="C5823" t="s">
        <v>81</v>
      </c>
      <c r="D5823" t="s">
        <v>82</v>
      </c>
      <c r="E5823" t="s">
        <v>92</v>
      </c>
      <c r="F5823">
        <v>2400</v>
      </c>
      <c r="G5823" t="s">
        <v>331</v>
      </c>
      <c r="H5823" s="15">
        <v>45292</v>
      </c>
      <c r="I5823">
        <v>2400</v>
      </c>
      <c r="J5823">
        <v>0</v>
      </c>
    </row>
    <row r="5824" spans="1:10" x14ac:dyDescent="0.3">
      <c r="A5824" s="15">
        <v>45962</v>
      </c>
      <c r="B5824" t="s">
        <v>135</v>
      </c>
      <c r="C5824" t="s">
        <v>81</v>
      </c>
      <c r="D5824" t="s">
        <v>82</v>
      </c>
      <c r="E5824" t="s">
        <v>103</v>
      </c>
      <c r="F5824">
        <v>2400</v>
      </c>
      <c r="G5824" t="s">
        <v>331</v>
      </c>
      <c r="H5824" s="15">
        <v>45292</v>
      </c>
      <c r="I5824">
        <v>2400</v>
      </c>
      <c r="J5824">
        <v>0</v>
      </c>
    </row>
    <row r="5825" spans="1:10" x14ac:dyDescent="0.3">
      <c r="A5825" s="15">
        <v>45962</v>
      </c>
      <c r="B5825" t="s">
        <v>136</v>
      </c>
      <c r="C5825" t="s">
        <v>81</v>
      </c>
      <c r="D5825" t="s">
        <v>82</v>
      </c>
      <c r="E5825" t="s">
        <v>101</v>
      </c>
      <c r="F5825">
        <v>2900</v>
      </c>
      <c r="G5825" t="s">
        <v>331</v>
      </c>
      <c r="H5825" s="15">
        <v>45292</v>
      </c>
      <c r="I5825">
        <v>2900</v>
      </c>
      <c r="J5825">
        <v>0</v>
      </c>
    </row>
    <row r="5826" spans="1:10" x14ac:dyDescent="0.3">
      <c r="A5826" s="15">
        <v>45962</v>
      </c>
      <c r="B5826" t="s">
        <v>138</v>
      </c>
      <c r="C5826" t="s">
        <v>81</v>
      </c>
      <c r="D5826" t="s">
        <v>86</v>
      </c>
      <c r="E5826" t="s">
        <v>97</v>
      </c>
      <c r="F5826">
        <v>3300</v>
      </c>
      <c r="G5826" t="s">
        <v>331</v>
      </c>
      <c r="H5826" s="15">
        <v>45292</v>
      </c>
      <c r="I5826">
        <v>3300</v>
      </c>
      <c r="J5826">
        <v>0</v>
      </c>
    </row>
    <row r="5827" spans="1:10" x14ac:dyDescent="0.3">
      <c r="A5827" s="15">
        <v>45962</v>
      </c>
      <c r="B5827" t="s">
        <v>139</v>
      </c>
      <c r="C5827" t="s">
        <v>91</v>
      </c>
      <c r="D5827" t="s">
        <v>82</v>
      </c>
      <c r="E5827" t="s">
        <v>103</v>
      </c>
      <c r="F5827">
        <v>6800</v>
      </c>
      <c r="G5827" t="s">
        <v>331</v>
      </c>
      <c r="H5827" s="15">
        <v>45292</v>
      </c>
      <c r="I5827">
        <v>6800</v>
      </c>
      <c r="J5827">
        <v>0</v>
      </c>
    </row>
    <row r="5828" spans="1:10" x14ac:dyDescent="0.3">
      <c r="A5828" s="15">
        <v>45962</v>
      </c>
      <c r="B5828" t="s">
        <v>141</v>
      </c>
      <c r="C5828" t="s">
        <v>125</v>
      </c>
      <c r="D5828" t="s">
        <v>99</v>
      </c>
      <c r="E5828" t="s">
        <v>103</v>
      </c>
      <c r="F5828">
        <v>127400</v>
      </c>
      <c r="G5828" t="s">
        <v>331</v>
      </c>
      <c r="H5828" s="15">
        <v>45292</v>
      </c>
      <c r="I5828">
        <v>127400</v>
      </c>
      <c r="J5828">
        <v>0</v>
      </c>
    </row>
    <row r="5829" spans="1:10" x14ac:dyDescent="0.3">
      <c r="A5829" s="15">
        <v>45962</v>
      </c>
      <c r="B5829" t="s">
        <v>142</v>
      </c>
      <c r="C5829" t="s">
        <v>125</v>
      </c>
      <c r="D5829" t="s">
        <v>82</v>
      </c>
      <c r="E5829" t="s">
        <v>92</v>
      </c>
      <c r="F5829">
        <v>103800</v>
      </c>
      <c r="G5829" t="s">
        <v>331</v>
      </c>
      <c r="H5829" s="15">
        <v>45292</v>
      </c>
      <c r="I5829">
        <v>103800</v>
      </c>
      <c r="J5829">
        <v>0</v>
      </c>
    </row>
    <row r="5830" spans="1:10" x14ac:dyDescent="0.3">
      <c r="A5830" s="15">
        <v>45962</v>
      </c>
      <c r="B5830" t="s">
        <v>143</v>
      </c>
      <c r="C5830" t="s">
        <v>91</v>
      </c>
      <c r="D5830" t="s">
        <v>99</v>
      </c>
      <c r="E5830" t="s">
        <v>103</v>
      </c>
      <c r="F5830">
        <v>8000</v>
      </c>
      <c r="G5830" t="s">
        <v>331</v>
      </c>
      <c r="H5830" s="15">
        <v>45292</v>
      </c>
      <c r="I5830">
        <v>8000</v>
      </c>
      <c r="J5830">
        <v>0</v>
      </c>
    </row>
    <row r="5831" spans="1:10" x14ac:dyDescent="0.3">
      <c r="A5831" s="15">
        <v>45962</v>
      </c>
      <c r="B5831" t="s">
        <v>144</v>
      </c>
      <c r="C5831" t="s">
        <v>81</v>
      </c>
      <c r="D5831" t="s">
        <v>82</v>
      </c>
      <c r="E5831" t="s">
        <v>92</v>
      </c>
      <c r="F5831">
        <v>2400</v>
      </c>
      <c r="G5831" t="s">
        <v>331</v>
      </c>
      <c r="H5831" s="15">
        <v>45292</v>
      </c>
      <c r="I5831">
        <v>2400</v>
      </c>
      <c r="J5831">
        <v>0</v>
      </c>
    </row>
    <row r="5832" spans="1:10" x14ac:dyDescent="0.3">
      <c r="A5832" s="15">
        <v>45962</v>
      </c>
      <c r="B5832" t="s">
        <v>145</v>
      </c>
      <c r="C5832" t="s">
        <v>91</v>
      </c>
      <c r="D5832" t="s">
        <v>82</v>
      </c>
      <c r="E5832" t="s">
        <v>87</v>
      </c>
      <c r="F5832">
        <v>8200</v>
      </c>
      <c r="G5832" t="s">
        <v>331</v>
      </c>
      <c r="H5832" s="15">
        <v>45292</v>
      </c>
      <c r="I5832">
        <v>8200</v>
      </c>
      <c r="J5832">
        <v>0</v>
      </c>
    </row>
    <row r="5833" spans="1:10" x14ac:dyDescent="0.3">
      <c r="A5833" s="15">
        <v>45962</v>
      </c>
      <c r="B5833" t="s">
        <v>146</v>
      </c>
      <c r="C5833" t="s">
        <v>91</v>
      </c>
      <c r="D5833" t="s">
        <v>86</v>
      </c>
      <c r="E5833" t="s">
        <v>87</v>
      </c>
      <c r="F5833">
        <v>10100</v>
      </c>
      <c r="G5833" t="s">
        <v>331</v>
      </c>
      <c r="H5833" s="15">
        <v>45292</v>
      </c>
      <c r="I5833">
        <v>10100</v>
      </c>
      <c r="J5833">
        <v>0</v>
      </c>
    </row>
    <row r="5834" spans="1:10" x14ac:dyDescent="0.3">
      <c r="A5834" s="15">
        <v>45962</v>
      </c>
      <c r="B5834" t="s">
        <v>149</v>
      </c>
      <c r="C5834" t="s">
        <v>110</v>
      </c>
      <c r="D5834" t="s">
        <v>82</v>
      </c>
      <c r="E5834" t="s">
        <v>103</v>
      </c>
      <c r="F5834">
        <v>31000</v>
      </c>
      <c r="G5834" t="s">
        <v>331</v>
      </c>
      <c r="H5834" s="15">
        <v>45292</v>
      </c>
      <c r="I5834">
        <v>31000</v>
      </c>
      <c r="J5834">
        <v>0</v>
      </c>
    </row>
    <row r="5835" spans="1:10" x14ac:dyDescent="0.3">
      <c r="A5835" s="15">
        <v>45962</v>
      </c>
      <c r="B5835" t="s">
        <v>151</v>
      </c>
      <c r="C5835" t="s">
        <v>91</v>
      </c>
      <c r="D5835" t="s">
        <v>82</v>
      </c>
      <c r="E5835" t="s">
        <v>97</v>
      </c>
      <c r="F5835">
        <v>6800</v>
      </c>
      <c r="G5835" t="s">
        <v>331</v>
      </c>
      <c r="H5835" s="15">
        <v>45292</v>
      </c>
      <c r="I5835">
        <v>6800</v>
      </c>
      <c r="J5835">
        <v>0</v>
      </c>
    </row>
    <row r="5836" spans="1:10" x14ac:dyDescent="0.3">
      <c r="A5836" s="15">
        <v>45962</v>
      </c>
      <c r="B5836" t="s">
        <v>154</v>
      </c>
      <c r="C5836" t="s">
        <v>91</v>
      </c>
      <c r="D5836" t="s">
        <v>86</v>
      </c>
      <c r="E5836" t="s">
        <v>103</v>
      </c>
      <c r="F5836">
        <v>9700</v>
      </c>
      <c r="G5836" t="s">
        <v>332</v>
      </c>
      <c r="H5836" s="15">
        <v>45292</v>
      </c>
      <c r="I5836">
        <v>8800</v>
      </c>
      <c r="J5836">
        <v>900</v>
      </c>
    </row>
    <row r="5837" spans="1:10" x14ac:dyDescent="0.3">
      <c r="A5837" s="15">
        <v>45962</v>
      </c>
      <c r="B5837" t="s">
        <v>155</v>
      </c>
      <c r="C5837" t="s">
        <v>91</v>
      </c>
      <c r="D5837" t="s">
        <v>82</v>
      </c>
      <c r="E5837" t="s">
        <v>92</v>
      </c>
      <c r="F5837">
        <v>7100</v>
      </c>
      <c r="G5837" t="s">
        <v>331</v>
      </c>
      <c r="H5837" s="15">
        <v>45292</v>
      </c>
      <c r="I5837">
        <v>7100</v>
      </c>
      <c r="J5837">
        <v>0</v>
      </c>
    </row>
    <row r="5838" spans="1:10" x14ac:dyDescent="0.3">
      <c r="A5838" s="15">
        <v>45962</v>
      </c>
      <c r="B5838" t="s">
        <v>156</v>
      </c>
      <c r="C5838" t="s">
        <v>81</v>
      </c>
      <c r="D5838" t="s">
        <v>86</v>
      </c>
      <c r="E5838" t="s">
        <v>101</v>
      </c>
      <c r="F5838">
        <v>2300</v>
      </c>
      <c r="G5838" t="s">
        <v>331</v>
      </c>
      <c r="H5838" s="15">
        <v>45292</v>
      </c>
      <c r="I5838">
        <v>2300</v>
      </c>
      <c r="J5838">
        <v>0</v>
      </c>
    </row>
    <row r="5839" spans="1:10" x14ac:dyDescent="0.3">
      <c r="A5839" s="15">
        <v>45962</v>
      </c>
      <c r="B5839" t="s">
        <v>157</v>
      </c>
      <c r="C5839" t="s">
        <v>81</v>
      </c>
      <c r="D5839" t="s">
        <v>82</v>
      </c>
      <c r="E5839" t="s">
        <v>92</v>
      </c>
      <c r="F5839">
        <v>1800</v>
      </c>
      <c r="G5839" t="s">
        <v>331</v>
      </c>
      <c r="H5839" s="15">
        <v>45292</v>
      </c>
      <c r="I5839">
        <v>1800</v>
      </c>
      <c r="J5839">
        <v>0</v>
      </c>
    </row>
    <row r="5840" spans="1:10" x14ac:dyDescent="0.3">
      <c r="A5840" s="15">
        <v>45962</v>
      </c>
      <c r="B5840" t="s">
        <v>158</v>
      </c>
      <c r="C5840" t="s">
        <v>91</v>
      </c>
      <c r="D5840" t="s">
        <v>96</v>
      </c>
      <c r="E5840" t="s">
        <v>83</v>
      </c>
      <c r="F5840">
        <v>12600</v>
      </c>
      <c r="G5840" t="s">
        <v>331</v>
      </c>
      <c r="H5840" s="15">
        <v>45292</v>
      </c>
      <c r="I5840">
        <v>12600</v>
      </c>
      <c r="J5840">
        <v>0</v>
      </c>
    </row>
    <row r="5841" spans="1:10" x14ac:dyDescent="0.3">
      <c r="A5841" s="15">
        <v>45962</v>
      </c>
      <c r="B5841" t="s">
        <v>159</v>
      </c>
      <c r="C5841" t="s">
        <v>81</v>
      </c>
      <c r="D5841" t="s">
        <v>86</v>
      </c>
      <c r="E5841" t="s">
        <v>87</v>
      </c>
      <c r="F5841">
        <v>2400</v>
      </c>
      <c r="G5841" t="s">
        <v>331</v>
      </c>
      <c r="H5841" s="15">
        <v>45292</v>
      </c>
      <c r="I5841">
        <v>2400</v>
      </c>
      <c r="J5841">
        <v>0</v>
      </c>
    </row>
    <row r="5842" spans="1:10" x14ac:dyDescent="0.3">
      <c r="A5842" s="15">
        <v>45962</v>
      </c>
      <c r="B5842" t="s">
        <v>161</v>
      </c>
      <c r="C5842" t="s">
        <v>91</v>
      </c>
      <c r="D5842" t="s">
        <v>99</v>
      </c>
      <c r="E5842" t="s">
        <v>83</v>
      </c>
      <c r="F5842">
        <v>11700</v>
      </c>
      <c r="G5842" t="s">
        <v>331</v>
      </c>
      <c r="H5842" s="15">
        <v>45292</v>
      </c>
      <c r="I5842">
        <v>11700</v>
      </c>
      <c r="J5842">
        <v>0</v>
      </c>
    </row>
    <row r="5843" spans="1:10" x14ac:dyDescent="0.3">
      <c r="A5843" s="15">
        <v>45962</v>
      </c>
      <c r="B5843" t="s">
        <v>162</v>
      </c>
      <c r="C5843" t="s">
        <v>91</v>
      </c>
      <c r="D5843" t="s">
        <v>82</v>
      </c>
      <c r="E5843" t="s">
        <v>103</v>
      </c>
      <c r="F5843">
        <v>10900</v>
      </c>
      <c r="G5843" t="s">
        <v>331</v>
      </c>
      <c r="H5843" s="15">
        <v>45292</v>
      </c>
      <c r="I5843">
        <v>10900</v>
      </c>
      <c r="J5843">
        <v>0</v>
      </c>
    </row>
    <row r="5844" spans="1:10" x14ac:dyDescent="0.3">
      <c r="A5844" s="15">
        <v>45962</v>
      </c>
      <c r="B5844" t="s">
        <v>164</v>
      </c>
      <c r="C5844" t="s">
        <v>81</v>
      </c>
      <c r="D5844" t="s">
        <v>99</v>
      </c>
      <c r="E5844" t="s">
        <v>89</v>
      </c>
      <c r="F5844">
        <v>2800</v>
      </c>
      <c r="G5844" t="s">
        <v>331</v>
      </c>
      <c r="H5844" s="15">
        <v>45292</v>
      </c>
      <c r="I5844">
        <v>2800</v>
      </c>
      <c r="J5844">
        <v>0</v>
      </c>
    </row>
    <row r="5845" spans="1:10" x14ac:dyDescent="0.3">
      <c r="A5845" s="15">
        <v>45962</v>
      </c>
      <c r="B5845" t="s">
        <v>165</v>
      </c>
      <c r="C5845" t="s">
        <v>81</v>
      </c>
      <c r="D5845" t="s">
        <v>82</v>
      </c>
      <c r="E5845" t="s">
        <v>97</v>
      </c>
      <c r="F5845">
        <v>2700</v>
      </c>
      <c r="G5845" t="s">
        <v>331</v>
      </c>
      <c r="H5845" s="15">
        <v>45292</v>
      </c>
      <c r="I5845">
        <v>2700</v>
      </c>
      <c r="J5845">
        <v>0</v>
      </c>
    </row>
    <row r="5846" spans="1:10" x14ac:dyDescent="0.3">
      <c r="A5846" s="15">
        <v>45962</v>
      </c>
      <c r="B5846" t="s">
        <v>166</v>
      </c>
      <c r="C5846" t="s">
        <v>81</v>
      </c>
      <c r="D5846" t="s">
        <v>99</v>
      </c>
      <c r="E5846" t="s">
        <v>103</v>
      </c>
      <c r="F5846">
        <v>2600</v>
      </c>
      <c r="G5846" t="s">
        <v>331</v>
      </c>
      <c r="H5846" s="15">
        <v>45292</v>
      </c>
      <c r="I5846">
        <v>2600</v>
      </c>
      <c r="J5846">
        <v>0</v>
      </c>
    </row>
    <row r="5847" spans="1:10" x14ac:dyDescent="0.3">
      <c r="A5847" s="15">
        <v>45962</v>
      </c>
      <c r="B5847" t="s">
        <v>167</v>
      </c>
      <c r="C5847" t="s">
        <v>81</v>
      </c>
      <c r="D5847" t="s">
        <v>82</v>
      </c>
      <c r="E5847" t="s">
        <v>97</v>
      </c>
      <c r="F5847">
        <v>2000</v>
      </c>
      <c r="G5847" t="s">
        <v>332</v>
      </c>
      <c r="H5847" s="15">
        <v>45292</v>
      </c>
      <c r="I5847">
        <v>1900</v>
      </c>
      <c r="J5847">
        <v>100</v>
      </c>
    </row>
    <row r="5848" spans="1:10" x14ac:dyDescent="0.3">
      <c r="A5848" s="15">
        <v>45962</v>
      </c>
      <c r="B5848" t="s">
        <v>168</v>
      </c>
      <c r="C5848" t="s">
        <v>91</v>
      </c>
      <c r="D5848" t="s">
        <v>86</v>
      </c>
      <c r="E5848" t="s">
        <v>103</v>
      </c>
      <c r="F5848">
        <v>12200</v>
      </c>
      <c r="G5848" t="s">
        <v>334</v>
      </c>
      <c r="H5848" s="15">
        <v>45292</v>
      </c>
      <c r="I5848">
        <v>13000</v>
      </c>
      <c r="J5848">
        <v>-800</v>
      </c>
    </row>
    <row r="5849" spans="1:10" x14ac:dyDescent="0.3">
      <c r="A5849" s="15">
        <v>45962</v>
      </c>
      <c r="B5849" t="s">
        <v>170</v>
      </c>
      <c r="C5849" t="s">
        <v>91</v>
      </c>
      <c r="D5849" t="s">
        <v>99</v>
      </c>
      <c r="E5849" t="s">
        <v>83</v>
      </c>
      <c r="F5849">
        <v>6500</v>
      </c>
      <c r="G5849" t="s">
        <v>331</v>
      </c>
      <c r="H5849" s="15">
        <v>45292</v>
      </c>
      <c r="I5849">
        <v>6500</v>
      </c>
      <c r="J5849">
        <v>0</v>
      </c>
    </row>
    <row r="5850" spans="1:10" x14ac:dyDescent="0.3">
      <c r="A5850" s="15">
        <v>45962</v>
      </c>
      <c r="B5850" t="s">
        <v>171</v>
      </c>
      <c r="C5850" t="s">
        <v>81</v>
      </c>
      <c r="D5850" t="s">
        <v>99</v>
      </c>
      <c r="E5850" t="s">
        <v>97</v>
      </c>
      <c r="F5850">
        <v>1700</v>
      </c>
      <c r="G5850" t="s">
        <v>331</v>
      </c>
      <c r="H5850" s="15">
        <v>45292</v>
      </c>
      <c r="I5850">
        <v>1700</v>
      </c>
      <c r="J5850">
        <v>0</v>
      </c>
    </row>
    <row r="5851" spans="1:10" x14ac:dyDescent="0.3">
      <c r="A5851" s="15">
        <v>45962</v>
      </c>
      <c r="B5851" t="s">
        <v>174</v>
      </c>
      <c r="C5851" t="s">
        <v>81</v>
      </c>
      <c r="D5851" t="s">
        <v>82</v>
      </c>
      <c r="E5851" t="s">
        <v>92</v>
      </c>
      <c r="F5851">
        <v>2400</v>
      </c>
      <c r="G5851" t="s">
        <v>331</v>
      </c>
      <c r="H5851" s="15">
        <v>45292</v>
      </c>
      <c r="I5851">
        <v>2400</v>
      </c>
      <c r="J5851">
        <v>0</v>
      </c>
    </row>
    <row r="5852" spans="1:10" x14ac:dyDescent="0.3">
      <c r="A5852" s="15">
        <v>45962</v>
      </c>
      <c r="B5852" t="s">
        <v>175</v>
      </c>
      <c r="C5852" t="s">
        <v>91</v>
      </c>
      <c r="D5852" t="s">
        <v>96</v>
      </c>
      <c r="E5852" t="s">
        <v>83</v>
      </c>
      <c r="F5852">
        <v>8800</v>
      </c>
      <c r="G5852" t="s">
        <v>331</v>
      </c>
      <c r="H5852" s="15">
        <v>45292</v>
      </c>
      <c r="I5852">
        <v>8800</v>
      </c>
      <c r="J5852">
        <v>0</v>
      </c>
    </row>
    <row r="5853" spans="1:10" x14ac:dyDescent="0.3">
      <c r="A5853" s="15">
        <v>45962</v>
      </c>
      <c r="B5853" t="s">
        <v>176</v>
      </c>
      <c r="C5853" t="s">
        <v>81</v>
      </c>
      <c r="D5853" t="s">
        <v>99</v>
      </c>
      <c r="E5853" t="s">
        <v>92</v>
      </c>
      <c r="F5853">
        <v>2900</v>
      </c>
      <c r="G5853" t="s">
        <v>331</v>
      </c>
      <c r="H5853" s="15">
        <v>45292</v>
      </c>
      <c r="I5853">
        <v>2900</v>
      </c>
      <c r="J5853">
        <v>0</v>
      </c>
    </row>
    <row r="5854" spans="1:10" x14ac:dyDescent="0.3">
      <c r="A5854" s="15">
        <v>45962</v>
      </c>
      <c r="B5854" t="s">
        <v>177</v>
      </c>
      <c r="C5854" t="s">
        <v>81</v>
      </c>
      <c r="D5854" t="s">
        <v>96</v>
      </c>
      <c r="E5854" t="s">
        <v>83</v>
      </c>
      <c r="F5854">
        <v>2900</v>
      </c>
      <c r="G5854" t="s">
        <v>331</v>
      </c>
      <c r="H5854" s="15">
        <v>45292</v>
      </c>
      <c r="I5854">
        <v>2900</v>
      </c>
      <c r="J5854">
        <v>0</v>
      </c>
    </row>
    <row r="5855" spans="1:10" x14ac:dyDescent="0.3">
      <c r="A5855" s="15">
        <v>45962</v>
      </c>
      <c r="B5855" t="s">
        <v>178</v>
      </c>
      <c r="C5855" t="s">
        <v>91</v>
      </c>
      <c r="D5855" t="s">
        <v>82</v>
      </c>
      <c r="E5855" t="s">
        <v>89</v>
      </c>
      <c r="F5855">
        <v>8400</v>
      </c>
      <c r="G5855" t="s">
        <v>331</v>
      </c>
      <c r="H5855" s="15">
        <v>45292</v>
      </c>
      <c r="I5855">
        <v>8400</v>
      </c>
      <c r="J5855">
        <v>0</v>
      </c>
    </row>
    <row r="5856" spans="1:10" x14ac:dyDescent="0.3">
      <c r="A5856" s="15">
        <v>45962</v>
      </c>
      <c r="B5856" t="s">
        <v>179</v>
      </c>
      <c r="C5856" t="s">
        <v>110</v>
      </c>
      <c r="D5856" t="s">
        <v>86</v>
      </c>
      <c r="E5856" t="s">
        <v>87</v>
      </c>
      <c r="F5856">
        <v>30000</v>
      </c>
      <c r="G5856" t="s">
        <v>331</v>
      </c>
      <c r="H5856" s="15">
        <v>45292</v>
      </c>
      <c r="I5856">
        <v>30000</v>
      </c>
      <c r="J5856">
        <v>0</v>
      </c>
    </row>
    <row r="5857" spans="1:10" x14ac:dyDescent="0.3">
      <c r="A5857" s="15">
        <v>45962</v>
      </c>
      <c r="B5857" t="s">
        <v>180</v>
      </c>
      <c r="C5857" t="s">
        <v>91</v>
      </c>
      <c r="D5857" t="s">
        <v>86</v>
      </c>
      <c r="E5857" t="s">
        <v>83</v>
      </c>
      <c r="F5857">
        <v>8500</v>
      </c>
      <c r="G5857" t="s">
        <v>331</v>
      </c>
      <c r="H5857" s="15">
        <v>45292</v>
      </c>
      <c r="I5857">
        <v>8500</v>
      </c>
      <c r="J5857">
        <v>0</v>
      </c>
    </row>
    <row r="5858" spans="1:10" x14ac:dyDescent="0.3">
      <c r="A5858" s="15">
        <v>45962</v>
      </c>
      <c r="B5858" t="s">
        <v>181</v>
      </c>
      <c r="C5858" t="s">
        <v>91</v>
      </c>
      <c r="D5858" t="s">
        <v>82</v>
      </c>
      <c r="E5858" t="s">
        <v>97</v>
      </c>
      <c r="F5858">
        <v>10100</v>
      </c>
      <c r="G5858" t="s">
        <v>331</v>
      </c>
      <c r="H5858" s="15">
        <v>45292</v>
      </c>
      <c r="I5858">
        <v>10100</v>
      </c>
      <c r="J5858">
        <v>0</v>
      </c>
    </row>
    <row r="5859" spans="1:10" x14ac:dyDescent="0.3">
      <c r="A5859" s="15">
        <v>45962</v>
      </c>
      <c r="B5859" t="s">
        <v>182</v>
      </c>
      <c r="C5859" t="s">
        <v>125</v>
      </c>
      <c r="D5859" t="s">
        <v>82</v>
      </c>
      <c r="E5859" t="s">
        <v>92</v>
      </c>
      <c r="F5859">
        <v>93100</v>
      </c>
      <c r="G5859" t="s">
        <v>331</v>
      </c>
      <c r="H5859" s="15">
        <v>45292</v>
      </c>
      <c r="I5859">
        <v>93100</v>
      </c>
      <c r="J5859">
        <v>0</v>
      </c>
    </row>
    <row r="5860" spans="1:10" x14ac:dyDescent="0.3">
      <c r="A5860" s="15">
        <v>45962</v>
      </c>
      <c r="B5860" t="s">
        <v>183</v>
      </c>
      <c r="C5860" t="s">
        <v>91</v>
      </c>
      <c r="D5860" t="s">
        <v>96</v>
      </c>
      <c r="E5860" t="s">
        <v>92</v>
      </c>
      <c r="F5860">
        <v>9500</v>
      </c>
      <c r="G5860" t="s">
        <v>331</v>
      </c>
      <c r="H5860" s="15">
        <v>45292</v>
      </c>
      <c r="I5860">
        <v>9500</v>
      </c>
      <c r="J5860">
        <v>0</v>
      </c>
    </row>
    <row r="5861" spans="1:10" x14ac:dyDescent="0.3">
      <c r="A5861" s="15">
        <v>45962</v>
      </c>
      <c r="B5861" t="s">
        <v>184</v>
      </c>
      <c r="C5861" t="s">
        <v>81</v>
      </c>
      <c r="D5861" t="s">
        <v>82</v>
      </c>
      <c r="E5861" t="s">
        <v>83</v>
      </c>
      <c r="F5861">
        <v>2600</v>
      </c>
      <c r="G5861" t="s">
        <v>331</v>
      </c>
      <c r="H5861" s="15">
        <v>45292</v>
      </c>
      <c r="I5861">
        <v>2600</v>
      </c>
      <c r="J5861">
        <v>0</v>
      </c>
    </row>
    <row r="5862" spans="1:10" x14ac:dyDescent="0.3">
      <c r="A5862" s="15">
        <v>45962</v>
      </c>
      <c r="B5862" t="s">
        <v>185</v>
      </c>
      <c r="C5862" t="s">
        <v>81</v>
      </c>
      <c r="D5862" t="s">
        <v>96</v>
      </c>
      <c r="E5862" t="s">
        <v>97</v>
      </c>
      <c r="F5862">
        <v>1900</v>
      </c>
      <c r="G5862" t="s">
        <v>331</v>
      </c>
      <c r="H5862" s="15">
        <v>45292</v>
      </c>
      <c r="I5862">
        <v>1900</v>
      </c>
      <c r="J5862">
        <v>0</v>
      </c>
    </row>
    <row r="5863" spans="1:10" x14ac:dyDescent="0.3">
      <c r="A5863" s="15">
        <v>45962</v>
      </c>
      <c r="B5863" t="s">
        <v>186</v>
      </c>
      <c r="C5863" t="s">
        <v>91</v>
      </c>
      <c r="D5863" t="s">
        <v>82</v>
      </c>
      <c r="E5863" t="s">
        <v>103</v>
      </c>
      <c r="F5863">
        <v>13900</v>
      </c>
      <c r="G5863" t="s">
        <v>331</v>
      </c>
      <c r="H5863" s="15">
        <v>45292</v>
      </c>
      <c r="I5863">
        <v>13900</v>
      </c>
      <c r="J5863">
        <v>0</v>
      </c>
    </row>
    <row r="5864" spans="1:10" x14ac:dyDescent="0.3">
      <c r="A5864" s="15">
        <v>45962</v>
      </c>
      <c r="B5864" t="s">
        <v>187</v>
      </c>
      <c r="C5864" t="s">
        <v>110</v>
      </c>
      <c r="D5864" t="s">
        <v>86</v>
      </c>
      <c r="E5864" t="s">
        <v>97</v>
      </c>
      <c r="F5864">
        <v>26700</v>
      </c>
      <c r="G5864" t="s">
        <v>331</v>
      </c>
      <c r="H5864" s="15">
        <v>45292</v>
      </c>
      <c r="I5864">
        <v>26700</v>
      </c>
      <c r="J5864">
        <v>0</v>
      </c>
    </row>
    <row r="5865" spans="1:10" x14ac:dyDescent="0.3">
      <c r="A5865" s="15">
        <v>45962</v>
      </c>
      <c r="B5865" t="s">
        <v>188</v>
      </c>
      <c r="C5865" t="s">
        <v>91</v>
      </c>
      <c r="D5865" t="s">
        <v>82</v>
      </c>
      <c r="E5865" t="s">
        <v>92</v>
      </c>
      <c r="F5865">
        <v>9900</v>
      </c>
      <c r="G5865" t="s">
        <v>331</v>
      </c>
      <c r="H5865" s="15">
        <v>45292</v>
      </c>
      <c r="I5865">
        <v>9900</v>
      </c>
      <c r="J5865">
        <v>0</v>
      </c>
    </row>
    <row r="5866" spans="1:10" x14ac:dyDescent="0.3">
      <c r="A5866" s="15">
        <v>45962</v>
      </c>
      <c r="B5866" t="s">
        <v>189</v>
      </c>
      <c r="C5866" t="s">
        <v>81</v>
      </c>
      <c r="D5866" t="s">
        <v>86</v>
      </c>
      <c r="E5866" t="s">
        <v>103</v>
      </c>
      <c r="F5866">
        <v>2000</v>
      </c>
      <c r="G5866" t="s">
        <v>331</v>
      </c>
      <c r="H5866" s="15">
        <v>45292</v>
      </c>
      <c r="I5866">
        <v>2000</v>
      </c>
      <c r="J5866">
        <v>0</v>
      </c>
    </row>
    <row r="5867" spans="1:10" x14ac:dyDescent="0.3">
      <c r="A5867" s="15">
        <v>45962</v>
      </c>
      <c r="B5867" t="s">
        <v>190</v>
      </c>
      <c r="C5867" t="s">
        <v>81</v>
      </c>
      <c r="D5867" t="s">
        <v>99</v>
      </c>
      <c r="E5867" t="s">
        <v>89</v>
      </c>
      <c r="F5867">
        <v>1900</v>
      </c>
      <c r="G5867" t="s">
        <v>331</v>
      </c>
      <c r="H5867" s="15">
        <v>45292</v>
      </c>
      <c r="I5867">
        <v>1900</v>
      </c>
      <c r="J5867">
        <v>0</v>
      </c>
    </row>
    <row r="5868" spans="1:10" x14ac:dyDescent="0.3">
      <c r="A5868" s="15">
        <v>45962</v>
      </c>
      <c r="B5868" t="s">
        <v>191</v>
      </c>
      <c r="C5868" t="s">
        <v>91</v>
      </c>
      <c r="D5868" t="s">
        <v>86</v>
      </c>
      <c r="E5868" t="s">
        <v>87</v>
      </c>
      <c r="F5868">
        <v>6900</v>
      </c>
      <c r="G5868" t="s">
        <v>331</v>
      </c>
      <c r="H5868" s="15">
        <v>45292</v>
      </c>
      <c r="I5868">
        <v>6900</v>
      </c>
      <c r="J5868">
        <v>0</v>
      </c>
    </row>
    <row r="5869" spans="1:10" x14ac:dyDescent="0.3">
      <c r="A5869" s="15">
        <v>45962</v>
      </c>
      <c r="B5869" t="s">
        <v>192</v>
      </c>
      <c r="C5869" t="s">
        <v>81</v>
      </c>
      <c r="D5869" t="s">
        <v>82</v>
      </c>
      <c r="E5869" t="s">
        <v>97</v>
      </c>
      <c r="F5869">
        <v>2600</v>
      </c>
      <c r="G5869" t="s">
        <v>334</v>
      </c>
      <c r="H5869" s="15">
        <v>45292</v>
      </c>
      <c r="I5869">
        <v>3000</v>
      </c>
      <c r="J5869">
        <v>-400</v>
      </c>
    </row>
    <row r="5870" spans="1:10" x14ac:dyDescent="0.3">
      <c r="A5870" s="15">
        <v>45962</v>
      </c>
      <c r="B5870" t="s">
        <v>193</v>
      </c>
      <c r="C5870" t="s">
        <v>81</v>
      </c>
      <c r="D5870" t="s">
        <v>82</v>
      </c>
      <c r="E5870" t="s">
        <v>87</v>
      </c>
      <c r="F5870">
        <v>3200</v>
      </c>
      <c r="G5870" t="s">
        <v>331</v>
      </c>
      <c r="H5870" s="15">
        <v>45292</v>
      </c>
      <c r="I5870">
        <v>3200</v>
      </c>
      <c r="J5870">
        <v>0</v>
      </c>
    </row>
    <row r="5871" spans="1:10" x14ac:dyDescent="0.3">
      <c r="A5871" s="15">
        <v>45962</v>
      </c>
      <c r="B5871" t="s">
        <v>194</v>
      </c>
      <c r="C5871" t="s">
        <v>91</v>
      </c>
      <c r="D5871" t="s">
        <v>82</v>
      </c>
      <c r="E5871" t="s">
        <v>101</v>
      </c>
      <c r="F5871">
        <v>11200</v>
      </c>
      <c r="G5871" t="s">
        <v>331</v>
      </c>
      <c r="H5871" s="15">
        <v>45292</v>
      </c>
      <c r="I5871">
        <v>11200</v>
      </c>
      <c r="J5871">
        <v>0</v>
      </c>
    </row>
    <row r="5872" spans="1:10" x14ac:dyDescent="0.3">
      <c r="A5872" s="15">
        <v>45962</v>
      </c>
      <c r="B5872" t="s">
        <v>195</v>
      </c>
      <c r="C5872" t="s">
        <v>91</v>
      </c>
      <c r="D5872" t="s">
        <v>86</v>
      </c>
      <c r="E5872" t="s">
        <v>97</v>
      </c>
      <c r="F5872">
        <v>6800</v>
      </c>
      <c r="G5872" t="s">
        <v>331</v>
      </c>
      <c r="H5872" s="15">
        <v>45292</v>
      </c>
      <c r="I5872">
        <v>6800</v>
      </c>
      <c r="J5872">
        <v>0</v>
      </c>
    </row>
    <row r="5873" spans="1:10" x14ac:dyDescent="0.3">
      <c r="A5873" s="15">
        <v>45962</v>
      </c>
      <c r="B5873" t="s">
        <v>197</v>
      </c>
      <c r="C5873" t="s">
        <v>91</v>
      </c>
      <c r="D5873" t="s">
        <v>82</v>
      </c>
      <c r="E5873" t="s">
        <v>89</v>
      </c>
      <c r="F5873">
        <v>12000</v>
      </c>
      <c r="G5873" t="s">
        <v>331</v>
      </c>
      <c r="H5873" s="15">
        <v>45292</v>
      </c>
      <c r="I5873">
        <v>12000</v>
      </c>
      <c r="J5873">
        <v>0</v>
      </c>
    </row>
    <row r="5874" spans="1:10" x14ac:dyDescent="0.3">
      <c r="A5874" s="15">
        <v>45962</v>
      </c>
      <c r="B5874" t="s">
        <v>198</v>
      </c>
      <c r="C5874" t="s">
        <v>81</v>
      </c>
      <c r="D5874" t="s">
        <v>82</v>
      </c>
      <c r="E5874" t="s">
        <v>89</v>
      </c>
      <c r="F5874">
        <v>2900</v>
      </c>
      <c r="G5874" t="s">
        <v>331</v>
      </c>
      <c r="H5874" s="15">
        <v>45292</v>
      </c>
      <c r="I5874">
        <v>2900</v>
      </c>
      <c r="J5874">
        <v>0</v>
      </c>
    </row>
    <row r="5875" spans="1:10" x14ac:dyDescent="0.3">
      <c r="A5875" s="15">
        <v>45962</v>
      </c>
      <c r="B5875" t="s">
        <v>199</v>
      </c>
      <c r="C5875" t="s">
        <v>81</v>
      </c>
      <c r="D5875" t="s">
        <v>86</v>
      </c>
      <c r="E5875" t="s">
        <v>89</v>
      </c>
      <c r="F5875">
        <v>2200</v>
      </c>
      <c r="G5875" t="s">
        <v>331</v>
      </c>
      <c r="H5875" s="15">
        <v>45292</v>
      </c>
      <c r="I5875">
        <v>2200</v>
      </c>
      <c r="J5875">
        <v>0</v>
      </c>
    </row>
    <row r="5876" spans="1:10" x14ac:dyDescent="0.3">
      <c r="A5876" s="15">
        <v>45962</v>
      </c>
      <c r="B5876" t="s">
        <v>200</v>
      </c>
      <c r="C5876" t="s">
        <v>91</v>
      </c>
      <c r="D5876" t="s">
        <v>86</v>
      </c>
      <c r="E5876" t="s">
        <v>92</v>
      </c>
      <c r="F5876">
        <v>8800</v>
      </c>
      <c r="G5876" t="s">
        <v>331</v>
      </c>
      <c r="H5876" s="15">
        <v>45292</v>
      </c>
      <c r="I5876">
        <v>8800</v>
      </c>
      <c r="J5876">
        <v>0</v>
      </c>
    </row>
    <row r="5877" spans="1:10" x14ac:dyDescent="0.3">
      <c r="A5877" s="15">
        <v>45962</v>
      </c>
      <c r="B5877" t="s">
        <v>201</v>
      </c>
      <c r="C5877" t="s">
        <v>81</v>
      </c>
      <c r="D5877" t="s">
        <v>86</v>
      </c>
      <c r="E5877" t="s">
        <v>83</v>
      </c>
      <c r="F5877">
        <v>1800</v>
      </c>
      <c r="G5877" t="s">
        <v>331</v>
      </c>
      <c r="H5877" s="15">
        <v>45292</v>
      </c>
      <c r="I5877">
        <v>1800</v>
      </c>
      <c r="J5877">
        <v>0</v>
      </c>
    </row>
    <row r="5878" spans="1:10" x14ac:dyDescent="0.3">
      <c r="A5878" s="15">
        <v>45962</v>
      </c>
      <c r="B5878" t="s">
        <v>202</v>
      </c>
      <c r="C5878" t="s">
        <v>91</v>
      </c>
      <c r="D5878" t="s">
        <v>82</v>
      </c>
      <c r="E5878" t="s">
        <v>92</v>
      </c>
      <c r="F5878">
        <v>11000</v>
      </c>
      <c r="G5878" t="s">
        <v>331</v>
      </c>
      <c r="H5878" s="15">
        <v>45292</v>
      </c>
      <c r="I5878">
        <v>11000</v>
      </c>
      <c r="J5878">
        <v>0</v>
      </c>
    </row>
    <row r="5879" spans="1:10" x14ac:dyDescent="0.3">
      <c r="A5879" s="15">
        <v>45962</v>
      </c>
      <c r="B5879" t="s">
        <v>204</v>
      </c>
      <c r="C5879" t="s">
        <v>81</v>
      </c>
      <c r="D5879" t="s">
        <v>82</v>
      </c>
      <c r="E5879" t="s">
        <v>87</v>
      </c>
      <c r="F5879">
        <v>1900</v>
      </c>
      <c r="G5879" t="s">
        <v>331</v>
      </c>
      <c r="H5879" s="15">
        <v>45292</v>
      </c>
      <c r="I5879">
        <v>1900</v>
      </c>
      <c r="J5879">
        <v>0</v>
      </c>
    </row>
    <row r="5880" spans="1:10" x14ac:dyDescent="0.3">
      <c r="A5880" s="15">
        <v>45962</v>
      </c>
      <c r="B5880" t="s">
        <v>205</v>
      </c>
      <c r="C5880" t="s">
        <v>91</v>
      </c>
      <c r="D5880" t="s">
        <v>86</v>
      </c>
      <c r="E5880" t="s">
        <v>103</v>
      </c>
      <c r="F5880">
        <v>9800</v>
      </c>
      <c r="G5880" t="s">
        <v>331</v>
      </c>
      <c r="H5880" s="15">
        <v>45292</v>
      </c>
      <c r="I5880">
        <v>9800</v>
      </c>
      <c r="J5880">
        <v>0</v>
      </c>
    </row>
    <row r="5881" spans="1:10" x14ac:dyDescent="0.3">
      <c r="A5881" s="15">
        <v>45962</v>
      </c>
      <c r="B5881" t="s">
        <v>206</v>
      </c>
      <c r="C5881" t="s">
        <v>81</v>
      </c>
      <c r="D5881" t="s">
        <v>86</v>
      </c>
      <c r="E5881" t="s">
        <v>89</v>
      </c>
      <c r="F5881">
        <v>3000</v>
      </c>
      <c r="G5881" t="s">
        <v>331</v>
      </c>
      <c r="H5881" s="15">
        <v>45292</v>
      </c>
      <c r="I5881">
        <v>3000</v>
      </c>
      <c r="J5881">
        <v>0</v>
      </c>
    </row>
    <row r="5882" spans="1:10" x14ac:dyDescent="0.3">
      <c r="A5882" s="15">
        <v>45962</v>
      </c>
      <c r="B5882" t="s">
        <v>207</v>
      </c>
      <c r="C5882" t="s">
        <v>81</v>
      </c>
      <c r="D5882" t="s">
        <v>82</v>
      </c>
      <c r="E5882" t="s">
        <v>89</v>
      </c>
      <c r="F5882">
        <v>3500</v>
      </c>
      <c r="G5882" t="s">
        <v>331</v>
      </c>
      <c r="H5882" s="15">
        <v>45292</v>
      </c>
      <c r="I5882">
        <v>3500</v>
      </c>
      <c r="J5882">
        <v>0</v>
      </c>
    </row>
    <row r="5883" spans="1:10" x14ac:dyDescent="0.3">
      <c r="A5883" s="15">
        <v>45962</v>
      </c>
      <c r="B5883" t="s">
        <v>208</v>
      </c>
      <c r="C5883" t="s">
        <v>91</v>
      </c>
      <c r="D5883" t="s">
        <v>99</v>
      </c>
      <c r="E5883" t="s">
        <v>89</v>
      </c>
      <c r="F5883">
        <v>8400</v>
      </c>
      <c r="G5883" t="s">
        <v>331</v>
      </c>
      <c r="H5883" s="15">
        <v>45292</v>
      </c>
      <c r="I5883">
        <v>8400</v>
      </c>
      <c r="J5883">
        <v>0</v>
      </c>
    </row>
    <row r="5884" spans="1:10" x14ac:dyDescent="0.3">
      <c r="A5884" s="15">
        <v>45962</v>
      </c>
      <c r="B5884" t="s">
        <v>209</v>
      </c>
      <c r="C5884" t="s">
        <v>81</v>
      </c>
      <c r="D5884" t="s">
        <v>86</v>
      </c>
      <c r="E5884" t="s">
        <v>83</v>
      </c>
      <c r="F5884">
        <v>3100</v>
      </c>
      <c r="G5884" t="s">
        <v>331</v>
      </c>
      <c r="H5884" s="15">
        <v>45292</v>
      </c>
      <c r="I5884">
        <v>3100</v>
      </c>
      <c r="J5884">
        <v>0</v>
      </c>
    </row>
    <row r="5885" spans="1:10" x14ac:dyDescent="0.3">
      <c r="A5885" s="15">
        <v>45962</v>
      </c>
      <c r="B5885" t="s">
        <v>210</v>
      </c>
      <c r="C5885" t="s">
        <v>125</v>
      </c>
      <c r="D5885" t="s">
        <v>96</v>
      </c>
      <c r="E5885" t="s">
        <v>89</v>
      </c>
      <c r="F5885">
        <v>90300</v>
      </c>
      <c r="G5885" t="s">
        <v>331</v>
      </c>
      <c r="H5885" s="15">
        <v>45292</v>
      </c>
      <c r="I5885">
        <v>90300</v>
      </c>
      <c r="J5885">
        <v>0</v>
      </c>
    </row>
    <row r="5886" spans="1:10" x14ac:dyDescent="0.3">
      <c r="A5886" s="15">
        <v>45962</v>
      </c>
      <c r="B5886" t="s">
        <v>211</v>
      </c>
      <c r="C5886" t="s">
        <v>110</v>
      </c>
      <c r="D5886" t="s">
        <v>82</v>
      </c>
      <c r="E5886" t="s">
        <v>92</v>
      </c>
      <c r="F5886">
        <v>30600</v>
      </c>
      <c r="G5886" t="s">
        <v>332</v>
      </c>
      <c r="H5886" s="15">
        <v>45292</v>
      </c>
      <c r="I5886">
        <v>28900</v>
      </c>
      <c r="J5886">
        <v>1700</v>
      </c>
    </row>
    <row r="5887" spans="1:10" x14ac:dyDescent="0.3">
      <c r="A5887" s="15">
        <v>45962</v>
      </c>
      <c r="B5887" t="s">
        <v>213</v>
      </c>
      <c r="C5887" t="s">
        <v>81</v>
      </c>
      <c r="D5887" t="s">
        <v>82</v>
      </c>
      <c r="E5887" t="s">
        <v>97</v>
      </c>
      <c r="F5887">
        <v>3300</v>
      </c>
      <c r="G5887" t="s">
        <v>331</v>
      </c>
      <c r="H5887" s="15">
        <v>45292</v>
      </c>
      <c r="I5887">
        <v>3300</v>
      </c>
      <c r="J5887">
        <v>0</v>
      </c>
    </row>
    <row r="5888" spans="1:10" x14ac:dyDescent="0.3">
      <c r="A5888" s="15">
        <v>45962</v>
      </c>
      <c r="B5888" t="s">
        <v>214</v>
      </c>
      <c r="C5888" t="s">
        <v>91</v>
      </c>
      <c r="D5888" t="s">
        <v>82</v>
      </c>
      <c r="E5888" t="s">
        <v>89</v>
      </c>
      <c r="F5888">
        <v>8700</v>
      </c>
      <c r="G5888" t="s">
        <v>331</v>
      </c>
      <c r="H5888" s="15">
        <v>45292</v>
      </c>
      <c r="I5888">
        <v>8700</v>
      </c>
      <c r="J5888">
        <v>0</v>
      </c>
    </row>
    <row r="5889" spans="1:10" x14ac:dyDescent="0.3">
      <c r="A5889" s="15">
        <v>45962</v>
      </c>
      <c r="B5889" t="s">
        <v>216</v>
      </c>
      <c r="C5889" t="s">
        <v>81</v>
      </c>
      <c r="D5889" t="s">
        <v>82</v>
      </c>
      <c r="E5889" t="s">
        <v>97</v>
      </c>
      <c r="F5889">
        <v>3500</v>
      </c>
      <c r="G5889" t="s">
        <v>331</v>
      </c>
      <c r="H5889" s="15">
        <v>45292</v>
      </c>
      <c r="I5889">
        <v>3500</v>
      </c>
      <c r="J5889">
        <v>0</v>
      </c>
    </row>
    <row r="5890" spans="1:10" x14ac:dyDescent="0.3">
      <c r="A5890" s="15">
        <v>45962</v>
      </c>
      <c r="B5890" t="s">
        <v>217</v>
      </c>
      <c r="C5890" t="s">
        <v>91</v>
      </c>
      <c r="D5890" t="s">
        <v>82</v>
      </c>
      <c r="E5890" t="s">
        <v>97</v>
      </c>
      <c r="F5890">
        <v>9000</v>
      </c>
      <c r="G5890" t="s">
        <v>331</v>
      </c>
      <c r="H5890" s="15">
        <v>45292</v>
      </c>
      <c r="I5890">
        <v>9000</v>
      </c>
      <c r="J5890">
        <v>0</v>
      </c>
    </row>
    <row r="5891" spans="1:10" x14ac:dyDescent="0.3">
      <c r="A5891" s="15">
        <v>45962</v>
      </c>
      <c r="B5891" t="s">
        <v>218</v>
      </c>
      <c r="C5891" t="s">
        <v>110</v>
      </c>
      <c r="D5891" t="s">
        <v>99</v>
      </c>
      <c r="E5891" t="s">
        <v>92</v>
      </c>
      <c r="F5891">
        <v>32200</v>
      </c>
      <c r="G5891" t="s">
        <v>331</v>
      </c>
      <c r="H5891" s="15">
        <v>45292</v>
      </c>
      <c r="I5891">
        <v>32200</v>
      </c>
      <c r="J5891">
        <v>0</v>
      </c>
    </row>
    <row r="5892" spans="1:10" x14ac:dyDescent="0.3">
      <c r="A5892" s="15">
        <v>45962</v>
      </c>
      <c r="B5892" t="s">
        <v>219</v>
      </c>
      <c r="C5892" t="s">
        <v>81</v>
      </c>
      <c r="D5892" t="s">
        <v>99</v>
      </c>
      <c r="E5892" t="s">
        <v>89</v>
      </c>
      <c r="F5892">
        <v>2500</v>
      </c>
      <c r="G5892" t="s">
        <v>331</v>
      </c>
      <c r="H5892" s="15">
        <v>45292</v>
      </c>
      <c r="I5892">
        <v>2500</v>
      </c>
      <c r="J5892">
        <v>0</v>
      </c>
    </row>
    <row r="5893" spans="1:10" x14ac:dyDescent="0.3">
      <c r="A5893" s="15">
        <v>45962</v>
      </c>
      <c r="B5893" t="s">
        <v>220</v>
      </c>
      <c r="C5893" t="s">
        <v>110</v>
      </c>
      <c r="D5893" t="s">
        <v>82</v>
      </c>
      <c r="E5893" t="s">
        <v>89</v>
      </c>
      <c r="F5893">
        <v>30800</v>
      </c>
      <c r="G5893" t="s">
        <v>331</v>
      </c>
      <c r="H5893" s="15">
        <v>45292</v>
      </c>
      <c r="I5893">
        <v>30800</v>
      </c>
      <c r="J5893">
        <v>0</v>
      </c>
    </row>
    <row r="5894" spans="1:10" x14ac:dyDescent="0.3">
      <c r="A5894" s="15">
        <v>45962</v>
      </c>
      <c r="B5894" t="s">
        <v>224</v>
      </c>
      <c r="C5894" t="s">
        <v>91</v>
      </c>
      <c r="D5894" t="s">
        <v>82</v>
      </c>
      <c r="E5894" t="s">
        <v>101</v>
      </c>
      <c r="F5894">
        <v>10600</v>
      </c>
      <c r="G5894" t="s">
        <v>331</v>
      </c>
      <c r="H5894" s="15">
        <v>45292</v>
      </c>
      <c r="I5894">
        <v>10600</v>
      </c>
      <c r="J5894">
        <v>0</v>
      </c>
    </row>
    <row r="5895" spans="1:10" x14ac:dyDescent="0.3">
      <c r="A5895" s="15">
        <v>45962</v>
      </c>
      <c r="B5895" t="s">
        <v>225</v>
      </c>
      <c r="C5895" t="s">
        <v>110</v>
      </c>
      <c r="D5895" t="s">
        <v>99</v>
      </c>
      <c r="E5895" t="s">
        <v>103</v>
      </c>
      <c r="F5895">
        <v>42200</v>
      </c>
      <c r="G5895" t="s">
        <v>331</v>
      </c>
      <c r="H5895" s="15">
        <v>45292</v>
      </c>
      <c r="I5895">
        <v>42200</v>
      </c>
      <c r="J5895">
        <v>0</v>
      </c>
    </row>
    <row r="5896" spans="1:10" x14ac:dyDescent="0.3">
      <c r="A5896" s="15">
        <v>45962</v>
      </c>
      <c r="B5896" t="s">
        <v>226</v>
      </c>
      <c r="C5896" t="s">
        <v>91</v>
      </c>
      <c r="D5896" t="s">
        <v>82</v>
      </c>
      <c r="E5896" t="s">
        <v>103</v>
      </c>
      <c r="F5896">
        <v>5300</v>
      </c>
      <c r="G5896" t="s">
        <v>331</v>
      </c>
      <c r="H5896" s="15">
        <v>45292</v>
      </c>
      <c r="I5896">
        <v>5300</v>
      </c>
      <c r="J5896">
        <v>0</v>
      </c>
    </row>
    <row r="5897" spans="1:10" x14ac:dyDescent="0.3">
      <c r="A5897" s="15">
        <v>45962</v>
      </c>
      <c r="B5897" t="s">
        <v>227</v>
      </c>
      <c r="C5897" t="s">
        <v>110</v>
      </c>
      <c r="D5897" t="s">
        <v>86</v>
      </c>
      <c r="E5897" t="s">
        <v>87</v>
      </c>
      <c r="F5897">
        <v>27900</v>
      </c>
      <c r="G5897" t="s">
        <v>331</v>
      </c>
      <c r="H5897" s="15">
        <v>45292</v>
      </c>
      <c r="I5897">
        <v>27900</v>
      </c>
      <c r="J5897">
        <v>0</v>
      </c>
    </row>
    <row r="5898" spans="1:10" x14ac:dyDescent="0.3">
      <c r="A5898" s="15">
        <v>45962</v>
      </c>
      <c r="B5898" t="s">
        <v>228</v>
      </c>
      <c r="C5898" t="s">
        <v>91</v>
      </c>
      <c r="D5898" t="s">
        <v>96</v>
      </c>
      <c r="E5898" t="s">
        <v>89</v>
      </c>
      <c r="F5898">
        <v>12000</v>
      </c>
      <c r="G5898" t="s">
        <v>331</v>
      </c>
      <c r="H5898" s="15">
        <v>45292</v>
      </c>
      <c r="I5898">
        <v>12000</v>
      </c>
      <c r="J5898">
        <v>0</v>
      </c>
    </row>
    <row r="5899" spans="1:10" x14ac:dyDescent="0.3">
      <c r="A5899" s="15">
        <v>45962</v>
      </c>
      <c r="B5899" t="s">
        <v>229</v>
      </c>
      <c r="C5899" t="s">
        <v>81</v>
      </c>
      <c r="D5899" t="s">
        <v>82</v>
      </c>
      <c r="E5899" t="s">
        <v>83</v>
      </c>
      <c r="F5899">
        <v>3700</v>
      </c>
      <c r="G5899" t="s">
        <v>331</v>
      </c>
      <c r="H5899" s="15">
        <v>45292</v>
      </c>
      <c r="I5899">
        <v>3700</v>
      </c>
      <c r="J5899">
        <v>0</v>
      </c>
    </row>
    <row r="5900" spans="1:10" x14ac:dyDescent="0.3">
      <c r="A5900" s="15">
        <v>45962</v>
      </c>
      <c r="B5900" t="s">
        <v>230</v>
      </c>
      <c r="C5900" t="s">
        <v>81</v>
      </c>
      <c r="D5900" t="s">
        <v>86</v>
      </c>
      <c r="E5900" t="s">
        <v>101</v>
      </c>
      <c r="F5900">
        <v>3400</v>
      </c>
      <c r="G5900" t="s">
        <v>331</v>
      </c>
      <c r="H5900" s="15">
        <v>45292</v>
      </c>
      <c r="I5900">
        <v>3400</v>
      </c>
      <c r="J5900">
        <v>0</v>
      </c>
    </row>
    <row r="5901" spans="1:10" x14ac:dyDescent="0.3">
      <c r="A5901" s="15">
        <v>45962</v>
      </c>
      <c r="B5901" t="s">
        <v>231</v>
      </c>
      <c r="C5901" t="s">
        <v>91</v>
      </c>
      <c r="D5901" t="s">
        <v>82</v>
      </c>
      <c r="E5901" t="s">
        <v>92</v>
      </c>
      <c r="F5901">
        <v>6900</v>
      </c>
      <c r="G5901" t="s">
        <v>331</v>
      </c>
      <c r="H5901" s="15">
        <v>45292</v>
      </c>
      <c r="I5901">
        <v>6900</v>
      </c>
      <c r="J5901">
        <v>0</v>
      </c>
    </row>
    <row r="5902" spans="1:10" x14ac:dyDescent="0.3">
      <c r="A5902" s="15">
        <v>45962</v>
      </c>
      <c r="B5902" t="s">
        <v>232</v>
      </c>
      <c r="C5902" t="s">
        <v>125</v>
      </c>
      <c r="D5902" t="s">
        <v>86</v>
      </c>
      <c r="E5902" t="s">
        <v>83</v>
      </c>
      <c r="F5902">
        <v>121100</v>
      </c>
      <c r="G5902" t="s">
        <v>331</v>
      </c>
      <c r="H5902" s="15">
        <v>45292</v>
      </c>
      <c r="I5902">
        <v>121100</v>
      </c>
      <c r="J5902">
        <v>0</v>
      </c>
    </row>
    <row r="5903" spans="1:10" x14ac:dyDescent="0.3">
      <c r="A5903" s="15">
        <v>45962</v>
      </c>
      <c r="B5903" t="s">
        <v>233</v>
      </c>
      <c r="C5903" t="s">
        <v>81</v>
      </c>
      <c r="D5903" t="s">
        <v>82</v>
      </c>
      <c r="E5903" t="s">
        <v>87</v>
      </c>
      <c r="F5903">
        <v>3300</v>
      </c>
      <c r="G5903" t="s">
        <v>331</v>
      </c>
      <c r="H5903" s="15">
        <v>45292</v>
      </c>
      <c r="I5903">
        <v>3300</v>
      </c>
      <c r="J5903">
        <v>0</v>
      </c>
    </row>
    <row r="5904" spans="1:10" x14ac:dyDescent="0.3">
      <c r="A5904" s="15">
        <v>45962</v>
      </c>
      <c r="B5904" t="s">
        <v>234</v>
      </c>
      <c r="C5904" t="s">
        <v>110</v>
      </c>
      <c r="D5904" t="s">
        <v>82</v>
      </c>
      <c r="E5904" t="s">
        <v>103</v>
      </c>
      <c r="F5904">
        <v>43400</v>
      </c>
      <c r="G5904" t="s">
        <v>331</v>
      </c>
      <c r="H5904" s="15">
        <v>45292</v>
      </c>
      <c r="I5904">
        <v>43400</v>
      </c>
      <c r="J5904">
        <v>0</v>
      </c>
    </row>
    <row r="5905" spans="1:10" x14ac:dyDescent="0.3">
      <c r="A5905" s="15">
        <v>45962</v>
      </c>
      <c r="B5905" t="s">
        <v>235</v>
      </c>
      <c r="C5905" t="s">
        <v>91</v>
      </c>
      <c r="D5905" t="s">
        <v>96</v>
      </c>
      <c r="E5905" t="s">
        <v>103</v>
      </c>
      <c r="F5905">
        <v>11100</v>
      </c>
      <c r="G5905" t="s">
        <v>331</v>
      </c>
      <c r="H5905" s="15">
        <v>45292</v>
      </c>
      <c r="I5905">
        <v>11100</v>
      </c>
      <c r="J5905">
        <v>0</v>
      </c>
    </row>
    <row r="5906" spans="1:10" x14ac:dyDescent="0.3">
      <c r="A5906" s="15">
        <v>45962</v>
      </c>
      <c r="B5906" t="s">
        <v>236</v>
      </c>
      <c r="C5906" t="s">
        <v>110</v>
      </c>
      <c r="D5906" t="s">
        <v>82</v>
      </c>
      <c r="E5906" t="s">
        <v>97</v>
      </c>
      <c r="F5906">
        <v>27200</v>
      </c>
      <c r="G5906" t="s">
        <v>331</v>
      </c>
      <c r="H5906" s="15">
        <v>45292</v>
      </c>
      <c r="I5906">
        <v>27200</v>
      </c>
      <c r="J5906">
        <v>0</v>
      </c>
    </row>
    <row r="5907" spans="1:10" x14ac:dyDescent="0.3">
      <c r="A5907" s="15">
        <v>45962</v>
      </c>
      <c r="B5907" t="s">
        <v>237</v>
      </c>
      <c r="C5907" t="s">
        <v>91</v>
      </c>
      <c r="D5907" t="s">
        <v>82</v>
      </c>
      <c r="E5907" t="s">
        <v>83</v>
      </c>
      <c r="F5907">
        <v>6900</v>
      </c>
      <c r="G5907" t="s">
        <v>331</v>
      </c>
      <c r="H5907" s="15">
        <v>45292</v>
      </c>
      <c r="I5907">
        <v>6900</v>
      </c>
      <c r="J5907">
        <v>0</v>
      </c>
    </row>
    <row r="5908" spans="1:10" x14ac:dyDescent="0.3">
      <c r="A5908" s="15">
        <v>45962</v>
      </c>
      <c r="B5908" t="s">
        <v>238</v>
      </c>
      <c r="C5908" t="s">
        <v>81</v>
      </c>
      <c r="D5908" t="s">
        <v>99</v>
      </c>
      <c r="E5908" t="s">
        <v>97</v>
      </c>
      <c r="F5908">
        <v>2300</v>
      </c>
      <c r="G5908" t="s">
        <v>331</v>
      </c>
      <c r="H5908" s="15">
        <v>45292</v>
      </c>
      <c r="I5908">
        <v>2300</v>
      </c>
      <c r="J5908">
        <v>0</v>
      </c>
    </row>
    <row r="5909" spans="1:10" x14ac:dyDescent="0.3">
      <c r="A5909" s="15">
        <v>45962</v>
      </c>
      <c r="B5909" t="s">
        <v>239</v>
      </c>
      <c r="C5909" t="s">
        <v>81</v>
      </c>
      <c r="D5909" t="s">
        <v>82</v>
      </c>
      <c r="E5909" t="s">
        <v>103</v>
      </c>
      <c r="F5909">
        <v>2500</v>
      </c>
      <c r="G5909" t="s">
        <v>331</v>
      </c>
      <c r="H5909" s="15">
        <v>45292</v>
      </c>
      <c r="I5909">
        <v>2500</v>
      </c>
      <c r="J5909">
        <v>0</v>
      </c>
    </row>
    <row r="5910" spans="1:10" x14ac:dyDescent="0.3">
      <c r="A5910" s="15">
        <v>45962</v>
      </c>
      <c r="B5910" t="s">
        <v>240</v>
      </c>
      <c r="C5910" t="s">
        <v>81</v>
      </c>
      <c r="D5910" t="s">
        <v>99</v>
      </c>
      <c r="E5910" t="s">
        <v>103</v>
      </c>
      <c r="F5910">
        <v>2300</v>
      </c>
      <c r="G5910" t="s">
        <v>331</v>
      </c>
      <c r="H5910" s="15">
        <v>45292</v>
      </c>
      <c r="I5910">
        <v>2300</v>
      </c>
      <c r="J5910">
        <v>0</v>
      </c>
    </row>
    <row r="5911" spans="1:10" x14ac:dyDescent="0.3">
      <c r="A5911" s="15">
        <v>45962</v>
      </c>
      <c r="B5911" t="s">
        <v>241</v>
      </c>
      <c r="C5911" t="s">
        <v>91</v>
      </c>
      <c r="D5911" t="s">
        <v>96</v>
      </c>
      <c r="E5911" t="s">
        <v>87</v>
      </c>
      <c r="F5911">
        <v>12100</v>
      </c>
      <c r="G5911" t="s">
        <v>331</v>
      </c>
      <c r="H5911" s="15">
        <v>45292</v>
      </c>
      <c r="I5911">
        <v>12100</v>
      </c>
      <c r="J5911">
        <v>0</v>
      </c>
    </row>
    <row r="5912" spans="1:10" x14ac:dyDescent="0.3">
      <c r="A5912" s="15">
        <v>45962</v>
      </c>
      <c r="B5912" t="s">
        <v>242</v>
      </c>
      <c r="C5912" t="s">
        <v>110</v>
      </c>
      <c r="D5912" t="s">
        <v>99</v>
      </c>
      <c r="E5912" t="s">
        <v>101</v>
      </c>
      <c r="F5912">
        <v>34800</v>
      </c>
      <c r="G5912" t="s">
        <v>331</v>
      </c>
      <c r="H5912" s="15">
        <v>45292</v>
      </c>
      <c r="I5912">
        <v>34800</v>
      </c>
      <c r="J5912">
        <v>0</v>
      </c>
    </row>
    <row r="5913" spans="1:10" x14ac:dyDescent="0.3">
      <c r="A5913" s="15">
        <v>45962</v>
      </c>
      <c r="B5913" t="s">
        <v>244</v>
      </c>
      <c r="C5913" t="s">
        <v>91</v>
      </c>
      <c r="D5913" t="s">
        <v>82</v>
      </c>
      <c r="E5913" t="s">
        <v>92</v>
      </c>
      <c r="F5913">
        <v>7800</v>
      </c>
      <c r="G5913" t="s">
        <v>331</v>
      </c>
      <c r="H5913" s="15">
        <v>45292</v>
      </c>
      <c r="I5913">
        <v>7800</v>
      </c>
      <c r="J5913">
        <v>0</v>
      </c>
    </row>
    <row r="5914" spans="1:10" x14ac:dyDescent="0.3">
      <c r="A5914" s="15">
        <v>45962</v>
      </c>
      <c r="B5914" t="s">
        <v>245</v>
      </c>
      <c r="C5914" t="s">
        <v>81</v>
      </c>
      <c r="D5914" t="s">
        <v>99</v>
      </c>
      <c r="E5914" t="s">
        <v>97</v>
      </c>
      <c r="F5914">
        <v>2900</v>
      </c>
      <c r="G5914" t="s">
        <v>331</v>
      </c>
      <c r="H5914" s="15">
        <v>45292</v>
      </c>
      <c r="I5914">
        <v>2900</v>
      </c>
      <c r="J5914">
        <v>0</v>
      </c>
    </row>
    <row r="5915" spans="1:10" x14ac:dyDescent="0.3">
      <c r="A5915" s="15">
        <v>45962</v>
      </c>
      <c r="B5915" t="s">
        <v>246</v>
      </c>
      <c r="C5915" t="s">
        <v>91</v>
      </c>
      <c r="D5915" t="s">
        <v>86</v>
      </c>
      <c r="E5915" t="s">
        <v>103</v>
      </c>
      <c r="F5915">
        <v>10100</v>
      </c>
      <c r="G5915" t="s">
        <v>331</v>
      </c>
      <c r="H5915" s="15">
        <v>45292</v>
      </c>
      <c r="I5915">
        <v>10100</v>
      </c>
      <c r="J5915">
        <v>0</v>
      </c>
    </row>
    <row r="5916" spans="1:10" x14ac:dyDescent="0.3">
      <c r="A5916" s="15">
        <v>45962</v>
      </c>
      <c r="B5916" t="s">
        <v>247</v>
      </c>
      <c r="C5916" t="s">
        <v>91</v>
      </c>
      <c r="D5916" t="s">
        <v>86</v>
      </c>
      <c r="E5916" t="s">
        <v>89</v>
      </c>
      <c r="F5916">
        <v>7800</v>
      </c>
      <c r="G5916" t="s">
        <v>331</v>
      </c>
      <c r="H5916" s="15">
        <v>45292</v>
      </c>
      <c r="I5916">
        <v>7800</v>
      </c>
      <c r="J5916">
        <v>0</v>
      </c>
    </row>
    <row r="5917" spans="1:10" x14ac:dyDescent="0.3">
      <c r="A5917" s="15">
        <v>45962</v>
      </c>
      <c r="B5917" t="s">
        <v>248</v>
      </c>
      <c r="C5917" t="s">
        <v>81</v>
      </c>
      <c r="D5917" t="s">
        <v>82</v>
      </c>
      <c r="E5917" t="s">
        <v>103</v>
      </c>
      <c r="F5917">
        <v>2100</v>
      </c>
      <c r="G5917" t="s">
        <v>331</v>
      </c>
      <c r="H5917" s="15">
        <v>45292</v>
      </c>
      <c r="I5917">
        <v>2100</v>
      </c>
      <c r="J5917">
        <v>0</v>
      </c>
    </row>
    <row r="5918" spans="1:10" x14ac:dyDescent="0.3">
      <c r="A5918" s="15">
        <v>45962</v>
      </c>
      <c r="B5918" t="s">
        <v>250</v>
      </c>
      <c r="C5918" t="s">
        <v>81</v>
      </c>
      <c r="D5918" t="s">
        <v>86</v>
      </c>
      <c r="E5918" t="s">
        <v>87</v>
      </c>
      <c r="F5918">
        <v>2600</v>
      </c>
      <c r="G5918" t="s">
        <v>331</v>
      </c>
      <c r="H5918" s="15">
        <v>45292</v>
      </c>
      <c r="I5918">
        <v>2600</v>
      </c>
      <c r="J5918">
        <v>0</v>
      </c>
    </row>
    <row r="5919" spans="1:10" x14ac:dyDescent="0.3">
      <c r="A5919" s="15">
        <v>45962</v>
      </c>
      <c r="B5919" t="s">
        <v>251</v>
      </c>
      <c r="C5919" t="s">
        <v>91</v>
      </c>
      <c r="D5919" t="s">
        <v>99</v>
      </c>
      <c r="E5919" t="s">
        <v>103</v>
      </c>
      <c r="F5919">
        <v>8800</v>
      </c>
      <c r="G5919" t="s">
        <v>331</v>
      </c>
      <c r="H5919" s="15">
        <v>45292</v>
      </c>
      <c r="I5919">
        <v>8800</v>
      </c>
      <c r="J5919">
        <v>0</v>
      </c>
    </row>
    <row r="5920" spans="1:10" x14ac:dyDescent="0.3">
      <c r="A5920" s="15">
        <v>45962</v>
      </c>
      <c r="B5920" t="s">
        <v>252</v>
      </c>
      <c r="C5920" t="s">
        <v>81</v>
      </c>
      <c r="D5920" t="s">
        <v>99</v>
      </c>
      <c r="E5920" t="s">
        <v>92</v>
      </c>
      <c r="F5920">
        <v>3400</v>
      </c>
      <c r="G5920" t="s">
        <v>331</v>
      </c>
      <c r="H5920" s="15">
        <v>45292</v>
      </c>
      <c r="I5920">
        <v>3400</v>
      </c>
      <c r="J5920">
        <v>0</v>
      </c>
    </row>
    <row r="5921" spans="1:10" x14ac:dyDescent="0.3">
      <c r="A5921" s="15">
        <v>45962</v>
      </c>
      <c r="B5921" t="s">
        <v>253</v>
      </c>
      <c r="C5921" t="s">
        <v>81</v>
      </c>
      <c r="D5921" t="s">
        <v>96</v>
      </c>
      <c r="E5921" t="s">
        <v>89</v>
      </c>
      <c r="F5921">
        <v>2400</v>
      </c>
      <c r="G5921" t="s">
        <v>331</v>
      </c>
      <c r="H5921" s="15">
        <v>45292</v>
      </c>
      <c r="I5921">
        <v>2400</v>
      </c>
      <c r="J5921">
        <v>0</v>
      </c>
    </row>
    <row r="5922" spans="1:10" x14ac:dyDescent="0.3">
      <c r="A5922" s="15">
        <v>45962</v>
      </c>
      <c r="B5922" t="s">
        <v>254</v>
      </c>
      <c r="C5922" t="s">
        <v>110</v>
      </c>
      <c r="D5922" t="s">
        <v>86</v>
      </c>
      <c r="E5922" t="s">
        <v>103</v>
      </c>
      <c r="F5922">
        <v>56100</v>
      </c>
      <c r="G5922" t="s">
        <v>331</v>
      </c>
      <c r="H5922" s="15">
        <v>45292</v>
      </c>
      <c r="I5922">
        <v>56100</v>
      </c>
      <c r="J5922">
        <v>0</v>
      </c>
    </row>
    <row r="5923" spans="1:10" x14ac:dyDescent="0.3">
      <c r="A5923" s="15">
        <v>45962</v>
      </c>
      <c r="B5923" t="s">
        <v>255</v>
      </c>
      <c r="C5923" t="s">
        <v>91</v>
      </c>
      <c r="D5923" t="s">
        <v>86</v>
      </c>
      <c r="E5923" t="s">
        <v>89</v>
      </c>
      <c r="F5923">
        <v>9900</v>
      </c>
      <c r="G5923" t="s">
        <v>331</v>
      </c>
      <c r="H5923" s="15">
        <v>45292</v>
      </c>
      <c r="I5923">
        <v>9900</v>
      </c>
      <c r="J5923">
        <v>0</v>
      </c>
    </row>
    <row r="5924" spans="1:10" x14ac:dyDescent="0.3">
      <c r="A5924" s="15">
        <v>45962</v>
      </c>
      <c r="B5924" t="s">
        <v>256</v>
      </c>
      <c r="C5924" t="s">
        <v>81</v>
      </c>
      <c r="D5924" t="s">
        <v>82</v>
      </c>
      <c r="E5924" t="s">
        <v>103</v>
      </c>
      <c r="F5924">
        <v>1800</v>
      </c>
      <c r="G5924" t="s">
        <v>331</v>
      </c>
      <c r="H5924" s="15">
        <v>45292</v>
      </c>
      <c r="I5924">
        <v>1800</v>
      </c>
      <c r="J5924">
        <v>0</v>
      </c>
    </row>
    <row r="5925" spans="1:10" x14ac:dyDescent="0.3">
      <c r="A5925" s="15">
        <v>45962</v>
      </c>
      <c r="B5925" t="s">
        <v>258</v>
      </c>
      <c r="C5925" t="s">
        <v>125</v>
      </c>
      <c r="D5925" t="s">
        <v>86</v>
      </c>
      <c r="E5925" t="s">
        <v>83</v>
      </c>
      <c r="F5925">
        <v>96300</v>
      </c>
      <c r="G5925" t="s">
        <v>331</v>
      </c>
      <c r="H5925" s="15">
        <v>45292</v>
      </c>
      <c r="I5925">
        <v>96300</v>
      </c>
      <c r="J5925">
        <v>0</v>
      </c>
    </row>
    <row r="5926" spans="1:10" x14ac:dyDescent="0.3">
      <c r="A5926" s="15">
        <v>45962</v>
      </c>
      <c r="B5926" t="s">
        <v>259</v>
      </c>
      <c r="C5926" t="s">
        <v>81</v>
      </c>
      <c r="D5926" t="s">
        <v>86</v>
      </c>
      <c r="E5926" t="s">
        <v>89</v>
      </c>
      <c r="F5926">
        <v>1900</v>
      </c>
      <c r="G5926" t="s">
        <v>331</v>
      </c>
      <c r="H5926" s="15">
        <v>45292</v>
      </c>
      <c r="I5926">
        <v>1900</v>
      </c>
      <c r="J5926">
        <v>0</v>
      </c>
    </row>
    <row r="5927" spans="1:10" x14ac:dyDescent="0.3">
      <c r="A5927" s="15">
        <v>45962</v>
      </c>
      <c r="B5927" t="s">
        <v>260</v>
      </c>
      <c r="C5927" t="s">
        <v>81</v>
      </c>
      <c r="D5927" t="s">
        <v>86</v>
      </c>
      <c r="E5927" t="s">
        <v>97</v>
      </c>
      <c r="F5927">
        <v>2000</v>
      </c>
      <c r="G5927" t="s">
        <v>331</v>
      </c>
      <c r="H5927" s="15">
        <v>45292</v>
      </c>
      <c r="I5927">
        <v>2000</v>
      </c>
      <c r="J5927">
        <v>0</v>
      </c>
    </row>
    <row r="5928" spans="1:10" x14ac:dyDescent="0.3">
      <c r="A5928" s="15">
        <v>45962</v>
      </c>
      <c r="B5928" t="s">
        <v>262</v>
      </c>
      <c r="C5928" t="s">
        <v>91</v>
      </c>
      <c r="D5928" t="s">
        <v>82</v>
      </c>
      <c r="E5928" t="s">
        <v>92</v>
      </c>
      <c r="F5928">
        <v>10800</v>
      </c>
      <c r="G5928" t="s">
        <v>331</v>
      </c>
      <c r="H5928" s="15">
        <v>45292</v>
      </c>
      <c r="I5928">
        <v>10800</v>
      </c>
      <c r="J5928">
        <v>0</v>
      </c>
    </row>
    <row r="5929" spans="1:10" x14ac:dyDescent="0.3">
      <c r="A5929" s="15">
        <v>45962</v>
      </c>
      <c r="B5929" t="s">
        <v>264</v>
      </c>
      <c r="C5929" t="s">
        <v>110</v>
      </c>
      <c r="D5929" t="s">
        <v>86</v>
      </c>
      <c r="E5929" t="s">
        <v>97</v>
      </c>
      <c r="F5929">
        <v>31500</v>
      </c>
      <c r="G5929" t="s">
        <v>331</v>
      </c>
      <c r="H5929" s="15">
        <v>45292</v>
      </c>
      <c r="I5929">
        <v>31500</v>
      </c>
      <c r="J5929">
        <v>0</v>
      </c>
    </row>
    <row r="5930" spans="1:10" x14ac:dyDescent="0.3">
      <c r="A5930" s="15">
        <v>45962</v>
      </c>
      <c r="B5930" t="s">
        <v>265</v>
      </c>
      <c r="C5930" t="s">
        <v>125</v>
      </c>
      <c r="D5930" t="s">
        <v>86</v>
      </c>
      <c r="E5930" t="s">
        <v>101</v>
      </c>
      <c r="F5930">
        <v>92200</v>
      </c>
      <c r="G5930" t="s">
        <v>331</v>
      </c>
      <c r="H5930" s="15">
        <v>45292</v>
      </c>
      <c r="I5930">
        <v>92200</v>
      </c>
      <c r="J5930">
        <v>0</v>
      </c>
    </row>
    <row r="5931" spans="1:10" x14ac:dyDescent="0.3">
      <c r="A5931" s="15">
        <v>45962</v>
      </c>
      <c r="B5931" t="s">
        <v>266</v>
      </c>
      <c r="C5931" t="s">
        <v>81</v>
      </c>
      <c r="D5931" t="s">
        <v>82</v>
      </c>
      <c r="E5931" t="s">
        <v>83</v>
      </c>
      <c r="F5931">
        <v>2200</v>
      </c>
      <c r="G5931" t="s">
        <v>331</v>
      </c>
      <c r="H5931" s="15">
        <v>45292</v>
      </c>
      <c r="I5931">
        <v>2200</v>
      </c>
      <c r="J5931">
        <v>0</v>
      </c>
    </row>
    <row r="5932" spans="1:10" x14ac:dyDescent="0.3">
      <c r="A5932" s="15">
        <v>45962</v>
      </c>
      <c r="B5932" t="s">
        <v>267</v>
      </c>
      <c r="C5932" t="s">
        <v>91</v>
      </c>
      <c r="D5932" t="s">
        <v>82</v>
      </c>
      <c r="E5932" t="s">
        <v>97</v>
      </c>
      <c r="F5932">
        <v>7300</v>
      </c>
      <c r="G5932" t="s">
        <v>331</v>
      </c>
      <c r="H5932" s="15">
        <v>45292</v>
      </c>
      <c r="I5932">
        <v>7300</v>
      </c>
      <c r="J5932">
        <v>0</v>
      </c>
    </row>
    <row r="5933" spans="1:10" x14ac:dyDescent="0.3">
      <c r="A5933" s="15">
        <v>45962</v>
      </c>
      <c r="B5933" t="s">
        <v>272</v>
      </c>
      <c r="C5933" t="s">
        <v>125</v>
      </c>
      <c r="D5933" t="s">
        <v>96</v>
      </c>
      <c r="E5933" t="s">
        <v>103</v>
      </c>
      <c r="F5933">
        <v>101100</v>
      </c>
      <c r="G5933" t="s">
        <v>331</v>
      </c>
      <c r="H5933" s="15">
        <v>45292</v>
      </c>
      <c r="I5933">
        <v>101100</v>
      </c>
      <c r="J5933">
        <v>0</v>
      </c>
    </row>
    <row r="5934" spans="1:10" x14ac:dyDescent="0.3">
      <c r="A5934" s="15">
        <v>45962</v>
      </c>
      <c r="B5934" t="s">
        <v>273</v>
      </c>
      <c r="C5934" t="s">
        <v>81</v>
      </c>
      <c r="D5934" t="s">
        <v>82</v>
      </c>
      <c r="E5934" t="s">
        <v>101</v>
      </c>
      <c r="F5934">
        <v>3300</v>
      </c>
      <c r="G5934" t="s">
        <v>331</v>
      </c>
      <c r="H5934" s="15">
        <v>45292</v>
      </c>
      <c r="I5934">
        <v>3300</v>
      </c>
      <c r="J5934">
        <v>0</v>
      </c>
    </row>
    <row r="5935" spans="1:10" x14ac:dyDescent="0.3">
      <c r="A5935" s="15">
        <v>45962</v>
      </c>
      <c r="B5935" t="s">
        <v>274</v>
      </c>
      <c r="C5935" t="s">
        <v>91</v>
      </c>
      <c r="D5935" t="s">
        <v>99</v>
      </c>
      <c r="E5935" t="s">
        <v>87</v>
      </c>
      <c r="F5935">
        <v>11400</v>
      </c>
      <c r="G5935" t="s">
        <v>331</v>
      </c>
      <c r="H5935" s="15">
        <v>45292</v>
      </c>
      <c r="I5935">
        <v>11400</v>
      </c>
      <c r="J5935">
        <v>0</v>
      </c>
    </row>
    <row r="5936" spans="1:10" x14ac:dyDescent="0.3">
      <c r="A5936" s="15">
        <v>45962</v>
      </c>
      <c r="B5936" t="s">
        <v>276</v>
      </c>
      <c r="C5936" t="s">
        <v>81</v>
      </c>
      <c r="D5936" t="s">
        <v>82</v>
      </c>
      <c r="E5936" t="s">
        <v>103</v>
      </c>
      <c r="F5936">
        <v>3300</v>
      </c>
      <c r="G5936" t="s">
        <v>331</v>
      </c>
      <c r="H5936" s="15">
        <v>45292</v>
      </c>
      <c r="I5936">
        <v>3300</v>
      </c>
      <c r="J5936">
        <v>0</v>
      </c>
    </row>
    <row r="5937" spans="1:10" x14ac:dyDescent="0.3">
      <c r="A5937" s="15">
        <v>45962</v>
      </c>
      <c r="B5937" t="s">
        <v>277</v>
      </c>
      <c r="C5937" t="s">
        <v>91</v>
      </c>
      <c r="D5937" t="s">
        <v>86</v>
      </c>
      <c r="E5937" t="s">
        <v>97</v>
      </c>
      <c r="F5937">
        <v>9200</v>
      </c>
      <c r="G5937" t="s">
        <v>331</v>
      </c>
      <c r="H5937" s="15">
        <v>45292</v>
      </c>
      <c r="I5937">
        <v>9200</v>
      </c>
      <c r="J5937">
        <v>0</v>
      </c>
    </row>
    <row r="5938" spans="1:10" x14ac:dyDescent="0.3">
      <c r="A5938" s="15">
        <v>45962</v>
      </c>
      <c r="B5938" t="s">
        <v>279</v>
      </c>
      <c r="C5938" t="s">
        <v>91</v>
      </c>
      <c r="D5938" t="s">
        <v>99</v>
      </c>
      <c r="E5938" t="s">
        <v>89</v>
      </c>
      <c r="F5938">
        <v>9800</v>
      </c>
      <c r="G5938" t="s">
        <v>331</v>
      </c>
      <c r="H5938" s="15">
        <v>45292</v>
      </c>
      <c r="I5938">
        <v>9800</v>
      </c>
      <c r="J5938">
        <v>0</v>
      </c>
    </row>
    <row r="5939" spans="1:10" x14ac:dyDescent="0.3">
      <c r="A5939" s="15">
        <v>45962</v>
      </c>
      <c r="B5939" t="s">
        <v>280</v>
      </c>
      <c r="C5939" t="s">
        <v>91</v>
      </c>
      <c r="D5939" t="s">
        <v>96</v>
      </c>
      <c r="E5939" t="s">
        <v>83</v>
      </c>
      <c r="F5939">
        <v>6300</v>
      </c>
      <c r="G5939" t="s">
        <v>331</v>
      </c>
      <c r="H5939" s="15">
        <v>45292</v>
      </c>
      <c r="I5939">
        <v>6300</v>
      </c>
      <c r="J5939">
        <v>0</v>
      </c>
    </row>
    <row r="5940" spans="1:10" x14ac:dyDescent="0.3">
      <c r="A5940" s="15">
        <v>45962</v>
      </c>
      <c r="B5940" t="s">
        <v>281</v>
      </c>
      <c r="C5940" t="s">
        <v>110</v>
      </c>
      <c r="D5940" t="s">
        <v>86</v>
      </c>
      <c r="E5940" t="s">
        <v>92</v>
      </c>
      <c r="F5940">
        <v>63400</v>
      </c>
      <c r="G5940" t="s">
        <v>331</v>
      </c>
      <c r="H5940" s="15">
        <v>45292</v>
      </c>
      <c r="I5940">
        <v>63400</v>
      </c>
      <c r="J5940">
        <v>0</v>
      </c>
    </row>
    <row r="5941" spans="1:10" x14ac:dyDescent="0.3">
      <c r="A5941" s="15">
        <v>45962</v>
      </c>
      <c r="B5941" t="s">
        <v>282</v>
      </c>
      <c r="C5941" t="s">
        <v>91</v>
      </c>
      <c r="D5941" t="s">
        <v>86</v>
      </c>
      <c r="E5941" t="s">
        <v>92</v>
      </c>
      <c r="F5941">
        <v>5800</v>
      </c>
      <c r="G5941" t="s">
        <v>331</v>
      </c>
      <c r="H5941" s="15">
        <v>45292</v>
      </c>
      <c r="I5941">
        <v>5800</v>
      </c>
      <c r="J5941">
        <v>0</v>
      </c>
    </row>
    <row r="5942" spans="1:10" x14ac:dyDescent="0.3">
      <c r="A5942" s="15">
        <v>45962</v>
      </c>
      <c r="B5942" t="s">
        <v>283</v>
      </c>
      <c r="C5942" t="s">
        <v>110</v>
      </c>
      <c r="D5942" t="s">
        <v>82</v>
      </c>
      <c r="E5942" t="s">
        <v>87</v>
      </c>
      <c r="F5942">
        <v>34200</v>
      </c>
      <c r="G5942" t="s">
        <v>331</v>
      </c>
      <c r="H5942" s="15">
        <v>45292</v>
      </c>
      <c r="I5942">
        <v>34200</v>
      </c>
      <c r="J5942">
        <v>0</v>
      </c>
    </row>
    <row r="5943" spans="1:10" x14ac:dyDescent="0.3">
      <c r="A5943" s="15">
        <v>45962</v>
      </c>
      <c r="B5943" t="s">
        <v>284</v>
      </c>
      <c r="C5943" t="s">
        <v>81</v>
      </c>
      <c r="D5943" t="s">
        <v>82</v>
      </c>
      <c r="E5943" t="s">
        <v>101</v>
      </c>
      <c r="F5943">
        <v>2200</v>
      </c>
      <c r="G5943" t="s">
        <v>331</v>
      </c>
      <c r="H5943" s="15">
        <v>45292</v>
      </c>
      <c r="I5943">
        <v>2200</v>
      </c>
      <c r="J5943">
        <v>0</v>
      </c>
    </row>
    <row r="5944" spans="1:10" x14ac:dyDescent="0.3">
      <c r="A5944" s="15">
        <v>45962</v>
      </c>
      <c r="B5944" t="s">
        <v>285</v>
      </c>
      <c r="C5944" t="s">
        <v>91</v>
      </c>
      <c r="D5944" t="s">
        <v>82</v>
      </c>
      <c r="E5944" t="s">
        <v>83</v>
      </c>
      <c r="F5944">
        <v>10900</v>
      </c>
      <c r="G5944" t="s">
        <v>331</v>
      </c>
      <c r="H5944" s="15">
        <v>45292</v>
      </c>
      <c r="I5944">
        <v>10900</v>
      </c>
      <c r="J5944">
        <v>0</v>
      </c>
    </row>
    <row r="5945" spans="1:10" x14ac:dyDescent="0.3">
      <c r="A5945" s="15">
        <v>45962</v>
      </c>
      <c r="B5945" t="s">
        <v>286</v>
      </c>
      <c r="C5945" t="s">
        <v>125</v>
      </c>
      <c r="D5945" t="s">
        <v>86</v>
      </c>
      <c r="E5945" t="s">
        <v>92</v>
      </c>
      <c r="F5945">
        <v>92400</v>
      </c>
      <c r="G5945" t="s">
        <v>331</v>
      </c>
      <c r="H5945" s="15">
        <v>45292</v>
      </c>
      <c r="I5945">
        <v>92400</v>
      </c>
      <c r="J5945">
        <v>0</v>
      </c>
    </row>
    <row r="5946" spans="1:10" x14ac:dyDescent="0.3">
      <c r="A5946" s="15">
        <v>45962</v>
      </c>
      <c r="B5946" t="s">
        <v>287</v>
      </c>
      <c r="C5946" t="s">
        <v>81</v>
      </c>
      <c r="D5946" t="s">
        <v>99</v>
      </c>
      <c r="E5946" t="s">
        <v>87</v>
      </c>
      <c r="F5946">
        <v>2300</v>
      </c>
      <c r="G5946" t="s">
        <v>331</v>
      </c>
      <c r="H5946" s="15">
        <v>45292</v>
      </c>
      <c r="I5946">
        <v>2300</v>
      </c>
      <c r="J5946">
        <v>0</v>
      </c>
    </row>
    <row r="5947" spans="1:10" x14ac:dyDescent="0.3">
      <c r="A5947" s="15">
        <v>45962</v>
      </c>
      <c r="B5947" t="s">
        <v>288</v>
      </c>
      <c r="C5947" t="s">
        <v>81</v>
      </c>
      <c r="D5947" t="s">
        <v>99</v>
      </c>
      <c r="E5947" t="s">
        <v>97</v>
      </c>
      <c r="F5947">
        <v>2900</v>
      </c>
      <c r="G5947" t="s">
        <v>331</v>
      </c>
      <c r="H5947" s="15">
        <v>45292</v>
      </c>
      <c r="I5947">
        <v>2900</v>
      </c>
      <c r="J5947">
        <v>0</v>
      </c>
    </row>
    <row r="5948" spans="1:10" x14ac:dyDescent="0.3">
      <c r="A5948" s="15">
        <v>45962</v>
      </c>
      <c r="B5948" t="s">
        <v>289</v>
      </c>
      <c r="C5948" t="s">
        <v>91</v>
      </c>
      <c r="D5948" t="s">
        <v>86</v>
      </c>
      <c r="E5948" t="s">
        <v>101</v>
      </c>
      <c r="F5948">
        <v>9400</v>
      </c>
      <c r="G5948" t="s">
        <v>331</v>
      </c>
      <c r="H5948" s="15">
        <v>45292</v>
      </c>
      <c r="I5948">
        <v>9400</v>
      </c>
      <c r="J5948">
        <v>0</v>
      </c>
    </row>
    <row r="5949" spans="1:10" x14ac:dyDescent="0.3">
      <c r="A5949" s="15">
        <v>45962</v>
      </c>
      <c r="B5949" t="s">
        <v>290</v>
      </c>
      <c r="C5949" t="s">
        <v>81</v>
      </c>
      <c r="D5949" t="s">
        <v>82</v>
      </c>
      <c r="E5949" t="s">
        <v>103</v>
      </c>
      <c r="F5949">
        <v>2500</v>
      </c>
      <c r="G5949" t="s">
        <v>331</v>
      </c>
      <c r="H5949" s="15">
        <v>45292</v>
      </c>
      <c r="I5949">
        <v>2500</v>
      </c>
      <c r="J5949">
        <v>0</v>
      </c>
    </row>
    <row r="5950" spans="1:10" x14ac:dyDescent="0.3">
      <c r="A5950" s="15">
        <v>45962</v>
      </c>
      <c r="B5950" t="s">
        <v>291</v>
      </c>
      <c r="C5950" t="s">
        <v>81</v>
      </c>
      <c r="D5950" t="s">
        <v>82</v>
      </c>
      <c r="E5950" t="s">
        <v>83</v>
      </c>
      <c r="F5950">
        <v>3100</v>
      </c>
      <c r="G5950" t="s">
        <v>331</v>
      </c>
      <c r="H5950" s="15">
        <v>45292</v>
      </c>
      <c r="I5950">
        <v>3100</v>
      </c>
      <c r="J5950">
        <v>0</v>
      </c>
    </row>
    <row r="5951" spans="1:10" x14ac:dyDescent="0.3">
      <c r="A5951" s="15">
        <v>45962</v>
      </c>
      <c r="B5951" t="s">
        <v>292</v>
      </c>
      <c r="C5951" t="s">
        <v>91</v>
      </c>
      <c r="D5951" t="s">
        <v>86</v>
      </c>
      <c r="E5951" t="s">
        <v>89</v>
      </c>
      <c r="F5951">
        <v>9900</v>
      </c>
      <c r="G5951" t="s">
        <v>331</v>
      </c>
      <c r="H5951" s="15">
        <v>45292</v>
      </c>
      <c r="I5951">
        <v>9900</v>
      </c>
      <c r="J5951">
        <v>0</v>
      </c>
    </row>
    <row r="5952" spans="1:10" x14ac:dyDescent="0.3">
      <c r="A5952" s="15">
        <v>45962</v>
      </c>
      <c r="B5952" t="s">
        <v>293</v>
      </c>
      <c r="C5952" t="s">
        <v>81</v>
      </c>
      <c r="D5952" t="s">
        <v>86</v>
      </c>
      <c r="E5952" t="s">
        <v>103</v>
      </c>
      <c r="F5952">
        <v>2200</v>
      </c>
      <c r="G5952" t="s">
        <v>331</v>
      </c>
      <c r="H5952" s="15">
        <v>45292</v>
      </c>
      <c r="I5952">
        <v>2200</v>
      </c>
      <c r="J5952">
        <v>0</v>
      </c>
    </row>
    <row r="5953" spans="1:10" x14ac:dyDescent="0.3">
      <c r="A5953" s="15">
        <v>45962</v>
      </c>
      <c r="B5953" t="s">
        <v>294</v>
      </c>
      <c r="C5953" t="s">
        <v>91</v>
      </c>
      <c r="D5953" t="s">
        <v>82</v>
      </c>
      <c r="E5953" t="s">
        <v>97</v>
      </c>
      <c r="F5953">
        <v>9100</v>
      </c>
      <c r="G5953" t="s">
        <v>331</v>
      </c>
      <c r="H5953" s="15">
        <v>45292</v>
      </c>
      <c r="I5953">
        <v>9100</v>
      </c>
      <c r="J5953">
        <v>0</v>
      </c>
    </row>
    <row r="5954" spans="1:10" x14ac:dyDescent="0.3">
      <c r="A5954" s="15">
        <v>45962</v>
      </c>
      <c r="B5954" t="s">
        <v>295</v>
      </c>
      <c r="C5954" t="s">
        <v>81</v>
      </c>
      <c r="D5954" t="s">
        <v>82</v>
      </c>
      <c r="E5954" t="s">
        <v>103</v>
      </c>
      <c r="F5954">
        <v>2300</v>
      </c>
      <c r="G5954" t="s">
        <v>331</v>
      </c>
      <c r="H5954" s="15">
        <v>45292</v>
      </c>
      <c r="I5954">
        <v>2300</v>
      </c>
      <c r="J5954">
        <v>0</v>
      </c>
    </row>
    <row r="5955" spans="1:10" x14ac:dyDescent="0.3">
      <c r="A5955" s="15">
        <v>45962</v>
      </c>
      <c r="B5955" t="s">
        <v>298</v>
      </c>
      <c r="C5955" t="s">
        <v>81</v>
      </c>
      <c r="D5955" t="s">
        <v>86</v>
      </c>
      <c r="E5955" t="s">
        <v>89</v>
      </c>
      <c r="F5955">
        <v>2700</v>
      </c>
      <c r="G5955" t="s">
        <v>331</v>
      </c>
      <c r="H5955" s="15">
        <v>45292</v>
      </c>
      <c r="I5955">
        <v>2700</v>
      </c>
      <c r="J5955">
        <v>0</v>
      </c>
    </row>
    <row r="5956" spans="1:10" x14ac:dyDescent="0.3">
      <c r="A5956" s="15">
        <v>45962</v>
      </c>
      <c r="B5956" t="s">
        <v>299</v>
      </c>
      <c r="C5956" t="s">
        <v>81</v>
      </c>
      <c r="D5956" t="s">
        <v>99</v>
      </c>
      <c r="E5956" t="s">
        <v>103</v>
      </c>
      <c r="F5956">
        <v>2900</v>
      </c>
      <c r="G5956" t="s">
        <v>331</v>
      </c>
      <c r="H5956" s="15">
        <v>45292</v>
      </c>
      <c r="I5956">
        <v>2900</v>
      </c>
      <c r="J5956">
        <v>0</v>
      </c>
    </row>
    <row r="5957" spans="1:10" x14ac:dyDescent="0.3">
      <c r="A5957" s="15">
        <v>45962</v>
      </c>
      <c r="B5957" t="s">
        <v>300</v>
      </c>
      <c r="C5957" t="s">
        <v>91</v>
      </c>
      <c r="D5957" t="s">
        <v>82</v>
      </c>
      <c r="E5957" t="s">
        <v>89</v>
      </c>
      <c r="F5957">
        <v>11500</v>
      </c>
      <c r="G5957" t="s">
        <v>331</v>
      </c>
      <c r="H5957" s="15">
        <v>45292</v>
      </c>
      <c r="I5957">
        <v>11500</v>
      </c>
      <c r="J5957">
        <v>0</v>
      </c>
    </row>
    <row r="5958" spans="1:10" x14ac:dyDescent="0.3">
      <c r="A5958" s="15">
        <v>45962</v>
      </c>
      <c r="B5958" t="s">
        <v>303</v>
      </c>
      <c r="C5958" t="s">
        <v>81</v>
      </c>
      <c r="D5958" t="s">
        <v>82</v>
      </c>
      <c r="E5958" t="s">
        <v>83</v>
      </c>
      <c r="F5958">
        <v>1500</v>
      </c>
      <c r="G5958" t="s">
        <v>332</v>
      </c>
      <c r="H5958" s="15">
        <v>45292</v>
      </c>
      <c r="I5958">
        <v>1400</v>
      </c>
      <c r="J5958">
        <v>100</v>
      </c>
    </row>
    <row r="5959" spans="1:10" x14ac:dyDescent="0.3">
      <c r="A5959" s="15">
        <v>45962</v>
      </c>
      <c r="B5959" t="s">
        <v>304</v>
      </c>
      <c r="C5959" t="s">
        <v>81</v>
      </c>
      <c r="D5959" t="s">
        <v>86</v>
      </c>
      <c r="E5959" t="s">
        <v>92</v>
      </c>
      <c r="F5959">
        <v>2100</v>
      </c>
      <c r="G5959" t="s">
        <v>331</v>
      </c>
      <c r="H5959" s="15">
        <v>45292</v>
      </c>
      <c r="I5959">
        <v>2100</v>
      </c>
      <c r="J5959">
        <v>0</v>
      </c>
    </row>
    <row r="5960" spans="1:10" x14ac:dyDescent="0.3">
      <c r="A5960" s="15">
        <v>45962</v>
      </c>
      <c r="B5960" t="s">
        <v>306</v>
      </c>
      <c r="C5960" t="s">
        <v>91</v>
      </c>
      <c r="D5960" t="s">
        <v>82</v>
      </c>
      <c r="E5960" t="s">
        <v>87</v>
      </c>
      <c r="F5960">
        <v>11700</v>
      </c>
      <c r="G5960" t="s">
        <v>331</v>
      </c>
      <c r="H5960" s="15">
        <v>45292</v>
      </c>
      <c r="I5960">
        <v>11700</v>
      </c>
      <c r="J5960">
        <v>0</v>
      </c>
    </row>
    <row r="5961" spans="1:10" x14ac:dyDescent="0.3">
      <c r="A5961" s="15">
        <v>45962</v>
      </c>
      <c r="B5961" t="s">
        <v>307</v>
      </c>
      <c r="C5961" t="s">
        <v>81</v>
      </c>
      <c r="D5961" t="s">
        <v>86</v>
      </c>
      <c r="E5961" t="s">
        <v>97</v>
      </c>
      <c r="F5961">
        <v>2600</v>
      </c>
      <c r="G5961" t="s">
        <v>331</v>
      </c>
      <c r="H5961" s="15">
        <v>45292</v>
      </c>
      <c r="I5961">
        <v>2600</v>
      </c>
      <c r="J5961">
        <v>0</v>
      </c>
    </row>
    <row r="5962" spans="1:10" x14ac:dyDescent="0.3">
      <c r="A5962" s="15">
        <v>45962</v>
      </c>
      <c r="B5962" t="s">
        <v>309</v>
      </c>
      <c r="C5962" t="s">
        <v>91</v>
      </c>
      <c r="D5962" t="s">
        <v>82</v>
      </c>
      <c r="E5962" t="s">
        <v>87</v>
      </c>
      <c r="F5962">
        <v>11800</v>
      </c>
      <c r="G5962" t="s">
        <v>331</v>
      </c>
      <c r="H5962" s="15">
        <v>45292</v>
      </c>
      <c r="I5962">
        <v>11800</v>
      </c>
      <c r="J5962">
        <v>0</v>
      </c>
    </row>
    <row r="5963" spans="1:10" x14ac:dyDescent="0.3">
      <c r="A5963" s="15">
        <v>45962</v>
      </c>
      <c r="B5963" t="s">
        <v>310</v>
      </c>
      <c r="C5963" t="s">
        <v>91</v>
      </c>
      <c r="D5963" t="s">
        <v>99</v>
      </c>
      <c r="E5963" t="s">
        <v>87</v>
      </c>
      <c r="F5963">
        <v>10000</v>
      </c>
      <c r="G5963" t="s">
        <v>331</v>
      </c>
      <c r="H5963" s="15">
        <v>45292</v>
      </c>
      <c r="I5963">
        <v>10000</v>
      </c>
      <c r="J5963">
        <v>0</v>
      </c>
    </row>
    <row r="5964" spans="1:10" x14ac:dyDescent="0.3">
      <c r="A5964" s="15">
        <v>45962</v>
      </c>
      <c r="B5964" t="s">
        <v>313</v>
      </c>
      <c r="C5964" t="s">
        <v>91</v>
      </c>
      <c r="D5964" t="s">
        <v>82</v>
      </c>
      <c r="E5964" t="s">
        <v>101</v>
      </c>
      <c r="F5964">
        <v>12700</v>
      </c>
      <c r="G5964" t="s">
        <v>331</v>
      </c>
      <c r="H5964" s="15">
        <v>45292</v>
      </c>
      <c r="I5964">
        <v>12700</v>
      </c>
      <c r="J5964">
        <v>0</v>
      </c>
    </row>
    <row r="5965" spans="1:10" x14ac:dyDescent="0.3">
      <c r="A5965" s="15">
        <v>45962</v>
      </c>
      <c r="B5965" t="s">
        <v>315</v>
      </c>
      <c r="C5965" t="s">
        <v>125</v>
      </c>
      <c r="D5965" t="s">
        <v>86</v>
      </c>
      <c r="E5965" t="s">
        <v>92</v>
      </c>
      <c r="F5965">
        <v>76200</v>
      </c>
      <c r="G5965" t="s">
        <v>331</v>
      </c>
      <c r="H5965" s="15">
        <v>45292</v>
      </c>
      <c r="I5965">
        <v>76200</v>
      </c>
      <c r="J5965">
        <v>0</v>
      </c>
    </row>
    <row r="5966" spans="1:10" x14ac:dyDescent="0.3">
      <c r="A5966" s="15">
        <v>45962</v>
      </c>
      <c r="B5966" t="s">
        <v>316</v>
      </c>
      <c r="C5966" t="s">
        <v>81</v>
      </c>
      <c r="D5966" t="s">
        <v>96</v>
      </c>
      <c r="E5966" t="s">
        <v>92</v>
      </c>
      <c r="F5966">
        <v>2000</v>
      </c>
      <c r="G5966" t="s">
        <v>331</v>
      </c>
      <c r="H5966" s="15">
        <v>45292</v>
      </c>
      <c r="I5966">
        <v>2000</v>
      </c>
      <c r="J5966">
        <v>0</v>
      </c>
    </row>
    <row r="5967" spans="1:10" x14ac:dyDescent="0.3">
      <c r="A5967" s="15">
        <v>45962</v>
      </c>
      <c r="B5967" t="s">
        <v>318</v>
      </c>
      <c r="C5967" t="s">
        <v>110</v>
      </c>
      <c r="D5967" t="s">
        <v>82</v>
      </c>
      <c r="E5967" t="s">
        <v>97</v>
      </c>
      <c r="F5967">
        <v>29600</v>
      </c>
      <c r="G5967" t="s">
        <v>331</v>
      </c>
      <c r="H5967" s="15">
        <v>45292</v>
      </c>
      <c r="I5967">
        <v>29600</v>
      </c>
      <c r="J5967">
        <v>0</v>
      </c>
    </row>
    <row r="5968" spans="1:10" x14ac:dyDescent="0.3">
      <c r="A5968" s="15">
        <v>45962</v>
      </c>
      <c r="B5968" t="s">
        <v>320</v>
      </c>
      <c r="C5968" t="s">
        <v>91</v>
      </c>
      <c r="D5968" t="s">
        <v>86</v>
      </c>
      <c r="E5968" t="s">
        <v>97</v>
      </c>
      <c r="F5968">
        <v>7700</v>
      </c>
      <c r="G5968" t="s">
        <v>331</v>
      </c>
      <c r="H5968" s="15">
        <v>45292</v>
      </c>
      <c r="I5968">
        <v>7700</v>
      </c>
      <c r="J5968">
        <v>0</v>
      </c>
    </row>
    <row r="5969" spans="1:10" x14ac:dyDescent="0.3">
      <c r="A5969" s="15">
        <v>45962</v>
      </c>
      <c r="B5969" t="s">
        <v>321</v>
      </c>
      <c r="C5969" t="s">
        <v>81</v>
      </c>
      <c r="D5969" t="s">
        <v>99</v>
      </c>
      <c r="E5969" t="s">
        <v>101</v>
      </c>
      <c r="F5969">
        <v>3500</v>
      </c>
      <c r="G5969" t="s">
        <v>331</v>
      </c>
      <c r="H5969" s="15">
        <v>45292</v>
      </c>
      <c r="I5969">
        <v>3500</v>
      </c>
      <c r="J5969">
        <v>0</v>
      </c>
    </row>
    <row r="5970" spans="1:10" x14ac:dyDescent="0.3">
      <c r="A5970" s="15">
        <v>45962</v>
      </c>
      <c r="B5970" t="s">
        <v>322</v>
      </c>
      <c r="C5970" t="s">
        <v>81</v>
      </c>
      <c r="D5970" t="s">
        <v>82</v>
      </c>
      <c r="E5970" t="s">
        <v>103</v>
      </c>
      <c r="F5970">
        <v>2000</v>
      </c>
      <c r="G5970" t="s">
        <v>331</v>
      </c>
      <c r="H5970" s="15">
        <v>45292</v>
      </c>
      <c r="I5970">
        <v>2000</v>
      </c>
      <c r="J5970">
        <v>0</v>
      </c>
    </row>
    <row r="5971" spans="1:10" x14ac:dyDescent="0.3">
      <c r="A5971" s="15">
        <v>45962</v>
      </c>
      <c r="B5971" t="s">
        <v>323</v>
      </c>
      <c r="C5971" t="s">
        <v>110</v>
      </c>
      <c r="D5971" t="s">
        <v>82</v>
      </c>
      <c r="E5971" t="s">
        <v>89</v>
      </c>
      <c r="F5971">
        <v>23400</v>
      </c>
      <c r="G5971" t="s">
        <v>331</v>
      </c>
      <c r="H5971" s="15">
        <v>45292</v>
      </c>
      <c r="I5971">
        <v>23400</v>
      </c>
      <c r="J5971">
        <v>0</v>
      </c>
    </row>
    <row r="5972" spans="1:10" x14ac:dyDescent="0.3">
      <c r="A5972" s="15">
        <v>45962</v>
      </c>
      <c r="B5972" t="s">
        <v>324</v>
      </c>
      <c r="C5972" t="s">
        <v>81</v>
      </c>
      <c r="D5972" t="s">
        <v>86</v>
      </c>
      <c r="E5972" t="s">
        <v>87</v>
      </c>
      <c r="F5972">
        <v>2700</v>
      </c>
      <c r="G5972" t="s">
        <v>331</v>
      </c>
      <c r="H5972" s="15">
        <v>45292</v>
      </c>
      <c r="I5972">
        <v>2700</v>
      </c>
      <c r="J5972">
        <v>0</v>
      </c>
    </row>
    <row r="5973" spans="1:10" x14ac:dyDescent="0.3">
      <c r="A5973" s="15">
        <v>45962</v>
      </c>
      <c r="B5973" t="s">
        <v>325</v>
      </c>
      <c r="C5973" t="s">
        <v>91</v>
      </c>
      <c r="D5973" t="s">
        <v>86</v>
      </c>
      <c r="E5973" t="s">
        <v>87</v>
      </c>
      <c r="F5973">
        <v>9400</v>
      </c>
      <c r="G5973" t="s">
        <v>331</v>
      </c>
      <c r="H5973" s="15">
        <v>45292</v>
      </c>
      <c r="I5973">
        <v>9400</v>
      </c>
      <c r="J5973">
        <v>0</v>
      </c>
    </row>
    <row r="5974" spans="1:10" x14ac:dyDescent="0.3">
      <c r="A5974" s="15">
        <v>45962</v>
      </c>
      <c r="B5974" t="s">
        <v>327</v>
      </c>
      <c r="C5974" t="s">
        <v>125</v>
      </c>
      <c r="D5974" t="s">
        <v>99</v>
      </c>
      <c r="E5974" t="s">
        <v>97</v>
      </c>
      <c r="F5974">
        <v>77500</v>
      </c>
      <c r="G5974" t="s">
        <v>331</v>
      </c>
      <c r="H5974" s="15">
        <v>45292</v>
      </c>
      <c r="I5974">
        <v>77500</v>
      </c>
      <c r="J5974">
        <v>0</v>
      </c>
    </row>
    <row r="5975" spans="1:10" x14ac:dyDescent="0.3">
      <c r="A5975" s="15">
        <v>45962</v>
      </c>
      <c r="B5975" t="s">
        <v>329</v>
      </c>
      <c r="C5975" t="s">
        <v>81</v>
      </c>
      <c r="D5975" t="s">
        <v>86</v>
      </c>
      <c r="E5975" t="s">
        <v>101</v>
      </c>
      <c r="F5975">
        <v>2200</v>
      </c>
      <c r="G5975" t="s">
        <v>331</v>
      </c>
      <c r="H5975" s="15">
        <v>45292</v>
      </c>
      <c r="I5975">
        <v>2200</v>
      </c>
      <c r="J5975">
        <v>0</v>
      </c>
    </row>
    <row r="5976" spans="1:10" x14ac:dyDescent="0.3">
      <c r="A5976" s="15">
        <v>45962</v>
      </c>
      <c r="B5976" t="s">
        <v>330</v>
      </c>
      <c r="C5976" t="s">
        <v>125</v>
      </c>
      <c r="D5976" t="s">
        <v>86</v>
      </c>
      <c r="E5976" t="s">
        <v>87</v>
      </c>
      <c r="F5976">
        <v>105400</v>
      </c>
      <c r="G5976" t="s">
        <v>331</v>
      </c>
      <c r="H5976" s="15">
        <v>45292</v>
      </c>
      <c r="I5976">
        <v>105400</v>
      </c>
      <c r="J5976">
        <v>0</v>
      </c>
    </row>
    <row r="5977" spans="1:10" x14ac:dyDescent="0.3">
      <c r="A5977" s="15">
        <v>45962</v>
      </c>
      <c r="B5977" t="s">
        <v>335</v>
      </c>
      <c r="C5977" t="s">
        <v>91</v>
      </c>
      <c r="D5977" t="s">
        <v>86</v>
      </c>
      <c r="E5977" t="s">
        <v>89</v>
      </c>
      <c r="F5977">
        <v>7300</v>
      </c>
      <c r="G5977" t="s">
        <v>331</v>
      </c>
      <c r="H5977" s="15">
        <v>45323</v>
      </c>
      <c r="I5977">
        <v>7300</v>
      </c>
      <c r="J5977">
        <v>0</v>
      </c>
    </row>
    <row r="5978" spans="1:10" x14ac:dyDescent="0.3">
      <c r="A5978" s="15">
        <v>45962</v>
      </c>
      <c r="B5978" t="s">
        <v>336</v>
      </c>
      <c r="C5978" t="s">
        <v>81</v>
      </c>
      <c r="D5978" t="s">
        <v>82</v>
      </c>
      <c r="E5978" t="s">
        <v>103</v>
      </c>
      <c r="F5978">
        <v>1500</v>
      </c>
      <c r="G5978" t="s">
        <v>331</v>
      </c>
      <c r="H5978" s="15">
        <v>45323</v>
      </c>
      <c r="I5978">
        <v>1500</v>
      </c>
      <c r="J5978">
        <v>0</v>
      </c>
    </row>
    <row r="5979" spans="1:10" x14ac:dyDescent="0.3">
      <c r="A5979" s="15">
        <v>45962</v>
      </c>
      <c r="B5979" t="s">
        <v>339</v>
      </c>
      <c r="C5979" t="s">
        <v>81</v>
      </c>
      <c r="D5979" t="s">
        <v>82</v>
      </c>
      <c r="E5979" t="s">
        <v>103</v>
      </c>
      <c r="F5979">
        <v>1600</v>
      </c>
      <c r="G5979" t="s">
        <v>331</v>
      </c>
      <c r="H5979" s="15">
        <v>45323</v>
      </c>
      <c r="I5979">
        <v>1600</v>
      </c>
      <c r="J5979">
        <v>0</v>
      </c>
    </row>
    <row r="5980" spans="1:10" x14ac:dyDescent="0.3">
      <c r="A5980" s="15">
        <v>45962</v>
      </c>
      <c r="B5980" t="s">
        <v>341</v>
      </c>
      <c r="C5980" t="s">
        <v>110</v>
      </c>
      <c r="D5980" t="s">
        <v>82</v>
      </c>
      <c r="E5980" t="s">
        <v>92</v>
      </c>
      <c r="F5980">
        <v>18800</v>
      </c>
      <c r="G5980" t="s">
        <v>331</v>
      </c>
      <c r="H5980" s="15">
        <v>45323</v>
      </c>
      <c r="I5980">
        <v>18800</v>
      </c>
      <c r="J5980">
        <v>0</v>
      </c>
    </row>
    <row r="5981" spans="1:10" x14ac:dyDescent="0.3">
      <c r="A5981" s="15">
        <v>45962</v>
      </c>
      <c r="B5981" t="s">
        <v>342</v>
      </c>
      <c r="C5981" t="s">
        <v>91</v>
      </c>
      <c r="D5981" t="s">
        <v>82</v>
      </c>
      <c r="E5981" t="s">
        <v>83</v>
      </c>
      <c r="F5981">
        <v>6300</v>
      </c>
      <c r="G5981" t="s">
        <v>331</v>
      </c>
      <c r="H5981" s="15">
        <v>45352</v>
      </c>
      <c r="I5981">
        <v>6300</v>
      </c>
      <c r="J5981">
        <v>0</v>
      </c>
    </row>
    <row r="5982" spans="1:10" x14ac:dyDescent="0.3">
      <c r="A5982" s="15">
        <v>45962</v>
      </c>
      <c r="B5982" t="s">
        <v>343</v>
      </c>
      <c r="C5982" t="s">
        <v>81</v>
      </c>
      <c r="D5982" t="s">
        <v>82</v>
      </c>
      <c r="E5982" t="s">
        <v>89</v>
      </c>
      <c r="F5982">
        <v>2500</v>
      </c>
      <c r="G5982" t="s">
        <v>331</v>
      </c>
      <c r="H5982" s="15">
        <v>45352</v>
      </c>
      <c r="I5982">
        <v>2500</v>
      </c>
      <c r="J5982">
        <v>0</v>
      </c>
    </row>
    <row r="5983" spans="1:10" x14ac:dyDescent="0.3">
      <c r="A5983" s="15">
        <v>45962</v>
      </c>
      <c r="B5983" t="s">
        <v>344</v>
      </c>
      <c r="C5983" t="s">
        <v>110</v>
      </c>
      <c r="D5983" t="s">
        <v>86</v>
      </c>
      <c r="E5983" t="s">
        <v>89</v>
      </c>
      <c r="F5983">
        <v>22300</v>
      </c>
      <c r="G5983" t="s">
        <v>331</v>
      </c>
      <c r="H5983" s="15">
        <v>45352</v>
      </c>
      <c r="I5983">
        <v>22300</v>
      </c>
      <c r="J5983">
        <v>0</v>
      </c>
    </row>
    <row r="5984" spans="1:10" x14ac:dyDescent="0.3">
      <c r="A5984" s="15">
        <v>45962</v>
      </c>
      <c r="B5984" t="s">
        <v>345</v>
      </c>
      <c r="C5984" t="s">
        <v>91</v>
      </c>
      <c r="D5984" t="s">
        <v>86</v>
      </c>
      <c r="E5984" t="s">
        <v>83</v>
      </c>
      <c r="F5984">
        <v>7900</v>
      </c>
      <c r="G5984" t="s">
        <v>331</v>
      </c>
      <c r="H5984" s="15">
        <v>45352</v>
      </c>
      <c r="I5984">
        <v>7900</v>
      </c>
      <c r="J5984">
        <v>0</v>
      </c>
    </row>
    <row r="5985" spans="1:10" x14ac:dyDescent="0.3">
      <c r="A5985" s="15">
        <v>45962</v>
      </c>
      <c r="B5985" t="s">
        <v>346</v>
      </c>
      <c r="C5985" t="s">
        <v>81</v>
      </c>
      <c r="D5985" t="s">
        <v>86</v>
      </c>
      <c r="E5985" t="s">
        <v>97</v>
      </c>
      <c r="F5985">
        <v>1700</v>
      </c>
      <c r="G5985" t="s">
        <v>331</v>
      </c>
      <c r="H5985" s="15">
        <v>45352</v>
      </c>
      <c r="I5985">
        <v>1700</v>
      </c>
      <c r="J5985">
        <v>0</v>
      </c>
    </row>
    <row r="5986" spans="1:10" x14ac:dyDescent="0.3">
      <c r="A5986" s="15">
        <v>45962</v>
      </c>
      <c r="B5986" t="s">
        <v>347</v>
      </c>
      <c r="C5986" t="s">
        <v>91</v>
      </c>
      <c r="D5986" t="s">
        <v>82</v>
      </c>
      <c r="E5986" t="s">
        <v>83</v>
      </c>
      <c r="F5986">
        <v>4700</v>
      </c>
      <c r="G5986" t="s">
        <v>331</v>
      </c>
      <c r="H5986" s="15">
        <v>45383</v>
      </c>
      <c r="I5986">
        <v>4700</v>
      </c>
      <c r="J5986">
        <v>0</v>
      </c>
    </row>
    <row r="5987" spans="1:10" x14ac:dyDescent="0.3">
      <c r="A5987" s="15">
        <v>45962</v>
      </c>
      <c r="B5987" t="s">
        <v>350</v>
      </c>
      <c r="C5987" t="s">
        <v>91</v>
      </c>
      <c r="D5987" t="s">
        <v>82</v>
      </c>
      <c r="E5987" t="s">
        <v>83</v>
      </c>
      <c r="F5987">
        <v>4400</v>
      </c>
      <c r="G5987" t="s">
        <v>331</v>
      </c>
      <c r="H5987" s="15">
        <v>45383</v>
      </c>
      <c r="I5987">
        <v>4400</v>
      </c>
      <c r="J5987">
        <v>0</v>
      </c>
    </row>
    <row r="5988" spans="1:10" x14ac:dyDescent="0.3">
      <c r="A5988" s="15">
        <v>45962</v>
      </c>
      <c r="B5988" t="s">
        <v>351</v>
      </c>
      <c r="C5988" t="s">
        <v>81</v>
      </c>
      <c r="D5988" t="s">
        <v>86</v>
      </c>
      <c r="E5988" t="s">
        <v>83</v>
      </c>
      <c r="F5988">
        <v>2700</v>
      </c>
      <c r="G5988" t="s">
        <v>331</v>
      </c>
      <c r="H5988" s="15">
        <v>45383</v>
      </c>
      <c r="I5988">
        <v>2700</v>
      </c>
      <c r="J5988">
        <v>0</v>
      </c>
    </row>
    <row r="5989" spans="1:10" x14ac:dyDescent="0.3">
      <c r="A5989" s="15">
        <v>45962</v>
      </c>
      <c r="B5989" t="s">
        <v>352</v>
      </c>
      <c r="C5989" t="s">
        <v>91</v>
      </c>
      <c r="D5989" t="s">
        <v>82</v>
      </c>
      <c r="E5989" t="s">
        <v>89</v>
      </c>
      <c r="F5989">
        <v>8800</v>
      </c>
      <c r="G5989" t="s">
        <v>331</v>
      </c>
      <c r="H5989" s="15">
        <v>45383</v>
      </c>
      <c r="I5989">
        <v>8800</v>
      </c>
      <c r="J5989">
        <v>0</v>
      </c>
    </row>
    <row r="5990" spans="1:10" x14ac:dyDescent="0.3">
      <c r="A5990" s="15">
        <v>45962</v>
      </c>
      <c r="B5990" t="s">
        <v>353</v>
      </c>
      <c r="C5990" t="s">
        <v>81</v>
      </c>
      <c r="D5990" t="s">
        <v>99</v>
      </c>
      <c r="E5990" t="s">
        <v>103</v>
      </c>
      <c r="F5990">
        <v>1200</v>
      </c>
      <c r="G5990" t="s">
        <v>331</v>
      </c>
      <c r="H5990" s="15">
        <v>45383</v>
      </c>
      <c r="I5990">
        <v>1200</v>
      </c>
      <c r="J5990">
        <v>0</v>
      </c>
    </row>
    <row r="5991" spans="1:10" x14ac:dyDescent="0.3">
      <c r="A5991" s="15">
        <v>45962</v>
      </c>
      <c r="B5991" t="s">
        <v>354</v>
      </c>
      <c r="C5991" t="s">
        <v>81</v>
      </c>
      <c r="D5991" t="s">
        <v>82</v>
      </c>
      <c r="E5991" t="s">
        <v>92</v>
      </c>
      <c r="F5991">
        <v>1700</v>
      </c>
      <c r="G5991" t="s">
        <v>331</v>
      </c>
      <c r="H5991" s="15">
        <v>45413</v>
      </c>
      <c r="I5991">
        <v>1700</v>
      </c>
      <c r="J5991">
        <v>0</v>
      </c>
    </row>
    <row r="5992" spans="1:10" x14ac:dyDescent="0.3">
      <c r="A5992" s="15">
        <v>45962</v>
      </c>
      <c r="B5992" t="s">
        <v>355</v>
      </c>
      <c r="C5992" t="s">
        <v>81</v>
      </c>
      <c r="D5992" t="s">
        <v>86</v>
      </c>
      <c r="E5992" t="s">
        <v>97</v>
      </c>
      <c r="F5992">
        <v>2000</v>
      </c>
      <c r="G5992" t="s">
        <v>331</v>
      </c>
      <c r="H5992" s="15">
        <v>45413</v>
      </c>
      <c r="I5992">
        <v>2000</v>
      </c>
      <c r="J5992">
        <v>0</v>
      </c>
    </row>
    <row r="5993" spans="1:10" x14ac:dyDescent="0.3">
      <c r="A5993" s="15">
        <v>45962</v>
      </c>
      <c r="B5993" t="s">
        <v>356</v>
      </c>
      <c r="C5993" t="s">
        <v>110</v>
      </c>
      <c r="D5993" t="s">
        <v>82</v>
      </c>
      <c r="E5993" t="s">
        <v>97</v>
      </c>
      <c r="F5993">
        <v>33000</v>
      </c>
      <c r="G5993" t="s">
        <v>331</v>
      </c>
      <c r="H5993" s="15">
        <v>45413</v>
      </c>
      <c r="I5993">
        <v>33000</v>
      </c>
      <c r="J5993">
        <v>0</v>
      </c>
    </row>
    <row r="5994" spans="1:10" x14ac:dyDescent="0.3">
      <c r="A5994" s="15">
        <v>45962</v>
      </c>
      <c r="B5994" t="s">
        <v>357</v>
      </c>
      <c r="C5994" t="s">
        <v>125</v>
      </c>
      <c r="D5994" t="s">
        <v>86</v>
      </c>
      <c r="E5994" t="s">
        <v>97</v>
      </c>
      <c r="F5994">
        <v>83400</v>
      </c>
      <c r="G5994" t="s">
        <v>331</v>
      </c>
      <c r="H5994" s="15">
        <v>45413</v>
      </c>
      <c r="I5994">
        <v>83400</v>
      </c>
      <c r="J5994">
        <v>0</v>
      </c>
    </row>
    <row r="5995" spans="1:10" x14ac:dyDescent="0.3">
      <c r="A5995" s="15">
        <v>45962</v>
      </c>
      <c r="B5995" t="s">
        <v>358</v>
      </c>
      <c r="C5995" t="s">
        <v>110</v>
      </c>
      <c r="D5995" t="s">
        <v>86</v>
      </c>
      <c r="E5995" t="s">
        <v>83</v>
      </c>
      <c r="F5995">
        <v>24100</v>
      </c>
      <c r="G5995" t="s">
        <v>331</v>
      </c>
      <c r="H5995" s="15">
        <v>45413</v>
      </c>
      <c r="I5995">
        <v>24100</v>
      </c>
      <c r="J5995">
        <v>0</v>
      </c>
    </row>
    <row r="5996" spans="1:10" x14ac:dyDescent="0.3">
      <c r="A5996" s="15">
        <v>45962</v>
      </c>
      <c r="B5996" t="s">
        <v>359</v>
      </c>
      <c r="C5996" t="s">
        <v>110</v>
      </c>
      <c r="D5996" t="s">
        <v>86</v>
      </c>
      <c r="E5996" t="s">
        <v>101</v>
      </c>
      <c r="F5996">
        <v>31400</v>
      </c>
      <c r="G5996" t="s">
        <v>331</v>
      </c>
      <c r="H5996" s="15">
        <v>45413</v>
      </c>
      <c r="I5996">
        <v>31400</v>
      </c>
      <c r="J5996">
        <v>0</v>
      </c>
    </row>
    <row r="5997" spans="1:10" x14ac:dyDescent="0.3">
      <c r="A5997" s="15">
        <v>45962</v>
      </c>
      <c r="B5997" t="s">
        <v>361</v>
      </c>
      <c r="C5997" t="s">
        <v>91</v>
      </c>
      <c r="D5997" t="s">
        <v>86</v>
      </c>
      <c r="E5997" t="s">
        <v>83</v>
      </c>
      <c r="F5997">
        <v>5700</v>
      </c>
      <c r="G5997" t="s">
        <v>331</v>
      </c>
      <c r="H5997" s="15">
        <v>45444</v>
      </c>
      <c r="I5997">
        <v>5700</v>
      </c>
      <c r="J5997">
        <v>0</v>
      </c>
    </row>
    <row r="5998" spans="1:10" x14ac:dyDescent="0.3">
      <c r="A5998" s="15">
        <v>45962</v>
      </c>
      <c r="B5998" t="s">
        <v>362</v>
      </c>
      <c r="C5998" t="s">
        <v>91</v>
      </c>
      <c r="D5998" t="s">
        <v>82</v>
      </c>
      <c r="E5998" t="s">
        <v>101</v>
      </c>
      <c r="F5998">
        <v>5700</v>
      </c>
      <c r="G5998" t="s">
        <v>331</v>
      </c>
      <c r="H5998" s="15">
        <v>45444</v>
      </c>
      <c r="I5998">
        <v>5700</v>
      </c>
      <c r="J5998">
        <v>0</v>
      </c>
    </row>
    <row r="5999" spans="1:10" x14ac:dyDescent="0.3">
      <c r="A5999" s="15">
        <v>45962</v>
      </c>
      <c r="B5999" t="s">
        <v>363</v>
      </c>
      <c r="C5999" t="s">
        <v>91</v>
      </c>
      <c r="D5999" t="s">
        <v>86</v>
      </c>
      <c r="E5999" t="s">
        <v>83</v>
      </c>
      <c r="F5999">
        <v>4400</v>
      </c>
      <c r="G5999" t="s">
        <v>331</v>
      </c>
      <c r="H5999" s="15">
        <v>45444</v>
      </c>
      <c r="I5999">
        <v>4400</v>
      </c>
      <c r="J5999">
        <v>0</v>
      </c>
    </row>
    <row r="6000" spans="1:10" x14ac:dyDescent="0.3">
      <c r="A6000" s="15">
        <v>45962</v>
      </c>
      <c r="B6000" t="s">
        <v>364</v>
      </c>
      <c r="C6000" t="s">
        <v>91</v>
      </c>
      <c r="D6000" t="s">
        <v>82</v>
      </c>
      <c r="E6000" t="s">
        <v>101</v>
      </c>
      <c r="F6000">
        <v>6700</v>
      </c>
      <c r="G6000" t="s">
        <v>331</v>
      </c>
      <c r="H6000" s="15">
        <v>45444</v>
      </c>
      <c r="I6000">
        <v>6700</v>
      </c>
      <c r="J6000">
        <v>0</v>
      </c>
    </row>
    <row r="6001" spans="1:10" x14ac:dyDescent="0.3">
      <c r="A6001" s="15">
        <v>45962</v>
      </c>
      <c r="B6001" t="s">
        <v>366</v>
      </c>
      <c r="C6001" t="s">
        <v>81</v>
      </c>
      <c r="D6001" t="s">
        <v>99</v>
      </c>
      <c r="E6001" t="s">
        <v>92</v>
      </c>
      <c r="F6001">
        <v>1600</v>
      </c>
      <c r="G6001" t="s">
        <v>331</v>
      </c>
      <c r="H6001" s="15">
        <v>45474</v>
      </c>
      <c r="I6001">
        <v>1600</v>
      </c>
      <c r="J6001">
        <v>0</v>
      </c>
    </row>
    <row r="6002" spans="1:10" x14ac:dyDescent="0.3">
      <c r="A6002" s="15">
        <v>45962</v>
      </c>
      <c r="B6002" t="s">
        <v>367</v>
      </c>
      <c r="C6002" t="s">
        <v>91</v>
      </c>
      <c r="D6002" t="s">
        <v>82</v>
      </c>
      <c r="E6002" t="s">
        <v>92</v>
      </c>
      <c r="F6002">
        <v>4400</v>
      </c>
      <c r="G6002" t="s">
        <v>331</v>
      </c>
      <c r="H6002" s="15">
        <v>45474</v>
      </c>
      <c r="I6002">
        <v>4400</v>
      </c>
      <c r="J6002">
        <v>0</v>
      </c>
    </row>
    <row r="6003" spans="1:10" x14ac:dyDescent="0.3">
      <c r="A6003" s="15">
        <v>45962</v>
      </c>
      <c r="B6003" t="s">
        <v>368</v>
      </c>
      <c r="C6003" t="s">
        <v>81</v>
      </c>
      <c r="D6003" t="s">
        <v>86</v>
      </c>
      <c r="E6003" t="s">
        <v>89</v>
      </c>
      <c r="F6003">
        <v>1400</v>
      </c>
      <c r="G6003" t="s">
        <v>331</v>
      </c>
      <c r="H6003" s="15">
        <v>45474</v>
      </c>
      <c r="I6003">
        <v>1400</v>
      </c>
      <c r="J6003">
        <v>0</v>
      </c>
    </row>
    <row r="6004" spans="1:10" x14ac:dyDescent="0.3">
      <c r="A6004" s="15">
        <v>45962</v>
      </c>
      <c r="B6004" t="s">
        <v>369</v>
      </c>
      <c r="C6004" t="s">
        <v>81</v>
      </c>
      <c r="D6004" t="s">
        <v>86</v>
      </c>
      <c r="E6004" t="s">
        <v>83</v>
      </c>
      <c r="F6004">
        <v>2000</v>
      </c>
      <c r="G6004" t="s">
        <v>331</v>
      </c>
      <c r="H6004" s="15">
        <v>45474</v>
      </c>
      <c r="I6004">
        <v>2000</v>
      </c>
      <c r="J6004">
        <v>0</v>
      </c>
    </row>
    <row r="6005" spans="1:10" x14ac:dyDescent="0.3">
      <c r="A6005" s="15">
        <v>45962</v>
      </c>
      <c r="B6005" t="s">
        <v>370</v>
      </c>
      <c r="C6005" t="s">
        <v>81</v>
      </c>
      <c r="D6005" t="s">
        <v>99</v>
      </c>
      <c r="E6005" t="s">
        <v>87</v>
      </c>
      <c r="F6005">
        <v>2300</v>
      </c>
      <c r="G6005" t="s">
        <v>331</v>
      </c>
      <c r="H6005" s="15">
        <v>45474</v>
      </c>
      <c r="I6005">
        <v>2300</v>
      </c>
      <c r="J6005">
        <v>0</v>
      </c>
    </row>
    <row r="6006" spans="1:10" x14ac:dyDescent="0.3">
      <c r="A6006" s="15">
        <v>45962</v>
      </c>
      <c r="B6006" t="s">
        <v>373</v>
      </c>
      <c r="C6006" t="s">
        <v>91</v>
      </c>
      <c r="D6006" t="s">
        <v>99</v>
      </c>
      <c r="E6006" t="s">
        <v>101</v>
      </c>
      <c r="F6006">
        <v>5200</v>
      </c>
      <c r="G6006" t="s">
        <v>331</v>
      </c>
      <c r="H6006" s="15">
        <v>45505</v>
      </c>
      <c r="I6006">
        <v>5200</v>
      </c>
      <c r="J6006">
        <v>0</v>
      </c>
    </row>
    <row r="6007" spans="1:10" x14ac:dyDescent="0.3">
      <c r="A6007" s="15">
        <v>45962</v>
      </c>
      <c r="B6007" t="s">
        <v>376</v>
      </c>
      <c r="C6007" t="s">
        <v>110</v>
      </c>
      <c r="D6007" t="s">
        <v>86</v>
      </c>
      <c r="E6007" t="s">
        <v>103</v>
      </c>
      <c r="F6007">
        <v>22900</v>
      </c>
      <c r="G6007" t="s">
        <v>331</v>
      </c>
      <c r="H6007" s="15">
        <v>45505</v>
      </c>
      <c r="I6007">
        <v>22900</v>
      </c>
      <c r="J6007">
        <v>0</v>
      </c>
    </row>
    <row r="6008" spans="1:10" x14ac:dyDescent="0.3">
      <c r="A6008" s="15">
        <v>45962</v>
      </c>
      <c r="B6008" t="s">
        <v>377</v>
      </c>
      <c r="C6008" t="s">
        <v>81</v>
      </c>
      <c r="D6008" t="s">
        <v>99</v>
      </c>
      <c r="E6008" t="s">
        <v>92</v>
      </c>
      <c r="F6008">
        <v>2300</v>
      </c>
      <c r="G6008" t="s">
        <v>331</v>
      </c>
      <c r="H6008" s="15">
        <v>45536</v>
      </c>
      <c r="I6008">
        <v>2300</v>
      </c>
      <c r="J6008">
        <v>0</v>
      </c>
    </row>
    <row r="6009" spans="1:10" x14ac:dyDescent="0.3">
      <c r="A6009" s="15">
        <v>45962</v>
      </c>
      <c r="B6009" t="s">
        <v>379</v>
      </c>
      <c r="C6009" t="s">
        <v>81</v>
      </c>
      <c r="D6009" t="s">
        <v>99</v>
      </c>
      <c r="E6009" t="s">
        <v>101</v>
      </c>
      <c r="F6009">
        <v>2200</v>
      </c>
      <c r="G6009" t="s">
        <v>331</v>
      </c>
      <c r="H6009" s="15">
        <v>45536</v>
      </c>
      <c r="I6009">
        <v>2200</v>
      </c>
      <c r="J6009">
        <v>0</v>
      </c>
    </row>
    <row r="6010" spans="1:10" x14ac:dyDescent="0.3">
      <c r="A6010" s="15">
        <v>45962</v>
      </c>
      <c r="B6010" t="s">
        <v>381</v>
      </c>
      <c r="C6010" t="s">
        <v>91</v>
      </c>
      <c r="D6010" t="s">
        <v>86</v>
      </c>
      <c r="E6010" t="s">
        <v>92</v>
      </c>
      <c r="F6010">
        <v>4600</v>
      </c>
      <c r="G6010" t="s">
        <v>331</v>
      </c>
      <c r="H6010" s="15">
        <v>45536</v>
      </c>
      <c r="I6010">
        <v>4600</v>
      </c>
      <c r="J6010">
        <v>0</v>
      </c>
    </row>
    <row r="6011" spans="1:10" x14ac:dyDescent="0.3">
      <c r="A6011" s="15">
        <v>45962</v>
      </c>
      <c r="B6011" t="s">
        <v>382</v>
      </c>
      <c r="C6011" t="s">
        <v>81</v>
      </c>
      <c r="D6011" t="s">
        <v>96</v>
      </c>
      <c r="E6011" t="s">
        <v>101</v>
      </c>
      <c r="F6011">
        <v>2100</v>
      </c>
      <c r="G6011" t="s">
        <v>331</v>
      </c>
      <c r="H6011" s="15">
        <v>45536</v>
      </c>
      <c r="I6011">
        <v>2100</v>
      </c>
      <c r="J6011">
        <v>0</v>
      </c>
    </row>
    <row r="6012" spans="1:10" x14ac:dyDescent="0.3">
      <c r="A6012" s="15">
        <v>45962</v>
      </c>
      <c r="B6012" t="s">
        <v>383</v>
      </c>
      <c r="C6012" t="s">
        <v>81</v>
      </c>
      <c r="D6012" t="s">
        <v>82</v>
      </c>
      <c r="E6012" t="s">
        <v>87</v>
      </c>
      <c r="F6012">
        <v>1600</v>
      </c>
      <c r="G6012" t="s">
        <v>331</v>
      </c>
      <c r="H6012" s="15">
        <v>45536</v>
      </c>
      <c r="I6012">
        <v>1600</v>
      </c>
      <c r="J6012">
        <v>0</v>
      </c>
    </row>
    <row r="6013" spans="1:10" x14ac:dyDescent="0.3">
      <c r="A6013" s="15">
        <v>45962</v>
      </c>
      <c r="B6013" t="s">
        <v>385</v>
      </c>
      <c r="C6013" t="s">
        <v>91</v>
      </c>
      <c r="D6013" t="s">
        <v>99</v>
      </c>
      <c r="E6013" t="s">
        <v>83</v>
      </c>
      <c r="F6013">
        <v>8300</v>
      </c>
      <c r="G6013" t="s">
        <v>331</v>
      </c>
      <c r="H6013" s="15">
        <v>45566</v>
      </c>
      <c r="I6013">
        <v>8300</v>
      </c>
      <c r="J6013">
        <v>0</v>
      </c>
    </row>
    <row r="6014" spans="1:10" x14ac:dyDescent="0.3">
      <c r="A6014" s="15">
        <v>45962</v>
      </c>
      <c r="B6014" t="s">
        <v>386</v>
      </c>
      <c r="C6014" t="s">
        <v>81</v>
      </c>
      <c r="D6014" t="s">
        <v>82</v>
      </c>
      <c r="E6014" t="s">
        <v>103</v>
      </c>
      <c r="F6014">
        <v>2200</v>
      </c>
      <c r="G6014" t="s">
        <v>331</v>
      </c>
      <c r="H6014" s="15">
        <v>45566</v>
      </c>
      <c r="I6014">
        <v>2200</v>
      </c>
      <c r="J6014">
        <v>0</v>
      </c>
    </row>
    <row r="6015" spans="1:10" x14ac:dyDescent="0.3">
      <c r="A6015" s="15">
        <v>45962</v>
      </c>
      <c r="B6015" t="s">
        <v>387</v>
      </c>
      <c r="C6015" t="s">
        <v>81</v>
      </c>
      <c r="D6015" t="s">
        <v>86</v>
      </c>
      <c r="E6015" t="s">
        <v>92</v>
      </c>
      <c r="F6015">
        <v>1700</v>
      </c>
      <c r="G6015" t="s">
        <v>331</v>
      </c>
      <c r="H6015" s="15">
        <v>45566</v>
      </c>
      <c r="I6015">
        <v>1700</v>
      </c>
      <c r="J6015">
        <v>0</v>
      </c>
    </row>
    <row r="6016" spans="1:10" x14ac:dyDescent="0.3">
      <c r="A6016" s="15">
        <v>45962</v>
      </c>
      <c r="B6016" t="s">
        <v>388</v>
      </c>
      <c r="C6016" t="s">
        <v>81</v>
      </c>
      <c r="D6016" t="s">
        <v>99</v>
      </c>
      <c r="E6016" t="s">
        <v>103</v>
      </c>
      <c r="F6016">
        <v>1700</v>
      </c>
      <c r="G6016" t="s">
        <v>331</v>
      </c>
      <c r="H6016" s="15">
        <v>45566</v>
      </c>
      <c r="I6016">
        <v>1700</v>
      </c>
      <c r="J6016">
        <v>0</v>
      </c>
    </row>
    <row r="6017" spans="1:10" x14ac:dyDescent="0.3">
      <c r="A6017" s="15">
        <v>45962</v>
      </c>
      <c r="B6017" t="s">
        <v>389</v>
      </c>
      <c r="C6017" t="s">
        <v>91</v>
      </c>
      <c r="D6017" t="s">
        <v>82</v>
      </c>
      <c r="E6017" t="s">
        <v>101</v>
      </c>
      <c r="F6017">
        <v>7300</v>
      </c>
      <c r="G6017" t="s">
        <v>331</v>
      </c>
      <c r="H6017" s="15">
        <v>45566</v>
      </c>
      <c r="I6017">
        <v>7300</v>
      </c>
      <c r="J6017">
        <v>0</v>
      </c>
    </row>
    <row r="6018" spans="1:10" x14ac:dyDescent="0.3">
      <c r="A6018" s="15">
        <v>45962</v>
      </c>
      <c r="B6018" t="s">
        <v>390</v>
      </c>
      <c r="C6018" t="s">
        <v>91</v>
      </c>
      <c r="D6018" t="s">
        <v>82</v>
      </c>
      <c r="E6018" t="s">
        <v>89</v>
      </c>
      <c r="F6018">
        <v>6200</v>
      </c>
      <c r="G6018" t="s">
        <v>331</v>
      </c>
      <c r="H6018" s="15">
        <v>45566</v>
      </c>
      <c r="I6018">
        <v>6200</v>
      </c>
      <c r="J6018">
        <v>0</v>
      </c>
    </row>
    <row r="6019" spans="1:10" x14ac:dyDescent="0.3">
      <c r="A6019" s="15">
        <v>45962</v>
      </c>
      <c r="B6019" t="s">
        <v>392</v>
      </c>
      <c r="C6019" t="s">
        <v>91</v>
      </c>
      <c r="D6019" t="s">
        <v>86</v>
      </c>
      <c r="E6019" t="s">
        <v>97</v>
      </c>
      <c r="F6019">
        <v>10000</v>
      </c>
      <c r="G6019" t="s">
        <v>331</v>
      </c>
      <c r="H6019" s="15">
        <v>45597</v>
      </c>
      <c r="I6019">
        <v>10000</v>
      </c>
      <c r="J6019">
        <v>0</v>
      </c>
    </row>
    <row r="6020" spans="1:10" x14ac:dyDescent="0.3">
      <c r="A6020" s="15">
        <v>45962</v>
      </c>
      <c r="B6020" t="s">
        <v>393</v>
      </c>
      <c r="C6020" t="s">
        <v>81</v>
      </c>
      <c r="D6020" t="s">
        <v>82</v>
      </c>
      <c r="E6020" t="s">
        <v>92</v>
      </c>
      <c r="F6020">
        <v>2100</v>
      </c>
      <c r="G6020" t="s">
        <v>331</v>
      </c>
      <c r="H6020" s="15">
        <v>45597</v>
      </c>
      <c r="I6020">
        <v>2100</v>
      </c>
      <c r="J6020">
        <v>0</v>
      </c>
    </row>
    <row r="6021" spans="1:10" x14ac:dyDescent="0.3">
      <c r="A6021" s="15">
        <v>45962</v>
      </c>
      <c r="B6021" t="s">
        <v>394</v>
      </c>
      <c r="C6021" t="s">
        <v>81</v>
      </c>
      <c r="D6021" t="s">
        <v>99</v>
      </c>
      <c r="E6021" t="s">
        <v>87</v>
      </c>
      <c r="F6021">
        <v>1400</v>
      </c>
      <c r="G6021" t="s">
        <v>331</v>
      </c>
      <c r="H6021" s="15">
        <v>45597</v>
      </c>
      <c r="I6021">
        <v>1400</v>
      </c>
      <c r="J6021">
        <v>0</v>
      </c>
    </row>
    <row r="6022" spans="1:10" x14ac:dyDescent="0.3">
      <c r="A6022" s="15">
        <v>45962</v>
      </c>
      <c r="B6022" t="s">
        <v>395</v>
      </c>
      <c r="C6022" t="s">
        <v>81</v>
      </c>
      <c r="D6022" t="s">
        <v>82</v>
      </c>
      <c r="E6022" t="s">
        <v>97</v>
      </c>
      <c r="F6022">
        <v>2200</v>
      </c>
      <c r="G6022" t="s">
        <v>331</v>
      </c>
      <c r="H6022" s="15">
        <v>45627</v>
      </c>
      <c r="I6022">
        <v>2200</v>
      </c>
      <c r="J6022">
        <v>0</v>
      </c>
    </row>
    <row r="6023" spans="1:10" x14ac:dyDescent="0.3">
      <c r="A6023" s="15">
        <v>45962</v>
      </c>
      <c r="B6023" t="s">
        <v>396</v>
      </c>
      <c r="C6023" t="s">
        <v>91</v>
      </c>
      <c r="D6023" t="s">
        <v>82</v>
      </c>
      <c r="E6023" t="s">
        <v>92</v>
      </c>
      <c r="F6023">
        <v>8800</v>
      </c>
      <c r="G6023" t="s">
        <v>331</v>
      </c>
      <c r="H6023" s="15">
        <v>45627</v>
      </c>
      <c r="I6023">
        <v>8800</v>
      </c>
      <c r="J6023">
        <v>0</v>
      </c>
    </row>
    <row r="6024" spans="1:10" x14ac:dyDescent="0.3">
      <c r="A6024" s="15">
        <v>45962</v>
      </c>
      <c r="B6024" t="s">
        <v>398</v>
      </c>
      <c r="C6024" t="s">
        <v>81</v>
      </c>
      <c r="D6024" t="s">
        <v>86</v>
      </c>
      <c r="E6024" t="s">
        <v>92</v>
      </c>
      <c r="F6024">
        <v>1400</v>
      </c>
      <c r="G6024" t="s">
        <v>331</v>
      </c>
      <c r="H6024" s="15">
        <v>45627</v>
      </c>
      <c r="I6024">
        <v>1400</v>
      </c>
      <c r="J6024">
        <v>0</v>
      </c>
    </row>
    <row r="6025" spans="1:10" x14ac:dyDescent="0.3">
      <c r="A6025" s="15">
        <v>45962</v>
      </c>
      <c r="B6025" t="s">
        <v>399</v>
      </c>
      <c r="C6025" t="s">
        <v>110</v>
      </c>
      <c r="D6025" t="s">
        <v>82</v>
      </c>
      <c r="E6025" t="s">
        <v>101</v>
      </c>
      <c r="F6025">
        <v>17400</v>
      </c>
      <c r="G6025" t="s">
        <v>331</v>
      </c>
      <c r="H6025" s="15">
        <v>45627</v>
      </c>
      <c r="I6025">
        <v>17400</v>
      </c>
      <c r="J6025">
        <v>0</v>
      </c>
    </row>
    <row r="6026" spans="1:10" x14ac:dyDescent="0.3">
      <c r="A6026" s="15">
        <v>45962</v>
      </c>
      <c r="B6026" t="s">
        <v>400</v>
      </c>
      <c r="C6026" t="s">
        <v>91</v>
      </c>
      <c r="D6026" t="s">
        <v>82</v>
      </c>
      <c r="E6026" t="s">
        <v>103</v>
      </c>
      <c r="F6026">
        <v>4400</v>
      </c>
      <c r="G6026" t="s">
        <v>331</v>
      </c>
      <c r="H6026" s="15">
        <v>45627</v>
      </c>
      <c r="I6026">
        <v>4400</v>
      </c>
      <c r="J6026">
        <v>0</v>
      </c>
    </row>
    <row r="6027" spans="1:10" x14ac:dyDescent="0.3">
      <c r="A6027" s="15">
        <v>45962</v>
      </c>
      <c r="B6027" t="s">
        <v>403</v>
      </c>
      <c r="C6027" t="s">
        <v>81</v>
      </c>
      <c r="D6027" t="s">
        <v>82</v>
      </c>
      <c r="E6027" t="s">
        <v>101</v>
      </c>
      <c r="F6027">
        <v>1900</v>
      </c>
      <c r="G6027" t="s">
        <v>331</v>
      </c>
      <c r="H6027" s="15">
        <v>45658</v>
      </c>
      <c r="I6027">
        <v>1900</v>
      </c>
      <c r="J6027">
        <v>0</v>
      </c>
    </row>
    <row r="6028" spans="1:10" x14ac:dyDescent="0.3">
      <c r="A6028" s="15">
        <v>45962</v>
      </c>
      <c r="B6028" t="s">
        <v>404</v>
      </c>
      <c r="C6028" t="s">
        <v>81</v>
      </c>
      <c r="D6028" t="s">
        <v>86</v>
      </c>
      <c r="E6028" t="s">
        <v>83</v>
      </c>
      <c r="F6028">
        <v>2100</v>
      </c>
      <c r="G6028" t="s">
        <v>331</v>
      </c>
      <c r="H6028" s="15">
        <v>45658</v>
      </c>
      <c r="I6028">
        <v>2100</v>
      </c>
      <c r="J6028">
        <v>0</v>
      </c>
    </row>
    <row r="6029" spans="1:10" x14ac:dyDescent="0.3">
      <c r="A6029" s="15">
        <v>45962</v>
      </c>
      <c r="B6029" t="s">
        <v>405</v>
      </c>
      <c r="C6029" t="s">
        <v>81</v>
      </c>
      <c r="D6029" t="s">
        <v>82</v>
      </c>
      <c r="E6029" t="s">
        <v>92</v>
      </c>
      <c r="F6029">
        <v>1600</v>
      </c>
      <c r="G6029" t="s">
        <v>331</v>
      </c>
      <c r="H6029" s="15">
        <v>45658</v>
      </c>
      <c r="I6029">
        <v>1600</v>
      </c>
      <c r="J6029">
        <v>0</v>
      </c>
    </row>
    <row r="6030" spans="1:10" x14ac:dyDescent="0.3">
      <c r="A6030" s="15">
        <v>45962</v>
      </c>
      <c r="B6030" t="s">
        <v>406</v>
      </c>
      <c r="C6030" t="s">
        <v>91</v>
      </c>
      <c r="D6030" t="s">
        <v>86</v>
      </c>
      <c r="E6030" t="s">
        <v>87</v>
      </c>
      <c r="F6030">
        <v>4700</v>
      </c>
      <c r="G6030" t="s">
        <v>331</v>
      </c>
      <c r="H6030" s="15">
        <v>45658</v>
      </c>
      <c r="I6030">
        <v>4700</v>
      </c>
      <c r="J6030">
        <v>0</v>
      </c>
    </row>
    <row r="6031" spans="1:10" x14ac:dyDescent="0.3">
      <c r="A6031" s="15">
        <v>45962</v>
      </c>
      <c r="B6031" t="s">
        <v>407</v>
      </c>
      <c r="C6031" t="s">
        <v>81</v>
      </c>
      <c r="D6031" t="s">
        <v>82</v>
      </c>
      <c r="E6031" t="s">
        <v>92</v>
      </c>
      <c r="F6031">
        <v>2400</v>
      </c>
      <c r="G6031" t="s">
        <v>331</v>
      </c>
      <c r="H6031" s="15">
        <v>45689</v>
      </c>
      <c r="I6031">
        <v>2400</v>
      </c>
      <c r="J6031">
        <v>0</v>
      </c>
    </row>
    <row r="6032" spans="1:10" x14ac:dyDescent="0.3">
      <c r="A6032" s="15">
        <v>45962</v>
      </c>
      <c r="B6032" t="s">
        <v>409</v>
      </c>
      <c r="C6032" t="s">
        <v>81</v>
      </c>
      <c r="D6032" t="s">
        <v>82</v>
      </c>
      <c r="E6032" t="s">
        <v>83</v>
      </c>
      <c r="F6032">
        <v>1700</v>
      </c>
      <c r="G6032" t="s">
        <v>331</v>
      </c>
      <c r="H6032" s="15">
        <v>45689</v>
      </c>
      <c r="I6032">
        <v>1700</v>
      </c>
      <c r="J6032">
        <v>0</v>
      </c>
    </row>
    <row r="6033" spans="1:10" x14ac:dyDescent="0.3">
      <c r="A6033" s="15">
        <v>45962</v>
      </c>
      <c r="B6033" t="s">
        <v>410</v>
      </c>
      <c r="C6033" t="s">
        <v>125</v>
      </c>
      <c r="D6033" t="s">
        <v>82</v>
      </c>
      <c r="E6033" t="s">
        <v>103</v>
      </c>
      <c r="F6033">
        <v>56400</v>
      </c>
      <c r="G6033" t="s">
        <v>331</v>
      </c>
      <c r="H6033" s="15">
        <v>45689</v>
      </c>
      <c r="I6033">
        <v>56400</v>
      </c>
      <c r="J6033">
        <v>0</v>
      </c>
    </row>
    <row r="6034" spans="1:10" x14ac:dyDescent="0.3">
      <c r="A6034" s="15">
        <v>45962</v>
      </c>
      <c r="B6034" t="s">
        <v>411</v>
      </c>
      <c r="C6034" t="s">
        <v>91</v>
      </c>
      <c r="D6034" t="s">
        <v>86</v>
      </c>
      <c r="E6034" t="s">
        <v>92</v>
      </c>
      <c r="F6034">
        <v>7700</v>
      </c>
      <c r="G6034" t="s">
        <v>331</v>
      </c>
      <c r="H6034" s="15">
        <v>45689</v>
      </c>
      <c r="I6034">
        <v>7700</v>
      </c>
      <c r="J6034">
        <v>0</v>
      </c>
    </row>
    <row r="6035" spans="1:10" x14ac:dyDescent="0.3">
      <c r="A6035" s="15">
        <v>45962</v>
      </c>
      <c r="B6035" t="s">
        <v>412</v>
      </c>
      <c r="C6035" t="s">
        <v>81</v>
      </c>
      <c r="D6035" t="s">
        <v>82</v>
      </c>
      <c r="E6035" t="s">
        <v>89</v>
      </c>
      <c r="F6035">
        <v>2200</v>
      </c>
      <c r="G6035" t="s">
        <v>331</v>
      </c>
      <c r="H6035" s="15">
        <v>45717</v>
      </c>
      <c r="I6035">
        <v>2200</v>
      </c>
      <c r="J6035">
        <v>0</v>
      </c>
    </row>
    <row r="6036" spans="1:10" x14ac:dyDescent="0.3">
      <c r="A6036" s="15">
        <v>45962</v>
      </c>
      <c r="B6036" t="s">
        <v>413</v>
      </c>
      <c r="C6036" t="s">
        <v>81</v>
      </c>
      <c r="D6036" t="s">
        <v>99</v>
      </c>
      <c r="E6036" t="s">
        <v>101</v>
      </c>
      <c r="F6036">
        <v>2300</v>
      </c>
      <c r="G6036" t="s">
        <v>331</v>
      </c>
      <c r="H6036" s="15">
        <v>45717</v>
      </c>
      <c r="I6036">
        <v>2300</v>
      </c>
      <c r="J6036">
        <v>0</v>
      </c>
    </row>
    <row r="6037" spans="1:10" x14ac:dyDescent="0.3">
      <c r="A6037" s="15">
        <v>45962</v>
      </c>
      <c r="B6037" t="s">
        <v>414</v>
      </c>
      <c r="C6037" t="s">
        <v>110</v>
      </c>
      <c r="D6037" t="s">
        <v>99</v>
      </c>
      <c r="E6037" t="s">
        <v>89</v>
      </c>
      <c r="F6037">
        <v>30900</v>
      </c>
      <c r="G6037" t="s">
        <v>331</v>
      </c>
      <c r="H6037" s="15">
        <v>45717</v>
      </c>
      <c r="I6037">
        <v>30900</v>
      </c>
      <c r="J6037">
        <v>0</v>
      </c>
    </row>
    <row r="6038" spans="1:10" x14ac:dyDescent="0.3">
      <c r="A6038" s="15">
        <v>45962</v>
      </c>
      <c r="B6038" t="s">
        <v>416</v>
      </c>
      <c r="C6038" t="s">
        <v>81</v>
      </c>
      <c r="D6038" t="s">
        <v>99</v>
      </c>
      <c r="E6038" t="s">
        <v>103</v>
      </c>
      <c r="F6038">
        <v>2500</v>
      </c>
      <c r="G6038" t="s">
        <v>331</v>
      </c>
      <c r="H6038" s="15">
        <v>45717</v>
      </c>
      <c r="I6038">
        <v>2500</v>
      </c>
      <c r="J6038">
        <v>0</v>
      </c>
    </row>
    <row r="6039" spans="1:10" x14ac:dyDescent="0.3">
      <c r="A6039" s="15">
        <v>45962</v>
      </c>
      <c r="B6039" t="s">
        <v>417</v>
      </c>
      <c r="C6039" t="s">
        <v>110</v>
      </c>
      <c r="D6039" t="s">
        <v>86</v>
      </c>
      <c r="E6039" t="s">
        <v>92</v>
      </c>
      <c r="F6039">
        <v>35600</v>
      </c>
      <c r="G6039" t="s">
        <v>331</v>
      </c>
      <c r="H6039" s="15">
        <v>45717</v>
      </c>
      <c r="I6039">
        <v>35600</v>
      </c>
      <c r="J6039">
        <v>0</v>
      </c>
    </row>
    <row r="6040" spans="1:10" x14ac:dyDescent="0.3">
      <c r="A6040" s="15">
        <v>45962</v>
      </c>
      <c r="B6040" t="s">
        <v>418</v>
      </c>
      <c r="C6040" t="s">
        <v>81</v>
      </c>
      <c r="D6040" t="s">
        <v>86</v>
      </c>
      <c r="E6040" t="s">
        <v>92</v>
      </c>
      <c r="F6040">
        <v>1800</v>
      </c>
      <c r="G6040" t="s">
        <v>331</v>
      </c>
      <c r="H6040" s="15">
        <v>45748</v>
      </c>
      <c r="I6040">
        <v>1800</v>
      </c>
      <c r="J6040">
        <v>0</v>
      </c>
    </row>
    <row r="6041" spans="1:10" x14ac:dyDescent="0.3">
      <c r="A6041" s="15">
        <v>45962</v>
      </c>
      <c r="B6041" t="s">
        <v>419</v>
      </c>
      <c r="C6041" t="s">
        <v>125</v>
      </c>
      <c r="D6041" t="s">
        <v>96</v>
      </c>
      <c r="E6041" t="s">
        <v>103</v>
      </c>
      <c r="F6041">
        <v>73300</v>
      </c>
      <c r="G6041" t="s">
        <v>331</v>
      </c>
      <c r="H6041" s="15">
        <v>45748</v>
      </c>
      <c r="I6041">
        <v>73300</v>
      </c>
      <c r="J6041">
        <v>0</v>
      </c>
    </row>
    <row r="6042" spans="1:10" x14ac:dyDescent="0.3">
      <c r="A6042" s="15">
        <v>45962</v>
      </c>
      <c r="B6042" t="s">
        <v>420</v>
      </c>
      <c r="C6042" t="s">
        <v>110</v>
      </c>
      <c r="D6042" t="s">
        <v>96</v>
      </c>
      <c r="E6042" t="s">
        <v>103</v>
      </c>
      <c r="F6042">
        <v>22900</v>
      </c>
      <c r="G6042" t="s">
        <v>331</v>
      </c>
      <c r="H6042" s="15">
        <v>45748</v>
      </c>
      <c r="I6042">
        <v>22900</v>
      </c>
      <c r="J6042">
        <v>0</v>
      </c>
    </row>
    <row r="6043" spans="1:10" x14ac:dyDescent="0.3">
      <c r="A6043" s="15">
        <v>45962</v>
      </c>
      <c r="B6043" t="s">
        <v>421</v>
      </c>
      <c r="C6043" t="s">
        <v>110</v>
      </c>
      <c r="D6043" t="s">
        <v>82</v>
      </c>
      <c r="E6043" t="s">
        <v>103</v>
      </c>
      <c r="F6043">
        <v>18800</v>
      </c>
      <c r="G6043" t="s">
        <v>331</v>
      </c>
      <c r="H6043" s="15">
        <v>45748</v>
      </c>
      <c r="I6043">
        <v>18800</v>
      </c>
      <c r="J6043">
        <v>0</v>
      </c>
    </row>
    <row r="6044" spans="1:10" x14ac:dyDescent="0.3">
      <c r="A6044" s="15">
        <v>45962</v>
      </c>
      <c r="B6044" t="s">
        <v>422</v>
      </c>
      <c r="C6044" t="s">
        <v>81</v>
      </c>
      <c r="D6044" t="s">
        <v>82</v>
      </c>
      <c r="E6044" t="s">
        <v>97</v>
      </c>
      <c r="F6044">
        <v>2300</v>
      </c>
      <c r="G6044" t="s">
        <v>331</v>
      </c>
      <c r="H6044" s="15">
        <v>45748</v>
      </c>
      <c r="I6044">
        <v>2300</v>
      </c>
      <c r="J6044">
        <v>0</v>
      </c>
    </row>
    <row r="6045" spans="1:10" x14ac:dyDescent="0.3">
      <c r="A6045" s="15">
        <v>45962</v>
      </c>
      <c r="B6045" t="s">
        <v>423</v>
      </c>
      <c r="C6045" t="s">
        <v>125</v>
      </c>
      <c r="D6045" t="s">
        <v>86</v>
      </c>
      <c r="E6045" t="s">
        <v>97</v>
      </c>
      <c r="F6045">
        <v>52800</v>
      </c>
      <c r="G6045" t="s">
        <v>331</v>
      </c>
      <c r="H6045" s="15">
        <v>45748</v>
      </c>
      <c r="I6045">
        <v>52800</v>
      </c>
      <c r="J6045">
        <v>0</v>
      </c>
    </row>
    <row r="6046" spans="1:10" x14ac:dyDescent="0.3">
      <c r="A6046" s="15">
        <v>45962</v>
      </c>
      <c r="B6046" t="s">
        <v>425</v>
      </c>
      <c r="C6046" t="s">
        <v>110</v>
      </c>
      <c r="D6046" t="s">
        <v>82</v>
      </c>
      <c r="E6046" t="s">
        <v>97</v>
      </c>
      <c r="F6046">
        <v>22700</v>
      </c>
      <c r="G6046" t="s">
        <v>331</v>
      </c>
      <c r="H6046" s="15">
        <v>45778</v>
      </c>
      <c r="I6046">
        <v>22700</v>
      </c>
      <c r="J6046">
        <v>0</v>
      </c>
    </row>
    <row r="6047" spans="1:10" x14ac:dyDescent="0.3">
      <c r="A6047" s="15">
        <v>45962</v>
      </c>
      <c r="B6047" t="s">
        <v>426</v>
      </c>
      <c r="C6047" t="s">
        <v>81</v>
      </c>
      <c r="D6047" t="s">
        <v>82</v>
      </c>
      <c r="E6047" t="s">
        <v>89</v>
      </c>
      <c r="F6047">
        <v>1900</v>
      </c>
      <c r="G6047" t="s">
        <v>331</v>
      </c>
      <c r="H6047" s="15">
        <v>45778</v>
      </c>
      <c r="I6047">
        <v>1900</v>
      </c>
      <c r="J6047">
        <v>0</v>
      </c>
    </row>
    <row r="6048" spans="1:10" x14ac:dyDescent="0.3">
      <c r="A6048" s="15">
        <v>45962</v>
      </c>
      <c r="B6048" t="s">
        <v>427</v>
      </c>
      <c r="C6048" t="s">
        <v>110</v>
      </c>
      <c r="D6048" t="s">
        <v>82</v>
      </c>
      <c r="E6048" t="s">
        <v>83</v>
      </c>
      <c r="F6048">
        <v>25300</v>
      </c>
      <c r="G6048" t="s">
        <v>331</v>
      </c>
      <c r="H6048" s="15">
        <v>45778</v>
      </c>
      <c r="I6048">
        <v>25300</v>
      </c>
      <c r="J6048">
        <v>0</v>
      </c>
    </row>
    <row r="6049" spans="1:10" x14ac:dyDescent="0.3">
      <c r="A6049" s="15">
        <v>45962</v>
      </c>
      <c r="B6049" t="s">
        <v>428</v>
      </c>
      <c r="C6049" t="s">
        <v>81</v>
      </c>
      <c r="D6049" t="s">
        <v>86</v>
      </c>
      <c r="E6049" t="s">
        <v>89</v>
      </c>
      <c r="F6049">
        <v>2300</v>
      </c>
      <c r="G6049" t="s">
        <v>331</v>
      </c>
      <c r="H6049" s="15">
        <v>45778</v>
      </c>
      <c r="I6049">
        <v>2300</v>
      </c>
      <c r="J6049">
        <v>0</v>
      </c>
    </row>
    <row r="6050" spans="1:10" x14ac:dyDescent="0.3">
      <c r="A6050" s="15">
        <v>45962</v>
      </c>
      <c r="B6050" t="s">
        <v>429</v>
      </c>
      <c r="C6050" t="s">
        <v>81</v>
      </c>
      <c r="D6050" t="s">
        <v>82</v>
      </c>
      <c r="E6050" t="s">
        <v>97</v>
      </c>
      <c r="F6050">
        <v>2100</v>
      </c>
      <c r="G6050" t="s">
        <v>331</v>
      </c>
      <c r="H6050" s="15">
        <v>45809</v>
      </c>
      <c r="I6050">
        <v>2100</v>
      </c>
      <c r="J6050">
        <v>0</v>
      </c>
    </row>
    <row r="6051" spans="1:10" x14ac:dyDescent="0.3">
      <c r="A6051" s="15">
        <v>45962</v>
      </c>
      <c r="B6051" t="s">
        <v>430</v>
      </c>
      <c r="C6051" t="s">
        <v>110</v>
      </c>
      <c r="D6051" t="s">
        <v>82</v>
      </c>
      <c r="E6051" t="s">
        <v>87</v>
      </c>
      <c r="F6051">
        <v>24300</v>
      </c>
      <c r="G6051" t="s">
        <v>331</v>
      </c>
      <c r="H6051" s="15">
        <v>45809</v>
      </c>
      <c r="I6051">
        <v>24300</v>
      </c>
      <c r="J6051">
        <v>0</v>
      </c>
    </row>
    <row r="6052" spans="1:10" x14ac:dyDescent="0.3">
      <c r="A6052" s="15">
        <v>45962</v>
      </c>
      <c r="B6052" t="s">
        <v>431</v>
      </c>
      <c r="C6052" t="s">
        <v>110</v>
      </c>
      <c r="D6052" t="s">
        <v>82</v>
      </c>
      <c r="E6052" t="s">
        <v>101</v>
      </c>
      <c r="F6052">
        <v>19800</v>
      </c>
      <c r="G6052" t="s">
        <v>331</v>
      </c>
      <c r="H6052" s="15">
        <v>45809</v>
      </c>
      <c r="I6052">
        <v>19800</v>
      </c>
      <c r="J6052">
        <v>0</v>
      </c>
    </row>
    <row r="6053" spans="1:10" x14ac:dyDescent="0.3">
      <c r="A6053" s="15">
        <v>45962</v>
      </c>
      <c r="B6053" t="s">
        <v>432</v>
      </c>
      <c r="C6053" t="s">
        <v>81</v>
      </c>
      <c r="D6053" t="s">
        <v>82</v>
      </c>
      <c r="E6053" t="s">
        <v>83</v>
      </c>
      <c r="F6053">
        <v>2400</v>
      </c>
      <c r="G6053" t="s">
        <v>331</v>
      </c>
      <c r="H6053" s="15">
        <v>45809</v>
      </c>
      <c r="I6053">
        <v>2400</v>
      </c>
      <c r="J6053">
        <v>0</v>
      </c>
    </row>
    <row r="6054" spans="1:10" x14ac:dyDescent="0.3">
      <c r="A6054" s="15">
        <v>45962</v>
      </c>
      <c r="B6054" t="s">
        <v>435</v>
      </c>
      <c r="C6054" t="s">
        <v>81</v>
      </c>
      <c r="D6054" t="s">
        <v>82</v>
      </c>
      <c r="E6054" t="s">
        <v>92</v>
      </c>
      <c r="F6054">
        <v>1400</v>
      </c>
      <c r="G6054" t="s">
        <v>331</v>
      </c>
      <c r="H6054" s="15">
        <v>45809</v>
      </c>
      <c r="I6054">
        <v>1400</v>
      </c>
      <c r="J6054">
        <v>0</v>
      </c>
    </row>
    <row r="6055" spans="1:10" x14ac:dyDescent="0.3">
      <c r="A6055" s="15">
        <v>45962</v>
      </c>
      <c r="B6055" t="s">
        <v>436</v>
      </c>
      <c r="C6055" t="s">
        <v>81</v>
      </c>
      <c r="D6055" t="s">
        <v>82</v>
      </c>
      <c r="E6055" t="s">
        <v>97</v>
      </c>
      <c r="F6055">
        <v>2100</v>
      </c>
      <c r="G6055" t="s">
        <v>331</v>
      </c>
      <c r="H6055" s="15">
        <v>45839</v>
      </c>
      <c r="I6055">
        <v>2100</v>
      </c>
      <c r="J6055">
        <v>0</v>
      </c>
    </row>
    <row r="6056" spans="1:10" x14ac:dyDescent="0.3">
      <c r="A6056" s="15">
        <v>45962</v>
      </c>
      <c r="B6056" t="s">
        <v>437</v>
      </c>
      <c r="C6056" t="s">
        <v>81</v>
      </c>
      <c r="D6056" t="s">
        <v>99</v>
      </c>
      <c r="E6056" t="s">
        <v>92</v>
      </c>
      <c r="F6056">
        <v>1600</v>
      </c>
      <c r="G6056" t="s">
        <v>331</v>
      </c>
      <c r="H6056" s="15">
        <v>45839</v>
      </c>
      <c r="I6056">
        <v>1600</v>
      </c>
      <c r="J6056">
        <v>0</v>
      </c>
    </row>
    <row r="6057" spans="1:10" x14ac:dyDescent="0.3">
      <c r="A6057" s="15">
        <v>45962</v>
      </c>
      <c r="B6057" t="s">
        <v>438</v>
      </c>
      <c r="C6057" t="s">
        <v>91</v>
      </c>
      <c r="D6057" t="s">
        <v>96</v>
      </c>
      <c r="E6057" t="s">
        <v>101</v>
      </c>
      <c r="F6057">
        <v>8600</v>
      </c>
      <c r="G6057" t="s">
        <v>331</v>
      </c>
      <c r="H6057" s="15">
        <v>45839</v>
      </c>
      <c r="I6057">
        <v>8600</v>
      </c>
      <c r="J6057">
        <v>0</v>
      </c>
    </row>
    <row r="6058" spans="1:10" x14ac:dyDescent="0.3">
      <c r="A6058" s="15">
        <v>45962</v>
      </c>
      <c r="B6058" t="s">
        <v>439</v>
      </c>
      <c r="C6058" t="s">
        <v>81</v>
      </c>
      <c r="D6058" t="s">
        <v>99</v>
      </c>
      <c r="E6058" t="s">
        <v>87</v>
      </c>
      <c r="F6058">
        <v>1700</v>
      </c>
      <c r="G6058" t="s">
        <v>331</v>
      </c>
      <c r="H6058" s="15">
        <v>45839</v>
      </c>
      <c r="I6058">
        <v>1700</v>
      </c>
      <c r="J6058">
        <v>0</v>
      </c>
    </row>
    <row r="6059" spans="1:10" x14ac:dyDescent="0.3">
      <c r="A6059" s="15">
        <v>45962</v>
      </c>
      <c r="B6059" t="s">
        <v>440</v>
      </c>
      <c r="C6059" t="s">
        <v>81</v>
      </c>
      <c r="D6059" t="s">
        <v>82</v>
      </c>
      <c r="E6059" t="s">
        <v>97</v>
      </c>
      <c r="F6059">
        <v>2200</v>
      </c>
      <c r="G6059" t="s">
        <v>332</v>
      </c>
      <c r="H6059" s="15">
        <v>45839</v>
      </c>
      <c r="I6059">
        <v>2000</v>
      </c>
      <c r="J6059">
        <v>200</v>
      </c>
    </row>
    <row r="6060" spans="1:10" x14ac:dyDescent="0.3">
      <c r="A6060" s="15">
        <v>45962</v>
      </c>
      <c r="B6060" t="s">
        <v>441</v>
      </c>
      <c r="C6060" t="s">
        <v>110</v>
      </c>
      <c r="D6060" t="s">
        <v>86</v>
      </c>
      <c r="E6060" t="s">
        <v>97</v>
      </c>
      <c r="F6060">
        <v>35800</v>
      </c>
      <c r="G6060" t="s">
        <v>331</v>
      </c>
      <c r="H6060" s="15">
        <v>45839</v>
      </c>
      <c r="I6060">
        <v>35800</v>
      </c>
      <c r="J6060">
        <v>0</v>
      </c>
    </row>
    <row r="6061" spans="1:10" x14ac:dyDescent="0.3">
      <c r="A6061" s="15">
        <v>45962</v>
      </c>
      <c r="B6061" t="s">
        <v>442</v>
      </c>
      <c r="C6061" t="s">
        <v>110</v>
      </c>
      <c r="D6061" t="s">
        <v>86</v>
      </c>
      <c r="E6061" t="s">
        <v>83</v>
      </c>
      <c r="F6061">
        <v>23900</v>
      </c>
      <c r="G6061" t="s">
        <v>331</v>
      </c>
      <c r="H6061" s="15">
        <v>45870</v>
      </c>
      <c r="I6061">
        <v>23900</v>
      </c>
      <c r="J6061">
        <v>0</v>
      </c>
    </row>
    <row r="6062" spans="1:10" x14ac:dyDescent="0.3">
      <c r="A6062" s="15">
        <v>45962</v>
      </c>
      <c r="B6062" t="s">
        <v>443</v>
      </c>
      <c r="C6062" t="s">
        <v>81</v>
      </c>
      <c r="D6062" t="s">
        <v>86</v>
      </c>
      <c r="E6062" t="s">
        <v>101</v>
      </c>
      <c r="F6062">
        <v>1800</v>
      </c>
      <c r="G6062" t="s">
        <v>331</v>
      </c>
      <c r="H6062" s="15">
        <v>45870</v>
      </c>
      <c r="I6062">
        <v>1800</v>
      </c>
      <c r="J6062">
        <v>0</v>
      </c>
    </row>
    <row r="6063" spans="1:10" x14ac:dyDescent="0.3">
      <c r="A6063" s="15">
        <v>45962</v>
      </c>
      <c r="B6063" t="s">
        <v>444</v>
      </c>
      <c r="C6063" t="s">
        <v>125</v>
      </c>
      <c r="D6063" t="s">
        <v>82</v>
      </c>
      <c r="E6063" t="s">
        <v>92</v>
      </c>
      <c r="F6063">
        <v>68100</v>
      </c>
      <c r="G6063" t="s">
        <v>331</v>
      </c>
      <c r="H6063" s="15">
        <v>45870</v>
      </c>
      <c r="I6063">
        <v>68100</v>
      </c>
      <c r="J6063">
        <v>0</v>
      </c>
    </row>
    <row r="6064" spans="1:10" x14ac:dyDescent="0.3">
      <c r="A6064" s="15">
        <v>45962</v>
      </c>
      <c r="B6064" t="s">
        <v>445</v>
      </c>
      <c r="C6064" t="s">
        <v>91</v>
      </c>
      <c r="D6064" t="s">
        <v>82</v>
      </c>
      <c r="E6064" t="s">
        <v>89</v>
      </c>
      <c r="F6064">
        <v>4700</v>
      </c>
      <c r="G6064" t="s">
        <v>331</v>
      </c>
      <c r="H6064" s="15">
        <v>45870</v>
      </c>
      <c r="I6064">
        <v>4700</v>
      </c>
      <c r="J6064">
        <v>0</v>
      </c>
    </row>
    <row r="6065" spans="1:10" x14ac:dyDescent="0.3">
      <c r="A6065" s="15">
        <v>45962</v>
      </c>
      <c r="B6065" t="s">
        <v>446</v>
      </c>
      <c r="C6065" t="s">
        <v>81</v>
      </c>
      <c r="D6065" t="s">
        <v>86</v>
      </c>
      <c r="E6065" t="s">
        <v>97</v>
      </c>
      <c r="F6065">
        <v>1800</v>
      </c>
      <c r="G6065" t="s">
        <v>331</v>
      </c>
      <c r="H6065" s="15">
        <v>45870</v>
      </c>
      <c r="I6065">
        <v>1800</v>
      </c>
      <c r="J6065">
        <v>0</v>
      </c>
    </row>
    <row r="6066" spans="1:10" x14ac:dyDescent="0.3">
      <c r="A6066" s="15">
        <v>45962</v>
      </c>
      <c r="B6066" t="s">
        <v>447</v>
      </c>
      <c r="C6066" t="s">
        <v>81</v>
      </c>
      <c r="D6066" t="s">
        <v>86</v>
      </c>
      <c r="E6066" t="s">
        <v>103</v>
      </c>
      <c r="F6066">
        <v>2300</v>
      </c>
      <c r="G6066" t="s">
        <v>331</v>
      </c>
      <c r="H6066" s="15">
        <v>45870</v>
      </c>
      <c r="I6066">
        <v>2300</v>
      </c>
      <c r="J6066">
        <v>0</v>
      </c>
    </row>
    <row r="6067" spans="1:10" x14ac:dyDescent="0.3">
      <c r="A6067" s="15">
        <v>45962</v>
      </c>
      <c r="B6067" t="s">
        <v>448</v>
      </c>
      <c r="C6067" t="s">
        <v>125</v>
      </c>
      <c r="D6067" t="s">
        <v>86</v>
      </c>
      <c r="E6067" t="s">
        <v>89</v>
      </c>
      <c r="F6067">
        <v>64000</v>
      </c>
      <c r="G6067" t="s">
        <v>331</v>
      </c>
      <c r="H6067" s="15">
        <v>45870</v>
      </c>
      <c r="I6067">
        <v>64000</v>
      </c>
      <c r="J6067">
        <v>0</v>
      </c>
    </row>
    <row r="6068" spans="1:10" x14ac:dyDescent="0.3">
      <c r="A6068" s="15">
        <v>45962</v>
      </c>
      <c r="B6068" t="s">
        <v>449</v>
      </c>
      <c r="C6068" t="s">
        <v>81</v>
      </c>
      <c r="D6068" t="s">
        <v>82</v>
      </c>
      <c r="E6068" t="s">
        <v>92</v>
      </c>
      <c r="F6068">
        <v>1400</v>
      </c>
      <c r="G6068" t="s">
        <v>331</v>
      </c>
      <c r="H6068" s="15">
        <v>45870</v>
      </c>
      <c r="I6068">
        <v>1400</v>
      </c>
      <c r="J6068">
        <v>0</v>
      </c>
    </row>
    <row r="6069" spans="1:10" x14ac:dyDescent="0.3">
      <c r="A6069" s="15">
        <v>45962</v>
      </c>
      <c r="B6069" t="s">
        <v>450</v>
      </c>
      <c r="C6069" t="s">
        <v>81</v>
      </c>
      <c r="D6069" t="s">
        <v>86</v>
      </c>
      <c r="E6069" t="s">
        <v>89</v>
      </c>
      <c r="F6069">
        <v>1500</v>
      </c>
      <c r="G6069" t="s">
        <v>331</v>
      </c>
      <c r="H6069" s="15">
        <v>45901</v>
      </c>
      <c r="I6069">
        <v>1500</v>
      </c>
      <c r="J6069">
        <v>0</v>
      </c>
    </row>
    <row r="6070" spans="1:10" x14ac:dyDescent="0.3">
      <c r="A6070" s="15">
        <v>45962</v>
      </c>
      <c r="B6070" t="s">
        <v>451</v>
      </c>
      <c r="C6070" t="s">
        <v>110</v>
      </c>
      <c r="D6070" t="s">
        <v>82</v>
      </c>
      <c r="E6070" t="s">
        <v>92</v>
      </c>
      <c r="F6070">
        <v>26100</v>
      </c>
      <c r="G6070" t="s">
        <v>331</v>
      </c>
      <c r="H6070" s="15">
        <v>45901</v>
      </c>
      <c r="I6070">
        <v>26100</v>
      </c>
      <c r="J6070">
        <v>0</v>
      </c>
    </row>
    <row r="6071" spans="1:10" x14ac:dyDescent="0.3">
      <c r="A6071" s="15">
        <v>45962</v>
      </c>
      <c r="B6071" t="s">
        <v>452</v>
      </c>
      <c r="C6071" t="s">
        <v>91</v>
      </c>
      <c r="D6071" t="s">
        <v>86</v>
      </c>
      <c r="E6071" t="s">
        <v>92</v>
      </c>
      <c r="F6071">
        <v>8600</v>
      </c>
      <c r="G6071" t="s">
        <v>331</v>
      </c>
      <c r="H6071" s="15">
        <v>45901</v>
      </c>
      <c r="I6071">
        <v>8600</v>
      </c>
      <c r="J6071">
        <v>0</v>
      </c>
    </row>
    <row r="6072" spans="1:10" x14ac:dyDescent="0.3">
      <c r="A6072" s="15">
        <v>45962</v>
      </c>
      <c r="B6072" t="s">
        <v>453</v>
      </c>
      <c r="C6072" t="s">
        <v>110</v>
      </c>
      <c r="D6072" t="s">
        <v>82</v>
      </c>
      <c r="E6072" t="s">
        <v>101</v>
      </c>
      <c r="F6072">
        <v>21700</v>
      </c>
      <c r="G6072" t="s">
        <v>331</v>
      </c>
      <c r="H6072" s="15">
        <v>45901</v>
      </c>
      <c r="I6072">
        <v>21700</v>
      </c>
      <c r="J6072">
        <v>0</v>
      </c>
    </row>
    <row r="6073" spans="1:10" x14ac:dyDescent="0.3">
      <c r="A6073" s="15">
        <v>45962</v>
      </c>
      <c r="B6073" t="s">
        <v>454</v>
      </c>
      <c r="C6073" t="s">
        <v>91</v>
      </c>
      <c r="D6073" t="s">
        <v>82</v>
      </c>
      <c r="E6073" t="s">
        <v>89</v>
      </c>
      <c r="F6073">
        <v>6200</v>
      </c>
      <c r="G6073" t="s">
        <v>331</v>
      </c>
      <c r="H6073" s="15">
        <v>45901</v>
      </c>
      <c r="I6073">
        <v>6200</v>
      </c>
      <c r="J6073">
        <v>0</v>
      </c>
    </row>
    <row r="6074" spans="1:10" x14ac:dyDescent="0.3">
      <c r="A6074" s="15">
        <v>45962</v>
      </c>
      <c r="B6074" t="s">
        <v>455</v>
      </c>
      <c r="C6074" t="s">
        <v>125</v>
      </c>
      <c r="D6074" t="s">
        <v>99</v>
      </c>
      <c r="E6074" t="s">
        <v>103</v>
      </c>
      <c r="F6074">
        <v>75900</v>
      </c>
      <c r="G6074" t="s">
        <v>331</v>
      </c>
      <c r="H6074" s="15">
        <v>45901</v>
      </c>
      <c r="I6074">
        <v>75900</v>
      </c>
      <c r="J6074">
        <v>0</v>
      </c>
    </row>
    <row r="6075" spans="1:10" x14ac:dyDescent="0.3">
      <c r="A6075" s="15">
        <v>45962</v>
      </c>
      <c r="B6075" t="s">
        <v>456</v>
      </c>
      <c r="C6075" t="s">
        <v>81</v>
      </c>
      <c r="D6075" t="s">
        <v>82</v>
      </c>
      <c r="E6075" t="s">
        <v>103</v>
      </c>
      <c r="F6075">
        <v>2000</v>
      </c>
      <c r="G6075" t="s">
        <v>331</v>
      </c>
      <c r="H6075" s="15">
        <v>45901</v>
      </c>
      <c r="I6075">
        <v>2000</v>
      </c>
      <c r="J6075">
        <v>0</v>
      </c>
    </row>
    <row r="6076" spans="1:10" x14ac:dyDescent="0.3">
      <c r="A6076" s="15">
        <v>45962</v>
      </c>
      <c r="B6076" t="s">
        <v>457</v>
      </c>
      <c r="C6076" t="s">
        <v>81</v>
      </c>
      <c r="D6076" t="s">
        <v>86</v>
      </c>
      <c r="E6076" t="s">
        <v>89</v>
      </c>
      <c r="F6076">
        <v>2200</v>
      </c>
      <c r="G6076" t="s">
        <v>331</v>
      </c>
      <c r="H6076" s="15">
        <v>45931</v>
      </c>
      <c r="I6076">
        <v>2200</v>
      </c>
      <c r="J6076">
        <v>0</v>
      </c>
    </row>
    <row r="6077" spans="1:10" x14ac:dyDescent="0.3">
      <c r="A6077" s="15">
        <v>45962</v>
      </c>
      <c r="B6077" t="s">
        <v>458</v>
      </c>
      <c r="C6077" t="s">
        <v>91</v>
      </c>
      <c r="D6077" t="s">
        <v>86</v>
      </c>
      <c r="E6077" t="s">
        <v>83</v>
      </c>
      <c r="F6077">
        <v>8300</v>
      </c>
      <c r="G6077" t="s">
        <v>331</v>
      </c>
      <c r="H6077" s="15">
        <v>45931</v>
      </c>
      <c r="I6077">
        <v>8300</v>
      </c>
      <c r="J6077">
        <v>0</v>
      </c>
    </row>
    <row r="6078" spans="1:10" x14ac:dyDescent="0.3">
      <c r="A6078" s="15">
        <v>45962</v>
      </c>
      <c r="B6078" t="s">
        <v>459</v>
      </c>
      <c r="C6078" t="s">
        <v>91</v>
      </c>
      <c r="D6078" t="s">
        <v>99</v>
      </c>
      <c r="E6078" t="s">
        <v>87</v>
      </c>
      <c r="F6078">
        <v>5800</v>
      </c>
      <c r="G6078" t="s">
        <v>331</v>
      </c>
      <c r="H6078" s="15">
        <v>45931</v>
      </c>
      <c r="I6078">
        <v>5800</v>
      </c>
      <c r="J6078">
        <v>0</v>
      </c>
    </row>
    <row r="6079" spans="1:10" x14ac:dyDescent="0.3">
      <c r="A6079" s="15">
        <v>45962</v>
      </c>
      <c r="B6079" t="s">
        <v>460</v>
      </c>
      <c r="C6079" t="s">
        <v>91</v>
      </c>
      <c r="D6079" t="s">
        <v>86</v>
      </c>
      <c r="E6079" t="s">
        <v>101</v>
      </c>
      <c r="F6079">
        <v>5300</v>
      </c>
      <c r="G6079" t="s">
        <v>331</v>
      </c>
      <c r="H6079" s="15">
        <v>45931</v>
      </c>
      <c r="I6079">
        <v>5300</v>
      </c>
      <c r="J6079">
        <v>0</v>
      </c>
    </row>
    <row r="6080" spans="1:10" x14ac:dyDescent="0.3">
      <c r="A6080" s="15">
        <v>45962</v>
      </c>
      <c r="B6080" t="s">
        <v>461</v>
      </c>
      <c r="C6080" t="s">
        <v>81</v>
      </c>
      <c r="D6080" t="s">
        <v>86</v>
      </c>
      <c r="E6080" t="s">
        <v>92</v>
      </c>
      <c r="F6080">
        <v>1500</v>
      </c>
      <c r="G6080" t="s">
        <v>334</v>
      </c>
      <c r="H6080" s="15">
        <v>45931</v>
      </c>
      <c r="I6080">
        <v>1800</v>
      </c>
      <c r="J6080">
        <v>-300</v>
      </c>
    </row>
    <row r="6081" spans="1:10" x14ac:dyDescent="0.3">
      <c r="A6081" s="15">
        <v>45962</v>
      </c>
      <c r="B6081" t="s">
        <v>462</v>
      </c>
      <c r="C6081" t="s">
        <v>81</v>
      </c>
      <c r="D6081" t="s">
        <v>86</v>
      </c>
      <c r="E6081" t="s">
        <v>92</v>
      </c>
      <c r="F6081">
        <v>2200</v>
      </c>
      <c r="G6081" t="s">
        <v>331</v>
      </c>
      <c r="H6081" s="15">
        <v>45931</v>
      </c>
      <c r="I6081">
        <v>2200</v>
      </c>
      <c r="J6081">
        <v>0</v>
      </c>
    </row>
    <row r="6082" spans="1:10" x14ac:dyDescent="0.3">
      <c r="A6082" s="15">
        <v>45962</v>
      </c>
      <c r="B6082" t="s">
        <v>463</v>
      </c>
      <c r="C6082" t="s">
        <v>91</v>
      </c>
      <c r="D6082" t="s">
        <v>86</v>
      </c>
      <c r="E6082" t="s">
        <v>89</v>
      </c>
      <c r="F6082">
        <v>8800</v>
      </c>
      <c r="G6082" t="s">
        <v>84</v>
      </c>
      <c r="H6082" s="15">
        <v>45962</v>
      </c>
      <c r="I6082">
        <v>0</v>
      </c>
      <c r="J6082">
        <v>8800</v>
      </c>
    </row>
    <row r="6083" spans="1:10" x14ac:dyDescent="0.3">
      <c r="A6083" s="15">
        <v>45962</v>
      </c>
      <c r="B6083" t="s">
        <v>464</v>
      </c>
      <c r="C6083" t="s">
        <v>91</v>
      </c>
      <c r="D6083" t="s">
        <v>99</v>
      </c>
      <c r="E6083" t="s">
        <v>87</v>
      </c>
      <c r="F6083">
        <v>6000</v>
      </c>
      <c r="G6083" t="s">
        <v>84</v>
      </c>
      <c r="H6083" s="15">
        <v>45962</v>
      </c>
      <c r="I6083">
        <v>0</v>
      </c>
      <c r="J6083">
        <v>6000</v>
      </c>
    </row>
    <row r="6084" spans="1:10" x14ac:dyDescent="0.3">
      <c r="A6084" s="15">
        <v>45962</v>
      </c>
      <c r="B6084" t="s">
        <v>465</v>
      </c>
      <c r="C6084" t="s">
        <v>81</v>
      </c>
      <c r="D6084" t="s">
        <v>86</v>
      </c>
      <c r="E6084" t="s">
        <v>87</v>
      </c>
      <c r="F6084">
        <v>2000</v>
      </c>
      <c r="G6084" t="s">
        <v>84</v>
      </c>
      <c r="H6084" s="15">
        <v>45962</v>
      </c>
      <c r="I6084">
        <v>0</v>
      </c>
      <c r="J6084">
        <v>2000</v>
      </c>
    </row>
    <row r="6085" spans="1:10" x14ac:dyDescent="0.3">
      <c r="A6085" s="15">
        <v>45962</v>
      </c>
      <c r="B6085" t="s">
        <v>466</v>
      </c>
      <c r="C6085" t="s">
        <v>81</v>
      </c>
      <c r="D6085" t="s">
        <v>99</v>
      </c>
      <c r="E6085" t="s">
        <v>92</v>
      </c>
      <c r="F6085">
        <v>1400</v>
      </c>
      <c r="G6085" t="s">
        <v>84</v>
      </c>
      <c r="H6085" s="15">
        <v>45962</v>
      </c>
      <c r="I6085">
        <v>0</v>
      </c>
      <c r="J6085">
        <v>1400</v>
      </c>
    </row>
    <row r="6086" spans="1:10" x14ac:dyDescent="0.3">
      <c r="A6086" s="15">
        <v>45962</v>
      </c>
      <c r="B6086" t="s">
        <v>467</v>
      </c>
      <c r="C6086" t="s">
        <v>91</v>
      </c>
      <c r="D6086" t="s">
        <v>86</v>
      </c>
      <c r="E6086" t="s">
        <v>89</v>
      </c>
      <c r="F6086">
        <v>8200</v>
      </c>
      <c r="G6086" t="s">
        <v>84</v>
      </c>
      <c r="H6086" s="15">
        <v>45962</v>
      </c>
      <c r="I6086">
        <v>0</v>
      </c>
      <c r="J6086">
        <v>8200</v>
      </c>
    </row>
    <row r="6087" spans="1:10" x14ac:dyDescent="0.3">
      <c r="A6087" s="15">
        <v>45992</v>
      </c>
      <c r="B6087" t="s">
        <v>80</v>
      </c>
      <c r="C6087" t="s">
        <v>81</v>
      </c>
      <c r="D6087" t="s">
        <v>82</v>
      </c>
      <c r="E6087" t="s">
        <v>83</v>
      </c>
      <c r="F6087">
        <v>1900</v>
      </c>
      <c r="G6087" t="s">
        <v>331</v>
      </c>
      <c r="H6087" s="15">
        <v>45292</v>
      </c>
      <c r="I6087">
        <v>1900</v>
      </c>
      <c r="J6087">
        <v>0</v>
      </c>
    </row>
    <row r="6088" spans="1:10" x14ac:dyDescent="0.3">
      <c r="A6088" s="15">
        <v>45992</v>
      </c>
      <c r="B6088" t="s">
        <v>85</v>
      </c>
      <c r="C6088" t="s">
        <v>81</v>
      </c>
      <c r="D6088" t="s">
        <v>86</v>
      </c>
      <c r="E6088" t="s">
        <v>87</v>
      </c>
      <c r="F6088">
        <v>2400</v>
      </c>
      <c r="G6088" t="s">
        <v>331</v>
      </c>
      <c r="H6088" s="15">
        <v>45292</v>
      </c>
      <c r="I6088">
        <v>2400</v>
      </c>
      <c r="J6088">
        <v>0</v>
      </c>
    </row>
    <row r="6089" spans="1:10" x14ac:dyDescent="0.3">
      <c r="A6089" s="15">
        <v>45992</v>
      </c>
      <c r="B6089" t="s">
        <v>88</v>
      </c>
      <c r="C6089" t="s">
        <v>81</v>
      </c>
      <c r="D6089" t="s">
        <v>86</v>
      </c>
      <c r="E6089" t="s">
        <v>89</v>
      </c>
      <c r="F6089">
        <v>2400</v>
      </c>
      <c r="G6089" t="s">
        <v>331</v>
      </c>
      <c r="H6089" s="15">
        <v>45292</v>
      </c>
      <c r="I6089">
        <v>2400</v>
      </c>
      <c r="J6089">
        <v>0</v>
      </c>
    </row>
    <row r="6090" spans="1:10" x14ac:dyDescent="0.3">
      <c r="A6090" s="15">
        <v>45992</v>
      </c>
      <c r="B6090" t="s">
        <v>90</v>
      </c>
      <c r="C6090" t="s">
        <v>91</v>
      </c>
      <c r="D6090" t="s">
        <v>82</v>
      </c>
      <c r="E6090" t="s">
        <v>92</v>
      </c>
      <c r="F6090">
        <v>9200</v>
      </c>
      <c r="G6090" t="s">
        <v>332</v>
      </c>
      <c r="H6090" s="15">
        <v>45292</v>
      </c>
      <c r="I6090">
        <v>8300</v>
      </c>
      <c r="J6090">
        <v>900</v>
      </c>
    </row>
    <row r="6091" spans="1:10" x14ac:dyDescent="0.3">
      <c r="A6091" s="15">
        <v>45992</v>
      </c>
      <c r="B6091" t="s">
        <v>93</v>
      </c>
      <c r="C6091" t="s">
        <v>81</v>
      </c>
      <c r="D6091" t="s">
        <v>86</v>
      </c>
      <c r="E6091" t="s">
        <v>83</v>
      </c>
      <c r="F6091">
        <v>2600</v>
      </c>
      <c r="G6091" t="s">
        <v>331</v>
      </c>
      <c r="H6091" s="15">
        <v>45292</v>
      </c>
      <c r="I6091">
        <v>2600</v>
      </c>
      <c r="J6091">
        <v>0</v>
      </c>
    </row>
    <row r="6092" spans="1:10" x14ac:dyDescent="0.3">
      <c r="A6092" s="15">
        <v>45992</v>
      </c>
      <c r="B6092" t="s">
        <v>94</v>
      </c>
      <c r="C6092" t="s">
        <v>91</v>
      </c>
      <c r="D6092" t="s">
        <v>86</v>
      </c>
      <c r="E6092" t="s">
        <v>83</v>
      </c>
      <c r="F6092">
        <v>8500</v>
      </c>
      <c r="G6092" t="s">
        <v>331</v>
      </c>
      <c r="H6092" s="15">
        <v>45292</v>
      </c>
      <c r="I6092">
        <v>8500</v>
      </c>
      <c r="J6092">
        <v>0</v>
      </c>
    </row>
    <row r="6093" spans="1:10" x14ac:dyDescent="0.3">
      <c r="A6093" s="15">
        <v>45992</v>
      </c>
      <c r="B6093" t="s">
        <v>95</v>
      </c>
      <c r="C6093" t="s">
        <v>81</v>
      </c>
      <c r="D6093" t="s">
        <v>96</v>
      </c>
      <c r="E6093" t="s">
        <v>97</v>
      </c>
      <c r="F6093">
        <v>3100</v>
      </c>
      <c r="G6093" t="s">
        <v>331</v>
      </c>
      <c r="H6093" s="15">
        <v>45292</v>
      </c>
      <c r="I6093">
        <v>3100</v>
      </c>
      <c r="J6093">
        <v>0</v>
      </c>
    </row>
    <row r="6094" spans="1:10" x14ac:dyDescent="0.3">
      <c r="A6094" s="15">
        <v>45992</v>
      </c>
      <c r="B6094" t="s">
        <v>98</v>
      </c>
      <c r="C6094" t="s">
        <v>81</v>
      </c>
      <c r="D6094" t="s">
        <v>99</v>
      </c>
      <c r="E6094" t="s">
        <v>92</v>
      </c>
      <c r="F6094">
        <v>2300</v>
      </c>
      <c r="G6094" t="s">
        <v>331</v>
      </c>
      <c r="H6094" s="15">
        <v>45292</v>
      </c>
      <c r="I6094">
        <v>2300</v>
      </c>
      <c r="J6094">
        <v>0</v>
      </c>
    </row>
    <row r="6095" spans="1:10" x14ac:dyDescent="0.3">
      <c r="A6095" s="15">
        <v>45992</v>
      </c>
      <c r="B6095" t="s">
        <v>100</v>
      </c>
      <c r="C6095" t="s">
        <v>81</v>
      </c>
      <c r="D6095" t="s">
        <v>86</v>
      </c>
      <c r="E6095" t="s">
        <v>101</v>
      </c>
      <c r="F6095">
        <v>1800</v>
      </c>
      <c r="G6095" t="s">
        <v>331</v>
      </c>
      <c r="H6095" s="15">
        <v>45292</v>
      </c>
      <c r="I6095">
        <v>1800</v>
      </c>
      <c r="J6095">
        <v>0</v>
      </c>
    </row>
    <row r="6096" spans="1:10" x14ac:dyDescent="0.3">
      <c r="A6096" s="15">
        <v>45992</v>
      </c>
      <c r="B6096" t="s">
        <v>102</v>
      </c>
      <c r="C6096" t="s">
        <v>81</v>
      </c>
      <c r="D6096" t="s">
        <v>99</v>
      </c>
      <c r="E6096" t="s">
        <v>103</v>
      </c>
      <c r="F6096">
        <v>2900</v>
      </c>
      <c r="G6096" t="s">
        <v>331</v>
      </c>
      <c r="H6096" s="15">
        <v>45292</v>
      </c>
      <c r="I6096">
        <v>2900</v>
      </c>
      <c r="J6096">
        <v>0</v>
      </c>
    </row>
    <row r="6097" spans="1:10" x14ac:dyDescent="0.3">
      <c r="A6097" s="15">
        <v>45992</v>
      </c>
      <c r="B6097" t="s">
        <v>104</v>
      </c>
      <c r="C6097" t="s">
        <v>91</v>
      </c>
      <c r="D6097" t="s">
        <v>99</v>
      </c>
      <c r="E6097" t="s">
        <v>87</v>
      </c>
      <c r="F6097">
        <v>7000</v>
      </c>
      <c r="G6097" t="s">
        <v>331</v>
      </c>
      <c r="H6097" s="15">
        <v>45292</v>
      </c>
      <c r="I6097">
        <v>7000</v>
      </c>
      <c r="J6097">
        <v>0</v>
      </c>
    </row>
    <row r="6098" spans="1:10" x14ac:dyDescent="0.3">
      <c r="A6098" s="15">
        <v>45992</v>
      </c>
      <c r="B6098" t="s">
        <v>105</v>
      </c>
      <c r="C6098" t="s">
        <v>91</v>
      </c>
      <c r="D6098" t="s">
        <v>86</v>
      </c>
      <c r="E6098" t="s">
        <v>89</v>
      </c>
      <c r="F6098">
        <v>12900</v>
      </c>
      <c r="G6098" t="s">
        <v>331</v>
      </c>
      <c r="H6098" s="15">
        <v>45292</v>
      </c>
      <c r="I6098">
        <v>12900</v>
      </c>
      <c r="J6098">
        <v>0</v>
      </c>
    </row>
    <row r="6099" spans="1:10" x14ac:dyDescent="0.3">
      <c r="A6099" s="15">
        <v>45992</v>
      </c>
      <c r="B6099" t="s">
        <v>106</v>
      </c>
      <c r="C6099" t="s">
        <v>81</v>
      </c>
      <c r="D6099" t="s">
        <v>99</v>
      </c>
      <c r="E6099" t="s">
        <v>92</v>
      </c>
      <c r="F6099">
        <v>2700</v>
      </c>
      <c r="G6099" t="s">
        <v>331</v>
      </c>
      <c r="H6099" s="15">
        <v>45292</v>
      </c>
      <c r="I6099">
        <v>2700</v>
      </c>
      <c r="J6099">
        <v>0</v>
      </c>
    </row>
    <row r="6100" spans="1:10" x14ac:dyDescent="0.3">
      <c r="A6100" s="15">
        <v>45992</v>
      </c>
      <c r="B6100" t="s">
        <v>109</v>
      </c>
      <c r="C6100" t="s">
        <v>110</v>
      </c>
      <c r="D6100" t="s">
        <v>82</v>
      </c>
      <c r="E6100" t="s">
        <v>103</v>
      </c>
      <c r="F6100">
        <v>37500</v>
      </c>
      <c r="G6100" t="s">
        <v>331</v>
      </c>
      <c r="H6100" s="15">
        <v>45292</v>
      </c>
      <c r="I6100">
        <v>37500</v>
      </c>
      <c r="J6100">
        <v>0</v>
      </c>
    </row>
    <row r="6101" spans="1:10" x14ac:dyDescent="0.3">
      <c r="A6101" s="15">
        <v>45992</v>
      </c>
      <c r="B6101" t="s">
        <v>111</v>
      </c>
      <c r="C6101" t="s">
        <v>91</v>
      </c>
      <c r="D6101" t="s">
        <v>82</v>
      </c>
      <c r="E6101" t="s">
        <v>83</v>
      </c>
      <c r="F6101">
        <v>8800</v>
      </c>
      <c r="G6101" t="s">
        <v>331</v>
      </c>
      <c r="H6101" s="15">
        <v>45292</v>
      </c>
      <c r="I6101">
        <v>8800</v>
      </c>
      <c r="J6101">
        <v>0</v>
      </c>
    </row>
    <row r="6102" spans="1:10" x14ac:dyDescent="0.3">
      <c r="A6102" s="15">
        <v>45992</v>
      </c>
      <c r="B6102" t="s">
        <v>112</v>
      </c>
      <c r="C6102" t="s">
        <v>91</v>
      </c>
      <c r="D6102" t="s">
        <v>82</v>
      </c>
      <c r="E6102" t="s">
        <v>92</v>
      </c>
      <c r="F6102">
        <v>8600</v>
      </c>
      <c r="G6102" t="s">
        <v>331</v>
      </c>
      <c r="H6102" s="15">
        <v>45292</v>
      </c>
      <c r="I6102">
        <v>8600</v>
      </c>
      <c r="J6102">
        <v>0</v>
      </c>
    </row>
    <row r="6103" spans="1:10" x14ac:dyDescent="0.3">
      <c r="A6103" s="15">
        <v>45992</v>
      </c>
      <c r="B6103" t="s">
        <v>113</v>
      </c>
      <c r="C6103" t="s">
        <v>81</v>
      </c>
      <c r="D6103" t="s">
        <v>96</v>
      </c>
      <c r="E6103" t="s">
        <v>89</v>
      </c>
      <c r="F6103">
        <v>2300</v>
      </c>
      <c r="G6103" t="s">
        <v>331</v>
      </c>
      <c r="H6103" s="15">
        <v>45292</v>
      </c>
      <c r="I6103">
        <v>2300</v>
      </c>
      <c r="J6103">
        <v>0</v>
      </c>
    </row>
    <row r="6104" spans="1:10" x14ac:dyDescent="0.3">
      <c r="A6104" s="15">
        <v>45992</v>
      </c>
      <c r="B6104" t="s">
        <v>114</v>
      </c>
      <c r="C6104" t="s">
        <v>110</v>
      </c>
      <c r="D6104" t="s">
        <v>99</v>
      </c>
      <c r="E6104" t="s">
        <v>97</v>
      </c>
      <c r="F6104">
        <v>46200</v>
      </c>
      <c r="G6104" t="s">
        <v>331</v>
      </c>
      <c r="H6104" s="15">
        <v>45292</v>
      </c>
      <c r="I6104">
        <v>46200</v>
      </c>
      <c r="J6104">
        <v>0</v>
      </c>
    </row>
    <row r="6105" spans="1:10" x14ac:dyDescent="0.3">
      <c r="A6105" s="15">
        <v>45992</v>
      </c>
      <c r="B6105" t="s">
        <v>115</v>
      </c>
      <c r="C6105" t="s">
        <v>81</v>
      </c>
      <c r="D6105" t="s">
        <v>82</v>
      </c>
      <c r="E6105" t="s">
        <v>101</v>
      </c>
      <c r="F6105">
        <v>2600</v>
      </c>
      <c r="G6105" t="s">
        <v>331</v>
      </c>
      <c r="H6105" s="15">
        <v>45292</v>
      </c>
      <c r="I6105">
        <v>2600</v>
      </c>
      <c r="J6105">
        <v>0</v>
      </c>
    </row>
    <row r="6106" spans="1:10" x14ac:dyDescent="0.3">
      <c r="A6106" s="15">
        <v>45992</v>
      </c>
      <c r="B6106" t="s">
        <v>116</v>
      </c>
      <c r="C6106" t="s">
        <v>81</v>
      </c>
      <c r="D6106" t="s">
        <v>86</v>
      </c>
      <c r="E6106" t="s">
        <v>87</v>
      </c>
      <c r="F6106">
        <v>2900</v>
      </c>
      <c r="G6106" t="s">
        <v>331</v>
      </c>
      <c r="H6106" s="15">
        <v>45292</v>
      </c>
      <c r="I6106">
        <v>2900</v>
      </c>
      <c r="J6106">
        <v>0</v>
      </c>
    </row>
    <row r="6107" spans="1:10" x14ac:dyDescent="0.3">
      <c r="A6107" s="15">
        <v>45992</v>
      </c>
      <c r="B6107" t="s">
        <v>117</v>
      </c>
      <c r="C6107" t="s">
        <v>81</v>
      </c>
      <c r="D6107" t="s">
        <v>86</v>
      </c>
      <c r="E6107" t="s">
        <v>103</v>
      </c>
      <c r="F6107">
        <v>2500</v>
      </c>
      <c r="G6107" t="s">
        <v>331</v>
      </c>
      <c r="H6107" s="15">
        <v>45292</v>
      </c>
      <c r="I6107">
        <v>2500</v>
      </c>
      <c r="J6107">
        <v>0</v>
      </c>
    </row>
    <row r="6108" spans="1:10" x14ac:dyDescent="0.3">
      <c r="A6108" s="15">
        <v>45992</v>
      </c>
      <c r="B6108" t="s">
        <v>120</v>
      </c>
      <c r="C6108" t="s">
        <v>81</v>
      </c>
      <c r="D6108" t="s">
        <v>86</v>
      </c>
      <c r="E6108" t="s">
        <v>101</v>
      </c>
      <c r="F6108">
        <v>2200</v>
      </c>
      <c r="G6108" t="s">
        <v>331</v>
      </c>
      <c r="H6108" s="15">
        <v>45292</v>
      </c>
      <c r="I6108">
        <v>2200</v>
      </c>
      <c r="J6108">
        <v>0</v>
      </c>
    </row>
    <row r="6109" spans="1:10" x14ac:dyDescent="0.3">
      <c r="A6109" s="15">
        <v>45992</v>
      </c>
      <c r="B6109" t="s">
        <v>123</v>
      </c>
      <c r="C6109" t="s">
        <v>81</v>
      </c>
      <c r="D6109" t="s">
        <v>82</v>
      </c>
      <c r="E6109" t="s">
        <v>92</v>
      </c>
      <c r="F6109">
        <v>1900</v>
      </c>
      <c r="G6109" t="s">
        <v>331</v>
      </c>
      <c r="H6109" s="15">
        <v>45292</v>
      </c>
      <c r="I6109">
        <v>1900</v>
      </c>
      <c r="J6109">
        <v>0</v>
      </c>
    </row>
    <row r="6110" spans="1:10" x14ac:dyDescent="0.3">
      <c r="A6110" s="15">
        <v>45992</v>
      </c>
      <c r="B6110" t="s">
        <v>124</v>
      </c>
      <c r="C6110" t="s">
        <v>125</v>
      </c>
      <c r="D6110" t="s">
        <v>82</v>
      </c>
      <c r="E6110" t="s">
        <v>97</v>
      </c>
      <c r="F6110">
        <v>67900</v>
      </c>
      <c r="G6110" t="s">
        <v>331</v>
      </c>
      <c r="H6110" s="15">
        <v>45292</v>
      </c>
      <c r="I6110">
        <v>67900</v>
      </c>
      <c r="J6110">
        <v>0</v>
      </c>
    </row>
    <row r="6111" spans="1:10" x14ac:dyDescent="0.3">
      <c r="A6111" s="15">
        <v>45992</v>
      </c>
      <c r="B6111" t="s">
        <v>126</v>
      </c>
      <c r="C6111" t="s">
        <v>91</v>
      </c>
      <c r="D6111" t="s">
        <v>82</v>
      </c>
      <c r="E6111" t="s">
        <v>83</v>
      </c>
      <c r="F6111">
        <v>8800</v>
      </c>
      <c r="G6111" t="s">
        <v>331</v>
      </c>
      <c r="H6111" s="15">
        <v>45292</v>
      </c>
      <c r="I6111">
        <v>8800</v>
      </c>
      <c r="J6111">
        <v>0</v>
      </c>
    </row>
    <row r="6112" spans="1:10" x14ac:dyDescent="0.3">
      <c r="A6112" s="15">
        <v>45992</v>
      </c>
      <c r="B6112" t="s">
        <v>127</v>
      </c>
      <c r="C6112" t="s">
        <v>81</v>
      </c>
      <c r="D6112" t="s">
        <v>82</v>
      </c>
      <c r="E6112" t="s">
        <v>101</v>
      </c>
      <c r="F6112">
        <v>2400</v>
      </c>
      <c r="G6112" t="s">
        <v>331</v>
      </c>
      <c r="H6112" s="15">
        <v>45292</v>
      </c>
      <c r="I6112">
        <v>2400</v>
      </c>
      <c r="J6112">
        <v>0</v>
      </c>
    </row>
    <row r="6113" spans="1:10" x14ac:dyDescent="0.3">
      <c r="A6113" s="15">
        <v>45992</v>
      </c>
      <c r="B6113" t="s">
        <v>128</v>
      </c>
      <c r="C6113" t="s">
        <v>81</v>
      </c>
      <c r="D6113" t="s">
        <v>82</v>
      </c>
      <c r="E6113" t="s">
        <v>92</v>
      </c>
      <c r="F6113">
        <v>1700</v>
      </c>
      <c r="G6113" t="s">
        <v>331</v>
      </c>
      <c r="H6113" s="15">
        <v>45292</v>
      </c>
      <c r="I6113">
        <v>1700</v>
      </c>
      <c r="J6113">
        <v>0</v>
      </c>
    </row>
    <row r="6114" spans="1:10" x14ac:dyDescent="0.3">
      <c r="A6114" s="15">
        <v>45992</v>
      </c>
      <c r="B6114" t="s">
        <v>129</v>
      </c>
      <c r="C6114" t="s">
        <v>110</v>
      </c>
      <c r="D6114" t="s">
        <v>86</v>
      </c>
      <c r="E6114" t="s">
        <v>92</v>
      </c>
      <c r="F6114">
        <v>36900</v>
      </c>
      <c r="G6114" t="s">
        <v>331</v>
      </c>
      <c r="H6114" s="15">
        <v>45292</v>
      </c>
      <c r="I6114">
        <v>36900</v>
      </c>
      <c r="J6114">
        <v>0</v>
      </c>
    </row>
    <row r="6115" spans="1:10" x14ac:dyDescent="0.3">
      <c r="A6115" s="15">
        <v>45992</v>
      </c>
      <c r="B6115" t="s">
        <v>133</v>
      </c>
      <c r="C6115" t="s">
        <v>81</v>
      </c>
      <c r="D6115" t="s">
        <v>96</v>
      </c>
      <c r="E6115" t="s">
        <v>87</v>
      </c>
      <c r="F6115">
        <v>2700</v>
      </c>
      <c r="G6115" t="s">
        <v>331</v>
      </c>
      <c r="H6115" s="15">
        <v>45292</v>
      </c>
      <c r="I6115">
        <v>2700</v>
      </c>
      <c r="J6115">
        <v>0</v>
      </c>
    </row>
    <row r="6116" spans="1:10" x14ac:dyDescent="0.3">
      <c r="A6116" s="15">
        <v>45992</v>
      </c>
      <c r="B6116" t="s">
        <v>134</v>
      </c>
      <c r="C6116" t="s">
        <v>81</v>
      </c>
      <c r="D6116" t="s">
        <v>82</v>
      </c>
      <c r="E6116" t="s">
        <v>92</v>
      </c>
      <c r="F6116">
        <v>2400</v>
      </c>
      <c r="G6116" t="s">
        <v>331</v>
      </c>
      <c r="H6116" s="15">
        <v>45292</v>
      </c>
      <c r="I6116">
        <v>2400</v>
      </c>
      <c r="J6116">
        <v>0</v>
      </c>
    </row>
    <row r="6117" spans="1:10" x14ac:dyDescent="0.3">
      <c r="A6117" s="15">
        <v>45992</v>
      </c>
      <c r="B6117" t="s">
        <v>135</v>
      </c>
      <c r="C6117" t="s">
        <v>81</v>
      </c>
      <c r="D6117" t="s">
        <v>82</v>
      </c>
      <c r="E6117" t="s">
        <v>103</v>
      </c>
      <c r="F6117">
        <v>2400</v>
      </c>
      <c r="G6117" t="s">
        <v>331</v>
      </c>
      <c r="H6117" s="15">
        <v>45292</v>
      </c>
      <c r="I6117">
        <v>2400</v>
      </c>
      <c r="J6117">
        <v>0</v>
      </c>
    </row>
    <row r="6118" spans="1:10" x14ac:dyDescent="0.3">
      <c r="A6118" s="15">
        <v>45992</v>
      </c>
      <c r="B6118" t="s">
        <v>136</v>
      </c>
      <c r="C6118" t="s">
        <v>81</v>
      </c>
      <c r="D6118" t="s">
        <v>82</v>
      </c>
      <c r="E6118" t="s">
        <v>101</v>
      </c>
      <c r="F6118">
        <v>2900</v>
      </c>
      <c r="G6118" t="s">
        <v>331</v>
      </c>
      <c r="H6118" s="15">
        <v>45292</v>
      </c>
      <c r="I6118">
        <v>2900</v>
      </c>
      <c r="J6118">
        <v>0</v>
      </c>
    </row>
    <row r="6119" spans="1:10" x14ac:dyDescent="0.3">
      <c r="A6119" s="15">
        <v>45992</v>
      </c>
      <c r="B6119" t="s">
        <v>138</v>
      </c>
      <c r="C6119" t="s">
        <v>81</v>
      </c>
      <c r="D6119" t="s">
        <v>86</v>
      </c>
      <c r="E6119" t="s">
        <v>97</v>
      </c>
      <c r="F6119">
        <v>3300</v>
      </c>
      <c r="G6119" t="s">
        <v>331</v>
      </c>
      <c r="H6119" s="15">
        <v>45292</v>
      </c>
      <c r="I6119">
        <v>3300</v>
      </c>
      <c r="J6119">
        <v>0</v>
      </c>
    </row>
    <row r="6120" spans="1:10" x14ac:dyDescent="0.3">
      <c r="A6120" s="15">
        <v>45992</v>
      </c>
      <c r="B6120" t="s">
        <v>139</v>
      </c>
      <c r="C6120" t="s">
        <v>91</v>
      </c>
      <c r="D6120" t="s">
        <v>82</v>
      </c>
      <c r="E6120" t="s">
        <v>103</v>
      </c>
      <c r="F6120">
        <v>6800</v>
      </c>
      <c r="G6120" t="s">
        <v>331</v>
      </c>
      <c r="H6120" s="15">
        <v>45292</v>
      </c>
      <c r="I6120">
        <v>6800</v>
      </c>
      <c r="J6120">
        <v>0</v>
      </c>
    </row>
    <row r="6121" spans="1:10" x14ac:dyDescent="0.3">
      <c r="A6121" s="15">
        <v>45992</v>
      </c>
      <c r="B6121" t="s">
        <v>141</v>
      </c>
      <c r="C6121" t="s">
        <v>125</v>
      </c>
      <c r="D6121" t="s">
        <v>99</v>
      </c>
      <c r="E6121" t="s">
        <v>103</v>
      </c>
      <c r="F6121">
        <v>127400</v>
      </c>
      <c r="G6121" t="s">
        <v>331</v>
      </c>
      <c r="H6121" s="15">
        <v>45292</v>
      </c>
      <c r="I6121">
        <v>127400</v>
      </c>
      <c r="J6121">
        <v>0</v>
      </c>
    </row>
    <row r="6122" spans="1:10" x14ac:dyDescent="0.3">
      <c r="A6122" s="15">
        <v>45992</v>
      </c>
      <c r="B6122" t="s">
        <v>142</v>
      </c>
      <c r="C6122" t="s">
        <v>125</v>
      </c>
      <c r="D6122" t="s">
        <v>82</v>
      </c>
      <c r="E6122" t="s">
        <v>92</v>
      </c>
      <c r="F6122">
        <v>103800</v>
      </c>
      <c r="G6122" t="s">
        <v>331</v>
      </c>
      <c r="H6122" s="15">
        <v>45292</v>
      </c>
      <c r="I6122">
        <v>103800</v>
      </c>
      <c r="J6122">
        <v>0</v>
      </c>
    </row>
    <row r="6123" spans="1:10" x14ac:dyDescent="0.3">
      <c r="A6123" s="15">
        <v>45992</v>
      </c>
      <c r="B6123" t="s">
        <v>143</v>
      </c>
      <c r="C6123" t="s">
        <v>91</v>
      </c>
      <c r="D6123" t="s">
        <v>99</v>
      </c>
      <c r="E6123" t="s">
        <v>103</v>
      </c>
      <c r="F6123">
        <v>8000</v>
      </c>
      <c r="G6123" t="s">
        <v>331</v>
      </c>
      <c r="H6123" s="15">
        <v>45292</v>
      </c>
      <c r="I6123">
        <v>8000</v>
      </c>
      <c r="J6123">
        <v>0</v>
      </c>
    </row>
    <row r="6124" spans="1:10" x14ac:dyDescent="0.3">
      <c r="A6124" s="15">
        <v>45992</v>
      </c>
      <c r="B6124" t="s">
        <v>144</v>
      </c>
      <c r="C6124" t="s">
        <v>81</v>
      </c>
      <c r="D6124" t="s">
        <v>82</v>
      </c>
      <c r="E6124" t="s">
        <v>92</v>
      </c>
      <c r="F6124">
        <v>2400</v>
      </c>
      <c r="G6124" t="s">
        <v>331</v>
      </c>
      <c r="H6124" s="15">
        <v>45292</v>
      </c>
      <c r="I6124">
        <v>2400</v>
      </c>
      <c r="J6124">
        <v>0</v>
      </c>
    </row>
    <row r="6125" spans="1:10" x14ac:dyDescent="0.3">
      <c r="A6125" s="15">
        <v>45992</v>
      </c>
      <c r="B6125" t="s">
        <v>145</v>
      </c>
      <c r="C6125" t="s">
        <v>91</v>
      </c>
      <c r="D6125" t="s">
        <v>82</v>
      </c>
      <c r="E6125" t="s">
        <v>87</v>
      </c>
      <c r="F6125">
        <v>8200</v>
      </c>
      <c r="G6125" t="s">
        <v>331</v>
      </c>
      <c r="H6125" s="15">
        <v>45292</v>
      </c>
      <c r="I6125">
        <v>8200</v>
      </c>
      <c r="J6125">
        <v>0</v>
      </c>
    </row>
    <row r="6126" spans="1:10" x14ac:dyDescent="0.3">
      <c r="A6126" s="15">
        <v>45992</v>
      </c>
      <c r="B6126" t="s">
        <v>146</v>
      </c>
      <c r="C6126" t="s">
        <v>91</v>
      </c>
      <c r="D6126" t="s">
        <v>86</v>
      </c>
      <c r="E6126" t="s">
        <v>87</v>
      </c>
      <c r="F6126">
        <v>10100</v>
      </c>
      <c r="G6126" t="s">
        <v>331</v>
      </c>
      <c r="H6126" s="15">
        <v>45292</v>
      </c>
      <c r="I6126">
        <v>10100</v>
      </c>
      <c r="J6126">
        <v>0</v>
      </c>
    </row>
    <row r="6127" spans="1:10" x14ac:dyDescent="0.3">
      <c r="A6127" s="15">
        <v>45992</v>
      </c>
      <c r="B6127" t="s">
        <v>149</v>
      </c>
      <c r="C6127" t="s">
        <v>110</v>
      </c>
      <c r="D6127" t="s">
        <v>82</v>
      </c>
      <c r="E6127" t="s">
        <v>103</v>
      </c>
      <c r="F6127">
        <v>31000</v>
      </c>
      <c r="G6127" t="s">
        <v>331</v>
      </c>
      <c r="H6127" s="15">
        <v>45292</v>
      </c>
      <c r="I6127">
        <v>31000</v>
      </c>
      <c r="J6127">
        <v>0</v>
      </c>
    </row>
    <row r="6128" spans="1:10" x14ac:dyDescent="0.3">
      <c r="A6128" s="15">
        <v>45992</v>
      </c>
      <c r="B6128" t="s">
        <v>151</v>
      </c>
      <c r="C6128" t="s">
        <v>91</v>
      </c>
      <c r="D6128" t="s">
        <v>82</v>
      </c>
      <c r="E6128" t="s">
        <v>97</v>
      </c>
      <c r="F6128">
        <v>6800</v>
      </c>
      <c r="G6128" t="s">
        <v>331</v>
      </c>
      <c r="H6128" s="15">
        <v>45292</v>
      </c>
      <c r="I6128">
        <v>6800</v>
      </c>
      <c r="J6128">
        <v>0</v>
      </c>
    </row>
    <row r="6129" spans="1:10" x14ac:dyDescent="0.3">
      <c r="A6129" s="15">
        <v>45992</v>
      </c>
      <c r="B6129" t="s">
        <v>154</v>
      </c>
      <c r="C6129" t="s">
        <v>91</v>
      </c>
      <c r="D6129" t="s">
        <v>86</v>
      </c>
      <c r="E6129" t="s">
        <v>103</v>
      </c>
      <c r="F6129">
        <v>9700</v>
      </c>
      <c r="G6129" t="s">
        <v>331</v>
      </c>
      <c r="H6129" s="15">
        <v>45292</v>
      </c>
      <c r="I6129">
        <v>9700</v>
      </c>
      <c r="J6129">
        <v>0</v>
      </c>
    </row>
    <row r="6130" spans="1:10" x14ac:dyDescent="0.3">
      <c r="A6130" s="15">
        <v>45992</v>
      </c>
      <c r="B6130" t="s">
        <v>155</v>
      </c>
      <c r="C6130" t="s">
        <v>91</v>
      </c>
      <c r="D6130" t="s">
        <v>82</v>
      </c>
      <c r="E6130" t="s">
        <v>92</v>
      </c>
      <c r="F6130">
        <v>6600</v>
      </c>
      <c r="G6130" t="s">
        <v>334</v>
      </c>
      <c r="H6130" s="15">
        <v>45292</v>
      </c>
      <c r="I6130">
        <v>7100</v>
      </c>
      <c r="J6130">
        <v>-500</v>
      </c>
    </row>
    <row r="6131" spans="1:10" x14ac:dyDescent="0.3">
      <c r="A6131" s="15">
        <v>45992</v>
      </c>
      <c r="B6131" t="s">
        <v>156</v>
      </c>
      <c r="C6131" t="s">
        <v>81</v>
      </c>
      <c r="D6131" t="s">
        <v>86</v>
      </c>
      <c r="E6131" t="s">
        <v>101</v>
      </c>
      <c r="F6131">
        <v>2300</v>
      </c>
      <c r="G6131" t="s">
        <v>331</v>
      </c>
      <c r="H6131" s="15">
        <v>45292</v>
      </c>
      <c r="I6131">
        <v>2300</v>
      </c>
      <c r="J6131">
        <v>0</v>
      </c>
    </row>
    <row r="6132" spans="1:10" x14ac:dyDescent="0.3">
      <c r="A6132" s="15">
        <v>45992</v>
      </c>
      <c r="B6132" t="s">
        <v>157</v>
      </c>
      <c r="C6132" t="s">
        <v>81</v>
      </c>
      <c r="D6132" t="s">
        <v>82</v>
      </c>
      <c r="E6132" t="s">
        <v>92</v>
      </c>
      <c r="F6132">
        <v>1800</v>
      </c>
      <c r="G6132" t="s">
        <v>331</v>
      </c>
      <c r="H6132" s="15">
        <v>45292</v>
      </c>
      <c r="I6132">
        <v>1800</v>
      </c>
      <c r="J6132">
        <v>0</v>
      </c>
    </row>
    <row r="6133" spans="1:10" x14ac:dyDescent="0.3">
      <c r="A6133" s="15">
        <v>45992</v>
      </c>
      <c r="B6133" t="s">
        <v>158</v>
      </c>
      <c r="C6133" t="s">
        <v>91</v>
      </c>
      <c r="D6133" t="s">
        <v>96</v>
      </c>
      <c r="E6133" t="s">
        <v>83</v>
      </c>
      <c r="F6133">
        <v>12600</v>
      </c>
      <c r="G6133" t="s">
        <v>331</v>
      </c>
      <c r="H6133" s="15">
        <v>45292</v>
      </c>
      <c r="I6133">
        <v>12600</v>
      </c>
      <c r="J6133">
        <v>0</v>
      </c>
    </row>
    <row r="6134" spans="1:10" x14ac:dyDescent="0.3">
      <c r="A6134" s="15">
        <v>45992</v>
      </c>
      <c r="B6134" t="s">
        <v>159</v>
      </c>
      <c r="C6134" t="s">
        <v>81</v>
      </c>
      <c r="D6134" t="s">
        <v>86</v>
      </c>
      <c r="E6134" t="s">
        <v>87</v>
      </c>
      <c r="F6134">
        <v>2400</v>
      </c>
      <c r="G6134" t="s">
        <v>331</v>
      </c>
      <c r="H6134" s="15">
        <v>45292</v>
      </c>
      <c r="I6134">
        <v>2400</v>
      </c>
      <c r="J6134">
        <v>0</v>
      </c>
    </row>
    <row r="6135" spans="1:10" x14ac:dyDescent="0.3">
      <c r="A6135" s="15">
        <v>45992</v>
      </c>
      <c r="B6135" t="s">
        <v>161</v>
      </c>
      <c r="C6135" t="s">
        <v>91</v>
      </c>
      <c r="D6135" t="s">
        <v>99</v>
      </c>
      <c r="E6135" t="s">
        <v>83</v>
      </c>
      <c r="F6135">
        <v>11700</v>
      </c>
      <c r="G6135" t="s">
        <v>331</v>
      </c>
      <c r="H6135" s="15">
        <v>45292</v>
      </c>
      <c r="I6135">
        <v>11700</v>
      </c>
      <c r="J6135">
        <v>0</v>
      </c>
    </row>
    <row r="6136" spans="1:10" x14ac:dyDescent="0.3">
      <c r="A6136" s="15">
        <v>45992</v>
      </c>
      <c r="B6136" t="s">
        <v>162</v>
      </c>
      <c r="C6136" t="s">
        <v>91</v>
      </c>
      <c r="D6136" t="s">
        <v>82</v>
      </c>
      <c r="E6136" t="s">
        <v>103</v>
      </c>
      <c r="F6136">
        <v>10900</v>
      </c>
      <c r="G6136" t="s">
        <v>331</v>
      </c>
      <c r="H6136" s="15">
        <v>45292</v>
      </c>
      <c r="I6136">
        <v>10900</v>
      </c>
      <c r="J6136">
        <v>0</v>
      </c>
    </row>
    <row r="6137" spans="1:10" x14ac:dyDescent="0.3">
      <c r="A6137" s="15">
        <v>45992</v>
      </c>
      <c r="B6137" t="s">
        <v>164</v>
      </c>
      <c r="C6137" t="s">
        <v>81</v>
      </c>
      <c r="D6137" t="s">
        <v>99</v>
      </c>
      <c r="E6137" t="s">
        <v>89</v>
      </c>
      <c r="F6137">
        <v>2800</v>
      </c>
      <c r="G6137" t="s">
        <v>331</v>
      </c>
      <c r="H6137" s="15">
        <v>45292</v>
      </c>
      <c r="I6137">
        <v>2800</v>
      </c>
      <c r="J6137">
        <v>0</v>
      </c>
    </row>
    <row r="6138" spans="1:10" x14ac:dyDescent="0.3">
      <c r="A6138" s="15">
        <v>45992</v>
      </c>
      <c r="B6138" t="s">
        <v>165</v>
      </c>
      <c r="C6138" t="s">
        <v>81</v>
      </c>
      <c r="D6138" t="s">
        <v>82</v>
      </c>
      <c r="E6138" t="s">
        <v>97</v>
      </c>
      <c r="F6138">
        <v>2700</v>
      </c>
      <c r="G6138" t="s">
        <v>331</v>
      </c>
      <c r="H6138" s="15">
        <v>45292</v>
      </c>
      <c r="I6138">
        <v>2700</v>
      </c>
      <c r="J6138">
        <v>0</v>
      </c>
    </row>
    <row r="6139" spans="1:10" x14ac:dyDescent="0.3">
      <c r="A6139" s="15">
        <v>45992</v>
      </c>
      <c r="B6139" t="s">
        <v>166</v>
      </c>
      <c r="C6139" t="s">
        <v>81</v>
      </c>
      <c r="D6139" t="s">
        <v>99</v>
      </c>
      <c r="E6139" t="s">
        <v>103</v>
      </c>
      <c r="F6139">
        <v>2600</v>
      </c>
      <c r="G6139" t="s">
        <v>331</v>
      </c>
      <c r="H6139" s="15">
        <v>45292</v>
      </c>
      <c r="I6139">
        <v>2600</v>
      </c>
      <c r="J6139">
        <v>0</v>
      </c>
    </row>
    <row r="6140" spans="1:10" x14ac:dyDescent="0.3">
      <c r="A6140" s="15">
        <v>45992</v>
      </c>
      <c r="B6140" t="s">
        <v>167</v>
      </c>
      <c r="C6140" t="s">
        <v>81</v>
      </c>
      <c r="D6140" t="s">
        <v>82</v>
      </c>
      <c r="E6140" t="s">
        <v>97</v>
      </c>
      <c r="F6140">
        <v>2000</v>
      </c>
      <c r="G6140" t="s">
        <v>331</v>
      </c>
      <c r="H6140" s="15">
        <v>45292</v>
      </c>
      <c r="I6140">
        <v>2000</v>
      </c>
      <c r="J6140">
        <v>0</v>
      </c>
    </row>
    <row r="6141" spans="1:10" x14ac:dyDescent="0.3">
      <c r="A6141" s="15">
        <v>45992</v>
      </c>
      <c r="B6141" t="s">
        <v>168</v>
      </c>
      <c r="C6141" t="s">
        <v>91</v>
      </c>
      <c r="D6141" t="s">
        <v>86</v>
      </c>
      <c r="E6141" t="s">
        <v>103</v>
      </c>
      <c r="F6141">
        <v>12200</v>
      </c>
      <c r="G6141" t="s">
        <v>331</v>
      </c>
      <c r="H6141" s="15">
        <v>45292</v>
      </c>
      <c r="I6141">
        <v>12200</v>
      </c>
      <c r="J6141">
        <v>0</v>
      </c>
    </row>
    <row r="6142" spans="1:10" x14ac:dyDescent="0.3">
      <c r="A6142" s="15">
        <v>45992</v>
      </c>
      <c r="B6142" t="s">
        <v>170</v>
      </c>
      <c r="C6142" t="s">
        <v>91</v>
      </c>
      <c r="D6142" t="s">
        <v>99</v>
      </c>
      <c r="E6142" t="s">
        <v>83</v>
      </c>
      <c r="F6142">
        <v>6500</v>
      </c>
      <c r="G6142" t="s">
        <v>331</v>
      </c>
      <c r="H6142" s="15">
        <v>45292</v>
      </c>
      <c r="I6142">
        <v>6500</v>
      </c>
      <c r="J6142">
        <v>0</v>
      </c>
    </row>
    <row r="6143" spans="1:10" x14ac:dyDescent="0.3">
      <c r="A6143" s="15">
        <v>45992</v>
      </c>
      <c r="B6143" t="s">
        <v>171</v>
      </c>
      <c r="C6143" t="s">
        <v>81</v>
      </c>
      <c r="D6143" t="s">
        <v>99</v>
      </c>
      <c r="E6143" t="s">
        <v>97</v>
      </c>
      <c r="F6143">
        <v>1700</v>
      </c>
      <c r="G6143" t="s">
        <v>331</v>
      </c>
      <c r="H6143" s="15">
        <v>45292</v>
      </c>
      <c r="I6143">
        <v>1700</v>
      </c>
      <c r="J6143">
        <v>0</v>
      </c>
    </row>
    <row r="6144" spans="1:10" x14ac:dyDescent="0.3">
      <c r="A6144" s="15">
        <v>45992</v>
      </c>
      <c r="B6144" t="s">
        <v>174</v>
      </c>
      <c r="C6144" t="s">
        <v>81</v>
      </c>
      <c r="D6144" t="s">
        <v>82</v>
      </c>
      <c r="E6144" t="s">
        <v>92</v>
      </c>
      <c r="F6144">
        <v>2400</v>
      </c>
      <c r="G6144" t="s">
        <v>331</v>
      </c>
      <c r="H6144" s="15">
        <v>45292</v>
      </c>
      <c r="I6144">
        <v>2400</v>
      </c>
      <c r="J6144">
        <v>0</v>
      </c>
    </row>
    <row r="6145" spans="1:10" x14ac:dyDescent="0.3">
      <c r="A6145" s="15">
        <v>45992</v>
      </c>
      <c r="B6145" t="s">
        <v>175</v>
      </c>
      <c r="C6145" t="s">
        <v>91</v>
      </c>
      <c r="D6145" t="s">
        <v>96</v>
      </c>
      <c r="E6145" t="s">
        <v>83</v>
      </c>
      <c r="F6145">
        <v>8800</v>
      </c>
      <c r="G6145" t="s">
        <v>331</v>
      </c>
      <c r="H6145" s="15">
        <v>45292</v>
      </c>
      <c r="I6145">
        <v>8800</v>
      </c>
      <c r="J6145">
        <v>0</v>
      </c>
    </row>
    <row r="6146" spans="1:10" x14ac:dyDescent="0.3">
      <c r="A6146" s="15">
        <v>45992</v>
      </c>
      <c r="B6146" t="s">
        <v>176</v>
      </c>
      <c r="C6146" t="s">
        <v>81</v>
      </c>
      <c r="D6146" t="s">
        <v>99</v>
      </c>
      <c r="E6146" t="s">
        <v>92</v>
      </c>
      <c r="F6146">
        <v>2900</v>
      </c>
      <c r="G6146" t="s">
        <v>331</v>
      </c>
      <c r="H6146" s="15">
        <v>45292</v>
      </c>
      <c r="I6146">
        <v>2900</v>
      </c>
      <c r="J6146">
        <v>0</v>
      </c>
    </row>
    <row r="6147" spans="1:10" x14ac:dyDescent="0.3">
      <c r="A6147" s="15">
        <v>45992</v>
      </c>
      <c r="B6147" t="s">
        <v>177</v>
      </c>
      <c r="C6147" t="s">
        <v>81</v>
      </c>
      <c r="D6147" t="s">
        <v>96</v>
      </c>
      <c r="E6147" t="s">
        <v>83</v>
      </c>
      <c r="F6147">
        <v>2900</v>
      </c>
      <c r="G6147" t="s">
        <v>331</v>
      </c>
      <c r="H6147" s="15">
        <v>45292</v>
      </c>
      <c r="I6147">
        <v>2900</v>
      </c>
      <c r="J6147">
        <v>0</v>
      </c>
    </row>
    <row r="6148" spans="1:10" x14ac:dyDescent="0.3">
      <c r="A6148" s="15">
        <v>45992</v>
      </c>
      <c r="B6148" t="s">
        <v>178</v>
      </c>
      <c r="C6148" t="s">
        <v>91</v>
      </c>
      <c r="D6148" t="s">
        <v>82</v>
      </c>
      <c r="E6148" t="s">
        <v>89</v>
      </c>
      <c r="F6148">
        <v>8400</v>
      </c>
      <c r="G6148" t="s">
        <v>331</v>
      </c>
      <c r="H6148" s="15">
        <v>45292</v>
      </c>
      <c r="I6148">
        <v>8400</v>
      </c>
      <c r="J6148">
        <v>0</v>
      </c>
    </row>
    <row r="6149" spans="1:10" x14ac:dyDescent="0.3">
      <c r="A6149" s="15">
        <v>45992</v>
      </c>
      <c r="B6149" t="s">
        <v>179</v>
      </c>
      <c r="C6149" t="s">
        <v>110</v>
      </c>
      <c r="D6149" t="s">
        <v>86</v>
      </c>
      <c r="E6149" t="s">
        <v>87</v>
      </c>
      <c r="F6149">
        <v>30000</v>
      </c>
      <c r="G6149" t="s">
        <v>331</v>
      </c>
      <c r="H6149" s="15">
        <v>45292</v>
      </c>
      <c r="I6149">
        <v>30000</v>
      </c>
      <c r="J6149">
        <v>0</v>
      </c>
    </row>
    <row r="6150" spans="1:10" x14ac:dyDescent="0.3">
      <c r="A6150" s="15">
        <v>45992</v>
      </c>
      <c r="B6150" t="s">
        <v>180</v>
      </c>
      <c r="C6150" t="s">
        <v>91</v>
      </c>
      <c r="D6150" t="s">
        <v>86</v>
      </c>
      <c r="E6150" t="s">
        <v>83</v>
      </c>
      <c r="F6150">
        <v>8500</v>
      </c>
      <c r="G6150" t="s">
        <v>331</v>
      </c>
      <c r="H6150" s="15">
        <v>45292</v>
      </c>
      <c r="I6150">
        <v>8500</v>
      </c>
      <c r="J6150">
        <v>0</v>
      </c>
    </row>
    <row r="6151" spans="1:10" x14ac:dyDescent="0.3">
      <c r="A6151" s="15">
        <v>45992</v>
      </c>
      <c r="B6151" t="s">
        <v>181</v>
      </c>
      <c r="C6151" t="s">
        <v>91</v>
      </c>
      <c r="D6151" t="s">
        <v>82</v>
      </c>
      <c r="E6151" t="s">
        <v>97</v>
      </c>
      <c r="F6151">
        <v>10100</v>
      </c>
      <c r="G6151" t="s">
        <v>331</v>
      </c>
      <c r="H6151" s="15">
        <v>45292</v>
      </c>
      <c r="I6151">
        <v>10100</v>
      </c>
      <c r="J6151">
        <v>0</v>
      </c>
    </row>
    <row r="6152" spans="1:10" x14ac:dyDescent="0.3">
      <c r="A6152" s="15">
        <v>45992</v>
      </c>
      <c r="B6152" t="s">
        <v>182</v>
      </c>
      <c r="C6152" t="s">
        <v>125</v>
      </c>
      <c r="D6152" t="s">
        <v>82</v>
      </c>
      <c r="E6152" t="s">
        <v>92</v>
      </c>
      <c r="F6152">
        <v>93100</v>
      </c>
      <c r="G6152" t="s">
        <v>331</v>
      </c>
      <c r="H6152" s="15">
        <v>45292</v>
      </c>
      <c r="I6152">
        <v>93100</v>
      </c>
      <c r="J6152">
        <v>0</v>
      </c>
    </row>
    <row r="6153" spans="1:10" x14ac:dyDescent="0.3">
      <c r="A6153" s="15">
        <v>45992</v>
      </c>
      <c r="B6153" t="s">
        <v>183</v>
      </c>
      <c r="C6153" t="s">
        <v>91</v>
      </c>
      <c r="D6153" t="s">
        <v>96</v>
      </c>
      <c r="E6153" t="s">
        <v>92</v>
      </c>
      <c r="F6153">
        <v>9500</v>
      </c>
      <c r="G6153" t="s">
        <v>331</v>
      </c>
      <c r="H6153" s="15">
        <v>45292</v>
      </c>
      <c r="I6153">
        <v>9500</v>
      </c>
      <c r="J6153">
        <v>0</v>
      </c>
    </row>
    <row r="6154" spans="1:10" x14ac:dyDescent="0.3">
      <c r="A6154" s="15">
        <v>45992</v>
      </c>
      <c r="B6154" t="s">
        <v>184</v>
      </c>
      <c r="C6154" t="s">
        <v>81</v>
      </c>
      <c r="D6154" t="s">
        <v>82</v>
      </c>
      <c r="E6154" t="s">
        <v>83</v>
      </c>
      <c r="F6154">
        <v>2600</v>
      </c>
      <c r="G6154" t="s">
        <v>331</v>
      </c>
      <c r="H6154" s="15">
        <v>45292</v>
      </c>
      <c r="I6154">
        <v>2600</v>
      </c>
      <c r="J6154">
        <v>0</v>
      </c>
    </row>
    <row r="6155" spans="1:10" x14ac:dyDescent="0.3">
      <c r="A6155" s="15">
        <v>45992</v>
      </c>
      <c r="B6155" t="s">
        <v>185</v>
      </c>
      <c r="C6155" t="s">
        <v>81</v>
      </c>
      <c r="D6155" t="s">
        <v>96</v>
      </c>
      <c r="E6155" t="s">
        <v>97</v>
      </c>
      <c r="F6155">
        <v>1900</v>
      </c>
      <c r="G6155" t="s">
        <v>331</v>
      </c>
      <c r="H6155" s="15">
        <v>45292</v>
      </c>
      <c r="I6155">
        <v>1900</v>
      </c>
      <c r="J6155">
        <v>0</v>
      </c>
    </row>
    <row r="6156" spans="1:10" x14ac:dyDescent="0.3">
      <c r="A6156" s="15">
        <v>45992</v>
      </c>
      <c r="B6156" t="s">
        <v>186</v>
      </c>
      <c r="C6156" t="s">
        <v>91</v>
      </c>
      <c r="D6156" t="s">
        <v>82</v>
      </c>
      <c r="E6156" t="s">
        <v>103</v>
      </c>
      <c r="F6156">
        <v>13900</v>
      </c>
      <c r="G6156" t="s">
        <v>331</v>
      </c>
      <c r="H6156" s="15">
        <v>45292</v>
      </c>
      <c r="I6156">
        <v>13900</v>
      </c>
      <c r="J6156">
        <v>0</v>
      </c>
    </row>
    <row r="6157" spans="1:10" x14ac:dyDescent="0.3">
      <c r="A6157" s="15">
        <v>45992</v>
      </c>
      <c r="B6157" t="s">
        <v>187</v>
      </c>
      <c r="C6157" t="s">
        <v>110</v>
      </c>
      <c r="D6157" t="s">
        <v>86</v>
      </c>
      <c r="E6157" t="s">
        <v>97</v>
      </c>
      <c r="F6157">
        <v>26700</v>
      </c>
      <c r="G6157" t="s">
        <v>331</v>
      </c>
      <c r="H6157" s="15">
        <v>45292</v>
      </c>
      <c r="I6157">
        <v>26700</v>
      </c>
      <c r="J6157">
        <v>0</v>
      </c>
    </row>
    <row r="6158" spans="1:10" x14ac:dyDescent="0.3">
      <c r="A6158" s="15">
        <v>45992</v>
      </c>
      <c r="B6158" t="s">
        <v>188</v>
      </c>
      <c r="C6158" t="s">
        <v>91</v>
      </c>
      <c r="D6158" t="s">
        <v>82</v>
      </c>
      <c r="E6158" t="s">
        <v>92</v>
      </c>
      <c r="F6158">
        <v>9900</v>
      </c>
      <c r="G6158" t="s">
        <v>331</v>
      </c>
      <c r="H6158" s="15">
        <v>45292</v>
      </c>
      <c r="I6158">
        <v>9900</v>
      </c>
      <c r="J6158">
        <v>0</v>
      </c>
    </row>
    <row r="6159" spans="1:10" x14ac:dyDescent="0.3">
      <c r="A6159" s="15">
        <v>45992</v>
      </c>
      <c r="B6159" t="s">
        <v>189</v>
      </c>
      <c r="C6159" t="s">
        <v>81</v>
      </c>
      <c r="D6159" t="s">
        <v>86</v>
      </c>
      <c r="E6159" t="s">
        <v>103</v>
      </c>
      <c r="F6159">
        <v>2000</v>
      </c>
      <c r="G6159" t="s">
        <v>331</v>
      </c>
      <c r="H6159" s="15">
        <v>45292</v>
      </c>
      <c r="I6159">
        <v>2000</v>
      </c>
      <c r="J6159">
        <v>0</v>
      </c>
    </row>
    <row r="6160" spans="1:10" x14ac:dyDescent="0.3">
      <c r="A6160" s="15">
        <v>45992</v>
      </c>
      <c r="B6160" t="s">
        <v>190</v>
      </c>
      <c r="C6160" t="s">
        <v>81</v>
      </c>
      <c r="D6160" t="s">
        <v>99</v>
      </c>
      <c r="E6160" t="s">
        <v>89</v>
      </c>
      <c r="F6160">
        <v>1900</v>
      </c>
      <c r="G6160" t="s">
        <v>331</v>
      </c>
      <c r="H6160" s="15">
        <v>45292</v>
      </c>
      <c r="I6160">
        <v>1900</v>
      </c>
      <c r="J6160">
        <v>0</v>
      </c>
    </row>
    <row r="6161" spans="1:10" x14ac:dyDescent="0.3">
      <c r="A6161" s="15">
        <v>45992</v>
      </c>
      <c r="B6161" t="s">
        <v>191</v>
      </c>
      <c r="C6161" t="s">
        <v>91</v>
      </c>
      <c r="D6161" t="s">
        <v>86</v>
      </c>
      <c r="E6161" t="s">
        <v>87</v>
      </c>
      <c r="F6161">
        <v>6900</v>
      </c>
      <c r="G6161" t="s">
        <v>331</v>
      </c>
      <c r="H6161" s="15">
        <v>45292</v>
      </c>
      <c r="I6161">
        <v>6900</v>
      </c>
      <c r="J6161">
        <v>0</v>
      </c>
    </row>
    <row r="6162" spans="1:10" x14ac:dyDescent="0.3">
      <c r="A6162" s="15">
        <v>45992</v>
      </c>
      <c r="B6162" t="s">
        <v>192</v>
      </c>
      <c r="C6162" t="s">
        <v>81</v>
      </c>
      <c r="D6162" t="s">
        <v>82</v>
      </c>
      <c r="E6162" t="s">
        <v>97</v>
      </c>
      <c r="F6162">
        <v>2600</v>
      </c>
      <c r="G6162" t="s">
        <v>331</v>
      </c>
      <c r="H6162" s="15">
        <v>45292</v>
      </c>
      <c r="I6162">
        <v>2600</v>
      </c>
      <c r="J6162">
        <v>0</v>
      </c>
    </row>
    <row r="6163" spans="1:10" x14ac:dyDescent="0.3">
      <c r="A6163" s="15">
        <v>45992</v>
      </c>
      <c r="B6163" t="s">
        <v>193</v>
      </c>
      <c r="C6163" t="s">
        <v>81</v>
      </c>
      <c r="D6163" t="s">
        <v>82</v>
      </c>
      <c r="E6163" t="s">
        <v>87</v>
      </c>
      <c r="F6163">
        <v>3200</v>
      </c>
      <c r="G6163" t="s">
        <v>331</v>
      </c>
      <c r="H6163" s="15">
        <v>45292</v>
      </c>
      <c r="I6163">
        <v>3200</v>
      </c>
      <c r="J6163">
        <v>0</v>
      </c>
    </row>
    <row r="6164" spans="1:10" x14ac:dyDescent="0.3">
      <c r="A6164" s="15">
        <v>45992</v>
      </c>
      <c r="B6164" t="s">
        <v>194</v>
      </c>
      <c r="C6164" t="s">
        <v>91</v>
      </c>
      <c r="D6164" t="s">
        <v>82</v>
      </c>
      <c r="E6164" t="s">
        <v>101</v>
      </c>
      <c r="F6164">
        <v>11200</v>
      </c>
      <c r="G6164" t="s">
        <v>331</v>
      </c>
      <c r="H6164" s="15">
        <v>45292</v>
      </c>
      <c r="I6164">
        <v>11200</v>
      </c>
      <c r="J6164">
        <v>0</v>
      </c>
    </row>
    <row r="6165" spans="1:10" x14ac:dyDescent="0.3">
      <c r="A6165" s="15">
        <v>45992</v>
      </c>
      <c r="B6165" t="s">
        <v>195</v>
      </c>
      <c r="C6165" t="s">
        <v>91</v>
      </c>
      <c r="D6165" t="s">
        <v>86</v>
      </c>
      <c r="E6165" t="s">
        <v>97</v>
      </c>
      <c r="F6165">
        <v>6800</v>
      </c>
      <c r="G6165" t="s">
        <v>331</v>
      </c>
      <c r="H6165" s="15">
        <v>45292</v>
      </c>
      <c r="I6165">
        <v>6800</v>
      </c>
      <c r="J6165">
        <v>0</v>
      </c>
    </row>
    <row r="6166" spans="1:10" x14ac:dyDescent="0.3">
      <c r="A6166" s="15">
        <v>45992</v>
      </c>
      <c r="B6166" t="s">
        <v>197</v>
      </c>
      <c r="C6166" t="s">
        <v>91</v>
      </c>
      <c r="D6166" t="s">
        <v>82</v>
      </c>
      <c r="E6166" t="s">
        <v>89</v>
      </c>
      <c r="F6166">
        <v>12000</v>
      </c>
      <c r="G6166" t="s">
        <v>331</v>
      </c>
      <c r="H6166" s="15">
        <v>45292</v>
      </c>
      <c r="I6166">
        <v>12000</v>
      </c>
      <c r="J6166">
        <v>0</v>
      </c>
    </row>
    <row r="6167" spans="1:10" x14ac:dyDescent="0.3">
      <c r="A6167" s="15">
        <v>45992</v>
      </c>
      <c r="B6167" t="s">
        <v>198</v>
      </c>
      <c r="C6167" t="s">
        <v>81</v>
      </c>
      <c r="D6167" t="s">
        <v>82</v>
      </c>
      <c r="E6167" t="s">
        <v>89</v>
      </c>
      <c r="F6167">
        <v>2900</v>
      </c>
      <c r="G6167" t="s">
        <v>331</v>
      </c>
      <c r="H6167" s="15">
        <v>45292</v>
      </c>
      <c r="I6167">
        <v>2900</v>
      </c>
      <c r="J6167">
        <v>0</v>
      </c>
    </row>
    <row r="6168" spans="1:10" x14ac:dyDescent="0.3">
      <c r="A6168" s="15">
        <v>45992</v>
      </c>
      <c r="B6168" t="s">
        <v>199</v>
      </c>
      <c r="C6168" t="s">
        <v>81</v>
      </c>
      <c r="D6168" t="s">
        <v>86</v>
      </c>
      <c r="E6168" t="s">
        <v>89</v>
      </c>
      <c r="F6168">
        <v>2200</v>
      </c>
      <c r="G6168" t="s">
        <v>331</v>
      </c>
      <c r="H6168" s="15">
        <v>45292</v>
      </c>
      <c r="I6168">
        <v>2200</v>
      </c>
      <c r="J6168">
        <v>0</v>
      </c>
    </row>
    <row r="6169" spans="1:10" x14ac:dyDescent="0.3">
      <c r="A6169" s="15">
        <v>45992</v>
      </c>
      <c r="B6169" t="s">
        <v>200</v>
      </c>
      <c r="C6169" t="s">
        <v>91</v>
      </c>
      <c r="D6169" t="s">
        <v>86</v>
      </c>
      <c r="E6169" t="s">
        <v>92</v>
      </c>
      <c r="F6169">
        <v>8800</v>
      </c>
      <c r="G6169" t="s">
        <v>331</v>
      </c>
      <c r="H6169" s="15">
        <v>45292</v>
      </c>
      <c r="I6169">
        <v>8800</v>
      </c>
      <c r="J6169">
        <v>0</v>
      </c>
    </row>
    <row r="6170" spans="1:10" x14ac:dyDescent="0.3">
      <c r="A6170" s="15">
        <v>45992</v>
      </c>
      <c r="B6170" t="s">
        <v>201</v>
      </c>
      <c r="C6170" t="s">
        <v>81</v>
      </c>
      <c r="D6170" t="s">
        <v>86</v>
      </c>
      <c r="E6170" t="s">
        <v>83</v>
      </c>
      <c r="F6170">
        <v>1800</v>
      </c>
      <c r="G6170" t="s">
        <v>331</v>
      </c>
      <c r="H6170" s="15">
        <v>45292</v>
      </c>
      <c r="I6170">
        <v>1800</v>
      </c>
      <c r="J6170">
        <v>0</v>
      </c>
    </row>
    <row r="6171" spans="1:10" x14ac:dyDescent="0.3">
      <c r="A6171" s="15">
        <v>45992</v>
      </c>
      <c r="B6171" t="s">
        <v>202</v>
      </c>
      <c r="C6171" t="s">
        <v>91</v>
      </c>
      <c r="D6171" t="s">
        <v>82</v>
      </c>
      <c r="E6171" t="s">
        <v>92</v>
      </c>
      <c r="F6171">
        <v>11000</v>
      </c>
      <c r="G6171" t="s">
        <v>331</v>
      </c>
      <c r="H6171" s="15">
        <v>45292</v>
      </c>
      <c r="I6171">
        <v>11000</v>
      </c>
      <c r="J6171">
        <v>0</v>
      </c>
    </row>
    <row r="6172" spans="1:10" x14ac:dyDescent="0.3">
      <c r="A6172" s="15">
        <v>45992</v>
      </c>
      <c r="B6172" t="s">
        <v>204</v>
      </c>
      <c r="C6172" t="s">
        <v>81</v>
      </c>
      <c r="D6172" t="s">
        <v>82</v>
      </c>
      <c r="E6172" t="s">
        <v>87</v>
      </c>
      <c r="F6172">
        <v>1900</v>
      </c>
      <c r="G6172" t="s">
        <v>331</v>
      </c>
      <c r="H6172" s="15">
        <v>45292</v>
      </c>
      <c r="I6172">
        <v>1900</v>
      </c>
      <c r="J6172">
        <v>0</v>
      </c>
    </row>
    <row r="6173" spans="1:10" x14ac:dyDescent="0.3">
      <c r="A6173" s="15">
        <v>45992</v>
      </c>
      <c r="B6173" t="s">
        <v>205</v>
      </c>
      <c r="C6173" t="s">
        <v>91</v>
      </c>
      <c r="D6173" t="s">
        <v>86</v>
      </c>
      <c r="E6173" t="s">
        <v>103</v>
      </c>
      <c r="F6173">
        <v>9800</v>
      </c>
      <c r="G6173" t="s">
        <v>331</v>
      </c>
      <c r="H6173" s="15">
        <v>45292</v>
      </c>
      <c r="I6173">
        <v>9800</v>
      </c>
      <c r="J6173">
        <v>0</v>
      </c>
    </row>
    <row r="6174" spans="1:10" x14ac:dyDescent="0.3">
      <c r="A6174" s="15">
        <v>45992</v>
      </c>
      <c r="B6174" t="s">
        <v>206</v>
      </c>
      <c r="C6174" t="s">
        <v>81</v>
      </c>
      <c r="D6174" t="s">
        <v>86</v>
      </c>
      <c r="E6174" t="s">
        <v>89</v>
      </c>
      <c r="F6174">
        <v>3000</v>
      </c>
      <c r="G6174" t="s">
        <v>331</v>
      </c>
      <c r="H6174" s="15">
        <v>45292</v>
      </c>
      <c r="I6174">
        <v>3000</v>
      </c>
      <c r="J6174">
        <v>0</v>
      </c>
    </row>
    <row r="6175" spans="1:10" x14ac:dyDescent="0.3">
      <c r="A6175" s="15">
        <v>45992</v>
      </c>
      <c r="B6175" t="s">
        <v>207</v>
      </c>
      <c r="C6175" t="s">
        <v>81</v>
      </c>
      <c r="D6175" t="s">
        <v>82</v>
      </c>
      <c r="E6175" t="s">
        <v>89</v>
      </c>
      <c r="F6175">
        <v>3500</v>
      </c>
      <c r="G6175" t="s">
        <v>331</v>
      </c>
      <c r="H6175" s="15">
        <v>45292</v>
      </c>
      <c r="I6175">
        <v>3500</v>
      </c>
      <c r="J6175">
        <v>0</v>
      </c>
    </row>
    <row r="6176" spans="1:10" x14ac:dyDescent="0.3">
      <c r="A6176" s="15">
        <v>45992</v>
      </c>
      <c r="B6176" t="s">
        <v>208</v>
      </c>
      <c r="C6176" t="s">
        <v>91</v>
      </c>
      <c r="D6176" t="s">
        <v>99</v>
      </c>
      <c r="E6176" t="s">
        <v>89</v>
      </c>
      <c r="F6176">
        <v>8400</v>
      </c>
      <c r="G6176" t="s">
        <v>331</v>
      </c>
      <c r="H6176" s="15">
        <v>45292</v>
      </c>
      <c r="I6176">
        <v>8400</v>
      </c>
      <c r="J6176">
        <v>0</v>
      </c>
    </row>
    <row r="6177" spans="1:10" x14ac:dyDescent="0.3">
      <c r="A6177" s="15">
        <v>45992</v>
      </c>
      <c r="B6177" t="s">
        <v>209</v>
      </c>
      <c r="C6177" t="s">
        <v>81</v>
      </c>
      <c r="D6177" t="s">
        <v>86</v>
      </c>
      <c r="E6177" t="s">
        <v>83</v>
      </c>
      <c r="F6177">
        <v>3100</v>
      </c>
      <c r="G6177" t="s">
        <v>331</v>
      </c>
      <c r="H6177" s="15">
        <v>45292</v>
      </c>
      <c r="I6177">
        <v>3100</v>
      </c>
      <c r="J6177">
        <v>0</v>
      </c>
    </row>
    <row r="6178" spans="1:10" x14ac:dyDescent="0.3">
      <c r="A6178" s="15">
        <v>45992</v>
      </c>
      <c r="B6178" t="s">
        <v>210</v>
      </c>
      <c r="C6178" t="s">
        <v>125</v>
      </c>
      <c r="D6178" t="s">
        <v>96</v>
      </c>
      <c r="E6178" t="s">
        <v>89</v>
      </c>
      <c r="F6178">
        <v>90300</v>
      </c>
      <c r="G6178" t="s">
        <v>331</v>
      </c>
      <c r="H6178" s="15">
        <v>45292</v>
      </c>
      <c r="I6178">
        <v>90300</v>
      </c>
      <c r="J6178">
        <v>0</v>
      </c>
    </row>
    <row r="6179" spans="1:10" x14ac:dyDescent="0.3">
      <c r="A6179" s="15">
        <v>45992</v>
      </c>
      <c r="B6179" t="s">
        <v>211</v>
      </c>
      <c r="C6179" t="s">
        <v>110</v>
      </c>
      <c r="D6179" t="s">
        <v>82</v>
      </c>
      <c r="E6179" t="s">
        <v>92</v>
      </c>
      <c r="F6179">
        <v>0</v>
      </c>
      <c r="G6179" t="s">
        <v>333</v>
      </c>
      <c r="H6179" s="15">
        <v>45292</v>
      </c>
      <c r="I6179">
        <v>30600</v>
      </c>
      <c r="J6179">
        <v>-30600</v>
      </c>
    </row>
    <row r="6180" spans="1:10" x14ac:dyDescent="0.3">
      <c r="A6180" s="15">
        <v>45992</v>
      </c>
      <c r="B6180" t="s">
        <v>213</v>
      </c>
      <c r="C6180" t="s">
        <v>81</v>
      </c>
      <c r="D6180" t="s">
        <v>82</v>
      </c>
      <c r="E6180" t="s">
        <v>97</v>
      </c>
      <c r="F6180">
        <v>3300</v>
      </c>
      <c r="G6180" t="s">
        <v>331</v>
      </c>
      <c r="H6180" s="15">
        <v>45292</v>
      </c>
      <c r="I6180">
        <v>3300</v>
      </c>
      <c r="J6180">
        <v>0</v>
      </c>
    </row>
    <row r="6181" spans="1:10" x14ac:dyDescent="0.3">
      <c r="A6181" s="15">
        <v>45992</v>
      </c>
      <c r="B6181" t="s">
        <v>214</v>
      </c>
      <c r="C6181" t="s">
        <v>91</v>
      </c>
      <c r="D6181" t="s">
        <v>82</v>
      </c>
      <c r="E6181" t="s">
        <v>89</v>
      </c>
      <c r="F6181">
        <v>8700</v>
      </c>
      <c r="G6181" t="s">
        <v>331</v>
      </c>
      <c r="H6181" s="15">
        <v>45292</v>
      </c>
      <c r="I6181">
        <v>8700</v>
      </c>
      <c r="J6181">
        <v>0</v>
      </c>
    </row>
    <row r="6182" spans="1:10" x14ac:dyDescent="0.3">
      <c r="A6182" s="15">
        <v>45992</v>
      </c>
      <c r="B6182" t="s">
        <v>216</v>
      </c>
      <c r="C6182" t="s">
        <v>81</v>
      </c>
      <c r="D6182" t="s">
        <v>82</v>
      </c>
      <c r="E6182" t="s">
        <v>97</v>
      </c>
      <c r="F6182">
        <v>3500</v>
      </c>
      <c r="G6182" t="s">
        <v>331</v>
      </c>
      <c r="H6182" s="15">
        <v>45292</v>
      </c>
      <c r="I6182">
        <v>3500</v>
      </c>
      <c r="J6182">
        <v>0</v>
      </c>
    </row>
    <row r="6183" spans="1:10" x14ac:dyDescent="0.3">
      <c r="A6183" s="15">
        <v>45992</v>
      </c>
      <c r="B6183" t="s">
        <v>217</v>
      </c>
      <c r="C6183" t="s">
        <v>91</v>
      </c>
      <c r="D6183" t="s">
        <v>82</v>
      </c>
      <c r="E6183" t="s">
        <v>97</v>
      </c>
      <c r="F6183">
        <v>9000</v>
      </c>
      <c r="G6183" t="s">
        <v>331</v>
      </c>
      <c r="H6183" s="15">
        <v>45292</v>
      </c>
      <c r="I6183">
        <v>9000</v>
      </c>
      <c r="J6183">
        <v>0</v>
      </c>
    </row>
    <row r="6184" spans="1:10" x14ac:dyDescent="0.3">
      <c r="A6184" s="15">
        <v>45992</v>
      </c>
      <c r="B6184" t="s">
        <v>218</v>
      </c>
      <c r="C6184" t="s">
        <v>110</v>
      </c>
      <c r="D6184" t="s">
        <v>99</v>
      </c>
      <c r="E6184" t="s">
        <v>92</v>
      </c>
      <c r="F6184">
        <v>32200</v>
      </c>
      <c r="G6184" t="s">
        <v>331</v>
      </c>
      <c r="H6184" s="15">
        <v>45292</v>
      </c>
      <c r="I6184">
        <v>32200</v>
      </c>
      <c r="J6184">
        <v>0</v>
      </c>
    </row>
    <row r="6185" spans="1:10" x14ac:dyDescent="0.3">
      <c r="A6185" s="15">
        <v>45992</v>
      </c>
      <c r="B6185" t="s">
        <v>219</v>
      </c>
      <c r="C6185" t="s">
        <v>81</v>
      </c>
      <c r="D6185" t="s">
        <v>99</v>
      </c>
      <c r="E6185" t="s">
        <v>89</v>
      </c>
      <c r="F6185">
        <v>2500</v>
      </c>
      <c r="G6185" t="s">
        <v>331</v>
      </c>
      <c r="H6185" s="15">
        <v>45292</v>
      </c>
      <c r="I6185">
        <v>2500</v>
      </c>
      <c r="J6185">
        <v>0</v>
      </c>
    </row>
    <row r="6186" spans="1:10" x14ac:dyDescent="0.3">
      <c r="A6186" s="15">
        <v>45992</v>
      </c>
      <c r="B6186" t="s">
        <v>220</v>
      </c>
      <c r="C6186" t="s">
        <v>110</v>
      </c>
      <c r="D6186" t="s">
        <v>82</v>
      </c>
      <c r="E6186" t="s">
        <v>89</v>
      </c>
      <c r="F6186">
        <v>30800</v>
      </c>
      <c r="G6186" t="s">
        <v>331</v>
      </c>
      <c r="H6186" s="15">
        <v>45292</v>
      </c>
      <c r="I6186">
        <v>30800</v>
      </c>
      <c r="J6186">
        <v>0</v>
      </c>
    </row>
    <row r="6187" spans="1:10" x14ac:dyDescent="0.3">
      <c r="A6187" s="15">
        <v>45992</v>
      </c>
      <c r="B6187" t="s">
        <v>224</v>
      </c>
      <c r="C6187" t="s">
        <v>91</v>
      </c>
      <c r="D6187" t="s">
        <v>82</v>
      </c>
      <c r="E6187" t="s">
        <v>101</v>
      </c>
      <c r="F6187">
        <v>10600</v>
      </c>
      <c r="G6187" t="s">
        <v>331</v>
      </c>
      <c r="H6187" s="15">
        <v>45292</v>
      </c>
      <c r="I6187">
        <v>10600</v>
      </c>
      <c r="J6187">
        <v>0</v>
      </c>
    </row>
    <row r="6188" spans="1:10" x14ac:dyDescent="0.3">
      <c r="A6188" s="15">
        <v>45992</v>
      </c>
      <c r="B6188" t="s">
        <v>225</v>
      </c>
      <c r="C6188" t="s">
        <v>110</v>
      </c>
      <c r="D6188" t="s">
        <v>99</v>
      </c>
      <c r="E6188" t="s">
        <v>103</v>
      </c>
      <c r="F6188">
        <v>42200</v>
      </c>
      <c r="G6188" t="s">
        <v>331</v>
      </c>
      <c r="H6188" s="15">
        <v>45292</v>
      </c>
      <c r="I6188">
        <v>42200</v>
      </c>
      <c r="J6188">
        <v>0</v>
      </c>
    </row>
    <row r="6189" spans="1:10" x14ac:dyDescent="0.3">
      <c r="A6189" s="15">
        <v>45992</v>
      </c>
      <c r="B6189" t="s">
        <v>226</v>
      </c>
      <c r="C6189" t="s">
        <v>91</v>
      </c>
      <c r="D6189" t="s">
        <v>82</v>
      </c>
      <c r="E6189" t="s">
        <v>103</v>
      </c>
      <c r="F6189">
        <v>5300</v>
      </c>
      <c r="G6189" t="s">
        <v>331</v>
      </c>
      <c r="H6189" s="15">
        <v>45292</v>
      </c>
      <c r="I6189">
        <v>5300</v>
      </c>
      <c r="J6189">
        <v>0</v>
      </c>
    </row>
    <row r="6190" spans="1:10" x14ac:dyDescent="0.3">
      <c r="A6190" s="15">
        <v>45992</v>
      </c>
      <c r="B6190" t="s">
        <v>227</v>
      </c>
      <c r="C6190" t="s">
        <v>110</v>
      </c>
      <c r="D6190" t="s">
        <v>86</v>
      </c>
      <c r="E6190" t="s">
        <v>87</v>
      </c>
      <c r="F6190">
        <v>27900</v>
      </c>
      <c r="G6190" t="s">
        <v>331</v>
      </c>
      <c r="H6190" s="15">
        <v>45292</v>
      </c>
      <c r="I6190">
        <v>27900</v>
      </c>
      <c r="J6190">
        <v>0</v>
      </c>
    </row>
    <row r="6191" spans="1:10" x14ac:dyDescent="0.3">
      <c r="A6191" s="15">
        <v>45992</v>
      </c>
      <c r="B6191" t="s">
        <v>228</v>
      </c>
      <c r="C6191" t="s">
        <v>91</v>
      </c>
      <c r="D6191" t="s">
        <v>96</v>
      </c>
      <c r="E6191" t="s">
        <v>89</v>
      </c>
      <c r="F6191">
        <v>12000</v>
      </c>
      <c r="G6191" t="s">
        <v>331</v>
      </c>
      <c r="H6191" s="15">
        <v>45292</v>
      </c>
      <c r="I6191">
        <v>12000</v>
      </c>
      <c r="J6191">
        <v>0</v>
      </c>
    </row>
    <row r="6192" spans="1:10" x14ac:dyDescent="0.3">
      <c r="A6192" s="15">
        <v>45992</v>
      </c>
      <c r="B6192" t="s">
        <v>229</v>
      </c>
      <c r="C6192" t="s">
        <v>81</v>
      </c>
      <c r="D6192" t="s">
        <v>82</v>
      </c>
      <c r="E6192" t="s">
        <v>83</v>
      </c>
      <c r="F6192">
        <v>3700</v>
      </c>
      <c r="G6192" t="s">
        <v>331</v>
      </c>
      <c r="H6192" s="15">
        <v>45292</v>
      </c>
      <c r="I6192">
        <v>3700</v>
      </c>
      <c r="J6192">
        <v>0</v>
      </c>
    </row>
    <row r="6193" spans="1:10" x14ac:dyDescent="0.3">
      <c r="A6193" s="15">
        <v>45992</v>
      </c>
      <c r="B6193" t="s">
        <v>230</v>
      </c>
      <c r="C6193" t="s">
        <v>81</v>
      </c>
      <c r="D6193" t="s">
        <v>86</v>
      </c>
      <c r="E6193" t="s">
        <v>101</v>
      </c>
      <c r="F6193">
        <v>3400</v>
      </c>
      <c r="G6193" t="s">
        <v>331</v>
      </c>
      <c r="H6193" s="15">
        <v>45292</v>
      </c>
      <c r="I6193">
        <v>3400</v>
      </c>
      <c r="J6193">
        <v>0</v>
      </c>
    </row>
    <row r="6194" spans="1:10" x14ac:dyDescent="0.3">
      <c r="A6194" s="15">
        <v>45992</v>
      </c>
      <c r="B6194" t="s">
        <v>231</v>
      </c>
      <c r="C6194" t="s">
        <v>91</v>
      </c>
      <c r="D6194" t="s">
        <v>82</v>
      </c>
      <c r="E6194" t="s">
        <v>92</v>
      </c>
      <c r="F6194">
        <v>6900</v>
      </c>
      <c r="G6194" t="s">
        <v>331</v>
      </c>
      <c r="H6194" s="15">
        <v>45292</v>
      </c>
      <c r="I6194">
        <v>6900</v>
      </c>
      <c r="J6194">
        <v>0</v>
      </c>
    </row>
    <row r="6195" spans="1:10" x14ac:dyDescent="0.3">
      <c r="A6195" s="15">
        <v>45992</v>
      </c>
      <c r="B6195" t="s">
        <v>232</v>
      </c>
      <c r="C6195" t="s">
        <v>125</v>
      </c>
      <c r="D6195" t="s">
        <v>86</v>
      </c>
      <c r="E6195" t="s">
        <v>83</v>
      </c>
      <c r="F6195">
        <v>121100</v>
      </c>
      <c r="G6195" t="s">
        <v>331</v>
      </c>
      <c r="H6195" s="15">
        <v>45292</v>
      </c>
      <c r="I6195">
        <v>121100</v>
      </c>
      <c r="J6195">
        <v>0</v>
      </c>
    </row>
    <row r="6196" spans="1:10" x14ac:dyDescent="0.3">
      <c r="A6196" s="15">
        <v>45992</v>
      </c>
      <c r="B6196" t="s">
        <v>233</v>
      </c>
      <c r="C6196" t="s">
        <v>81</v>
      </c>
      <c r="D6196" t="s">
        <v>82</v>
      </c>
      <c r="E6196" t="s">
        <v>87</v>
      </c>
      <c r="F6196">
        <v>3300</v>
      </c>
      <c r="G6196" t="s">
        <v>331</v>
      </c>
      <c r="H6196" s="15">
        <v>45292</v>
      </c>
      <c r="I6196">
        <v>3300</v>
      </c>
      <c r="J6196">
        <v>0</v>
      </c>
    </row>
    <row r="6197" spans="1:10" x14ac:dyDescent="0.3">
      <c r="A6197" s="15">
        <v>45992</v>
      </c>
      <c r="B6197" t="s">
        <v>234</v>
      </c>
      <c r="C6197" t="s">
        <v>110</v>
      </c>
      <c r="D6197" t="s">
        <v>82</v>
      </c>
      <c r="E6197" t="s">
        <v>103</v>
      </c>
      <c r="F6197">
        <v>43400</v>
      </c>
      <c r="G6197" t="s">
        <v>331</v>
      </c>
      <c r="H6197" s="15">
        <v>45292</v>
      </c>
      <c r="I6197">
        <v>43400</v>
      </c>
      <c r="J6197">
        <v>0</v>
      </c>
    </row>
    <row r="6198" spans="1:10" x14ac:dyDescent="0.3">
      <c r="A6198" s="15">
        <v>45992</v>
      </c>
      <c r="B6198" t="s">
        <v>235</v>
      </c>
      <c r="C6198" t="s">
        <v>91</v>
      </c>
      <c r="D6198" t="s">
        <v>96</v>
      </c>
      <c r="E6198" t="s">
        <v>103</v>
      </c>
      <c r="F6198">
        <v>11100</v>
      </c>
      <c r="G6198" t="s">
        <v>331</v>
      </c>
      <c r="H6198" s="15">
        <v>45292</v>
      </c>
      <c r="I6198">
        <v>11100</v>
      </c>
      <c r="J6198">
        <v>0</v>
      </c>
    </row>
    <row r="6199" spans="1:10" x14ac:dyDescent="0.3">
      <c r="A6199" s="15">
        <v>45992</v>
      </c>
      <c r="B6199" t="s">
        <v>236</v>
      </c>
      <c r="C6199" t="s">
        <v>110</v>
      </c>
      <c r="D6199" t="s">
        <v>82</v>
      </c>
      <c r="E6199" t="s">
        <v>97</v>
      </c>
      <c r="F6199">
        <v>27200</v>
      </c>
      <c r="G6199" t="s">
        <v>331</v>
      </c>
      <c r="H6199" s="15">
        <v>45292</v>
      </c>
      <c r="I6199">
        <v>27200</v>
      </c>
      <c r="J6199">
        <v>0</v>
      </c>
    </row>
    <row r="6200" spans="1:10" x14ac:dyDescent="0.3">
      <c r="A6200" s="15">
        <v>45992</v>
      </c>
      <c r="B6200" t="s">
        <v>237</v>
      </c>
      <c r="C6200" t="s">
        <v>91</v>
      </c>
      <c r="D6200" t="s">
        <v>82</v>
      </c>
      <c r="E6200" t="s">
        <v>83</v>
      </c>
      <c r="F6200">
        <v>6900</v>
      </c>
      <c r="G6200" t="s">
        <v>331</v>
      </c>
      <c r="H6200" s="15">
        <v>45292</v>
      </c>
      <c r="I6200">
        <v>6900</v>
      </c>
      <c r="J6200">
        <v>0</v>
      </c>
    </row>
    <row r="6201" spans="1:10" x14ac:dyDescent="0.3">
      <c r="A6201" s="15">
        <v>45992</v>
      </c>
      <c r="B6201" t="s">
        <v>238</v>
      </c>
      <c r="C6201" t="s">
        <v>81</v>
      </c>
      <c r="D6201" t="s">
        <v>99</v>
      </c>
      <c r="E6201" t="s">
        <v>97</v>
      </c>
      <c r="F6201">
        <v>2300</v>
      </c>
      <c r="G6201" t="s">
        <v>331</v>
      </c>
      <c r="H6201" s="15">
        <v>45292</v>
      </c>
      <c r="I6201">
        <v>2300</v>
      </c>
      <c r="J6201">
        <v>0</v>
      </c>
    </row>
    <row r="6202" spans="1:10" x14ac:dyDescent="0.3">
      <c r="A6202" s="15">
        <v>45992</v>
      </c>
      <c r="B6202" t="s">
        <v>239</v>
      </c>
      <c r="C6202" t="s">
        <v>81</v>
      </c>
      <c r="D6202" t="s">
        <v>82</v>
      </c>
      <c r="E6202" t="s">
        <v>103</v>
      </c>
      <c r="F6202">
        <v>2500</v>
      </c>
      <c r="G6202" t="s">
        <v>331</v>
      </c>
      <c r="H6202" s="15">
        <v>45292</v>
      </c>
      <c r="I6202">
        <v>2500</v>
      </c>
      <c r="J6202">
        <v>0</v>
      </c>
    </row>
    <row r="6203" spans="1:10" x14ac:dyDescent="0.3">
      <c r="A6203" s="15">
        <v>45992</v>
      </c>
      <c r="B6203" t="s">
        <v>240</v>
      </c>
      <c r="C6203" t="s">
        <v>81</v>
      </c>
      <c r="D6203" t="s">
        <v>99</v>
      </c>
      <c r="E6203" t="s">
        <v>103</v>
      </c>
      <c r="F6203">
        <v>2300</v>
      </c>
      <c r="G6203" t="s">
        <v>331</v>
      </c>
      <c r="H6203" s="15">
        <v>45292</v>
      </c>
      <c r="I6203">
        <v>2300</v>
      </c>
      <c r="J6203">
        <v>0</v>
      </c>
    </row>
    <row r="6204" spans="1:10" x14ac:dyDescent="0.3">
      <c r="A6204" s="15">
        <v>45992</v>
      </c>
      <c r="B6204" t="s">
        <v>241</v>
      </c>
      <c r="C6204" t="s">
        <v>91</v>
      </c>
      <c r="D6204" t="s">
        <v>96</v>
      </c>
      <c r="E6204" t="s">
        <v>87</v>
      </c>
      <c r="F6204">
        <v>12100</v>
      </c>
      <c r="G6204" t="s">
        <v>331</v>
      </c>
      <c r="H6204" s="15">
        <v>45292</v>
      </c>
      <c r="I6204">
        <v>12100</v>
      </c>
      <c r="J6204">
        <v>0</v>
      </c>
    </row>
    <row r="6205" spans="1:10" x14ac:dyDescent="0.3">
      <c r="A6205" s="15">
        <v>45992</v>
      </c>
      <c r="B6205" t="s">
        <v>242</v>
      </c>
      <c r="C6205" t="s">
        <v>110</v>
      </c>
      <c r="D6205" t="s">
        <v>99</v>
      </c>
      <c r="E6205" t="s">
        <v>101</v>
      </c>
      <c r="F6205">
        <v>34800</v>
      </c>
      <c r="G6205" t="s">
        <v>331</v>
      </c>
      <c r="H6205" s="15">
        <v>45292</v>
      </c>
      <c r="I6205">
        <v>34800</v>
      </c>
      <c r="J6205">
        <v>0</v>
      </c>
    </row>
    <row r="6206" spans="1:10" x14ac:dyDescent="0.3">
      <c r="A6206" s="15">
        <v>45992</v>
      </c>
      <c r="B6206" t="s">
        <v>244</v>
      </c>
      <c r="C6206" t="s">
        <v>91</v>
      </c>
      <c r="D6206" t="s">
        <v>82</v>
      </c>
      <c r="E6206" t="s">
        <v>92</v>
      </c>
      <c r="F6206">
        <v>7800</v>
      </c>
      <c r="G6206" t="s">
        <v>331</v>
      </c>
      <c r="H6206" s="15">
        <v>45292</v>
      </c>
      <c r="I6206">
        <v>7800</v>
      </c>
      <c r="J6206">
        <v>0</v>
      </c>
    </row>
    <row r="6207" spans="1:10" x14ac:dyDescent="0.3">
      <c r="A6207" s="15">
        <v>45992</v>
      </c>
      <c r="B6207" t="s">
        <v>245</v>
      </c>
      <c r="C6207" t="s">
        <v>81</v>
      </c>
      <c r="D6207" t="s">
        <v>99</v>
      </c>
      <c r="E6207" t="s">
        <v>97</v>
      </c>
      <c r="F6207">
        <v>2900</v>
      </c>
      <c r="G6207" t="s">
        <v>331</v>
      </c>
      <c r="H6207" s="15">
        <v>45292</v>
      </c>
      <c r="I6207">
        <v>2900</v>
      </c>
      <c r="J6207">
        <v>0</v>
      </c>
    </row>
    <row r="6208" spans="1:10" x14ac:dyDescent="0.3">
      <c r="A6208" s="15">
        <v>45992</v>
      </c>
      <c r="B6208" t="s">
        <v>246</v>
      </c>
      <c r="C6208" t="s">
        <v>91</v>
      </c>
      <c r="D6208" t="s">
        <v>86</v>
      </c>
      <c r="E6208" t="s">
        <v>103</v>
      </c>
      <c r="F6208">
        <v>10100</v>
      </c>
      <c r="G6208" t="s">
        <v>331</v>
      </c>
      <c r="H6208" s="15">
        <v>45292</v>
      </c>
      <c r="I6208">
        <v>10100</v>
      </c>
      <c r="J6208">
        <v>0</v>
      </c>
    </row>
    <row r="6209" spans="1:10" x14ac:dyDescent="0.3">
      <c r="A6209" s="15">
        <v>45992</v>
      </c>
      <c r="B6209" t="s">
        <v>247</v>
      </c>
      <c r="C6209" t="s">
        <v>91</v>
      </c>
      <c r="D6209" t="s">
        <v>86</v>
      </c>
      <c r="E6209" t="s">
        <v>89</v>
      </c>
      <c r="F6209">
        <v>7800</v>
      </c>
      <c r="G6209" t="s">
        <v>331</v>
      </c>
      <c r="H6209" s="15">
        <v>45292</v>
      </c>
      <c r="I6209">
        <v>7800</v>
      </c>
      <c r="J6209">
        <v>0</v>
      </c>
    </row>
    <row r="6210" spans="1:10" x14ac:dyDescent="0.3">
      <c r="A6210" s="15">
        <v>45992</v>
      </c>
      <c r="B6210" t="s">
        <v>248</v>
      </c>
      <c r="C6210" t="s">
        <v>81</v>
      </c>
      <c r="D6210" t="s">
        <v>82</v>
      </c>
      <c r="E6210" t="s">
        <v>103</v>
      </c>
      <c r="F6210">
        <v>2100</v>
      </c>
      <c r="G6210" t="s">
        <v>331</v>
      </c>
      <c r="H6210" s="15">
        <v>45292</v>
      </c>
      <c r="I6210">
        <v>2100</v>
      </c>
      <c r="J6210">
        <v>0</v>
      </c>
    </row>
    <row r="6211" spans="1:10" x14ac:dyDescent="0.3">
      <c r="A6211" s="15">
        <v>45992</v>
      </c>
      <c r="B6211" t="s">
        <v>250</v>
      </c>
      <c r="C6211" t="s">
        <v>81</v>
      </c>
      <c r="D6211" t="s">
        <v>86</v>
      </c>
      <c r="E6211" t="s">
        <v>87</v>
      </c>
      <c r="F6211">
        <v>2600</v>
      </c>
      <c r="G6211" t="s">
        <v>331</v>
      </c>
      <c r="H6211" s="15">
        <v>45292</v>
      </c>
      <c r="I6211">
        <v>2600</v>
      </c>
      <c r="J6211">
        <v>0</v>
      </c>
    </row>
    <row r="6212" spans="1:10" x14ac:dyDescent="0.3">
      <c r="A6212" s="15">
        <v>45992</v>
      </c>
      <c r="B6212" t="s">
        <v>251</v>
      </c>
      <c r="C6212" t="s">
        <v>91</v>
      </c>
      <c r="D6212" t="s">
        <v>99</v>
      </c>
      <c r="E6212" t="s">
        <v>103</v>
      </c>
      <c r="F6212">
        <v>8800</v>
      </c>
      <c r="G6212" t="s">
        <v>331</v>
      </c>
      <c r="H6212" s="15">
        <v>45292</v>
      </c>
      <c r="I6212">
        <v>8800</v>
      </c>
      <c r="J6212">
        <v>0</v>
      </c>
    </row>
    <row r="6213" spans="1:10" x14ac:dyDescent="0.3">
      <c r="A6213" s="15">
        <v>45992</v>
      </c>
      <c r="B6213" t="s">
        <v>252</v>
      </c>
      <c r="C6213" t="s">
        <v>81</v>
      </c>
      <c r="D6213" t="s">
        <v>99</v>
      </c>
      <c r="E6213" t="s">
        <v>92</v>
      </c>
      <c r="F6213">
        <v>3400</v>
      </c>
      <c r="G6213" t="s">
        <v>331</v>
      </c>
      <c r="H6213" s="15">
        <v>45292</v>
      </c>
      <c r="I6213">
        <v>3400</v>
      </c>
      <c r="J6213">
        <v>0</v>
      </c>
    </row>
    <row r="6214" spans="1:10" x14ac:dyDescent="0.3">
      <c r="A6214" s="15">
        <v>45992</v>
      </c>
      <c r="B6214" t="s">
        <v>253</v>
      </c>
      <c r="C6214" t="s">
        <v>81</v>
      </c>
      <c r="D6214" t="s">
        <v>96</v>
      </c>
      <c r="E6214" t="s">
        <v>89</v>
      </c>
      <c r="F6214">
        <v>2400</v>
      </c>
      <c r="G6214" t="s">
        <v>331</v>
      </c>
      <c r="H6214" s="15">
        <v>45292</v>
      </c>
      <c r="I6214">
        <v>2400</v>
      </c>
      <c r="J6214">
        <v>0</v>
      </c>
    </row>
    <row r="6215" spans="1:10" x14ac:dyDescent="0.3">
      <c r="A6215" s="15">
        <v>45992</v>
      </c>
      <c r="B6215" t="s">
        <v>254</v>
      </c>
      <c r="C6215" t="s">
        <v>110</v>
      </c>
      <c r="D6215" t="s">
        <v>86</v>
      </c>
      <c r="E6215" t="s">
        <v>103</v>
      </c>
      <c r="F6215">
        <v>0</v>
      </c>
      <c r="G6215" t="s">
        <v>333</v>
      </c>
      <c r="H6215" s="15">
        <v>45292</v>
      </c>
      <c r="I6215">
        <v>56100</v>
      </c>
      <c r="J6215">
        <v>-56100</v>
      </c>
    </row>
    <row r="6216" spans="1:10" x14ac:dyDescent="0.3">
      <c r="A6216" s="15">
        <v>45992</v>
      </c>
      <c r="B6216" t="s">
        <v>255</v>
      </c>
      <c r="C6216" t="s">
        <v>91</v>
      </c>
      <c r="D6216" t="s">
        <v>86</v>
      </c>
      <c r="E6216" t="s">
        <v>89</v>
      </c>
      <c r="F6216">
        <v>9900</v>
      </c>
      <c r="G6216" t="s">
        <v>331</v>
      </c>
      <c r="H6216" s="15">
        <v>45292</v>
      </c>
      <c r="I6216">
        <v>9900</v>
      </c>
      <c r="J6216">
        <v>0</v>
      </c>
    </row>
    <row r="6217" spans="1:10" x14ac:dyDescent="0.3">
      <c r="A6217" s="15">
        <v>45992</v>
      </c>
      <c r="B6217" t="s">
        <v>256</v>
      </c>
      <c r="C6217" t="s">
        <v>81</v>
      </c>
      <c r="D6217" t="s">
        <v>82</v>
      </c>
      <c r="E6217" t="s">
        <v>103</v>
      </c>
      <c r="F6217">
        <v>1800</v>
      </c>
      <c r="G6217" t="s">
        <v>331</v>
      </c>
      <c r="H6217" s="15">
        <v>45292</v>
      </c>
      <c r="I6217">
        <v>1800</v>
      </c>
      <c r="J6217">
        <v>0</v>
      </c>
    </row>
    <row r="6218" spans="1:10" x14ac:dyDescent="0.3">
      <c r="A6218" s="15">
        <v>45992</v>
      </c>
      <c r="B6218" t="s">
        <v>258</v>
      </c>
      <c r="C6218" t="s">
        <v>125</v>
      </c>
      <c r="D6218" t="s">
        <v>86</v>
      </c>
      <c r="E6218" t="s">
        <v>83</v>
      </c>
      <c r="F6218">
        <v>96300</v>
      </c>
      <c r="G6218" t="s">
        <v>331</v>
      </c>
      <c r="H6218" s="15">
        <v>45292</v>
      </c>
      <c r="I6218">
        <v>96300</v>
      </c>
      <c r="J6218">
        <v>0</v>
      </c>
    </row>
    <row r="6219" spans="1:10" x14ac:dyDescent="0.3">
      <c r="A6219" s="15">
        <v>45992</v>
      </c>
      <c r="B6219" t="s">
        <v>259</v>
      </c>
      <c r="C6219" t="s">
        <v>81</v>
      </c>
      <c r="D6219" t="s">
        <v>86</v>
      </c>
      <c r="E6219" t="s">
        <v>89</v>
      </c>
      <c r="F6219">
        <v>1900</v>
      </c>
      <c r="G6219" t="s">
        <v>331</v>
      </c>
      <c r="H6219" s="15">
        <v>45292</v>
      </c>
      <c r="I6219">
        <v>1900</v>
      </c>
      <c r="J6219">
        <v>0</v>
      </c>
    </row>
    <row r="6220" spans="1:10" x14ac:dyDescent="0.3">
      <c r="A6220" s="15">
        <v>45992</v>
      </c>
      <c r="B6220" t="s">
        <v>260</v>
      </c>
      <c r="C6220" t="s">
        <v>81</v>
      </c>
      <c r="D6220" t="s">
        <v>86</v>
      </c>
      <c r="E6220" t="s">
        <v>97</v>
      </c>
      <c r="F6220">
        <v>2000</v>
      </c>
      <c r="G6220" t="s">
        <v>331</v>
      </c>
      <c r="H6220" s="15">
        <v>45292</v>
      </c>
      <c r="I6220">
        <v>2000</v>
      </c>
      <c r="J6220">
        <v>0</v>
      </c>
    </row>
    <row r="6221" spans="1:10" x14ac:dyDescent="0.3">
      <c r="A6221" s="15">
        <v>45992</v>
      </c>
      <c r="B6221" t="s">
        <v>262</v>
      </c>
      <c r="C6221" t="s">
        <v>91</v>
      </c>
      <c r="D6221" t="s">
        <v>82</v>
      </c>
      <c r="E6221" t="s">
        <v>92</v>
      </c>
      <c r="F6221">
        <v>10800</v>
      </c>
      <c r="G6221" t="s">
        <v>331</v>
      </c>
      <c r="H6221" s="15">
        <v>45292</v>
      </c>
      <c r="I6221">
        <v>10800</v>
      </c>
      <c r="J6221">
        <v>0</v>
      </c>
    </row>
    <row r="6222" spans="1:10" x14ac:dyDescent="0.3">
      <c r="A6222" s="15">
        <v>45992</v>
      </c>
      <c r="B6222" t="s">
        <v>264</v>
      </c>
      <c r="C6222" t="s">
        <v>110</v>
      </c>
      <c r="D6222" t="s">
        <v>86</v>
      </c>
      <c r="E6222" t="s">
        <v>97</v>
      </c>
      <c r="F6222">
        <v>31500</v>
      </c>
      <c r="G6222" t="s">
        <v>331</v>
      </c>
      <c r="H6222" s="15">
        <v>45292</v>
      </c>
      <c r="I6222">
        <v>31500</v>
      </c>
      <c r="J6222">
        <v>0</v>
      </c>
    </row>
    <row r="6223" spans="1:10" x14ac:dyDescent="0.3">
      <c r="A6223" s="15">
        <v>45992</v>
      </c>
      <c r="B6223" t="s">
        <v>265</v>
      </c>
      <c r="C6223" t="s">
        <v>125</v>
      </c>
      <c r="D6223" t="s">
        <v>86</v>
      </c>
      <c r="E6223" t="s">
        <v>101</v>
      </c>
      <c r="F6223">
        <v>92200</v>
      </c>
      <c r="G6223" t="s">
        <v>331</v>
      </c>
      <c r="H6223" s="15">
        <v>45292</v>
      </c>
      <c r="I6223">
        <v>92200</v>
      </c>
      <c r="J6223">
        <v>0</v>
      </c>
    </row>
    <row r="6224" spans="1:10" x14ac:dyDescent="0.3">
      <c r="A6224" s="15">
        <v>45992</v>
      </c>
      <c r="B6224" t="s">
        <v>266</v>
      </c>
      <c r="C6224" t="s">
        <v>81</v>
      </c>
      <c r="D6224" t="s">
        <v>82</v>
      </c>
      <c r="E6224" t="s">
        <v>83</v>
      </c>
      <c r="F6224">
        <v>2200</v>
      </c>
      <c r="G6224" t="s">
        <v>331</v>
      </c>
      <c r="H6224" s="15">
        <v>45292</v>
      </c>
      <c r="I6224">
        <v>2200</v>
      </c>
      <c r="J6224">
        <v>0</v>
      </c>
    </row>
    <row r="6225" spans="1:10" x14ac:dyDescent="0.3">
      <c r="A6225" s="15">
        <v>45992</v>
      </c>
      <c r="B6225" t="s">
        <v>267</v>
      </c>
      <c r="C6225" t="s">
        <v>91</v>
      </c>
      <c r="D6225" t="s">
        <v>82</v>
      </c>
      <c r="E6225" t="s">
        <v>97</v>
      </c>
      <c r="F6225">
        <v>7300</v>
      </c>
      <c r="G6225" t="s">
        <v>331</v>
      </c>
      <c r="H6225" s="15">
        <v>45292</v>
      </c>
      <c r="I6225">
        <v>7300</v>
      </c>
      <c r="J6225">
        <v>0</v>
      </c>
    </row>
    <row r="6226" spans="1:10" x14ac:dyDescent="0.3">
      <c r="A6226" s="15">
        <v>45992</v>
      </c>
      <c r="B6226" t="s">
        <v>272</v>
      </c>
      <c r="C6226" t="s">
        <v>125</v>
      </c>
      <c r="D6226" t="s">
        <v>96</v>
      </c>
      <c r="E6226" t="s">
        <v>103</v>
      </c>
      <c r="F6226">
        <v>101100</v>
      </c>
      <c r="G6226" t="s">
        <v>331</v>
      </c>
      <c r="H6226" s="15">
        <v>45292</v>
      </c>
      <c r="I6226">
        <v>101100</v>
      </c>
      <c r="J6226">
        <v>0</v>
      </c>
    </row>
    <row r="6227" spans="1:10" x14ac:dyDescent="0.3">
      <c r="A6227" s="15">
        <v>45992</v>
      </c>
      <c r="B6227" t="s">
        <v>273</v>
      </c>
      <c r="C6227" t="s">
        <v>81</v>
      </c>
      <c r="D6227" t="s">
        <v>82</v>
      </c>
      <c r="E6227" t="s">
        <v>101</v>
      </c>
      <c r="F6227">
        <v>3300</v>
      </c>
      <c r="G6227" t="s">
        <v>331</v>
      </c>
      <c r="H6227" s="15">
        <v>45292</v>
      </c>
      <c r="I6227">
        <v>3300</v>
      </c>
      <c r="J6227">
        <v>0</v>
      </c>
    </row>
    <row r="6228" spans="1:10" x14ac:dyDescent="0.3">
      <c r="A6228" s="15">
        <v>45992</v>
      </c>
      <c r="B6228" t="s">
        <v>274</v>
      </c>
      <c r="C6228" t="s">
        <v>91</v>
      </c>
      <c r="D6228" t="s">
        <v>99</v>
      </c>
      <c r="E6228" t="s">
        <v>87</v>
      </c>
      <c r="F6228">
        <v>11400</v>
      </c>
      <c r="G6228" t="s">
        <v>331</v>
      </c>
      <c r="H6228" s="15">
        <v>45292</v>
      </c>
      <c r="I6228">
        <v>11400</v>
      </c>
      <c r="J6228">
        <v>0</v>
      </c>
    </row>
    <row r="6229" spans="1:10" x14ac:dyDescent="0.3">
      <c r="A6229" s="15">
        <v>45992</v>
      </c>
      <c r="B6229" t="s">
        <v>276</v>
      </c>
      <c r="C6229" t="s">
        <v>81</v>
      </c>
      <c r="D6229" t="s">
        <v>82</v>
      </c>
      <c r="E6229" t="s">
        <v>103</v>
      </c>
      <c r="F6229">
        <v>3300</v>
      </c>
      <c r="G6229" t="s">
        <v>331</v>
      </c>
      <c r="H6229" s="15">
        <v>45292</v>
      </c>
      <c r="I6229">
        <v>3300</v>
      </c>
      <c r="J6229">
        <v>0</v>
      </c>
    </row>
    <row r="6230" spans="1:10" x14ac:dyDescent="0.3">
      <c r="A6230" s="15">
        <v>45992</v>
      </c>
      <c r="B6230" t="s">
        <v>277</v>
      </c>
      <c r="C6230" t="s">
        <v>91</v>
      </c>
      <c r="D6230" t="s">
        <v>86</v>
      </c>
      <c r="E6230" t="s">
        <v>97</v>
      </c>
      <c r="F6230">
        <v>9200</v>
      </c>
      <c r="G6230" t="s">
        <v>331</v>
      </c>
      <c r="H6230" s="15">
        <v>45292</v>
      </c>
      <c r="I6230">
        <v>9200</v>
      </c>
      <c r="J6230">
        <v>0</v>
      </c>
    </row>
    <row r="6231" spans="1:10" x14ac:dyDescent="0.3">
      <c r="A6231" s="15">
        <v>45992</v>
      </c>
      <c r="B6231" t="s">
        <v>279</v>
      </c>
      <c r="C6231" t="s">
        <v>91</v>
      </c>
      <c r="D6231" t="s">
        <v>99</v>
      </c>
      <c r="E6231" t="s">
        <v>89</v>
      </c>
      <c r="F6231">
        <v>9800</v>
      </c>
      <c r="G6231" t="s">
        <v>331</v>
      </c>
      <c r="H6231" s="15">
        <v>45292</v>
      </c>
      <c r="I6231">
        <v>9800</v>
      </c>
      <c r="J6231">
        <v>0</v>
      </c>
    </row>
    <row r="6232" spans="1:10" x14ac:dyDescent="0.3">
      <c r="A6232" s="15">
        <v>45992</v>
      </c>
      <c r="B6232" t="s">
        <v>280</v>
      </c>
      <c r="C6232" t="s">
        <v>91</v>
      </c>
      <c r="D6232" t="s">
        <v>96</v>
      </c>
      <c r="E6232" t="s">
        <v>83</v>
      </c>
      <c r="F6232">
        <v>6300</v>
      </c>
      <c r="G6232" t="s">
        <v>331</v>
      </c>
      <c r="H6232" s="15">
        <v>45292</v>
      </c>
      <c r="I6232">
        <v>6300</v>
      </c>
      <c r="J6232">
        <v>0</v>
      </c>
    </row>
    <row r="6233" spans="1:10" x14ac:dyDescent="0.3">
      <c r="A6233" s="15">
        <v>45992</v>
      </c>
      <c r="B6233" t="s">
        <v>281</v>
      </c>
      <c r="C6233" t="s">
        <v>110</v>
      </c>
      <c r="D6233" t="s">
        <v>86</v>
      </c>
      <c r="E6233" t="s">
        <v>92</v>
      </c>
      <c r="F6233">
        <v>63400</v>
      </c>
      <c r="G6233" t="s">
        <v>331</v>
      </c>
      <c r="H6233" s="15">
        <v>45292</v>
      </c>
      <c r="I6233">
        <v>63400</v>
      </c>
      <c r="J6233">
        <v>0</v>
      </c>
    </row>
    <row r="6234" spans="1:10" x14ac:dyDescent="0.3">
      <c r="A6234" s="15">
        <v>45992</v>
      </c>
      <c r="B6234" t="s">
        <v>282</v>
      </c>
      <c r="C6234" t="s">
        <v>91</v>
      </c>
      <c r="D6234" t="s">
        <v>86</v>
      </c>
      <c r="E6234" t="s">
        <v>92</v>
      </c>
      <c r="F6234">
        <v>5800</v>
      </c>
      <c r="G6234" t="s">
        <v>331</v>
      </c>
      <c r="H6234" s="15">
        <v>45292</v>
      </c>
      <c r="I6234">
        <v>5800</v>
      </c>
      <c r="J6234">
        <v>0</v>
      </c>
    </row>
    <row r="6235" spans="1:10" x14ac:dyDescent="0.3">
      <c r="A6235" s="15">
        <v>45992</v>
      </c>
      <c r="B6235" t="s">
        <v>283</v>
      </c>
      <c r="C6235" t="s">
        <v>110</v>
      </c>
      <c r="D6235" t="s">
        <v>82</v>
      </c>
      <c r="E6235" t="s">
        <v>87</v>
      </c>
      <c r="F6235">
        <v>34200</v>
      </c>
      <c r="G6235" t="s">
        <v>331</v>
      </c>
      <c r="H6235" s="15">
        <v>45292</v>
      </c>
      <c r="I6235">
        <v>34200</v>
      </c>
      <c r="J6235">
        <v>0</v>
      </c>
    </row>
    <row r="6236" spans="1:10" x14ac:dyDescent="0.3">
      <c r="A6236" s="15">
        <v>45992</v>
      </c>
      <c r="B6236" t="s">
        <v>284</v>
      </c>
      <c r="C6236" t="s">
        <v>81</v>
      </c>
      <c r="D6236" t="s">
        <v>82</v>
      </c>
      <c r="E6236" t="s">
        <v>101</v>
      </c>
      <c r="F6236">
        <v>2200</v>
      </c>
      <c r="G6236" t="s">
        <v>331</v>
      </c>
      <c r="H6236" s="15">
        <v>45292</v>
      </c>
      <c r="I6236">
        <v>2200</v>
      </c>
      <c r="J6236">
        <v>0</v>
      </c>
    </row>
    <row r="6237" spans="1:10" x14ac:dyDescent="0.3">
      <c r="A6237" s="15">
        <v>45992</v>
      </c>
      <c r="B6237" t="s">
        <v>285</v>
      </c>
      <c r="C6237" t="s">
        <v>91</v>
      </c>
      <c r="D6237" t="s">
        <v>82</v>
      </c>
      <c r="E6237" t="s">
        <v>83</v>
      </c>
      <c r="F6237">
        <v>10900</v>
      </c>
      <c r="G6237" t="s">
        <v>331</v>
      </c>
      <c r="H6237" s="15">
        <v>45292</v>
      </c>
      <c r="I6237">
        <v>10900</v>
      </c>
      <c r="J6237">
        <v>0</v>
      </c>
    </row>
    <row r="6238" spans="1:10" x14ac:dyDescent="0.3">
      <c r="A6238" s="15">
        <v>45992</v>
      </c>
      <c r="B6238" t="s">
        <v>286</v>
      </c>
      <c r="C6238" t="s">
        <v>125</v>
      </c>
      <c r="D6238" t="s">
        <v>86</v>
      </c>
      <c r="E6238" t="s">
        <v>92</v>
      </c>
      <c r="F6238">
        <v>92400</v>
      </c>
      <c r="G6238" t="s">
        <v>331</v>
      </c>
      <c r="H6238" s="15">
        <v>45292</v>
      </c>
      <c r="I6238">
        <v>92400</v>
      </c>
      <c r="J6238">
        <v>0</v>
      </c>
    </row>
    <row r="6239" spans="1:10" x14ac:dyDescent="0.3">
      <c r="A6239" s="15">
        <v>45992</v>
      </c>
      <c r="B6239" t="s">
        <v>287</v>
      </c>
      <c r="C6239" t="s">
        <v>81</v>
      </c>
      <c r="D6239" t="s">
        <v>99</v>
      </c>
      <c r="E6239" t="s">
        <v>87</v>
      </c>
      <c r="F6239">
        <v>2300</v>
      </c>
      <c r="G6239" t="s">
        <v>331</v>
      </c>
      <c r="H6239" s="15">
        <v>45292</v>
      </c>
      <c r="I6239">
        <v>2300</v>
      </c>
      <c r="J6239">
        <v>0</v>
      </c>
    </row>
    <row r="6240" spans="1:10" x14ac:dyDescent="0.3">
      <c r="A6240" s="15">
        <v>45992</v>
      </c>
      <c r="B6240" t="s">
        <v>288</v>
      </c>
      <c r="C6240" t="s">
        <v>81</v>
      </c>
      <c r="D6240" t="s">
        <v>99</v>
      </c>
      <c r="E6240" t="s">
        <v>97</v>
      </c>
      <c r="F6240">
        <v>2900</v>
      </c>
      <c r="G6240" t="s">
        <v>331</v>
      </c>
      <c r="H6240" s="15">
        <v>45292</v>
      </c>
      <c r="I6240">
        <v>2900</v>
      </c>
      <c r="J6240">
        <v>0</v>
      </c>
    </row>
    <row r="6241" spans="1:10" x14ac:dyDescent="0.3">
      <c r="A6241" s="15">
        <v>45992</v>
      </c>
      <c r="B6241" t="s">
        <v>289</v>
      </c>
      <c r="C6241" t="s">
        <v>91</v>
      </c>
      <c r="D6241" t="s">
        <v>86</v>
      </c>
      <c r="E6241" t="s">
        <v>101</v>
      </c>
      <c r="F6241">
        <v>9400</v>
      </c>
      <c r="G6241" t="s">
        <v>331</v>
      </c>
      <c r="H6241" s="15">
        <v>45292</v>
      </c>
      <c r="I6241">
        <v>9400</v>
      </c>
      <c r="J6241">
        <v>0</v>
      </c>
    </row>
    <row r="6242" spans="1:10" x14ac:dyDescent="0.3">
      <c r="A6242" s="15">
        <v>45992</v>
      </c>
      <c r="B6242" t="s">
        <v>290</v>
      </c>
      <c r="C6242" t="s">
        <v>81</v>
      </c>
      <c r="D6242" t="s">
        <v>82</v>
      </c>
      <c r="E6242" t="s">
        <v>103</v>
      </c>
      <c r="F6242">
        <v>2500</v>
      </c>
      <c r="G6242" t="s">
        <v>331</v>
      </c>
      <c r="H6242" s="15">
        <v>45292</v>
      </c>
      <c r="I6242">
        <v>2500</v>
      </c>
      <c r="J6242">
        <v>0</v>
      </c>
    </row>
    <row r="6243" spans="1:10" x14ac:dyDescent="0.3">
      <c r="A6243" s="15">
        <v>45992</v>
      </c>
      <c r="B6243" t="s">
        <v>291</v>
      </c>
      <c r="C6243" t="s">
        <v>81</v>
      </c>
      <c r="D6243" t="s">
        <v>82</v>
      </c>
      <c r="E6243" t="s">
        <v>83</v>
      </c>
      <c r="F6243">
        <v>3100</v>
      </c>
      <c r="G6243" t="s">
        <v>331</v>
      </c>
      <c r="H6243" s="15">
        <v>45292</v>
      </c>
      <c r="I6243">
        <v>3100</v>
      </c>
      <c r="J6243">
        <v>0</v>
      </c>
    </row>
    <row r="6244" spans="1:10" x14ac:dyDescent="0.3">
      <c r="A6244" s="15">
        <v>45992</v>
      </c>
      <c r="B6244" t="s">
        <v>292</v>
      </c>
      <c r="C6244" t="s">
        <v>91</v>
      </c>
      <c r="D6244" t="s">
        <v>86</v>
      </c>
      <c r="E6244" t="s">
        <v>89</v>
      </c>
      <c r="F6244">
        <v>9900</v>
      </c>
      <c r="G6244" t="s">
        <v>331</v>
      </c>
      <c r="H6244" s="15">
        <v>45292</v>
      </c>
      <c r="I6244">
        <v>9900</v>
      </c>
      <c r="J6244">
        <v>0</v>
      </c>
    </row>
    <row r="6245" spans="1:10" x14ac:dyDescent="0.3">
      <c r="A6245" s="15">
        <v>45992</v>
      </c>
      <c r="B6245" t="s">
        <v>293</v>
      </c>
      <c r="C6245" t="s">
        <v>81</v>
      </c>
      <c r="D6245" t="s">
        <v>86</v>
      </c>
      <c r="E6245" t="s">
        <v>103</v>
      </c>
      <c r="F6245">
        <v>2200</v>
      </c>
      <c r="G6245" t="s">
        <v>331</v>
      </c>
      <c r="H6245" s="15">
        <v>45292</v>
      </c>
      <c r="I6245">
        <v>2200</v>
      </c>
      <c r="J6245">
        <v>0</v>
      </c>
    </row>
    <row r="6246" spans="1:10" x14ac:dyDescent="0.3">
      <c r="A6246" s="15">
        <v>45992</v>
      </c>
      <c r="B6246" t="s">
        <v>294</v>
      </c>
      <c r="C6246" t="s">
        <v>91</v>
      </c>
      <c r="D6246" t="s">
        <v>82</v>
      </c>
      <c r="E6246" t="s">
        <v>97</v>
      </c>
      <c r="F6246">
        <v>9100</v>
      </c>
      <c r="G6246" t="s">
        <v>331</v>
      </c>
      <c r="H6246" s="15">
        <v>45292</v>
      </c>
      <c r="I6246">
        <v>9100</v>
      </c>
      <c r="J6246">
        <v>0</v>
      </c>
    </row>
    <row r="6247" spans="1:10" x14ac:dyDescent="0.3">
      <c r="A6247" s="15">
        <v>45992</v>
      </c>
      <c r="B6247" t="s">
        <v>295</v>
      </c>
      <c r="C6247" t="s">
        <v>81</v>
      </c>
      <c r="D6247" t="s">
        <v>82</v>
      </c>
      <c r="E6247" t="s">
        <v>103</v>
      </c>
      <c r="F6247">
        <v>2300</v>
      </c>
      <c r="G6247" t="s">
        <v>331</v>
      </c>
      <c r="H6247" s="15">
        <v>45292</v>
      </c>
      <c r="I6247">
        <v>2300</v>
      </c>
      <c r="J6247">
        <v>0</v>
      </c>
    </row>
    <row r="6248" spans="1:10" x14ac:dyDescent="0.3">
      <c r="A6248" s="15">
        <v>45992</v>
      </c>
      <c r="B6248" t="s">
        <v>298</v>
      </c>
      <c r="C6248" t="s">
        <v>81</v>
      </c>
      <c r="D6248" t="s">
        <v>86</v>
      </c>
      <c r="E6248" t="s">
        <v>89</v>
      </c>
      <c r="F6248">
        <v>2700</v>
      </c>
      <c r="G6248" t="s">
        <v>331</v>
      </c>
      <c r="H6248" s="15">
        <v>45292</v>
      </c>
      <c r="I6248">
        <v>2700</v>
      </c>
      <c r="J6248">
        <v>0</v>
      </c>
    </row>
    <row r="6249" spans="1:10" x14ac:dyDescent="0.3">
      <c r="A6249" s="15">
        <v>45992</v>
      </c>
      <c r="B6249" t="s">
        <v>299</v>
      </c>
      <c r="C6249" t="s">
        <v>81</v>
      </c>
      <c r="D6249" t="s">
        <v>99</v>
      </c>
      <c r="E6249" t="s">
        <v>103</v>
      </c>
      <c r="F6249">
        <v>2900</v>
      </c>
      <c r="G6249" t="s">
        <v>331</v>
      </c>
      <c r="H6249" s="15">
        <v>45292</v>
      </c>
      <c r="I6249">
        <v>2900</v>
      </c>
      <c r="J6249">
        <v>0</v>
      </c>
    </row>
    <row r="6250" spans="1:10" x14ac:dyDescent="0.3">
      <c r="A6250" s="15">
        <v>45992</v>
      </c>
      <c r="B6250" t="s">
        <v>300</v>
      </c>
      <c r="C6250" t="s">
        <v>91</v>
      </c>
      <c r="D6250" t="s">
        <v>82</v>
      </c>
      <c r="E6250" t="s">
        <v>89</v>
      </c>
      <c r="F6250">
        <v>11500</v>
      </c>
      <c r="G6250" t="s">
        <v>331</v>
      </c>
      <c r="H6250" s="15">
        <v>45292</v>
      </c>
      <c r="I6250">
        <v>11500</v>
      </c>
      <c r="J6250">
        <v>0</v>
      </c>
    </row>
    <row r="6251" spans="1:10" x14ac:dyDescent="0.3">
      <c r="A6251" s="15">
        <v>45992</v>
      </c>
      <c r="B6251" t="s">
        <v>303</v>
      </c>
      <c r="C6251" t="s">
        <v>81</v>
      </c>
      <c r="D6251" t="s">
        <v>82</v>
      </c>
      <c r="E6251" t="s">
        <v>83</v>
      </c>
      <c r="F6251">
        <v>1500</v>
      </c>
      <c r="G6251" t="s">
        <v>331</v>
      </c>
      <c r="H6251" s="15">
        <v>45292</v>
      </c>
      <c r="I6251">
        <v>1500</v>
      </c>
      <c r="J6251">
        <v>0</v>
      </c>
    </row>
    <row r="6252" spans="1:10" x14ac:dyDescent="0.3">
      <c r="A6252" s="15">
        <v>45992</v>
      </c>
      <c r="B6252" t="s">
        <v>304</v>
      </c>
      <c r="C6252" t="s">
        <v>81</v>
      </c>
      <c r="D6252" t="s">
        <v>86</v>
      </c>
      <c r="E6252" t="s">
        <v>92</v>
      </c>
      <c r="F6252">
        <v>2100</v>
      </c>
      <c r="G6252" t="s">
        <v>331</v>
      </c>
      <c r="H6252" s="15">
        <v>45292</v>
      </c>
      <c r="I6252">
        <v>2100</v>
      </c>
      <c r="J6252">
        <v>0</v>
      </c>
    </row>
    <row r="6253" spans="1:10" x14ac:dyDescent="0.3">
      <c r="A6253" s="15">
        <v>45992</v>
      </c>
      <c r="B6253" t="s">
        <v>306</v>
      </c>
      <c r="C6253" t="s">
        <v>91</v>
      </c>
      <c r="D6253" t="s">
        <v>82</v>
      </c>
      <c r="E6253" t="s">
        <v>87</v>
      </c>
      <c r="F6253">
        <v>11700</v>
      </c>
      <c r="G6253" t="s">
        <v>331</v>
      </c>
      <c r="H6253" s="15">
        <v>45292</v>
      </c>
      <c r="I6253">
        <v>11700</v>
      </c>
      <c r="J6253">
        <v>0</v>
      </c>
    </row>
    <row r="6254" spans="1:10" x14ac:dyDescent="0.3">
      <c r="A6254" s="15">
        <v>45992</v>
      </c>
      <c r="B6254" t="s">
        <v>307</v>
      </c>
      <c r="C6254" t="s">
        <v>81</v>
      </c>
      <c r="D6254" t="s">
        <v>86</v>
      </c>
      <c r="E6254" t="s">
        <v>97</v>
      </c>
      <c r="F6254">
        <v>2600</v>
      </c>
      <c r="G6254" t="s">
        <v>331</v>
      </c>
      <c r="H6254" s="15">
        <v>45292</v>
      </c>
      <c r="I6254">
        <v>2600</v>
      </c>
      <c r="J6254">
        <v>0</v>
      </c>
    </row>
    <row r="6255" spans="1:10" x14ac:dyDescent="0.3">
      <c r="A6255" s="15">
        <v>45992</v>
      </c>
      <c r="B6255" t="s">
        <v>309</v>
      </c>
      <c r="C6255" t="s">
        <v>91</v>
      </c>
      <c r="D6255" t="s">
        <v>82</v>
      </c>
      <c r="E6255" t="s">
        <v>87</v>
      </c>
      <c r="F6255">
        <v>11800</v>
      </c>
      <c r="G6255" t="s">
        <v>331</v>
      </c>
      <c r="H6255" s="15">
        <v>45292</v>
      </c>
      <c r="I6255">
        <v>11800</v>
      </c>
      <c r="J6255">
        <v>0</v>
      </c>
    </row>
    <row r="6256" spans="1:10" x14ac:dyDescent="0.3">
      <c r="A6256" s="15">
        <v>45992</v>
      </c>
      <c r="B6256" t="s">
        <v>310</v>
      </c>
      <c r="C6256" t="s">
        <v>91</v>
      </c>
      <c r="D6256" t="s">
        <v>99</v>
      </c>
      <c r="E6256" t="s">
        <v>87</v>
      </c>
      <c r="F6256">
        <v>10000</v>
      </c>
      <c r="G6256" t="s">
        <v>331</v>
      </c>
      <c r="H6256" s="15">
        <v>45292</v>
      </c>
      <c r="I6256">
        <v>10000</v>
      </c>
      <c r="J6256">
        <v>0</v>
      </c>
    </row>
    <row r="6257" spans="1:10" x14ac:dyDescent="0.3">
      <c r="A6257" s="15">
        <v>45992</v>
      </c>
      <c r="B6257" t="s">
        <v>313</v>
      </c>
      <c r="C6257" t="s">
        <v>91</v>
      </c>
      <c r="D6257" t="s">
        <v>82</v>
      </c>
      <c r="E6257" t="s">
        <v>101</v>
      </c>
      <c r="F6257">
        <v>12700</v>
      </c>
      <c r="G6257" t="s">
        <v>331</v>
      </c>
      <c r="H6257" s="15">
        <v>45292</v>
      </c>
      <c r="I6257">
        <v>12700</v>
      </c>
      <c r="J6257">
        <v>0</v>
      </c>
    </row>
    <row r="6258" spans="1:10" x14ac:dyDescent="0.3">
      <c r="A6258" s="15">
        <v>45992</v>
      </c>
      <c r="B6258" t="s">
        <v>315</v>
      </c>
      <c r="C6258" t="s">
        <v>125</v>
      </c>
      <c r="D6258" t="s">
        <v>86</v>
      </c>
      <c r="E6258" t="s">
        <v>92</v>
      </c>
      <c r="F6258">
        <v>76200</v>
      </c>
      <c r="G6258" t="s">
        <v>331</v>
      </c>
      <c r="H6258" s="15">
        <v>45292</v>
      </c>
      <c r="I6258">
        <v>76200</v>
      </c>
      <c r="J6258">
        <v>0</v>
      </c>
    </row>
    <row r="6259" spans="1:10" x14ac:dyDescent="0.3">
      <c r="A6259" s="15">
        <v>45992</v>
      </c>
      <c r="B6259" t="s">
        <v>316</v>
      </c>
      <c r="C6259" t="s">
        <v>81</v>
      </c>
      <c r="D6259" t="s">
        <v>96</v>
      </c>
      <c r="E6259" t="s">
        <v>92</v>
      </c>
      <c r="F6259">
        <v>2000</v>
      </c>
      <c r="G6259" t="s">
        <v>331</v>
      </c>
      <c r="H6259" s="15">
        <v>45292</v>
      </c>
      <c r="I6259">
        <v>2000</v>
      </c>
      <c r="J6259">
        <v>0</v>
      </c>
    </row>
    <row r="6260" spans="1:10" x14ac:dyDescent="0.3">
      <c r="A6260" s="15">
        <v>45992</v>
      </c>
      <c r="B6260" t="s">
        <v>318</v>
      </c>
      <c r="C6260" t="s">
        <v>110</v>
      </c>
      <c r="D6260" t="s">
        <v>82</v>
      </c>
      <c r="E6260" t="s">
        <v>97</v>
      </c>
      <c r="F6260">
        <v>29600</v>
      </c>
      <c r="G6260" t="s">
        <v>331</v>
      </c>
      <c r="H6260" s="15">
        <v>45292</v>
      </c>
      <c r="I6260">
        <v>29600</v>
      </c>
      <c r="J6260">
        <v>0</v>
      </c>
    </row>
    <row r="6261" spans="1:10" x14ac:dyDescent="0.3">
      <c r="A6261" s="15">
        <v>45992</v>
      </c>
      <c r="B6261" t="s">
        <v>320</v>
      </c>
      <c r="C6261" t="s">
        <v>91</v>
      </c>
      <c r="D6261" t="s">
        <v>86</v>
      </c>
      <c r="E6261" t="s">
        <v>97</v>
      </c>
      <c r="F6261">
        <v>7700</v>
      </c>
      <c r="G6261" t="s">
        <v>331</v>
      </c>
      <c r="H6261" s="15">
        <v>45292</v>
      </c>
      <c r="I6261">
        <v>7700</v>
      </c>
      <c r="J6261">
        <v>0</v>
      </c>
    </row>
    <row r="6262" spans="1:10" x14ac:dyDescent="0.3">
      <c r="A6262" s="15">
        <v>45992</v>
      </c>
      <c r="B6262" t="s">
        <v>321</v>
      </c>
      <c r="C6262" t="s">
        <v>81</v>
      </c>
      <c r="D6262" t="s">
        <v>99</v>
      </c>
      <c r="E6262" t="s">
        <v>101</v>
      </c>
      <c r="F6262">
        <v>3500</v>
      </c>
      <c r="G6262" t="s">
        <v>331</v>
      </c>
      <c r="H6262" s="15">
        <v>45292</v>
      </c>
      <c r="I6262">
        <v>3500</v>
      </c>
      <c r="J6262">
        <v>0</v>
      </c>
    </row>
    <row r="6263" spans="1:10" x14ac:dyDescent="0.3">
      <c r="A6263" s="15">
        <v>45992</v>
      </c>
      <c r="B6263" t="s">
        <v>322</v>
      </c>
      <c r="C6263" t="s">
        <v>81</v>
      </c>
      <c r="D6263" t="s">
        <v>82</v>
      </c>
      <c r="E6263" t="s">
        <v>103</v>
      </c>
      <c r="F6263">
        <v>2000</v>
      </c>
      <c r="G6263" t="s">
        <v>331</v>
      </c>
      <c r="H6263" s="15">
        <v>45292</v>
      </c>
      <c r="I6263">
        <v>2000</v>
      </c>
      <c r="J6263">
        <v>0</v>
      </c>
    </row>
    <row r="6264" spans="1:10" x14ac:dyDescent="0.3">
      <c r="A6264" s="15">
        <v>45992</v>
      </c>
      <c r="B6264" t="s">
        <v>323</v>
      </c>
      <c r="C6264" t="s">
        <v>110</v>
      </c>
      <c r="D6264" t="s">
        <v>82</v>
      </c>
      <c r="E6264" t="s">
        <v>89</v>
      </c>
      <c r="F6264">
        <v>23400</v>
      </c>
      <c r="G6264" t="s">
        <v>331</v>
      </c>
      <c r="H6264" s="15">
        <v>45292</v>
      </c>
      <c r="I6264">
        <v>23400</v>
      </c>
      <c r="J6264">
        <v>0</v>
      </c>
    </row>
    <row r="6265" spans="1:10" x14ac:dyDescent="0.3">
      <c r="A6265" s="15">
        <v>45992</v>
      </c>
      <c r="B6265" t="s">
        <v>324</v>
      </c>
      <c r="C6265" t="s">
        <v>81</v>
      </c>
      <c r="D6265" t="s">
        <v>86</v>
      </c>
      <c r="E6265" t="s">
        <v>87</v>
      </c>
      <c r="F6265">
        <v>2700</v>
      </c>
      <c r="G6265" t="s">
        <v>331</v>
      </c>
      <c r="H6265" s="15">
        <v>45292</v>
      </c>
      <c r="I6265">
        <v>2700</v>
      </c>
      <c r="J6265">
        <v>0</v>
      </c>
    </row>
    <row r="6266" spans="1:10" x14ac:dyDescent="0.3">
      <c r="A6266" s="15">
        <v>45992</v>
      </c>
      <c r="B6266" t="s">
        <v>325</v>
      </c>
      <c r="C6266" t="s">
        <v>91</v>
      </c>
      <c r="D6266" t="s">
        <v>86</v>
      </c>
      <c r="E6266" t="s">
        <v>87</v>
      </c>
      <c r="F6266">
        <v>9400</v>
      </c>
      <c r="G6266" t="s">
        <v>331</v>
      </c>
      <c r="H6266" s="15">
        <v>45292</v>
      </c>
      <c r="I6266">
        <v>9400</v>
      </c>
      <c r="J6266">
        <v>0</v>
      </c>
    </row>
    <row r="6267" spans="1:10" x14ac:dyDescent="0.3">
      <c r="A6267" s="15">
        <v>45992</v>
      </c>
      <c r="B6267" t="s">
        <v>327</v>
      </c>
      <c r="C6267" t="s">
        <v>125</v>
      </c>
      <c r="D6267" t="s">
        <v>99</v>
      </c>
      <c r="E6267" t="s">
        <v>97</v>
      </c>
      <c r="F6267">
        <v>77500</v>
      </c>
      <c r="G6267" t="s">
        <v>331</v>
      </c>
      <c r="H6267" s="15">
        <v>45292</v>
      </c>
      <c r="I6267">
        <v>77500</v>
      </c>
      <c r="J6267">
        <v>0</v>
      </c>
    </row>
    <row r="6268" spans="1:10" x14ac:dyDescent="0.3">
      <c r="A6268" s="15">
        <v>45992</v>
      </c>
      <c r="B6268" t="s">
        <v>329</v>
      </c>
      <c r="C6268" t="s">
        <v>81</v>
      </c>
      <c r="D6268" t="s">
        <v>86</v>
      </c>
      <c r="E6268" t="s">
        <v>101</v>
      </c>
      <c r="F6268">
        <v>2200</v>
      </c>
      <c r="G6268" t="s">
        <v>331</v>
      </c>
      <c r="H6268" s="15">
        <v>45292</v>
      </c>
      <c r="I6268">
        <v>2200</v>
      </c>
      <c r="J6268">
        <v>0</v>
      </c>
    </row>
    <row r="6269" spans="1:10" x14ac:dyDescent="0.3">
      <c r="A6269" s="15">
        <v>45992</v>
      </c>
      <c r="B6269" t="s">
        <v>330</v>
      </c>
      <c r="C6269" t="s">
        <v>125</v>
      </c>
      <c r="D6269" t="s">
        <v>86</v>
      </c>
      <c r="E6269" t="s">
        <v>87</v>
      </c>
      <c r="F6269">
        <v>105400</v>
      </c>
      <c r="G6269" t="s">
        <v>331</v>
      </c>
      <c r="H6269" s="15">
        <v>45292</v>
      </c>
      <c r="I6269">
        <v>105400</v>
      </c>
      <c r="J6269">
        <v>0</v>
      </c>
    </row>
    <row r="6270" spans="1:10" x14ac:dyDescent="0.3">
      <c r="A6270" s="15">
        <v>45992</v>
      </c>
      <c r="B6270" t="s">
        <v>335</v>
      </c>
      <c r="C6270" t="s">
        <v>91</v>
      </c>
      <c r="D6270" t="s">
        <v>86</v>
      </c>
      <c r="E6270" t="s">
        <v>89</v>
      </c>
      <c r="F6270">
        <v>6500</v>
      </c>
      <c r="G6270" t="s">
        <v>334</v>
      </c>
      <c r="H6270" s="15">
        <v>45323</v>
      </c>
      <c r="I6270">
        <v>7300</v>
      </c>
      <c r="J6270">
        <v>-800</v>
      </c>
    </row>
    <row r="6271" spans="1:10" x14ac:dyDescent="0.3">
      <c r="A6271" s="15">
        <v>45992</v>
      </c>
      <c r="B6271" t="s">
        <v>336</v>
      </c>
      <c r="C6271" t="s">
        <v>81</v>
      </c>
      <c r="D6271" t="s">
        <v>82</v>
      </c>
      <c r="E6271" t="s">
        <v>103</v>
      </c>
      <c r="F6271">
        <v>1500</v>
      </c>
      <c r="G6271" t="s">
        <v>331</v>
      </c>
      <c r="H6271" s="15">
        <v>45323</v>
      </c>
      <c r="I6271">
        <v>1500</v>
      </c>
      <c r="J6271">
        <v>0</v>
      </c>
    </row>
    <row r="6272" spans="1:10" x14ac:dyDescent="0.3">
      <c r="A6272" s="15">
        <v>45992</v>
      </c>
      <c r="B6272" t="s">
        <v>339</v>
      </c>
      <c r="C6272" t="s">
        <v>81</v>
      </c>
      <c r="D6272" t="s">
        <v>82</v>
      </c>
      <c r="E6272" t="s">
        <v>103</v>
      </c>
      <c r="F6272">
        <v>1600</v>
      </c>
      <c r="G6272" t="s">
        <v>331</v>
      </c>
      <c r="H6272" s="15">
        <v>45323</v>
      </c>
      <c r="I6272">
        <v>1600</v>
      </c>
      <c r="J6272">
        <v>0</v>
      </c>
    </row>
    <row r="6273" spans="1:10" x14ac:dyDescent="0.3">
      <c r="A6273" s="15">
        <v>45992</v>
      </c>
      <c r="B6273" t="s">
        <v>341</v>
      </c>
      <c r="C6273" t="s">
        <v>110</v>
      </c>
      <c r="D6273" t="s">
        <v>82</v>
      </c>
      <c r="E6273" t="s">
        <v>92</v>
      </c>
      <c r="F6273">
        <v>18800</v>
      </c>
      <c r="G6273" t="s">
        <v>331</v>
      </c>
      <c r="H6273" s="15">
        <v>45323</v>
      </c>
      <c r="I6273">
        <v>18800</v>
      </c>
      <c r="J6273">
        <v>0</v>
      </c>
    </row>
    <row r="6274" spans="1:10" x14ac:dyDescent="0.3">
      <c r="A6274" s="15">
        <v>45992</v>
      </c>
      <c r="B6274" t="s">
        <v>342</v>
      </c>
      <c r="C6274" t="s">
        <v>91</v>
      </c>
      <c r="D6274" t="s">
        <v>82</v>
      </c>
      <c r="E6274" t="s">
        <v>83</v>
      </c>
      <c r="F6274">
        <v>6300</v>
      </c>
      <c r="G6274" t="s">
        <v>331</v>
      </c>
      <c r="H6274" s="15">
        <v>45352</v>
      </c>
      <c r="I6274">
        <v>6300</v>
      </c>
      <c r="J6274">
        <v>0</v>
      </c>
    </row>
    <row r="6275" spans="1:10" x14ac:dyDescent="0.3">
      <c r="A6275" s="15">
        <v>45992</v>
      </c>
      <c r="B6275" t="s">
        <v>343</v>
      </c>
      <c r="C6275" t="s">
        <v>81</v>
      </c>
      <c r="D6275" t="s">
        <v>82</v>
      </c>
      <c r="E6275" t="s">
        <v>89</v>
      </c>
      <c r="F6275">
        <v>2500</v>
      </c>
      <c r="G6275" t="s">
        <v>331</v>
      </c>
      <c r="H6275" s="15">
        <v>45352</v>
      </c>
      <c r="I6275">
        <v>2500</v>
      </c>
      <c r="J6275">
        <v>0</v>
      </c>
    </row>
    <row r="6276" spans="1:10" x14ac:dyDescent="0.3">
      <c r="A6276" s="15">
        <v>45992</v>
      </c>
      <c r="B6276" t="s">
        <v>344</v>
      </c>
      <c r="C6276" t="s">
        <v>110</v>
      </c>
      <c r="D6276" t="s">
        <v>86</v>
      </c>
      <c r="E6276" t="s">
        <v>89</v>
      </c>
      <c r="F6276">
        <v>25800</v>
      </c>
      <c r="G6276" t="s">
        <v>332</v>
      </c>
      <c r="H6276" s="15">
        <v>45352</v>
      </c>
      <c r="I6276">
        <v>22300</v>
      </c>
      <c r="J6276">
        <v>3500</v>
      </c>
    </row>
    <row r="6277" spans="1:10" x14ac:dyDescent="0.3">
      <c r="A6277" s="15">
        <v>45992</v>
      </c>
      <c r="B6277" t="s">
        <v>345</v>
      </c>
      <c r="C6277" t="s">
        <v>91</v>
      </c>
      <c r="D6277" t="s">
        <v>86</v>
      </c>
      <c r="E6277" t="s">
        <v>83</v>
      </c>
      <c r="F6277">
        <v>7900</v>
      </c>
      <c r="G6277" t="s">
        <v>331</v>
      </c>
      <c r="H6277" s="15">
        <v>45352</v>
      </c>
      <c r="I6277">
        <v>7900</v>
      </c>
      <c r="J6277">
        <v>0</v>
      </c>
    </row>
    <row r="6278" spans="1:10" x14ac:dyDescent="0.3">
      <c r="A6278" s="15">
        <v>45992</v>
      </c>
      <c r="B6278" t="s">
        <v>346</v>
      </c>
      <c r="C6278" t="s">
        <v>81</v>
      </c>
      <c r="D6278" t="s">
        <v>86</v>
      </c>
      <c r="E6278" t="s">
        <v>97</v>
      </c>
      <c r="F6278">
        <v>1700</v>
      </c>
      <c r="G6278" t="s">
        <v>331</v>
      </c>
      <c r="H6278" s="15">
        <v>45352</v>
      </c>
      <c r="I6278">
        <v>1700</v>
      </c>
      <c r="J6278">
        <v>0</v>
      </c>
    </row>
    <row r="6279" spans="1:10" x14ac:dyDescent="0.3">
      <c r="A6279" s="15">
        <v>45992</v>
      </c>
      <c r="B6279" t="s">
        <v>347</v>
      </c>
      <c r="C6279" t="s">
        <v>91</v>
      </c>
      <c r="D6279" t="s">
        <v>82</v>
      </c>
      <c r="E6279" t="s">
        <v>83</v>
      </c>
      <c r="F6279">
        <v>4700</v>
      </c>
      <c r="G6279" t="s">
        <v>331</v>
      </c>
      <c r="H6279" s="15">
        <v>45383</v>
      </c>
      <c r="I6279">
        <v>4700</v>
      </c>
      <c r="J6279">
        <v>0</v>
      </c>
    </row>
    <row r="6280" spans="1:10" x14ac:dyDescent="0.3">
      <c r="A6280" s="15">
        <v>45992</v>
      </c>
      <c r="B6280" t="s">
        <v>350</v>
      </c>
      <c r="C6280" t="s">
        <v>91</v>
      </c>
      <c r="D6280" t="s">
        <v>82</v>
      </c>
      <c r="E6280" t="s">
        <v>83</v>
      </c>
      <c r="F6280">
        <v>4400</v>
      </c>
      <c r="G6280" t="s">
        <v>331</v>
      </c>
      <c r="H6280" s="15">
        <v>45383</v>
      </c>
      <c r="I6280">
        <v>4400</v>
      </c>
      <c r="J6280">
        <v>0</v>
      </c>
    </row>
    <row r="6281" spans="1:10" x14ac:dyDescent="0.3">
      <c r="A6281" s="15">
        <v>45992</v>
      </c>
      <c r="B6281" t="s">
        <v>351</v>
      </c>
      <c r="C6281" t="s">
        <v>81</v>
      </c>
      <c r="D6281" t="s">
        <v>86</v>
      </c>
      <c r="E6281" t="s">
        <v>83</v>
      </c>
      <c r="F6281">
        <v>2700</v>
      </c>
      <c r="G6281" t="s">
        <v>331</v>
      </c>
      <c r="H6281" s="15">
        <v>45383</v>
      </c>
      <c r="I6281">
        <v>2700</v>
      </c>
      <c r="J6281">
        <v>0</v>
      </c>
    </row>
    <row r="6282" spans="1:10" x14ac:dyDescent="0.3">
      <c r="A6282" s="15">
        <v>45992</v>
      </c>
      <c r="B6282" t="s">
        <v>352</v>
      </c>
      <c r="C6282" t="s">
        <v>91</v>
      </c>
      <c r="D6282" t="s">
        <v>82</v>
      </c>
      <c r="E6282" t="s">
        <v>89</v>
      </c>
      <c r="F6282">
        <v>8800</v>
      </c>
      <c r="G6282" t="s">
        <v>331</v>
      </c>
      <c r="H6282" s="15">
        <v>45383</v>
      </c>
      <c r="I6282">
        <v>8800</v>
      </c>
      <c r="J6282">
        <v>0</v>
      </c>
    </row>
    <row r="6283" spans="1:10" x14ac:dyDescent="0.3">
      <c r="A6283" s="15">
        <v>45992</v>
      </c>
      <c r="B6283" t="s">
        <v>353</v>
      </c>
      <c r="C6283" t="s">
        <v>81</v>
      </c>
      <c r="D6283" t="s">
        <v>99</v>
      </c>
      <c r="E6283" t="s">
        <v>103</v>
      </c>
      <c r="F6283">
        <v>1200</v>
      </c>
      <c r="G6283" t="s">
        <v>331</v>
      </c>
      <c r="H6283" s="15">
        <v>45383</v>
      </c>
      <c r="I6283">
        <v>1200</v>
      </c>
      <c r="J6283">
        <v>0</v>
      </c>
    </row>
    <row r="6284" spans="1:10" x14ac:dyDescent="0.3">
      <c r="A6284" s="15">
        <v>45992</v>
      </c>
      <c r="B6284" t="s">
        <v>354</v>
      </c>
      <c r="C6284" t="s">
        <v>81</v>
      </c>
      <c r="D6284" t="s">
        <v>82</v>
      </c>
      <c r="E6284" t="s">
        <v>92</v>
      </c>
      <c r="F6284">
        <v>1700</v>
      </c>
      <c r="G6284" t="s">
        <v>331</v>
      </c>
      <c r="H6284" s="15">
        <v>45413</v>
      </c>
      <c r="I6284">
        <v>1700</v>
      </c>
      <c r="J6284">
        <v>0</v>
      </c>
    </row>
    <row r="6285" spans="1:10" x14ac:dyDescent="0.3">
      <c r="A6285" s="15">
        <v>45992</v>
      </c>
      <c r="B6285" t="s">
        <v>355</v>
      </c>
      <c r="C6285" t="s">
        <v>81</v>
      </c>
      <c r="D6285" t="s">
        <v>86</v>
      </c>
      <c r="E6285" t="s">
        <v>97</v>
      </c>
      <c r="F6285">
        <v>2000</v>
      </c>
      <c r="G6285" t="s">
        <v>331</v>
      </c>
      <c r="H6285" s="15">
        <v>45413</v>
      </c>
      <c r="I6285">
        <v>2000</v>
      </c>
      <c r="J6285">
        <v>0</v>
      </c>
    </row>
    <row r="6286" spans="1:10" x14ac:dyDescent="0.3">
      <c r="A6286" s="15">
        <v>45992</v>
      </c>
      <c r="B6286" t="s">
        <v>356</v>
      </c>
      <c r="C6286" t="s">
        <v>110</v>
      </c>
      <c r="D6286" t="s">
        <v>82</v>
      </c>
      <c r="E6286" t="s">
        <v>97</v>
      </c>
      <c r="F6286">
        <v>33000</v>
      </c>
      <c r="G6286" t="s">
        <v>331</v>
      </c>
      <c r="H6286" s="15">
        <v>45413</v>
      </c>
      <c r="I6286">
        <v>33000</v>
      </c>
      <c r="J6286">
        <v>0</v>
      </c>
    </row>
    <row r="6287" spans="1:10" x14ac:dyDescent="0.3">
      <c r="A6287" s="15">
        <v>45992</v>
      </c>
      <c r="B6287" t="s">
        <v>357</v>
      </c>
      <c r="C6287" t="s">
        <v>125</v>
      </c>
      <c r="D6287" t="s">
        <v>86</v>
      </c>
      <c r="E6287" t="s">
        <v>97</v>
      </c>
      <c r="F6287">
        <v>83400</v>
      </c>
      <c r="G6287" t="s">
        <v>331</v>
      </c>
      <c r="H6287" s="15">
        <v>45413</v>
      </c>
      <c r="I6287">
        <v>83400</v>
      </c>
      <c r="J6287">
        <v>0</v>
      </c>
    </row>
    <row r="6288" spans="1:10" x14ac:dyDescent="0.3">
      <c r="A6288" s="15">
        <v>45992</v>
      </c>
      <c r="B6288" t="s">
        <v>358</v>
      </c>
      <c r="C6288" t="s">
        <v>110</v>
      </c>
      <c r="D6288" t="s">
        <v>86</v>
      </c>
      <c r="E6288" t="s">
        <v>83</v>
      </c>
      <c r="F6288">
        <v>24100</v>
      </c>
      <c r="G6288" t="s">
        <v>331</v>
      </c>
      <c r="H6288" s="15">
        <v>45413</v>
      </c>
      <c r="I6288">
        <v>24100</v>
      </c>
      <c r="J6288">
        <v>0</v>
      </c>
    </row>
    <row r="6289" spans="1:10" x14ac:dyDescent="0.3">
      <c r="A6289" s="15">
        <v>45992</v>
      </c>
      <c r="B6289" t="s">
        <v>359</v>
      </c>
      <c r="C6289" t="s">
        <v>110</v>
      </c>
      <c r="D6289" t="s">
        <v>86</v>
      </c>
      <c r="E6289" t="s">
        <v>101</v>
      </c>
      <c r="F6289">
        <v>31400</v>
      </c>
      <c r="G6289" t="s">
        <v>331</v>
      </c>
      <c r="H6289" s="15">
        <v>45413</v>
      </c>
      <c r="I6289">
        <v>31400</v>
      </c>
      <c r="J6289">
        <v>0</v>
      </c>
    </row>
    <row r="6290" spans="1:10" x14ac:dyDescent="0.3">
      <c r="A6290" s="15">
        <v>45992</v>
      </c>
      <c r="B6290" t="s">
        <v>361</v>
      </c>
      <c r="C6290" t="s">
        <v>91</v>
      </c>
      <c r="D6290" t="s">
        <v>86</v>
      </c>
      <c r="E6290" t="s">
        <v>83</v>
      </c>
      <c r="F6290">
        <v>5700</v>
      </c>
      <c r="G6290" t="s">
        <v>331</v>
      </c>
      <c r="H6290" s="15">
        <v>45444</v>
      </c>
      <c r="I6290">
        <v>5700</v>
      </c>
      <c r="J6290">
        <v>0</v>
      </c>
    </row>
    <row r="6291" spans="1:10" x14ac:dyDescent="0.3">
      <c r="A6291" s="15">
        <v>45992</v>
      </c>
      <c r="B6291" t="s">
        <v>362</v>
      </c>
      <c r="C6291" t="s">
        <v>91</v>
      </c>
      <c r="D6291" t="s">
        <v>82</v>
      </c>
      <c r="E6291" t="s">
        <v>101</v>
      </c>
      <c r="F6291">
        <v>5700</v>
      </c>
      <c r="G6291" t="s">
        <v>331</v>
      </c>
      <c r="H6291" s="15">
        <v>45444</v>
      </c>
      <c r="I6291">
        <v>5700</v>
      </c>
      <c r="J6291">
        <v>0</v>
      </c>
    </row>
    <row r="6292" spans="1:10" x14ac:dyDescent="0.3">
      <c r="A6292" s="15">
        <v>45992</v>
      </c>
      <c r="B6292" t="s">
        <v>363</v>
      </c>
      <c r="C6292" t="s">
        <v>91</v>
      </c>
      <c r="D6292" t="s">
        <v>86</v>
      </c>
      <c r="E6292" t="s">
        <v>83</v>
      </c>
      <c r="F6292">
        <v>4400</v>
      </c>
      <c r="G6292" t="s">
        <v>331</v>
      </c>
      <c r="H6292" s="15">
        <v>45444</v>
      </c>
      <c r="I6292">
        <v>4400</v>
      </c>
      <c r="J6292">
        <v>0</v>
      </c>
    </row>
    <row r="6293" spans="1:10" x14ac:dyDescent="0.3">
      <c r="A6293" s="15">
        <v>45992</v>
      </c>
      <c r="B6293" t="s">
        <v>364</v>
      </c>
      <c r="C6293" t="s">
        <v>91</v>
      </c>
      <c r="D6293" t="s">
        <v>82</v>
      </c>
      <c r="E6293" t="s">
        <v>101</v>
      </c>
      <c r="F6293">
        <v>6700</v>
      </c>
      <c r="G6293" t="s">
        <v>331</v>
      </c>
      <c r="H6293" s="15">
        <v>45444</v>
      </c>
      <c r="I6293">
        <v>6700</v>
      </c>
      <c r="J6293">
        <v>0</v>
      </c>
    </row>
    <row r="6294" spans="1:10" x14ac:dyDescent="0.3">
      <c r="A6294" s="15">
        <v>45992</v>
      </c>
      <c r="B6294" t="s">
        <v>366</v>
      </c>
      <c r="C6294" t="s">
        <v>81</v>
      </c>
      <c r="D6294" t="s">
        <v>99</v>
      </c>
      <c r="E6294" t="s">
        <v>92</v>
      </c>
      <c r="F6294">
        <v>1600</v>
      </c>
      <c r="G6294" t="s">
        <v>331</v>
      </c>
      <c r="H6294" s="15">
        <v>45474</v>
      </c>
      <c r="I6294">
        <v>1600</v>
      </c>
      <c r="J6294">
        <v>0</v>
      </c>
    </row>
    <row r="6295" spans="1:10" x14ac:dyDescent="0.3">
      <c r="A6295" s="15">
        <v>45992</v>
      </c>
      <c r="B6295" t="s">
        <v>367</v>
      </c>
      <c r="C6295" t="s">
        <v>91</v>
      </c>
      <c r="D6295" t="s">
        <v>82</v>
      </c>
      <c r="E6295" t="s">
        <v>92</v>
      </c>
      <c r="F6295">
        <v>4400</v>
      </c>
      <c r="G6295" t="s">
        <v>331</v>
      </c>
      <c r="H6295" s="15">
        <v>45474</v>
      </c>
      <c r="I6295">
        <v>4400</v>
      </c>
      <c r="J6295">
        <v>0</v>
      </c>
    </row>
    <row r="6296" spans="1:10" x14ac:dyDescent="0.3">
      <c r="A6296" s="15">
        <v>45992</v>
      </c>
      <c r="B6296" t="s">
        <v>368</v>
      </c>
      <c r="C6296" t="s">
        <v>81</v>
      </c>
      <c r="D6296" t="s">
        <v>86</v>
      </c>
      <c r="E6296" t="s">
        <v>89</v>
      </c>
      <c r="F6296">
        <v>1400</v>
      </c>
      <c r="G6296" t="s">
        <v>331</v>
      </c>
      <c r="H6296" s="15">
        <v>45474</v>
      </c>
      <c r="I6296">
        <v>1400</v>
      </c>
      <c r="J6296">
        <v>0</v>
      </c>
    </row>
    <row r="6297" spans="1:10" x14ac:dyDescent="0.3">
      <c r="A6297" s="15">
        <v>45992</v>
      </c>
      <c r="B6297" t="s">
        <v>369</v>
      </c>
      <c r="C6297" t="s">
        <v>81</v>
      </c>
      <c r="D6297" t="s">
        <v>86</v>
      </c>
      <c r="E6297" t="s">
        <v>83</v>
      </c>
      <c r="F6297">
        <v>2000</v>
      </c>
      <c r="G6297" t="s">
        <v>331</v>
      </c>
      <c r="H6297" s="15">
        <v>45474</v>
      </c>
      <c r="I6297">
        <v>2000</v>
      </c>
      <c r="J6297">
        <v>0</v>
      </c>
    </row>
    <row r="6298" spans="1:10" x14ac:dyDescent="0.3">
      <c r="A6298" s="15">
        <v>45992</v>
      </c>
      <c r="B6298" t="s">
        <v>370</v>
      </c>
      <c r="C6298" t="s">
        <v>81</v>
      </c>
      <c r="D6298" t="s">
        <v>99</v>
      </c>
      <c r="E6298" t="s">
        <v>87</v>
      </c>
      <c r="F6298">
        <v>2300</v>
      </c>
      <c r="G6298" t="s">
        <v>331</v>
      </c>
      <c r="H6298" s="15">
        <v>45474</v>
      </c>
      <c r="I6298">
        <v>2300</v>
      </c>
      <c r="J6298">
        <v>0</v>
      </c>
    </row>
    <row r="6299" spans="1:10" x14ac:dyDescent="0.3">
      <c r="A6299" s="15">
        <v>45992</v>
      </c>
      <c r="B6299" t="s">
        <v>373</v>
      </c>
      <c r="C6299" t="s">
        <v>91</v>
      </c>
      <c r="D6299" t="s">
        <v>99</v>
      </c>
      <c r="E6299" t="s">
        <v>101</v>
      </c>
      <c r="F6299">
        <v>5200</v>
      </c>
      <c r="G6299" t="s">
        <v>331</v>
      </c>
      <c r="H6299" s="15">
        <v>45505</v>
      </c>
      <c r="I6299">
        <v>5200</v>
      </c>
      <c r="J6299">
        <v>0</v>
      </c>
    </row>
    <row r="6300" spans="1:10" x14ac:dyDescent="0.3">
      <c r="A6300" s="15">
        <v>45992</v>
      </c>
      <c r="B6300" t="s">
        <v>376</v>
      </c>
      <c r="C6300" t="s">
        <v>110</v>
      </c>
      <c r="D6300" t="s">
        <v>86</v>
      </c>
      <c r="E6300" t="s">
        <v>103</v>
      </c>
      <c r="F6300">
        <v>22900</v>
      </c>
      <c r="G6300" t="s">
        <v>331</v>
      </c>
      <c r="H6300" s="15">
        <v>45505</v>
      </c>
      <c r="I6300">
        <v>22900</v>
      </c>
      <c r="J6300">
        <v>0</v>
      </c>
    </row>
    <row r="6301" spans="1:10" x14ac:dyDescent="0.3">
      <c r="A6301" s="15">
        <v>45992</v>
      </c>
      <c r="B6301" t="s">
        <v>377</v>
      </c>
      <c r="C6301" t="s">
        <v>81</v>
      </c>
      <c r="D6301" t="s">
        <v>99</v>
      </c>
      <c r="E6301" t="s">
        <v>92</v>
      </c>
      <c r="F6301">
        <v>2300</v>
      </c>
      <c r="G6301" t="s">
        <v>331</v>
      </c>
      <c r="H6301" s="15">
        <v>45536</v>
      </c>
      <c r="I6301">
        <v>2300</v>
      </c>
      <c r="J6301">
        <v>0</v>
      </c>
    </row>
    <row r="6302" spans="1:10" x14ac:dyDescent="0.3">
      <c r="A6302" s="15">
        <v>45992</v>
      </c>
      <c r="B6302" t="s">
        <v>379</v>
      </c>
      <c r="C6302" t="s">
        <v>81</v>
      </c>
      <c r="D6302" t="s">
        <v>99</v>
      </c>
      <c r="E6302" t="s">
        <v>101</v>
      </c>
      <c r="F6302">
        <v>2200</v>
      </c>
      <c r="G6302" t="s">
        <v>331</v>
      </c>
      <c r="H6302" s="15">
        <v>45536</v>
      </c>
      <c r="I6302">
        <v>2200</v>
      </c>
      <c r="J6302">
        <v>0</v>
      </c>
    </row>
    <row r="6303" spans="1:10" x14ac:dyDescent="0.3">
      <c r="A6303" s="15">
        <v>45992</v>
      </c>
      <c r="B6303" t="s">
        <v>381</v>
      </c>
      <c r="C6303" t="s">
        <v>91</v>
      </c>
      <c r="D6303" t="s">
        <v>86</v>
      </c>
      <c r="E6303" t="s">
        <v>92</v>
      </c>
      <c r="F6303">
        <v>4600</v>
      </c>
      <c r="G6303" t="s">
        <v>331</v>
      </c>
      <c r="H6303" s="15">
        <v>45536</v>
      </c>
      <c r="I6303">
        <v>4600</v>
      </c>
      <c r="J6303">
        <v>0</v>
      </c>
    </row>
    <row r="6304" spans="1:10" x14ac:dyDescent="0.3">
      <c r="A6304" s="15">
        <v>45992</v>
      </c>
      <c r="B6304" t="s">
        <v>382</v>
      </c>
      <c r="C6304" t="s">
        <v>81</v>
      </c>
      <c r="D6304" t="s">
        <v>96</v>
      </c>
      <c r="E6304" t="s">
        <v>101</v>
      </c>
      <c r="F6304">
        <v>2100</v>
      </c>
      <c r="G6304" t="s">
        <v>331</v>
      </c>
      <c r="H6304" s="15">
        <v>45536</v>
      </c>
      <c r="I6304">
        <v>2100</v>
      </c>
      <c r="J6304">
        <v>0</v>
      </c>
    </row>
    <row r="6305" spans="1:10" x14ac:dyDescent="0.3">
      <c r="A6305" s="15">
        <v>45992</v>
      </c>
      <c r="B6305" t="s">
        <v>383</v>
      </c>
      <c r="C6305" t="s">
        <v>81</v>
      </c>
      <c r="D6305" t="s">
        <v>82</v>
      </c>
      <c r="E6305" t="s">
        <v>87</v>
      </c>
      <c r="F6305">
        <v>1600</v>
      </c>
      <c r="G6305" t="s">
        <v>331</v>
      </c>
      <c r="H6305" s="15">
        <v>45536</v>
      </c>
      <c r="I6305">
        <v>1600</v>
      </c>
      <c r="J6305">
        <v>0</v>
      </c>
    </row>
    <row r="6306" spans="1:10" x14ac:dyDescent="0.3">
      <c r="A6306" s="15">
        <v>45992</v>
      </c>
      <c r="B6306" t="s">
        <v>385</v>
      </c>
      <c r="C6306" t="s">
        <v>91</v>
      </c>
      <c r="D6306" t="s">
        <v>99</v>
      </c>
      <c r="E6306" t="s">
        <v>83</v>
      </c>
      <c r="F6306">
        <v>8300</v>
      </c>
      <c r="G6306" t="s">
        <v>331</v>
      </c>
      <c r="H6306" s="15">
        <v>45566</v>
      </c>
      <c r="I6306">
        <v>8300</v>
      </c>
      <c r="J6306">
        <v>0</v>
      </c>
    </row>
    <row r="6307" spans="1:10" x14ac:dyDescent="0.3">
      <c r="A6307" s="15">
        <v>45992</v>
      </c>
      <c r="B6307" t="s">
        <v>386</v>
      </c>
      <c r="C6307" t="s">
        <v>81</v>
      </c>
      <c r="D6307" t="s">
        <v>82</v>
      </c>
      <c r="E6307" t="s">
        <v>103</v>
      </c>
      <c r="F6307">
        <v>2200</v>
      </c>
      <c r="G6307" t="s">
        <v>331</v>
      </c>
      <c r="H6307" s="15">
        <v>45566</v>
      </c>
      <c r="I6307">
        <v>2200</v>
      </c>
      <c r="J6307">
        <v>0</v>
      </c>
    </row>
    <row r="6308" spans="1:10" x14ac:dyDescent="0.3">
      <c r="A6308" s="15">
        <v>45992</v>
      </c>
      <c r="B6308" t="s">
        <v>387</v>
      </c>
      <c r="C6308" t="s">
        <v>81</v>
      </c>
      <c r="D6308" t="s">
        <v>86</v>
      </c>
      <c r="E6308" t="s">
        <v>92</v>
      </c>
      <c r="F6308">
        <v>1500</v>
      </c>
      <c r="G6308" t="s">
        <v>334</v>
      </c>
      <c r="H6308" s="15">
        <v>45566</v>
      </c>
      <c r="I6308">
        <v>1700</v>
      </c>
      <c r="J6308">
        <v>-200</v>
      </c>
    </row>
    <row r="6309" spans="1:10" x14ac:dyDescent="0.3">
      <c r="A6309" s="15">
        <v>45992</v>
      </c>
      <c r="B6309" t="s">
        <v>388</v>
      </c>
      <c r="C6309" t="s">
        <v>81</v>
      </c>
      <c r="D6309" t="s">
        <v>99</v>
      </c>
      <c r="E6309" t="s">
        <v>103</v>
      </c>
      <c r="F6309">
        <v>1700</v>
      </c>
      <c r="G6309" t="s">
        <v>331</v>
      </c>
      <c r="H6309" s="15">
        <v>45566</v>
      </c>
      <c r="I6309">
        <v>1700</v>
      </c>
      <c r="J6309">
        <v>0</v>
      </c>
    </row>
    <row r="6310" spans="1:10" x14ac:dyDescent="0.3">
      <c r="A6310" s="15">
        <v>45992</v>
      </c>
      <c r="B6310" t="s">
        <v>389</v>
      </c>
      <c r="C6310" t="s">
        <v>91</v>
      </c>
      <c r="D6310" t="s">
        <v>82</v>
      </c>
      <c r="E6310" t="s">
        <v>101</v>
      </c>
      <c r="F6310">
        <v>0</v>
      </c>
      <c r="G6310" t="s">
        <v>333</v>
      </c>
      <c r="H6310" s="15">
        <v>45566</v>
      </c>
      <c r="I6310">
        <v>7300</v>
      </c>
      <c r="J6310">
        <v>-7300</v>
      </c>
    </row>
    <row r="6311" spans="1:10" x14ac:dyDescent="0.3">
      <c r="A6311" s="15">
        <v>45992</v>
      </c>
      <c r="B6311" t="s">
        <v>390</v>
      </c>
      <c r="C6311" t="s">
        <v>91</v>
      </c>
      <c r="D6311" t="s">
        <v>82</v>
      </c>
      <c r="E6311" t="s">
        <v>89</v>
      </c>
      <c r="F6311">
        <v>6200</v>
      </c>
      <c r="G6311" t="s">
        <v>331</v>
      </c>
      <c r="H6311" s="15">
        <v>45566</v>
      </c>
      <c r="I6311">
        <v>6200</v>
      </c>
      <c r="J6311">
        <v>0</v>
      </c>
    </row>
    <row r="6312" spans="1:10" x14ac:dyDescent="0.3">
      <c r="A6312" s="15">
        <v>45992</v>
      </c>
      <c r="B6312" t="s">
        <v>392</v>
      </c>
      <c r="C6312" t="s">
        <v>91</v>
      </c>
      <c r="D6312" t="s">
        <v>86</v>
      </c>
      <c r="E6312" t="s">
        <v>97</v>
      </c>
      <c r="F6312">
        <v>10000</v>
      </c>
      <c r="G6312" t="s">
        <v>331</v>
      </c>
      <c r="H6312" s="15">
        <v>45597</v>
      </c>
      <c r="I6312">
        <v>10000</v>
      </c>
      <c r="J6312">
        <v>0</v>
      </c>
    </row>
    <row r="6313" spans="1:10" x14ac:dyDescent="0.3">
      <c r="A6313" s="15">
        <v>45992</v>
      </c>
      <c r="B6313" t="s">
        <v>393</v>
      </c>
      <c r="C6313" t="s">
        <v>81</v>
      </c>
      <c r="D6313" t="s">
        <v>82</v>
      </c>
      <c r="E6313" t="s">
        <v>92</v>
      </c>
      <c r="F6313">
        <v>2100</v>
      </c>
      <c r="G6313" t="s">
        <v>331</v>
      </c>
      <c r="H6313" s="15">
        <v>45597</v>
      </c>
      <c r="I6313">
        <v>2100</v>
      </c>
      <c r="J6313">
        <v>0</v>
      </c>
    </row>
    <row r="6314" spans="1:10" x14ac:dyDescent="0.3">
      <c r="A6314" s="15">
        <v>45992</v>
      </c>
      <c r="B6314" t="s">
        <v>394</v>
      </c>
      <c r="C6314" t="s">
        <v>81</v>
      </c>
      <c r="D6314" t="s">
        <v>99</v>
      </c>
      <c r="E6314" t="s">
        <v>87</v>
      </c>
      <c r="F6314">
        <v>1400</v>
      </c>
      <c r="G6314" t="s">
        <v>331</v>
      </c>
      <c r="H6314" s="15">
        <v>45597</v>
      </c>
      <c r="I6314">
        <v>1400</v>
      </c>
      <c r="J6314">
        <v>0</v>
      </c>
    </row>
    <row r="6315" spans="1:10" x14ac:dyDescent="0.3">
      <c r="A6315" s="15">
        <v>45992</v>
      </c>
      <c r="B6315" t="s">
        <v>395</v>
      </c>
      <c r="C6315" t="s">
        <v>81</v>
      </c>
      <c r="D6315" t="s">
        <v>82</v>
      </c>
      <c r="E6315" t="s">
        <v>97</v>
      </c>
      <c r="F6315">
        <v>2200</v>
      </c>
      <c r="G6315" t="s">
        <v>331</v>
      </c>
      <c r="H6315" s="15">
        <v>45627</v>
      </c>
      <c r="I6315">
        <v>2200</v>
      </c>
      <c r="J6315">
        <v>0</v>
      </c>
    </row>
    <row r="6316" spans="1:10" x14ac:dyDescent="0.3">
      <c r="A6316" s="15">
        <v>45992</v>
      </c>
      <c r="B6316" t="s">
        <v>396</v>
      </c>
      <c r="C6316" t="s">
        <v>91</v>
      </c>
      <c r="D6316" t="s">
        <v>82</v>
      </c>
      <c r="E6316" t="s">
        <v>92</v>
      </c>
      <c r="F6316">
        <v>8800</v>
      </c>
      <c r="G6316" t="s">
        <v>331</v>
      </c>
      <c r="H6316" s="15">
        <v>45627</v>
      </c>
      <c r="I6316">
        <v>8800</v>
      </c>
      <c r="J6316">
        <v>0</v>
      </c>
    </row>
    <row r="6317" spans="1:10" x14ac:dyDescent="0.3">
      <c r="A6317" s="15">
        <v>45992</v>
      </c>
      <c r="B6317" t="s">
        <v>398</v>
      </c>
      <c r="C6317" t="s">
        <v>81</v>
      </c>
      <c r="D6317" t="s">
        <v>86</v>
      </c>
      <c r="E6317" t="s">
        <v>92</v>
      </c>
      <c r="F6317">
        <v>1400</v>
      </c>
      <c r="G6317" t="s">
        <v>331</v>
      </c>
      <c r="H6317" s="15">
        <v>45627</v>
      </c>
      <c r="I6317">
        <v>1400</v>
      </c>
      <c r="J6317">
        <v>0</v>
      </c>
    </row>
    <row r="6318" spans="1:10" x14ac:dyDescent="0.3">
      <c r="A6318" s="15">
        <v>45992</v>
      </c>
      <c r="B6318" t="s">
        <v>399</v>
      </c>
      <c r="C6318" t="s">
        <v>110</v>
      </c>
      <c r="D6318" t="s">
        <v>82</v>
      </c>
      <c r="E6318" t="s">
        <v>101</v>
      </c>
      <c r="F6318">
        <v>17400</v>
      </c>
      <c r="G6318" t="s">
        <v>331</v>
      </c>
      <c r="H6318" s="15">
        <v>45627</v>
      </c>
      <c r="I6318">
        <v>17400</v>
      </c>
      <c r="J6318">
        <v>0</v>
      </c>
    </row>
    <row r="6319" spans="1:10" x14ac:dyDescent="0.3">
      <c r="A6319" s="15">
        <v>45992</v>
      </c>
      <c r="B6319" t="s">
        <v>400</v>
      </c>
      <c r="C6319" t="s">
        <v>91</v>
      </c>
      <c r="D6319" t="s">
        <v>82</v>
      </c>
      <c r="E6319" t="s">
        <v>103</v>
      </c>
      <c r="F6319">
        <v>4400</v>
      </c>
      <c r="G6319" t="s">
        <v>331</v>
      </c>
      <c r="H6319" s="15">
        <v>45627</v>
      </c>
      <c r="I6319">
        <v>4400</v>
      </c>
      <c r="J6319">
        <v>0</v>
      </c>
    </row>
    <row r="6320" spans="1:10" x14ac:dyDescent="0.3">
      <c r="A6320" s="15">
        <v>45992</v>
      </c>
      <c r="B6320" t="s">
        <v>403</v>
      </c>
      <c r="C6320" t="s">
        <v>81</v>
      </c>
      <c r="D6320" t="s">
        <v>82</v>
      </c>
      <c r="E6320" t="s">
        <v>101</v>
      </c>
      <c r="F6320">
        <v>1900</v>
      </c>
      <c r="G6320" t="s">
        <v>331</v>
      </c>
      <c r="H6320" s="15">
        <v>45658</v>
      </c>
      <c r="I6320">
        <v>1900</v>
      </c>
      <c r="J6320">
        <v>0</v>
      </c>
    </row>
    <row r="6321" spans="1:10" x14ac:dyDescent="0.3">
      <c r="A6321" s="15">
        <v>45992</v>
      </c>
      <c r="B6321" t="s">
        <v>404</v>
      </c>
      <c r="C6321" t="s">
        <v>81</v>
      </c>
      <c r="D6321" t="s">
        <v>86</v>
      </c>
      <c r="E6321" t="s">
        <v>83</v>
      </c>
      <c r="F6321">
        <v>2100</v>
      </c>
      <c r="G6321" t="s">
        <v>331</v>
      </c>
      <c r="H6321" s="15">
        <v>45658</v>
      </c>
      <c r="I6321">
        <v>2100</v>
      </c>
      <c r="J6321">
        <v>0</v>
      </c>
    </row>
    <row r="6322" spans="1:10" x14ac:dyDescent="0.3">
      <c r="A6322" s="15">
        <v>45992</v>
      </c>
      <c r="B6322" t="s">
        <v>405</v>
      </c>
      <c r="C6322" t="s">
        <v>81</v>
      </c>
      <c r="D6322" t="s">
        <v>82</v>
      </c>
      <c r="E6322" t="s">
        <v>92</v>
      </c>
      <c r="F6322">
        <v>1600</v>
      </c>
      <c r="G6322" t="s">
        <v>331</v>
      </c>
      <c r="H6322" s="15">
        <v>45658</v>
      </c>
      <c r="I6322">
        <v>1600</v>
      </c>
      <c r="J6322">
        <v>0</v>
      </c>
    </row>
    <row r="6323" spans="1:10" x14ac:dyDescent="0.3">
      <c r="A6323" s="15">
        <v>45992</v>
      </c>
      <c r="B6323" t="s">
        <v>406</v>
      </c>
      <c r="C6323" t="s">
        <v>91</v>
      </c>
      <c r="D6323" t="s">
        <v>86</v>
      </c>
      <c r="E6323" t="s">
        <v>87</v>
      </c>
      <c r="F6323">
        <v>4700</v>
      </c>
      <c r="G6323" t="s">
        <v>331</v>
      </c>
      <c r="H6323" s="15">
        <v>45658</v>
      </c>
      <c r="I6323">
        <v>4700</v>
      </c>
      <c r="J6323">
        <v>0</v>
      </c>
    </row>
    <row r="6324" spans="1:10" x14ac:dyDescent="0.3">
      <c r="A6324" s="15">
        <v>45992</v>
      </c>
      <c r="B6324" t="s">
        <v>407</v>
      </c>
      <c r="C6324" t="s">
        <v>81</v>
      </c>
      <c r="D6324" t="s">
        <v>82</v>
      </c>
      <c r="E6324" t="s">
        <v>92</v>
      </c>
      <c r="F6324">
        <v>2400</v>
      </c>
      <c r="G6324" t="s">
        <v>331</v>
      </c>
      <c r="H6324" s="15">
        <v>45689</v>
      </c>
      <c r="I6324">
        <v>2400</v>
      </c>
      <c r="J6324">
        <v>0</v>
      </c>
    </row>
    <row r="6325" spans="1:10" x14ac:dyDescent="0.3">
      <c r="A6325" s="15">
        <v>45992</v>
      </c>
      <c r="B6325" t="s">
        <v>409</v>
      </c>
      <c r="C6325" t="s">
        <v>81</v>
      </c>
      <c r="D6325" t="s">
        <v>82</v>
      </c>
      <c r="E6325" t="s">
        <v>83</v>
      </c>
      <c r="F6325">
        <v>1700</v>
      </c>
      <c r="G6325" t="s">
        <v>331</v>
      </c>
      <c r="H6325" s="15">
        <v>45689</v>
      </c>
      <c r="I6325">
        <v>1700</v>
      </c>
      <c r="J6325">
        <v>0</v>
      </c>
    </row>
    <row r="6326" spans="1:10" x14ac:dyDescent="0.3">
      <c r="A6326" s="15">
        <v>45992</v>
      </c>
      <c r="B6326" t="s">
        <v>410</v>
      </c>
      <c r="C6326" t="s">
        <v>125</v>
      </c>
      <c r="D6326" t="s">
        <v>82</v>
      </c>
      <c r="E6326" t="s">
        <v>103</v>
      </c>
      <c r="F6326">
        <v>56400</v>
      </c>
      <c r="G6326" t="s">
        <v>331</v>
      </c>
      <c r="H6326" s="15">
        <v>45689</v>
      </c>
      <c r="I6326">
        <v>56400</v>
      </c>
      <c r="J6326">
        <v>0</v>
      </c>
    </row>
    <row r="6327" spans="1:10" x14ac:dyDescent="0.3">
      <c r="A6327" s="15">
        <v>45992</v>
      </c>
      <c r="B6327" t="s">
        <v>411</v>
      </c>
      <c r="C6327" t="s">
        <v>91</v>
      </c>
      <c r="D6327" t="s">
        <v>86</v>
      </c>
      <c r="E6327" t="s">
        <v>92</v>
      </c>
      <c r="F6327">
        <v>7700</v>
      </c>
      <c r="G6327" t="s">
        <v>331</v>
      </c>
      <c r="H6327" s="15">
        <v>45689</v>
      </c>
      <c r="I6327">
        <v>7700</v>
      </c>
      <c r="J6327">
        <v>0</v>
      </c>
    </row>
    <row r="6328" spans="1:10" x14ac:dyDescent="0.3">
      <c r="A6328" s="15">
        <v>45992</v>
      </c>
      <c r="B6328" t="s">
        <v>412</v>
      </c>
      <c r="C6328" t="s">
        <v>81</v>
      </c>
      <c r="D6328" t="s">
        <v>82</v>
      </c>
      <c r="E6328" t="s">
        <v>89</v>
      </c>
      <c r="F6328">
        <v>2200</v>
      </c>
      <c r="G6328" t="s">
        <v>331</v>
      </c>
      <c r="H6328" s="15">
        <v>45717</v>
      </c>
      <c r="I6328">
        <v>2200</v>
      </c>
      <c r="J6328">
        <v>0</v>
      </c>
    </row>
    <row r="6329" spans="1:10" x14ac:dyDescent="0.3">
      <c r="A6329" s="15">
        <v>45992</v>
      </c>
      <c r="B6329" t="s">
        <v>413</v>
      </c>
      <c r="C6329" t="s">
        <v>81</v>
      </c>
      <c r="D6329" t="s">
        <v>99</v>
      </c>
      <c r="E6329" t="s">
        <v>101</v>
      </c>
      <c r="F6329">
        <v>2300</v>
      </c>
      <c r="G6329" t="s">
        <v>331</v>
      </c>
      <c r="H6329" s="15">
        <v>45717</v>
      </c>
      <c r="I6329">
        <v>2300</v>
      </c>
      <c r="J6329">
        <v>0</v>
      </c>
    </row>
    <row r="6330" spans="1:10" x14ac:dyDescent="0.3">
      <c r="A6330" s="15">
        <v>45992</v>
      </c>
      <c r="B6330" t="s">
        <v>414</v>
      </c>
      <c r="C6330" t="s">
        <v>110</v>
      </c>
      <c r="D6330" t="s">
        <v>99</v>
      </c>
      <c r="E6330" t="s">
        <v>89</v>
      </c>
      <c r="F6330">
        <v>30900</v>
      </c>
      <c r="G6330" t="s">
        <v>331</v>
      </c>
      <c r="H6330" s="15">
        <v>45717</v>
      </c>
      <c r="I6330">
        <v>30900</v>
      </c>
      <c r="J6330">
        <v>0</v>
      </c>
    </row>
    <row r="6331" spans="1:10" x14ac:dyDescent="0.3">
      <c r="A6331" s="15">
        <v>45992</v>
      </c>
      <c r="B6331" t="s">
        <v>416</v>
      </c>
      <c r="C6331" t="s">
        <v>81</v>
      </c>
      <c r="D6331" t="s">
        <v>99</v>
      </c>
      <c r="E6331" t="s">
        <v>103</v>
      </c>
      <c r="F6331">
        <v>0</v>
      </c>
      <c r="G6331" t="s">
        <v>333</v>
      </c>
      <c r="H6331" s="15">
        <v>45717</v>
      </c>
      <c r="I6331">
        <v>2500</v>
      </c>
      <c r="J6331">
        <v>-2500</v>
      </c>
    </row>
    <row r="6332" spans="1:10" x14ac:dyDescent="0.3">
      <c r="A6332" s="15">
        <v>45992</v>
      </c>
      <c r="B6332" t="s">
        <v>417</v>
      </c>
      <c r="C6332" t="s">
        <v>110</v>
      </c>
      <c r="D6332" t="s">
        <v>86</v>
      </c>
      <c r="E6332" t="s">
        <v>92</v>
      </c>
      <c r="F6332">
        <v>35600</v>
      </c>
      <c r="G6332" t="s">
        <v>331</v>
      </c>
      <c r="H6332" s="15">
        <v>45717</v>
      </c>
      <c r="I6332">
        <v>35600</v>
      </c>
      <c r="J6332">
        <v>0</v>
      </c>
    </row>
    <row r="6333" spans="1:10" x14ac:dyDescent="0.3">
      <c r="A6333" s="15">
        <v>45992</v>
      </c>
      <c r="B6333" t="s">
        <v>418</v>
      </c>
      <c r="C6333" t="s">
        <v>81</v>
      </c>
      <c r="D6333" t="s">
        <v>86</v>
      </c>
      <c r="E6333" t="s">
        <v>92</v>
      </c>
      <c r="F6333">
        <v>1800</v>
      </c>
      <c r="G6333" t="s">
        <v>331</v>
      </c>
      <c r="H6333" s="15">
        <v>45748</v>
      </c>
      <c r="I6333">
        <v>1800</v>
      </c>
      <c r="J6333">
        <v>0</v>
      </c>
    </row>
    <row r="6334" spans="1:10" x14ac:dyDescent="0.3">
      <c r="A6334" s="15">
        <v>45992</v>
      </c>
      <c r="B6334" t="s">
        <v>419</v>
      </c>
      <c r="C6334" t="s">
        <v>125</v>
      </c>
      <c r="D6334" t="s">
        <v>96</v>
      </c>
      <c r="E6334" t="s">
        <v>103</v>
      </c>
      <c r="F6334">
        <v>73300</v>
      </c>
      <c r="G6334" t="s">
        <v>331</v>
      </c>
      <c r="H6334" s="15">
        <v>45748</v>
      </c>
      <c r="I6334">
        <v>73300</v>
      </c>
      <c r="J6334">
        <v>0</v>
      </c>
    </row>
    <row r="6335" spans="1:10" x14ac:dyDescent="0.3">
      <c r="A6335" s="15">
        <v>45992</v>
      </c>
      <c r="B6335" t="s">
        <v>420</v>
      </c>
      <c r="C6335" t="s">
        <v>110</v>
      </c>
      <c r="D6335" t="s">
        <v>96</v>
      </c>
      <c r="E6335" t="s">
        <v>103</v>
      </c>
      <c r="F6335">
        <v>22900</v>
      </c>
      <c r="G6335" t="s">
        <v>331</v>
      </c>
      <c r="H6335" s="15">
        <v>45748</v>
      </c>
      <c r="I6335">
        <v>22900</v>
      </c>
      <c r="J6335">
        <v>0</v>
      </c>
    </row>
    <row r="6336" spans="1:10" x14ac:dyDescent="0.3">
      <c r="A6336" s="15">
        <v>45992</v>
      </c>
      <c r="B6336" t="s">
        <v>421</v>
      </c>
      <c r="C6336" t="s">
        <v>110</v>
      </c>
      <c r="D6336" t="s">
        <v>82</v>
      </c>
      <c r="E6336" t="s">
        <v>103</v>
      </c>
      <c r="F6336">
        <v>18800</v>
      </c>
      <c r="G6336" t="s">
        <v>331</v>
      </c>
      <c r="H6336" s="15">
        <v>45748</v>
      </c>
      <c r="I6336">
        <v>18800</v>
      </c>
      <c r="J6336">
        <v>0</v>
      </c>
    </row>
    <row r="6337" spans="1:10" x14ac:dyDescent="0.3">
      <c r="A6337" s="15">
        <v>45992</v>
      </c>
      <c r="B6337" t="s">
        <v>422</v>
      </c>
      <c r="C6337" t="s">
        <v>81</v>
      </c>
      <c r="D6337" t="s">
        <v>82</v>
      </c>
      <c r="E6337" t="s">
        <v>97</v>
      </c>
      <c r="F6337">
        <v>2300</v>
      </c>
      <c r="G6337" t="s">
        <v>331</v>
      </c>
      <c r="H6337" s="15">
        <v>45748</v>
      </c>
      <c r="I6337">
        <v>2300</v>
      </c>
      <c r="J6337">
        <v>0</v>
      </c>
    </row>
    <row r="6338" spans="1:10" x14ac:dyDescent="0.3">
      <c r="A6338" s="15">
        <v>45992</v>
      </c>
      <c r="B6338" t="s">
        <v>423</v>
      </c>
      <c r="C6338" t="s">
        <v>125</v>
      </c>
      <c r="D6338" t="s">
        <v>86</v>
      </c>
      <c r="E6338" t="s">
        <v>97</v>
      </c>
      <c r="F6338">
        <v>52800</v>
      </c>
      <c r="G6338" t="s">
        <v>331</v>
      </c>
      <c r="H6338" s="15">
        <v>45748</v>
      </c>
      <c r="I6338">
        <v>52800</v>
      </c>
      <c r="J6338">
        <v>0</v>
      </c>
    </row>
    <row r="6339" spans="1:10" x14ac:dyDescent="0.3">
      <c r="A6339" s="15">
        <v>45992</v>
      </c>
      <c r="B6339" t="s">
        <v>425</v>
      </c>
      <c r="C6339" t="s">
        <v>110</v>
      </c>
      <c r="D6339" t="s">
        <v>82</v>
      </c>
      <c r="E6339" t="s">
        <v>97</v>
      </c>
      <c r="F6339">
        <v>22700</v>
      </c>
      <c r="G6339" t="s">
        <v>331</v>
      </c>
      <c r="H6339" s="15">
        <v>45778</v>
      </c>
      <c r="I6339">
        <v>22700</v>
      </c>
      <c r="J6339">
        <v>0</v>
      </c>
    </row>
    <row r="6340" spans="1:10" x14ac:dyDescent="0.3">
      <c r="A6340" s="15">
        <v>45992</v>
      </c>
      <c r="B6340" t="s">
        <v>426</v>
      </c>
      <c r="C6340" t="s">
        <v>81</v>
      </c>
      <c r="D6340" t="s">
        <v>82</v>
      </c>
      <c r="E6340" t="s">
        <v>89</v>
      </c>
      <c r="F6340">
        <v>1900</v>
      </c>
      <c r="G6340" t="s">
        <v>331</v>
      </c>
      <c r="H6340" s="15">
        <v>45778</v>
      </c>
      <c r="I6340">
        <v>1900</v>
      </c>
      <c r="J6340">
        <v>0</v>
      </c>
    </row>
    <row r="6341" spans="1:10" x14ac:dyDescent="0.3">
      <c r="A6341" s="15">
        <v>45992</v>
      </c>
      <c r="B6341" t="s">
        <v>427</v>
      </c>
      <c r="C6341" t="s">
        <v>110</v>
      </c>
      <c r="D6341" t="s">
        <v>82</v>
      </c>
      <c r="E6341" t="s">
        <v>83</v>
      </c>
      <c r="F6341">
        <v>25300</v>
      </c>
      <c r="G6341" t="s">
        <v>331</v>
      </c>
      <c r="H6341" s="15">
        <v>45778</v>
      </c>
      <c r="I6341">
        <v>25300</v>
      </c>
      <c r="J6341">
        <v>0</v>
      </c>
    </row>
    <row r="6342" spans="1:10" x14ac:dyDescent="0.3">
      <c r="A6342" s="15">
        <v>45992</v>
      </c>
      <c r="B6342" t="s">
        <v>428</v>
      </c>
      <c r="C6342" t="s">
        <v>81</v>
      </c>
      <c r="D6342" t="s">
        <v>86</v>
      </c>
      <c r="E6342" t="s">
        <v>89</v>
      </c>
      <c r="F6342">
        <v>2300</v>
      </c>
      <c r="G6342" t="s">
        <v>331</v>
      </c>
      <c r="H6342" s="15">
        <v>45778</v>
      </c>
      <c r="I6342">
        <v>2300</v>
      </c>
      <c r="J6342">
        <v>0</v>
      </c>
    </row>
    <row r="6343" spans="1:10" x14ac:dyDescent="0.3">
      <c r="A6343" s="15">
        <v>45992</v>
      </c>
      <c r="B6343" t="s">
        <v>429</v>
      </c>
      <c r="C6343" t="s">
        <v>81</v>
      </c>
      <c r="D6343" t="s">
        <v>82</v>
      </c>
      <c r="E6343" t="s">
        <v>97</v>
      </c>
      <c r="F6343">
        <v>2100</v>
      </c>
      <c r="G6343" t="s">
        <v>331</v>
      </c>
      <c r="H6343" s="15">
        <v>45809</v>
      </c>
      <c r="I6343">
        <v>2100</v>
      </c>
      <c r="J6343">
        <v>0</v>
      </c>
    </row>
    <row r="6344" spans="1:10" x14ac:dyDescent="0.3">
      <c r="A6344" s="15">
        <v>45992</v>
      </c>
      <c r="B6344" t="s">
        <v>430</v>
      </c>
      <c r="C6344" t="s">
        <v>110</v>
      </c>
      <c r="D6344" t="s">
        <v>82</v>
      </c>
      <c r="E6344" t="s">
        <v>87</v>
      </c>
      <c r="F6344">
        <v>24300</v>
      </c>
      <c r="G6344" t="s">
        <v>331</v>
      </c>
      <c r="H6344" s="15">
        <v>45809</v>
      </c>
      <c r="I6344">
        <v>24300</v>
      </c>
      <c r="J6344">
        <v>0</v>
      </c>
    </row>
    <row r="6345" spans="1:10" x14ac:dyDescent="0.3">
      <c r="A6345" s="15">
        <v>45992</v>
      </c>
      <c r="B6345" t="s">
        <v>431</v>
      </c>
      <c r="C6345" t="s">
        <v>110</v>
      </c>
      <c r="D6345" t="s">
        <v>82</v>
      </c>
      <c r="E6345" t="s">
        <v>101</v>
      </c>
      <c r="F6345">
        <v>19800</v>
      </c>
      <c r="G6345" t="s">
        <v>331</v>
      </c>
      <c r="H6345" s="15">
        <v>45809</v>
      </c>
      <c r="I6345">
        <v>19800</v>
      </c>
      <c r="J6345">
        <v>0</v>
      </c>
    </row>
    <row r="6346" spans="1:10" x14ac:dyDescent="0.3">
      <c r="A6346" s="15">
        <v>45992</v>
      </c>
      <c r="B6346" t="s">
        <v>432</v>
      </c>
      <c r="C6346" t="s">
        <v>81</v>
      </c>
      <c r="D6346" t="s">
        <v>82</v>
      </c>
      <c r="E6346" t="s">
        <v>83</v>
      </c>
      <c r="F6346">
        <v>0</v>
      </c>
      <c r="G6346" t="s">
        <v>333</v>
      </c>
      <c r="H6346" s="15">
        <v>45809</v>
      </c>
      <c r="I6346">
        <v>2400</v>
      </c>
      <c r="J6346">
        <v>-2400</v>
      </c>
    </row>
    <row r="6347" spans="1:10" x14ac:dyDescent="0.3">
      <c r="A6347" s="15">
        <v>45992</v>
      </c>
      <c r="B6347" t="s">
        <v>435</v>
      </c>
      <c r="C6347" t="s">
        <v>81</v>
      </c>
      <c r="D6347" t="s">
        <v>82</v>
      </c>
      <c r="E6347" t="s">
        <v>92</v>
      </c>
      <c r="F6347">
        <v>1400</v>
      </c>
      <c r="G6347" t="s">
        <v>331</v>
      </c>
      <c r="H6347" s="15">
        <v>45809</v>
      </c>
      <c r="I6347">
        <v>1400</v>
      </c>
      <c r="J6347">
        <v>0</v>
      </c>
    </row>
    <row r="6348" spans="1:10" x14ac:dyDescent="0.3">
      <c r="A6348" s="15">
        <v>45992</v>
      </c>
      <c r="B6348" t="s">
        <v>436</v>
      </c>
      <c r="C6348" t="s">
        <v>81</v>
      </c>
      <c r="D6348" t="s">
        <v>82</v>
      </c>
      <c r="E6348" t="s">
        <v>97</v>
      </c>
      <c r="F6348">
        <v>2100</v>
      </c>
      <c r="G6348" t="s">
        <v>331</v>
      </c>
      <c r="H6348" s="15">
        <v>45839</v>
      </c>
      <c r="I6348">
        <v>2100</v>
      </c>
      <c r="J6348">
        <v>0</v>
      </c>
    </row>
    <row r="6349" spans="1:10" x14ac:dyDescent="0.3">
      <c r="A6349" s="15">
        <v>45992</v>
      </c>
      <c r="B6349" t="s">
        <v>437</v>
      </c>
      <c r="C6349" t="s">
        <v>81</v>
      </c>
      <c r="D6349" t="s">
        <v>99</v>
      </c>
      <c r="E6349" t="s">
        <v>92</v>
      </c>
      <c r="F6349">
        <v>1600</v>
      </c>
      <c r="G6349" t="s">
        <v>331</v>
      </c>
      <c r="H6349" s="15">
        <v>45839</v>
      </c>
      <c r="I6349">
        <v>1600</v>
      </c>
      <c r="J6349">
        <v>0</v>
      </c>
    </row>
    <row r="6350" spans="1:10" x14ac:dyDescent="0.3">
      <c r="A6350" s="15">
        <v>45992</v>
      </c>
      <c r="B6350" t="s">
        <v>438</v>
      </c>
      <c r="C6350" t="s">
        <v>91</v>
      </c>
      <c r="D6350" t="s">
        <v>96</v>
      </c>
      <c r="E6350" t="s">
        <v>101</v>
      </c>
      <c r="F6350">
        <v>8600</v>
      </c>
      <c r="G6350" t="s">
        <v>331</v>
      </c>
      <c r="H6350" s="15">
        <v>45839</v>
      </c>
      <c r="I6350">
        <v>8600</v>
      </c>
      <c r="J6350">
        <v>0</v>
      </c>
    </row>
    <row r="6351" spans="1:10" x14ac:dyDescent="0.3">
      <c r="A6351" s="15">
        <v>45992</v>
      </c>
      <c r="B6351" t="s">
        <v>439</v>
      </c>
      <c r="C6351" t="s">
        <v>81</v>
      </c>
      <c r="D6351" t="s">
        <v>99</v>
      </c>
      <c r="E6351" t="s">
        <v>87</v>
      </c>
      <c r="F6351">
        <v>1700</v>
      </c>
      <c r="G6351" t="s">
        <v>331</v>
      </c>
      <c r="H6351" s="15">
        <v>45839</v>
      </c>
      <c r="I6351">
        <v>1700</v>
      </c>
      <c r="J6351">
        <v>0</v>
      </c>
    </row>
    <row r="6352" spans="1:10" x14ac:dyDescent="0.3">
      <c r="A6352" s="15">
        <v>45992</v>
      </c>
      <c r="B6352" t="s">
        <v>440</v>
      </c>
      <c r="C6352" t="s">
        <v>81</v>
      </c>
      <c r="D6352" t="s">
        <v>82</v>
      </c>
      <c r="E6352" t="s">
        <v>97</v>
      </c>
      <c r="F6352">
        <v>2200</v>
      </c>
      <c r="G6352" t="s">
        <v>331</v>
      </c>
      <c r="H6352" s="15">
        <v>45839</v>
      </c>
      <c r="I6352">
        <v>2200</v>
      </c>
      <c r="J6352">
        <v>0</v>
      </c>
    </row>
    <row r="6353" spans="1:10" x14ac:dyDescent="0.3">
      <c r="A6353" s="15">
        <v>45992</v>
      </c>
      <c r="B6353" t="s">
        <v>441</v>
      </c>
      <c r="C6353" t="s">
        <v>110</v>
      </c>
      <c r="D6353" t="s">
        <v>86</v>
      </c>
      <c r="E6353" t="s">
        <v>97</v>
      </c>
      <c r="F6353">
        <v>35800</v>
      </c>
      <c r="G6353" t="s">
        <v>331</v>
      </c>
      <c r="H6353" s="15">
        <v>45839</v>
      </c>
      <c r="I6353">
        <v>35800</v>
      </c>
      <c r="J6353">
        <v>0</v>
      </c>
    </row>
    <row r="6354" spans="1:10" x14ac:dyDescent="0.3">
      <c r="A6354" s="15">
        <v>45992</v>
      </c>
      <c r="B6354" t="s">
        <v>442</v>
      </c>
      <c r="C6354" t="s">
        <v>110</v>
      </c>
      <c r="D6354" t="s">
        <v>86</v>
      </c>
      <c r="E6354" t="s">
        <v>83</v>
      </c>
      <c r="F6354">
        <v>23900</v>
      </c>
      <c r="G6354" t="s">
        <v>331</v>
      </c>
      <c r="H6354" s="15">
        <v>45870</v>
      </c>
      <c r="I6354">
        <v>23900</v>
      </c>
      <c r="J6354">
        <v>0</v>
      </c>
    </row>
    <row r="6355" spans="1:10" x14ac:dyDescent="0.3">
      <c r="A6355" s="15">
        <v>45992</v>
      </c>
      <c r="B6355" t="s">
        <v>443</v>
      </c>
      <c r="C6355" t="s">
        <v>81</v>
      </c>
      <c r="D6355" t="s">
        <v>86</v>
      </c>
      <c r="E6355" t="s">
        <v>101</v>
      </c>
      <c r="F6355">
        <v>1800</v>
      </c>
      <c r="G6355" t="s">
        <v>331</v>
      </c>
      <c r="H6355" s="15">
        <v>45870</v>
      </c>
      <c r="I6355">
        <v>1800</v>
      </c>
      <c r="J6355">
        <v>0</v>
      </c>
    </row>
    <row r="6356" spans="1:10" x14ac:dyDescent="0.3">
      <c r="A6356" s="15">
        <v>45992</v>
      </c>
      <c r="B6356" t="s">
        <v>444</v>
      </c>
      <c r="C6356" t="s">
        <v>125</v>
      </c>
      <c r="D6356" t="s">
        <v>82</v>
      </c>
      <c r="E6356" t="s">
        <v>92</v>
      </c>
      <c r="F6356">
        <v>68100</v>
      </c>
      <c r="G6356" t="s">
        <v>331</v>
      </c>
      <c r="H6356" s="15">
        <v>45870</v>
      </c>
      <c r="I6356">
        <v>68100</v>
      </c>
      <c r="J6356">
        <v>0</v>
      </c>
    </row>
    <row r="6357" spans="1:10" x14ac:dyDescent="0.3">
      <c r="A6357" s="15">
        <v>45992</v>
      </c>
      <c r="B6357" t="s">
        <v>445</v>
      </c>
      <c r="C6357" t="s">
        <v>91</v>
      </c>
      <c r="D6357" t="s">
        <v>82</v>
      </c>
      <c r="E6357" t="s">
        <v>89</v>
      </c>
      <c r="F6357">
        <v>4700</v>
      </c>
      <c r="G6357" t="s">
        <v>331</v>
      </c>
      <c r="H6357" s="15">
        <v>45870</v>
      </c>
      <c r="I6357">
        <v>4700</v>
      </c>
      <c r="J6357">
        <v>0</v>
      </c>
    </row>
    <row r="6358" spans="1:10" x14ac:dyDescent="0.3">
      <c r="A6358" s="15">
        <v>45992</v>
      </c>
      <c r="B6358" t="s">
        <v>446</v>
      </c>
      <c r="C6358" t="s">
        <v>81</v>
      </c>
      <c r="D6358" t="s">
        <v>86</v>
      </c>
      <c r="E6358" t="s">
        <v>97</v>
      </c>
      <c r="F6358">
        <v>1800</v>
      </c>
      <c r="G6358" t="s">
        <v>331</v>
      </c>
      <c r="H6358" s="15">
        <v>45870</v>
      </c>
      <c r="I6358">
        <v>1800</v>
      </c>
      <c r="J6358">
        <v>0</v>
      </c>
    </row>
    <row r="6359" spans="1:10" x14ac:dyDescent="0.3">
      <c r="A6359" s="15">
        <v>45992</v>
      </c>
      <c r="B6359" t="s">
        <v>447</v>
      </c>
      <c r="C6359" t="s">
        <v>81</v>
      </c>
      <c r="D6359" t="s">
        <v>86</v>
      </c>
      <c r="E6359" t="s">
        <v>103</v>
      </c>
      <c r="F6359">
        <v>2300</v>
      </c>
      <c r="G6359" t="s">
        <v>331</v>
      </c>
      <c r="H6359" s="15">
        <v>45870</v>
      </c>
      <c r="I6359">
        <v>2300</v>
      </c>
      <c r="J6359">
        <v>0</v>
      </c>
    </row>
    <row r="6360" spans="1:10" x14ac:dyDescent="0.3">
      <c r="A6360" s="15">
        <v>45992</v>
      </c>
      <c r="B6360" t="s">
        <v>448</v>
      </c>
      <c r="C6360" t="s">
        <v>125</v>
      </c>
      <c r="D6360" t="s">
        <v>86</v>
      </c>
      <c r="E6360" t="s">
        <v>89</v>
      </c>
      <c r="F6360">
        <v>64000</v>
      </c>
      <c r="G6360" t="s">
        <v>331</v>
      </c>
      <c r="H6360" s="15">
        <v>45870</v>
      </c>
      <c r="I6360">
        <v>64000</v>
      </c>
      <c r="J6360">
        <v>0</v>
      </c>
    </row>
    <row r="6361" spans="1:10" x14ac:dyDescent="0.3">
      <c r="A6361" s="15">
        <v>45992</v>
      </c>
      <c r="B6361" t="s">
        <v>449</v>
      </c>
      <c r="C6361" t="s">
        <v>81</v>
      </c>
      <c r="D6361" t="s">
        <v>82</v>
      </c>
      <c r="E6361" t="s">
        <v>92</v>
      </c>
      <c r="F6361">
        <v>1600</v>
      </c>
      <c r="G6361" t="s">
        <v>332</v>
      </c>
      <c r="H6361" s="15">
        <v>45870</v>
      </c>
      <c r="I6361">
        <v>1400</v>
      </c>
      <c r="J6361">
        <v>200</v>
      </c>
    </row>
    <row r="6362" spans="1:10" x14ac:dyDescent="0.3">
      <c r="A6362" s="15">
        <v>45992</v>
      </c>
      <c r="B6362" t="s">
        <v>450</v>
      </c>
      <c r="C6362" t="s">
        <v>81</v>
      </c>
      <c r="D6362" t="s">
        <v>86</v>
      </c>
      <c r="E6362" t="s">
        <v>89</v>
      </c>
      <c r="F6362">
        <v>1700</v>
      </c>
      <c r="G6362" t="s">
        <v>332</v>
      </c>
      <c r="H6362" s="15">
        <v>45901</v>
      </c>
      <c r="I6362">
        <v>1500</v>
      </c>
      <c r="J6362">
        <v>200</v>
      </c>
    </row>
    <row r="6363" spans="1:10" x14ac:dyDescent="0.3">
      <c r="A6363" s="15">
        <v>45992</v>
      </c>
      <c r="B6363" t="s">
        <v>451</v>
      </c>
      <c r="C6363" t="s">
        <v>110</v>
      </c>
      <c r="D6363" t="s">
        <v>82</v>
      </c>
      <c r="E6363" t="s">
        <v>92</v>
      </c>
      <c r="F6363">
        <v>26100</v>
      </c>
      <c r="G6363" t="s">
        <v>331</v>
      </c>
      <c r="H6363" s="15">
        <v>45901</v>
      </c>
      <c r="I6363">
        <v>26100</v>
      </c>
      <c r="J6363">
        <v>0</v>
      </c>
    </row>
    <row r="6364" spans="1:10" x14ac:dyDescent="0.3">
      <c r="A6364" s="15">
        <v>45992</v>
      </c>
      <c r="B6364" t="s">
        <v>452</v>
      </c>
      <c r="C6364" t="s">
        <v>91</v>
      </c>
      <c r="D6364" t="s">
        <v>86</v>
      </c>
      <c r="E6364" t="s">
        <v>92</v>
      </c>
      <c r="F6364">
        <v>8600</v>
      </c>
      <c r="G6364" t="s">
        <v>331</v>
      </c>
      <c r="H6364" s="15">
        <v>45901</v>
      </c>
      <c r="I6364">
        <v>8600</v>
      </c>
      <c r="J6364">
        <v>0</v>
      </c>
    </row>
    <row r="6365" spans="1:10" x14ac:dyDescent="0.3">
      <c r="A6365" s="15">
        <v>45992</v>
      </c>
      <c r="B6365" t="s">
        <v>453</v>
      </c>
      <c r="C6365" t="s">
        <v>110</v>
      </c>
      <c r="D6365" t="s">
        <v>82</v>
      </c>
      <c r="E6365" t="s">
        <v>101</v>
      </c>
      <c r="F6365">
        <v>0</v>
      </c>
      <c r="G6365" t="s">
        <v>333</v>
      </c>
      <c r="H6365" s="15">
        <v>45901</v>
      </c>
      <c r="I6365">
        <v>21700</v>
      </c>
      <c r="J6365">
        <v>-21700</v>
      </c>
    </row>
    <row r="6366" spans="1:10" x14ac:dyDescent="0.3">
      <c r="A6366" s="15">
        <v>45992</v>
      </c>
      <c r="B6366" t="s">
        <v>454</v>
      </c>
      <c r="C6366" t="s">
        <v>91</v>
      </c>
      <c r="D6366" t="s">
        <v>82</v>
      </c>
      <c r="E6366" t="s">
        <v>89</v>
      </c>
      <c r="F6366">
        <v>6200</v>
      </c>
      <c r="G6366" t="s">
        <v>331</v>
      </c>
      <c r="H6366" s="15">
        <v>45901</v>
      </c>
      <c r="I6366">
        <v>6200</v>
      </c>
      <c r="J6366">
        <v>0</v>
      </c>
    </row>
    <row r="6367" spans="1:10" x14ac:dyDescent="0.3">
      <c r="A6367" s="15">
        <v>45992</v>
      </c>
      <c r="B6367" t="s">
        <v>455</v>
      </c>
      <c r="C6367" t="s">
        <v>125</v>
      </c>
      <c r="D6367" t="s">
        <v>99</v>
      </c>
      <c r="E6367" t="s">
        <v>103</v>
      </c>
      <c r="F6367">
        <v>75900</v>
      </c>
      <c r="G6367" t="s">
        <v>331</v>
      </c>
      <c r="H6367" s="15">
        <v>45901</v>
      </c>
      <c r="I6367">
        <v>75900</v>
      </c>
      <c r="J6367">
        <v>0</v>
      </c>
    </row>
    <row r="6368" spans="1:10" x14ac:dyDescent="0.3">
      <c r="A6368" s="15">
        <v>45992</v>
      </c>
      <c r="B6368" t="s">
        <v>456</v>
      </c>
      <c r="C6368" t="s">
        <v>81</v>
      </c>
      <c r="D6368" t="s">
        <v>82</v>
      </c>
      <c r="E6368" t="s">
        <v>103</v>
      </c>
      <c r="F6368">
        <v>2000</v>
      </c>
      <c r="G6368" t="s">
        <v>331</v>
      </c>
      <c r="H6368" s="15">
        <v>45901</v>
      </c>
      <c r="I6368">
        <v>2000</v>
      </c>
      <c r="J6368">
        <v>0</v>
      </c>
    </row>
    <row r="6369" spans="1:10" x14ac:dyDescent="0.3">
      <c r="A6369" s="15">
        <v>45992</v>
      </c>
      <c r="B6369" t="s">
        <v>457</v>
      </c>
      <c r="C6369" t="s">
        <v>81</v>
      </c>
      <c r="D6369" t="s">
        <v>86</v>
      </c>
      <c r="E6369" t="s">
        <v>89</v>
      </c>
      <c r="F6369">
        <v>2200</v>
      </c>
      <c r="G6369" t="s">
        <v>331</v>
      </c>
      <c r="H6369" s="15">
        <v>45931</v>
      </c>
      <c r="I6369">
        <v>2200</v>
      </c>
      <c r="J6369">
        <v>0</v>
      </c>
    </row>
    <row r="6370" spans="1:10" x14ac:dyDescent="0.3">
      <c r="A6370" s="15">
        <v>45992</v>
      </c>
      <c r="B6370" t="s">
        <v>458</v>
      </c>
      <c r="C6370" t="s">
        <v>91</v>
      </c>
      <c r="D6370" t="s">
        <v>86</v>
      </c>
      <c r="E6370" t="s">
        <v>83</v>
      </c>
      <c r="F6370">
        <v>8300</v>
      </c>
      <c r="G6370" t="s">
        <v>331</v>
      </c>
      <c r="H6370" s="15">
        <v>45931</v>
      </c>
      <c r="I6370">
        <v>8300</v>
      </c>
      <c r="J6370">
        <v>0</v>
      </c>
    </row>
    <row r="6371" spans="1:10" x14ac:dyDescent="0.3">
      <c r="A6371" s="15">
        <v>45992</v>
      </c>
      <c r="B6371" t="s">
        <v>459</v>
      </c>
      <c r="C6371" t="s">
        <v>91</v>
      </c>
      <c r="D6371" t="s">
        <v>99</v>
      </c>
      <c r="E6371" t="s">
        <v>87</v>
      </c>
      <c r="F6371">
        <v>5800</v>
      </c>
      <c r="G6371" t="s">
        <v>331</v>
      </c>
      <c r="H6371" s="15">
        <v>45931</v>
      </c>
      <c r="I6371">
        <v>5800</v>
      </c>
      <c r="J6371">
        <v>0</v>
      </c>
    </row>
    <row r="6372" spans="1:10" x14ac:dyDescent="0.3">
      <c r="A6372" s="15">
        <v>45992</v>
      </c>
      <c r="B6372" t="s">
        <v>460</v>
      </c>
      <c r="C6372" t="s">
        <v>91</v>
      </c>
      <c r="D6372" t="s">
        <v>86</v>
      </c>
      <c r="E6372" t="s">
        <v>101</v>
      </c>
      <c r="F6372">
        <v>5300</v>
      </c>
      <c r="G6372" t="s">
        <v>331</v>
      </c>
      <c r="H6372" s="15">
        <v>45931</v>
      </c>
      <c r="I6372">
        <v>5300</v>
      </c>
      <c r="J6372">
        <v>0</v>
      </c>
    </row>
    <row r="6373" spans="1:10" x14ac:dyDescent="0.3">
      <c r="A6373" s="15">
        <v>45992</v>
      </c>
      <c r="B6373" t="s">
        <v>461</v>
      </c>
      <c r="C6373" t="s">
        <v>81</v>
      </c>
      <c r="D6373" t="s">
        <v>86</v>
      </c>
      <c r="E6373" t="s">
        <v>92</v>
      </c>
      <c r="F6373">
        <v>1500</v>
      </c>
      <c r="G6373" t="s">
        <v>331</v>
      </c>
      <c r="H6373" s="15">
        <v>45931</v>
      </c>
      <c r="I6373">
        <v>1500</v>
      </c>
      <c r="J6373">
        <v>0</v>
      </c>
    </row>
    <row r="6374" spans="1:10" x14ac:dyDescent="0.3">
      <c r="A6374" s="15">
        <v>45992</v>
      </c>
      <c r="B6374" t="s">
        <v>462</v>
      </c>
      <c r="C6374" t="s">
        <v>81</v>
      </c>
      <c r="D6374" t="s">
        <v>86</v>
      </c>
      <c r="E6374" t="s">
        <v>92</v>
      </c>
      <c r="F6374">
        <v>2200</v>
      </c>
      <c r="G6374" t="s">
        <v>331</v>
      </c>
      <c r="H6374" s="15">
        <v>45931</v>
      </c>
      <c r="I6374">
        <v>2200</v>
      </c>
      <c r="J6374">
        <v>0</v>
      </c>
    </row>
    <row r="6375" spans="1:10" x14ac:dyDescent="0.3">
      <c r="A6375" s="15">
        <v>45992</v>
      </c>
      <c r="B6375" t="s">
        <v>463</v>
      </c>
      <c r="C6375" t="s">
        <v>91</v>
      </c>
      <c r="D6375" t="s">
        <v>86</v>
      </c>
      <c r="E6375" t="s">
        <v>89</v>
      </c>
      <c r="F6375">
        <v>8800</v>
      </c>
      <c r="G6375" t="s">
        <v>331</v>
      </c>
      <c r="H6375" s="15">
        <v>45962</v>
      </c>
      <c r="I6375">
        <v>8800</v>
      </c>
      <c r="J6375">
        <v>0</v>
      </c>
    </row>
    <row r="6376" spans="1:10" x14ac:dyDescent="0.3">
      <c r="A6376" s="15">
        <v>45992</v>
      </c>
      <c r="B6376" t="s">
        <v>464</v>
      </c>
      <c r="C6376" t="s">
        <v>91</v>
      </c>
      <c r="D6376" t="s">
        <v>99</v>
      </c>
      <c r="E6376" t="s">
        <v>87</v>
      </c>
      <c r="F6376">
        <v>6000</v>
      </c>
      <c r="G6376" t="s">
        <v>331</v>
      </c>
      <c r="H6376" s="15">
        <v>45962</v>
      </c>
      <c r="I6376">
        <v>6000</v>
      </c>
      <c r="J6376">
        <v>0</v>
      </c>
    </row>
    <row r="6377" spans="1:10" x14ac:dyDescent="0.3">
      <c r="A6377" s="15">
        <v>45992</v>
      </c>
      <c r="B6377" t="s">
        <v>465</v>
      </c>
      <c r="C6377" t="s">
        <v>81</v>
      </c>
      <c r="D6377" t="s">
        <v>86</v>
      </c>
      <c r="E6377" t="s">
        <v>87</v>
      </c>
      <c r="F6377">
        <v>2000</v>
      </c>
      <c r="G6377" t="s">
        <v>331</v>
      </c>
      <c r="H6377" s="15">
        <v>45962</v>
      </c>
      <c r="I6377">
        <v>2000</v>
      </c>
      <c r="J6377">
        <v>0</v>
      </c>
    </row>
    <row r="6378" spans="1:10" x14ac:dyDescent="0.3">
      <c r="A6378" s="15">
        <v>45992</v>
      </c>
      <c r="B6378" t="s">
        <v>466</v>
      </c>
      <c r="C6378" t="s">
        <v>81</v>
      </c>
      <c r="D6378" t="s">
        <v>99</v>
      </c>
      <c r="E6378" t="s">
        <v>92</v>
      </c>
      <c r="F6378">
        <v>1400</v>
      </c>
      <c r="G6378" t="s">
        <v>331</v>
      </c>
      <c r="H6378" s="15">
        <v>45962</v>
      </c>
      <c r="I6378">
        <v>1400</v>
      </c>
      <c r="J6378">
        <v>0</v>
      </c>
    </row>
    <row r="6379" spans="1:10" x14ac:dyDescent="0.3">
      <c r="A6379" s="15">
        <v>45992</v>
      </c>
      <c r="B6379" t="s">
        <v>467</v>
      </c>
      <c r="C6379" t="s">
        <v>91</v>
      </c>
      <c r="D6379" t="s">
        <v>86</v>
      </c>
      <c r="E6379" t="s">
        <v>89</v>
      </c>
      <c r="F6379">
        <v>8200</v>
      </c>
      <c r="G6379" t="s">
        <v>331</v>
      </c>
      <c r="H6379" s="15">
        <v>45962</v>
      </c>
      <c r="I6379">
        <v>8200</v>
      </c>
      <c r="J6379">
        <v>0</v>
      </c>
    </row>
    <row r="6380" spans="1:10" x14ac:dyDescent="0.3">
      <c r="A6380" s="15">
        <v>45992</v>
      </c>
      <c r="B6380" t="s">
        <v>468</v>
      </c>
      <c r="C6380" t="s">
        <v>81</v>
      </c>
      <c r="D6380" t="s">
        <v>86</v>
      </c>
      <c r="E6380" t="s">
        <v>92</v>
      </c>
      <c r="F6380">
        <v>1900</v>
      </c>
      <c r="G6380" t="s">
        <v>84</v>
      </c>
      <c r="H6380" s="15">
        <v>45992</v>
      </c>
      <c r="I6380">
        <v>0</v>
      </c>
      <c r="J6380">
        <v>1900</v>
      </c>
    </row>
    <row r="6381" spans="1:10" x14ac:dyDescent="0.3">
      <c r="A6381" s="15">
        <v>45992</v>
      </c>
      <c r="B6381" t="s">
        <v>469</v>
      </c>
      <c r="C6381" t="s">
        <v>81</v>
      </c>
      <c r="D6381" t="s">
        <v>86</v>
      </c>
      <c r="E6381" t="s">
        <v>87</v>
      </c>
      <c r="F6381">
        <v>2500</v>
      </c>
      <c r="G6381" t="s">
        <v>84</v>
      </c>
      <c r="H6381" s="15">
        <v>45992</v>
      </c>
      <c r="I6381">
        <v>0</v>
      </c>
      <c r="J6381">
        <v>2500</v>
      </c>
    </row>
    <row r="6382" spans="1:10" x14ac:dyDescent="0.3">
      <c r="A6382" s="15">
        <v>45992</v>
      </c>
      <c r="B6382" t="s">
        <v>470</v>
      </c>
      <c r="C6382" t="s">
        <v>81</v>
      </c>
      <c r="D6382" t="s">
        <v>86</v>
      </c>
      <c r="E6382" t="s">
        <v>103</v>
      </c>
      <c r="F6382">
        <v>1600</v>
      </c>
      <c r="G6382" t="s">
        <v>84</v>
      </c>
      <c r="H6382" s="15">
        <v>45992</v>
      </c>
      <c r="I6382">
        <v>0</v>
      </c>
      <c r="J6382">
        <v>1600</v>
      </c>
    </row>
    <row r="6383" spans="1:10" x14ac:dyDescent="0.3">
      <c r="A6383" s="15">
        <v>45992</v>
      </c>
      <c r="B6383" t="s">
        <v>471</v>
      </c>
      <c r="C6383" t="s">
        <v>110</v>
      </c>
      <c r="D6383" t="s">
        <v>86</v>
      </c>
      <c r="E6383" t="s">
        <v>103</v>
      </c>
      <c r="F6383">
        <v>31000</v>
      </c>
      <c r="G6383" t="s">
        <v>84</v>
      </c>
      <c r="H6383" s="15">
        <v>45992</v>
      </c>
      <c r="I6383">
        <v>0</v>
      </c>
      <c r="J6383">
        <v>31000</v>
      </c>
    </row>
    <row r="6384" spans="1:10" x14ac:dyDescent="0.3">
      <c r="A6384" s="15">
        <v>45992</v>
      </c>
      <c r="B6384" t="s">
        <v>472</v>
      </c>
      <c r="C6384" t="s">
        <v>91</v>
      </c>
      <c r="D6384" t="s">
        <v>86</v>
      </c>
      <c r="E6384" t="s">
        <v>97</v>
      </c>
      <c r="F6384">
        <v>5100</v>
      </c>
      <c r="G6384" t="s">
        <v>84</v>
      </c>
      <c r="H6384" s="15">
        <v>45992</v>
      </c>
      <c r="I6384">
        <v>0</v>
      </c>
      <c r="J6384">
        <v>5100</v>
      </c>
    </row>
    <row r="6385" spans="1:10" x14ac:dyDescent="0.3">
      <c r="A6385" s="15">
        <v>45992</v>
      </c>
      <c r="B6385" t="s">
        <v>473</v>
      </c>
      <c r="C6385" t="s">
        <v>110</v>
      </c>
      <c r="D6385" t="s">
        <v>86</v>
      </c>
      <c r="E6385" t="s">
        <v>97</v>
      </c>
      <c r="F6385">
        <v>20000</v>
      </c>
      <c r="G6385" t="s">
        <v>84</v>
      </c>
      <c r="H6385" s="15">
        <v>45992</v>
      </c>
      <c r="I6385">
        <v>0</v>
      </c>
      <c r="J6385">
        <v>20000</v>
      </c>
    </row>
    <row r="6386" spans="1:10" x14ac:dyDescent="0.3">
      <c r="A6386" s="15">
        <v>45992</v>
      </c>
      <c r="B6386" t="s">
        <v>474</v>
      </c>
      <c r="C6386" t="s">
        <v>81</v>
      </c>
      <c r="D6386" t="s">
        <v>99</v>
      </c>
      <c r="E6386" t="s">
        <v>92</v>
      </c>
      <c r="F6386">
        <v>1400</v>
      </c>
      <c r="G6386" t="s">
        <v>84</v>
      </c>
      <c r="H6386" s="15">
        <v>45992</v>
      </c>
      <c r="I6386">
        <v>0</v>
      </c>
      <c r="J6386">
        <v>1400</v>
      </c>
    </row>
    <row r="6387" spans="1:10" x14ac:dyDescent="0.3">
      <c r="A6387" s="15">
        <v>45992</v>
      </c>
      <c r="B6387" t="s">
        <v>475</v>
      </c>
      <c r="C6387" t="s">
        <v>110</v>
      </c>
      <c r="D6387" t="s">
        <v>82</v>
      </c>
      <c r="E6387" t="s">
        <v>101</v>
      </c>
      <c r="F6387">
        <v>35000</v>
      </c>
      <c r="G6387" t="s">
        <v>84</v>
      </c>
      <c r="H6387" s="15">
        <v>45992</v>
      </c>
      <c r="I6387">
        <v>0</v>
      </c>
      <c r="J6387">
        <v>35000</v>
      </c>
    </row>
    <row r="6388" spans="1:10" x14ac:dyDescent="0.3">
      <c r="A6388" s="15">
        <v>45992</v>
      </c>
      <c r="B6388" t="s">
        <v>476</v>
      </c>
      <c r="C6388" t="s">
        <v>81</v>
      </c>
      <c r="D6388" t="s">
        <v>82</v>
      </c>
      <c r="E6388" t="s">
        <v>89</v>
      </c>
      <c r="F6388">
        <v>2600</v>
      </c>
      <c r="G6388" t="s">
        <v>84</v>
      </c>
      <c r="H6388" s="15">
        <v>45992</v>
      </c>
      <c r="I6388">
        <v>0</v>
      </c>
      <c r="J6388">
        <v>2600</v>
      </c>
    </row>
    <row r="6389" spans="1:10" x14ac:dyDescent="0.3">
      <c r="A6389" s="15">
        <v>46023</v>
      </c>
      <c r="B6389" t="s">
        <v>80</v>
      </c>
      <c r="C6389" t="s">
        <v>81</v>
      </c>
      <c r="D6389" t="s">
        <v>82</v>
      </c>
      <c r="E6389" t="s">
        <v>83</v>
      </c>
      <c r="F6389">
        <v>1900</v>
      </c>
      <c r="G6389" t="s">
        <v>331</v>
      </c>
      <c r="H6389" s="15">
        <v>45292</v>
      </c>
      <c r="I6389">
        <v>1900</v>
      </c>
      <c r="J6389">
        <v>0</v>
      </c>
    </row>
    <row r="6390" spans="1:10" x14ac:dyDescent="0.3">
      <c r="A6390" s="15">
        <v>46023</v>
      </c>
      <c r="B6390" t="s">
        <v>85</v>
      </c>
      <c r="C6390" t="s">
        <v>81</v>
      </c>
      <c r="D6390" t="s">
        <v>86</v>
      </c>
      <c r="E6390" t="s">
        <v>87</v>
      </c>
      <c r="F6390">
        <v>2400</v>
      </c>
      <c r="G6390" t="s">
        <v>331</v>
      </c>
      <c r="H6390" s="15">
        <v>45292</v>
      </c>
      <c r="I6390">
        <v>2400</v>
      </c>
      <c r="J6390">
        <v>0</v>
      </c>
    </row>
    <row r="6391" spans="1:10" x14ac:dyDescent="0.3">
      <c r="A6391" s="15">
        <v>46023</v>
      </c>
      <c r="B6391" t="s">
        <v>88</v>
      </c>
      <c r="C6391" t="s">
        <v>81</v>
      </c>
      <c r="D6391" t="s">
        <v>86</v>
      </c>
      <c r="E6391" t="s">
        <v>89</v>
      </c>
      <c r="F6391">
        <v>2400</v>
      </c>
      <c r="G6391" t="s">
        <v>331</v>
      </c>
      <c r="H6391" s="15">
        <v>45292</v>
      </c>
      <c r="I6391">
        <v>2400</v>
      </c>
      <c r="J6391">
        <v>0</v>
      </c>
    </row>
    <row r="6392" spans="1:10" x14ac:dyDescent="0.3">
      <c r="A6392" s="15">
        <v>46023</v>
      </c>
      <c r="B6392" t="s">
        <v>90</v>
      </c>
      <c r="C6392" t="s">
        <v>91</v>
      </c>
      <c r="D6392" t="s">
        <v>82</v>
      </c>
      <c r="E6392" t="s">
        <v>92</v>
      </c>
      <c r="F6392">
        <v>9200</v>
      </c>
      <c r="G6392" t="s">
        <v>331</v>
      </c>
      <c r="H6392" s="15">
        <v>45292</v>
      </c>
      <c r="I6392">
        <v>9200</v>
      </c>
      <c r="J6392">
        <v>0</v>
      </c>
    </row>
    <row r="6393" spans="1:10" x14ac:dyDescent="0.3">
      <c r="A6393" s="15">
        <v>46023</v>
      </c>
      <c r="B6393" t="s">
        <v>93</v>
      </c>
      <c r="C6393" t="s">
        <v>81</v>
      </c>
      <c r="D6393" t="s">
        <v>86</v>
      </c>
      <c r="E6393" t="s">
        <v>83</v>
      </c>
      <c r="F6393">
        <v>2600</v>
      </c>
      <c r="G6393" t="s">
        <v>331</v>
      </c>
      <c r="H6393" s="15">
        <v>45292</v>
      </c>
      <c r="I6393">
        <v>2600</v>
      </c>
      <c r="J6393">
        <v>0</v>
      </c>
    </row>
    <row r="6394" spans="1:10" x14ac:dyDescent="0.3">
      <c r="A6394" s="15">
        <v>46023</v>
      </c>
      <c r="B6394" t="s">
        <v>94</v>
      </c>
      <c r="C6394" t="s">
        <v>91</v>
      </c>
      <c r="D6394" t="s">
        <v>86</v>
      </c>
      <c r="E6394" t="s">
        <v>83</v>
      </c>
      <c r="F6394">
        <v>8500</v>
      </c>
      <c r="G6394" t="s">
        <v>331</v>
      </c>
      <c r="H6394" s="15">
        <v>45292</v>
      </c>
      <c r="I6394">
        <v>8500</v>
      </c>
      <c r="J6394">
        <v>0</v>
      </c>
    </row>
    <row r="6395" spans="1:10" x14ac:dyDescent="0.3">
      <c r="A6395" s="15">
        <v>46023</v>
      </c>
      <c r="B6395" t="s">
        <v>95</v>
      </c>
      <c r="C6395" t="s">
        <v>81</v>
      </c>
      <c r="D6395" t="s">
        <v>96</v>
      </c>
      <c r="E6395" t="s">
        <v>97</v>
      </c>
      <c r="F6395">
        <v>3100</v>
      </c>
      <c r="G6395" t="s">
        <v>331</v>
      </c>
      <c r="H6395" s="15">
        <v>45292</v>
      </c>
      <c r="I6395">
        <v>3100</v>
      </c>
      <c r="J6395">
        <v>0</v>
      </c>
    </row>
    <row r="6396" spans="1:10" x14ac:dyDescent="0.3">
      <c r="A6396" s="15">
        <v>46023</v>
      </c>
      <c r="B6396" t="s">
        <v>98</v>
      </c>
      <c r="C6396" t="s">
        <v>81</v>
      </c>
      <c r="D6396" t="s">
        <v>99</v>
      </c>
      <c r="E6396" t="s">
        <v>92</v>
      </c>
      <c r="F6396">
        <v>2000</v>
      </c>
      <c r="G6396" t="s">
        <v>334</v>
      </c>
      <c r="H6396" s="15">
        <v>45292</v>
      </c>
      <c r="I6396">
        <v>2300</v>
      </c>
      <c r="J6396">
        <v>-300</v>
      </c>
    </row>
    <row r="6397" spans="1:10" x14ac:dyDescent="0.3">
      <c r="A6397" s="15">
        <v>46023</v>
      </c>
      <c r="B6397" t="s">
        <v>100</v>
      </c>
      <c r="C6397" t="s">
        <v>81</v>
      </c>
      <c r="D6397" t="s">
        <v>86</v>
      </c>
      <c r="E6397" t="s">
        <v>101</v>
      </c>
      <c r="F6397">
        <v>0</v>
      </c>
      <c r="G6397" t="s">
        <v>333</v>
      </c>
      <c r="H6397" s="15">
        <v>45292</v>
      </c>
      <c r="I6397">
        <v>1800</v>
      </c>
      <c r="J6397">
        <v>-1800</v>
      </c>
    </row>
    <row r="6398" spans="1:10" x14ac:dyDescent="0.3">
      <c r="A6398" s="15">
        <v>46023</v>
      </c>
      <c r="B6398" t="s">
        <v>102</v>
      </c>
      <c r="C6398" t="s">
        <v>81</v>
      </c>
      <c r="D6398" t="s">
        <v>99</v>
      </c>
      <c r="E6398" t="s">
        <v>103</v>
      </c>
      <c r="F6398">
        <v>2900</v>
      </c>
      <c r="G6398" t="s">
        <v>331</v>
      </c>
      <c r="H6398" s="15">
        <v>45292</v>
      </c>
      <c r="I6398">
        <v>2900</v>
      </c>
      <c r="J6398">
        <v>0</v>
      </c>
    </row>
    <row r="6399" spans="1:10" x14ac:dyDescent="0.3">
      <c r="A6399" s="15">
        <v>46023</v>
      </c>
      <c r="B6399" t="s">
        <v>104</v>
      </c>
      <c r="C6399" t="s">
        <v>91</v>
      </c>
      <c r="D6399" t="s">
        <v>99</v>
      </c>
      <c r="E6399" t="s">
        <v>87</v>
      </c>
      <c r="F6399">
        <v>7000</v>
      </c>
      <c r="G6399" t="s">
        <v>331</v>
      </c>
      <c r="H6399" s="15">
        <v>45292</v>
      </c>
      <c r="I6399">
        <v>7000</v>
      </c>
      <c r="J6399">
        <v>0</v>
      </c>
    </row>
    <row r="6400" spans="1:10" x14ac:dyDescent="0.3">
      <c r="A6400" s="15">
        <v>46023</v>
      </c>
      <c r="B6400" t="s">
        <v>105</v>
      </c>
      <c r="C6400" t="s">
        <v>91</v>
      </c>
      <c r="D6400" t="s">
        <v>86</v>
      </c>
      <c r="E6400" t="s">
        <v>89</v>
      </c>
      <c r="F6400">
        <v>12900</v>
      </c>
      <c r="G6400" t="s">
        <v>331</v>
      </c>
      <c r="H6400" s="15">
        <v>45292</v>
      </c>
      <c r="I6400">
        <v>12900</v>
      </c>
      <c r="J6400">
        <v>0</v>
      </c>
    </row>
    <row r="6401" spans="1:10" x14ac:dyDescent="0.3">
      <c r="A6401" s="15">
        <v>46023</v>
      </c>
      <c r="B6401" t="s">
        <v>106</v>
      </c>
      <c r="C6401" t="s">
        <v>81</v>
      </c>
      <c r="D6401" t="s">
        <v>99</v>
      </c>
      <c r="E6401" t="s">
        <v>92</v>
      </c>
      <c r="F6401">
        <v>2700</v>
      </c>
      <c r="G6401" t="s">
        <v>331</v>
      </c>
      <c r="H6401" s="15">
        <v>45292</v>
      </c>
      <c r="I6401">
        <v>2700</v>
      </c>
      <c r="J6401">
        <v>0</v>
      </c>
    </row>
    <row r="6402" spans="1:10" x14ac:dyDescent="0.3">
      <c r="A6402" s="15">
        <v>46023</v>
      </c>
      <c r="B6402" t="s">
        <v>109</v>
      </c>
      <c r="C6402" t="s">
        <v>110</v>
      </c>
      <c r="D6402" t="s">
        <v>82</v>
      </c>
      <c r="E6402" t="s">
        <v>103</v>
      </c>
      <c r="F6402">
        <v>37500</v>
      </c>
      <c r="G6402" t="s">
        <v>331</v>
      </c>
      <c r="H6402" s="15">
        <v>45292</v>
      </c>
      <c r="I6402">
        <v>37500</v>
      </c>
      <c r="J6402">
        <v>0</v>
      </c>
    </row>
    <row r="6403" spans="1:10" x14ac:dyDescent="0.3">
      <c r="A6403" s="15">
        <v>46023</v>
      </c>
      <c r="B6403" t="s">
        <v>111</v>
      </c>
      <c r="C6403" t="s">
        <v>91</v>
      </c>
      <c r="D6403" t="s">
        <v>82</v>
      </c>
      <c r="E6403" t="s">
        <v>83</v>
      </c>
      <c r="F6403">
        <v>8800</v>
      </c>
      <c r="G6403" t="s">
        <v>331</v>
      </c>
      <c r="H6403" s="15">
        <v>45292</v>
      </c>
      <c r="I6403">
        <v>8800</v>
      </c>
      <c r="J6403">
        <v>0</v>
      </c>
    </row>
    <row r="6404" spans="1:10" x14ac:dyDescent="0.3">
      <c r="A6404" s="15">
        <v>46023</v>
      </c>
      <c r="B6404" t="s">
        <v>112</v>
      </c>
      <c r="C6404" t="s">
        <v>91</v>
      </c>
      <c r="D6404" t="s">
        <v>82</v>
      </c>
      <c r="E6404" t="s">
        <v>92</v>
      </c>
      <c r="F6404">
        <v>8600</v>
      </c>
      <c r="G6404" t="s">
        <v>331</v>
      </c>
      <c r="H6404" s="15">
        <v>45292</v>
      </c>
      <c r="I6404">
        <v>8600</v>
      </c>
      <c r="J6404">
        <v>0</v>
      </c>
    </row>
    <row r="6405" spans="1:10" x14ac:dyDescent="0.3">
      <c r="A6405" s="15">
        <v>46023</v>
      </c>
      <c r="B6405" t="s">
        <v>113</v>
      </c>
      <c r="C6405" t="s">
        <v>81</v>
      </c>
      <c r="D6405" t="s">
        <v>96</v>
      </c>
      <c r="E6405" t="s">
        <v>89</v>
      </c>
      <c r="F6405">
        <v>2300</v>
      </c>
      <c r="G6405" t="s">
        <v>331</v>
      </c>
      <c r="H6405" s="15">
        <v>45292</v>
      </c>
      <c r="I6405">
        <v>2300</v>
      </c>
      <c r="J6405">
        <v>0</v>
      </c>
    </row>
    <row r="6406" spans="1:10" x14ac:dyDescent="0.3">
      <c r="A6406" s="15">
        <v>46023</v>
      </c>
      <c r="B6406" t="s">
        <v>114</v>
      </c>
      <c r="C6406" t="s">
        <v>110</v>
      </c>
      <c r="D6406" t="s">
        <v>99</v>
      </c>
      <c r="E6406" t="s">
        <v>97</v>
      </c>
      <c r="F6406">
        <v>46200</v>
      </c>
      <c r="G6406" t="s">
        <v>331</v>
      </c>
      <c r="H6406" s="15">
        <v>45292</v>
      </c>
      <c r="I6406">
        <v>46200</v>
      </c>
      <c r="J6406">
        <v>0</v>
      </c>
    </row>
    <row r="6407" spans="1:10" x14ac:dyDescent="0.3">
      <c r="A6407" s="15">
        <v>46023</v>
      </c>
      <c r="B6407" t="s">
        <v>115</v>
      </c>
      <c r="C6407" t="s">
        <v>81</v>
      </c>
      <c r="D6407" t="s">
        <v>82</v>
      </c>
      <c r="E6407" t="s">
        <v>101</v>
      </c>
      <c r="F6407">
        <v>2600</v>
      </c>
      <c r="G6407" t="s">
        <v>331</v>
      </c>
      <c r="H6407" s="15">
        <v>45292</v>
      </c>
      <c r="I6407">
        <v>2600</v>
      </c>
      <c r="J6407">
        <v>0</v>
      </c>
    </row>
    <row r="6408" spans="1:10" x14ac:dyDescent="0.3">
      <c r="A6408" s="15">
        <v>46023</v>
      </c>
      <c r="B6408" t="s">
        <v>116</v>
      </c>
      <c r="C6408" t="s">
        <v>81</v>
      </c>
      <c r="D6408" t="s">
        <v>86</v>
      </c>
      <c r="E6408" t="s">
        <v>87</v>
      </c>
      <c r="F6408">
        <v>2900</v>
      </c>
      <c r="G6408" t="s">
        <v>331</v>
      </c>
      <c r="H6408" s="15">
        <v>45292</v>
      </c>
      <c r="I6408">
        <v>2900</v>
      </c>
      <c r="J6408">
        <v>0</v>
      </c>
    </row>
    <row r="6409" spans="1:10" x14ac:dyDescent="0.3">
      <c r="A6409" s="15">
        <v>46023</v>
      </c>
      <c r="B6409" t="s">
        <v>117</v>
      </c>
      <c r="C6409" t="s">
        <v>81</v>
      </c>
      <c r="D6409" t="s">
        <v>86</v>
      </c>
      <c r="E6409" t="s">
        <v>103</v>
      </c>
      <c r="F6409">
        <v>2500</v>
      </c>
      <c r="G6409" t="s">
        <v>331</v>
      </c>
      <c r="H6409" s="15">
        <v>45292</v>
      </c>
      <c r="I6409">
        <v>2500</v>
      </c>
      <c r="J6409">
        <v>0</v>
      </c>
    </row>
    <row r="6410" spans="1:10" x14ac:dyDescent="0.3">
      <c r="A6410" s="15">
        <v>46023</v>
      </c>
      <c r="B6410" t="s">
        <v>120</v>
      </c>
      <c r="C6410" t="s">
        <v>81</v>
      </c>
      <c r="D6410" t="s">
        <v>86</v>
      </c>
      <c r="E6410" t="s">
        <v>101</v>
      </c>
      <c r="F6410">
        <v>2200</v>
      </c>
      <c r="G6410" t="s">
        <v>331</v>
      </c>
      <c r="H6410" s="15">
        <v>45292</v>
      </c>
      <c r="I6410">
        <v>2200</v>
      </c>
      <c r="J6410">
        <v>0</v>
      </c>
    </row>
    <row r="6411" spans="1:10" x14ac:dyDescent="0.3">
      <c r="A6411" s="15">
        <v>46023</v>
      </c>
      <c r="B6411" t="s">
        <v>123</v>
      </c>
      <c r="C6411" t="s">
        <v>81</v>
      </c>
      <c r="D6411" t="s">
        <v>82</v>
      </c>
      <c r="E6411" t="s">
        <v>92</v>
      </c>
      <c r="F6411">
        <v>1900</v>
      </c>
      <c r="G6411" t="s">
        <v>331</v>
      </c>
      <c r="H6411" s="15">
        <v>45292</v>
      </c>
      <c r="I6411">
        <v>1900</v>
      </c>
      <c r="J6411">
        <v>0</v>
      </c>
    </row>
    <row r="6412" spans="1:10" x14ac:dyDescent="0.3">
      <c r="A6412" s="15">
        <v>46023</v>
      </c>
      <c r="B6412" t="s">
        <v>124</v>
      </c>
      <c r="C6412" t="s">
        <v>125</v>
      </c>
      <c r="D6412" t="s">
        <v>82</v>
      </c>
      <c r="E6412" t="s">
        <v>97</v>
      </c>
      <c r="F6412">
        <v>67900</v>
      </c>
      <c r="G6412" t="s">
        <v>331</v>
      </c>
      <c r="H6412" s="15">
        <v>45292</v>
      </c>
      <c r="I6412">
        <v>67900</v>
      </c>
      <c r="J6412">
        <v>0</v>
      </c>
    </row>
    <row r="6413" spans="1:10" x14ac:dyDescent="0.3">
      <c r="A6413" s="15">
        <v>46023</v>
      </c>
      <c r="B6413" t="s">
        <v>126</v>
      </c>
      <c r="C6413" t="s">
        <v>91</v>
      </c>
      <c r="D6413" t="s">
        <v>82</v>
      </c>
      <c r="E6413" t="s">
        <v>83</v>
      </c>
      <c r="F6413">
        <v>8800</v>
      </c>
      <c r="G6413" t="s">
        <v>331</v>
      </c>
      <c r="H6413" s="15">
        <v>45292</v>
      </c>
      <c r="I6413">
        <v>8800</v>
      </c>
      <c r="J6413">
        <v>0</v>
      </c>
    </row>
    <row r="6414" spans="1:10" x14ac:dyDescent="0.3">
      <c r="A6414" s="15">
        <v>46023</v>
      </c>
      <c r="B6414" t="s">
        <v>127</v>
      </c>
      <c r="C6414" t="s">
        <v>81</v>
      </c>
      <c r="D6414" t="s">
        <v>82</v>
      </c>
      <c r="E6414" t="s">
        <v>101</v>
      </c>
      <c r="F6414">
        <v>2400</v>
      </c>
      <c r="G6414" t="s">
        <v>331</v>
      </c>
      <c r="H6414" s="15">
        <v>45292</v>
      </c>
      <c r="I6414">
        <v>2400</v>
      </c>
      <c r="J6414">
        <v>0</v>
      </c>
    </row>
    <row r="6415" spans="1:10" x14ac:dyDescent="0.3">
      <c r="A6415" s="15">
        <v>46023</v>
      </c>
      <c r="B6415" t="s">
        <v>128</v>
      </c>
      <c r="C6415" t="s">
        <v>81</v>
      </c>
      <c r="D6415" t="s">
        <v>82</v>
      </c>
      <c r="E6415" t="s">
        <v>92</v>
      </c>
      <c r="F6415">
        <v>1700</v>
      </c>
      <c r="G6415" t="s">
        <v>331</v>
      </c>
      <c r="H6415" s="15">
        <v>45292</v>
      </c>
      <c r="I6415">
        <v>1700</v>
      </c>
      <c r="J6415">
        <v>0</v>
      </c>
    </row>
    <row r="6416" spans="1:10" x14ac:dyDescent="0.3">
      <c r="A6416" s="15">
        <v>46023</v>
      </c>
      <c r="B6416" t="s">
        <v>129</v>
      </c>
      <c r="C6416" t="s">
        <v>110</v>
      </c>
      <c r="D6416" t="s">
        <v>86</v>
      </c>
      <c r="E6416" t="s">
        <v>92</v>
      </c>
      <c r="F6416">
        <v>36900</v>
      </c>
      <c r="G6416" t="s">
        <v>331</v>
      </c>
      <c r="H6416" s="15">
        <v>45292</v>
      </c>
      <c r="I6416">
        <v>36900</v>
      </c>
      <c r="J6416">
        <v>0</v>
      </c>
    </row>
    <row r="6417" spans="1:10" x14ac:dyDescent="0.3">
      <c r="A6417" s="15">
        <v>46023</v>
      </c>
      <c r="B6417" t="s">
        <v>133</v>
      </c>
      <c r="C6417" t="s">
        <v>81</v>
      </c>
      <c r="D6417" t="s">
        <v>96</v>
      </c>
      <c r="E6417" t="s">
        <v>87</v>
      </c>
      <c r="F6417">
        <v>2700</v>
      </c>
      <c r="G6417" t="s">
        <v>331</v>
      </c>
      <c r="H6417" s="15">
        <v>45292</v>
      </c>
      <c r="I6417">
        <v>2700</v>
      </c>
      <c r="J6417">
        <v>0</v>
      </c>
    </row>
    <row r="6418" spans="1:10" x14ac:dyDescent="0.3">
      <c r="A6418" s="15">
        <v>46023</v>
      </c>
      <c r="B6418" t="s">
        <v>134</v>
      </c>
      <c r="C6418" t="s">
        <v>81</v>
      </c>
      <c r="D6418" t="s">
        <v>82</v>
      </c>
      <c r="E6418" t="s">
        <v>92</v>
      </c>
      <c r="F6418">
        <v>2400</v>
      </c>
      <c r="G6418" t="s">
        <v>331</v>
      </c>
      <c r="H6418" s="15">
        <v>45292</v>
      </c>
      <c r="I6418">
        <v>2400</v>
      </c>
      <c r="J6418">
        <v>0</v>
      </c>
    </row>
    <row r="6419" spans="1:10" x14ac:dyDescent="0.3">
      <c r="A6419" s="15">
        <v>46023</v>
      </c>
      <c r="B6419" t="s">
        <v>135</v>
      </c>
      <c r="C6419" t="s">
        <v>81</v>
      </c>
      <c r="D6419" t="s">
        <v>82</v>
      </c>
      <c r="E6419" t="s">
        <v>103</v>
      </c>
      <c r="F6419">
        <v>2400</v>
      </c>
      <c r="G6419" t="s">
        <v>331</v>
      </c>
      <c r="H6419" s="15">
        <v>45292</v>
      </c>
      <c r="I6419">
        <v>2400</v>
      </c>
      <c r="J6419">
        <v>0</v>
      </c>
    </row>
    <row r="6420" spans="1:10" x14ac:dyDescent="0.3">
      <c r="A6420" s="15">
        <v>46023</v>
      </c>
      <c r="B6420" t="s">
        <v>136</v>
      </c>
      <c r="C6420" t="s">
        <v>81</v>
      </c>
      <c r="D6420" t="s">
        <v>82</v>
      </c>
      <c r="E6420" t="s">
        <v>101</v>
      </c>
      <c r="F6420">
        <v>2900</v>
      </c>
      <c r="G6420" t="s">
        <v>331</v>
      </c>
      <c r="H6420" s="15">
        <v>45292</v>
      </c>
      <c r="I6420">
        <v>2900</v>
      </c>
      <c r="J6420">
        <v>0</v>
      </c>
    </row>
    <row r="6421" spans="1:10" x14ac:dyDescent="0.3">
      <c r="A6421" s="15">
        <v>46023</v>
      </c>
      <c r="B6421" t="s">
        <v>138</v>
      </c>
      <c r="C6421" t="s">
        <v>81</v>
      </c>
      <c r="D6421" t="s">
        <v>86</v>
      </c>
      <c r="E6421" t="s">
        <v>97</v>
      </c>
      <c r="F6421">
        <v>3300</v>
      </c>
      <c r="G6421" t="s">
        <v>331</v>
      </c>
      <c r="H6421" s="15">
        <v>45292</v>
      </c>
      <c r="I6421">
        <v>3300</v>
      </c>
      <c r="J6421">
        <v>0</v>
      </c>
    </row>
    <row r="6422" spans="1:10" x14ac:dyDescent="0.3">
      <c r="A6422" s="15">
        <v>46023</v>
      </c>
      <c r="B6422" t="s">
        <v>139</v>
      </c>
      <c r="C6422" t="s">
        <v>91</v>
      </c>
      <c r="D6422" t="s">
        <v>82</v>
      </c>
      <c r="E6422" t="s">
        <v>103</v>
      </c>
      <c r="F6422">
        <v>6800</v>
      </c>
      <c r="G6422" t="s">
        <v>331</v>
      </c>
      <c r="H6422" s="15">
        <v>45292</v>
      </c>
      <c r="I6422">
        <v>6800</v>
      </c>
      <c r="J6422">
        <v>0</v>
      </c>
    </row>
    <row r="6423" spans="1:10" x14ac:dyDescent="0.3">
      <c r="A6423" s="15">
        <v>46023</v>
      </c>
      <c r="B6423" t="s">
        <v>141</v>
      </c>
      <c r="C6423" t="s">
        <v>125</v>
      </c>
      <c r="D6423" t="s">
        <v>99</v>
      </c>
      <c r="E6423" t="s">
        <v>103</v>
      </c>
      <c r="F6423">
        <v>127400</v>
      </c>
      <c r="G6423" t="s">
        <v>331</v>
      </c>
      <c r="H6423" s="15">
        <v>45292</v>
      </c>
      <c r="I6423">
        <v>127400</v>
      </c>
      <c r="J6423">
        <v>0</v>
      </c>
    </row>
    <row r="6424" spans="1:10" x14ac:dyDescent="0.3">
      <c r="A6424" s="15">
        <v>46023</v>
      </c>
      <c r="B6424" t="s">
        <v>142</v>
      </c>
      <c r="C6424" t="s">
        <v>125</v>
      </c>
      <c r="D6424" t="s">
        <v>82</v>
      </c>
      <c r="E6424" t="s">
        <v>92</v>
      </c>
      <c r="F6424">
        <v>103800</v>
      </c>
      <c r="G6424" t="s">
        <v>331</v>
      </c>
      <c r="H6424" s="15">
        <v>45292</v>
      </c>
      <c r="I6424">
        <v>103800</v>
      </c>
      <c r="J6424">
        <v>0</v>
      </c>
    </row>
    <row r="6425" spans="1:10" x14ac:dyDescent="0.3">
      <c r="A6425" s="15">
        <v>46023</v>
      </c>
      <c r="B6425" t="s">
        <v>143</v>
      </c>
      <c r="C6425" t="s">
        <v>91</v>
      </c>
      <c r="D6425" t="s">
        <v>99</v>
      </c>
      <c r="E6425" t="s">
        <v>103</v>
      </c>
      <c r="F6425">
        <v>8000</v>
      </c>
      <c r="G6425" t="s">
        <v>331</v>
      </c>
      <c r="H6425" s="15">
        <v>45292</v>
      </c>
      <c r="I6425">
        <v>8000</v>
      </c>
      <c r="J6425">
        <v>0</v>
      </c>
    </row>
    <row r="6426" spans="1:10" x14ac:dyDescent="0.3">
      <c r="A6426" s="15">
        <v>46023</v>
      </c>
      <c r="B6426" t="s">
        <v>144</v>
      </c>
      <c r="C6426" t="s">
        <v>81</v>
      </c>
      <c r="D6426" t="s">
        <v>82</v>
      </c>
      <c r="E6426" t="s">
        <v>92</v>
      </c>
      <c r="F6426">
        <v>2400</v>
      </c>
      <c r="G6426" t="s">
        <v>331</v>
      </c>
      <c r="H6426" s="15">
        <v>45292</v>
      </c>
      <c r="I6426">
        <v>2400</v>
      </c>
      <c r="J6426">
        <v>0</v>
      </c>
    </row>
    <row r="6427" spans="1:10" x14ac:dyDescent="0.3">
      <c r="A6427" s="15">
        <v>46023</v>
      </c>
      <c r="B6427" t="s">
        <v>145</v>
      </c>
      <c r="C6427" t="s">
        <v>91</v>
      </c>
      <c r="D6427" t="s">
        <v>82</v>
      </c>
      <c r="E6427" t="s">
        <v>87</v>
      </c>
      <c r="F6427">
        <v>8200</v>
      </c>
      <c r="G6427" t="s">
        <v>331</v>
      </c>
      <c r="H6427" s="15">
        <v>45292</v>
      </c>
      <c r="I6427">
        <v>8200</v>
      </c>
      <c r="J6427">
        <v>0</v>
      </c>
    </row>
    <row r="6428" spans="1:10" x14ac:dyDescent="0.3">
      <c r="A6428" s="15">
        <v>46023</v>
      </c>
      <c r="B6428" t="s">
        <v>146</v>
      </c>
      <c r="C6428" t="s">
        <v>91</v>
      </c>
      <c r="D6428" t="s">
        <v>86</v>
      </c>
      <c r="E6428" t="s">
        <v>87</v>
      </c>
      <c r="F6428">
        <v>10100</v>
      </c>
      <c r="G6428" t="s">
        <v>331</v>
      </c>
      <c r="H6428" s="15">
        <v>45292</v>
      </c>
      <c r="I6428">
        <v>10100</v>
      </c>
      <c r="J6428">
        <v>0</v>
      </c>
    </row>
    <row r="6429" spans="1:10" x14ac:dyDescent="0.3">
      <c r="A6429" s="15">
        <v>46023</v>
      </c>
      <c r="B6429" t="s">
        <v>149</v>
      </c>
      <c r="C6429" t="s">
        <v>110</v>
      </c>
      <c r="D6429" t="s">
        <v>82</v>
      </c>
      <c r="E6429" t="s">
        <v>103</v>
      </c>
      <c r="F6429">
        <v>28900</v>
      </c>
      <c r="G6429" t="s">
        <v>334</v>
      </c>
      <c r="H6429" s="15">
        <v>45292</v>
      </c>
      <c r="I6429">
        <v>31000</v>
      </c>
      <c r="J6429">
        <v>-2100</v>
      </c>
    </row>
    <row r="6430" spans="1:10" x14ac:dyDescent="0.3">
      <c r="A6430" s="15">
        <v>46023</v>
      </c>
      <c r="B6430" t="s">
        <v>151</v>
      </c>
      <c r="C6430" t="s">
        <v>91</v>
      </c>
      <c r="D6430" t="s">
        <v>82</v>
      </c>
      <c r="E6430" t="s">
        <v>97</v>
      </c>
      <c r="F6430">
        <v>6800</v>
      </c>
      <c r="G6430" t="s">
        <v>331</v>
      </c>
      <c r="H6430" s="15">
        <v>45292</v>
      </c>
      <c r="I6430">
        <v>6800</v>
      </c>
      <c r="J6430">
        <v>0</v>
      </c>
    </row>
    <row r="6431" spans="1:10" x14ac:dyDescent="0.3">
      <c r="A6431" s="15">
        <v>46023</v>
      </c>
      <c r="B6431" t="s">
        <v>154</v>
      </c>
      <c r="C6431" t="s">
        <v>91</v>
      </c>
      <c r="D6431" t="s">
        <v>86</v>
      </c>
      <c r="E6431" t="s">
        <v>103</v>
      </c>
      <c r="F6431">
        <v>9700</v>
      </c>
      <c r="G6431" t="s">
        <v>331</v>
      </c>
      <c r="H6431" s="15">
        <v>45292</v>
      </c>
      <c r="I6431">
        <v>9700</v>
      </c>
      <c r="J6431">
        <v>0</v>
      </c>
    </row>
    <row r="6432" spans="1:10" x14ac:dyDescent="0.3">
      <c r="A6432" s="15">
        <v>46023</v>
      </c>
      <c r="B6432" t="s">
        <v>155</v>
      </c>
      <c r="C6432" t="s">
        <v>91</v>
      </c>
      <c r="D6432" t="s">
        <v>82</v>
      </c>
      <c r="E6432" t="s">
        <v>92</v>
      </c>
      <c r="F6432">
        <v>6600</v>
      </c>
      <c r="G6432" t="s">
        <v>331</v>
      </c>
      <c r="H6432" s="15">
        <v>45292</v>
      </c>
      <c r="I6432">
        <v>6600</v>
      </c>
      <c r="J6432">
        <v>0</v>
      </c>
    </row>
    <row r="6433" spans="1:10" x14ac:dyDescent="0.3">
      <c r="A6433" s="15">
        <v>46023</v>
      </c>
      <c r="B6433" t="s">
        <v>156</v>
      </c>
      <c r="C6433" t="s">
        <v>81</v>
      </c>
      <c r="D6433" t="s">
        <v>86</v>
      </c>
      <c r="E6433" t="s">
        <v>101</v>
      </c>
      <c r="F6433">
        <v>2300</v>
      </c>
      <c r="G6433" t="s">
        <v>331</v>
      </c>
      <c r="H6433" s="15">
        <v>45292</v>
      </c>
      <c r="I6433">
        <v>2300</v>
      </c>
      <c r="J6433">
        <v>0</v>
      </c>
    </row>
    <row r="6434" spans="1:10" x14ac:dyDescent="0.3">
      <c r="A6434" s="15">
        <v>46023</v>
      </c>
      <c r="B6434" t="s">
        <v>157</v>
      </c>
      <c r="C6434" t="s">
        <v>81</v>
      </c>
      <c r="D6434" t="s">
        <v>82</v>
      </c>
      <c r="E6434" t="s">
        <v>92</v>
      </c>
      <c r="F6434">
        <v>1800</v>
      </c>
      <c r="G6434" t="s">
        <v>331</v>
      </c>
      <c r="H6434" s="15">
        <v>45292</v>
      </c>
      <c r="I6434">
        <v>1800</v>
      </c>
      <c r="J6434">
        <v>0</v>
      </c>
    </row>
    <row r="6435" spans="1:10" x14ac:dyDescent="0.3">
      <c r="A6435" s="15">
        <v>46023</v>
      </c>
      <c r="B6435" t="s">
        <v>158</v>
      </c>
      <c r="C6435" t="s">
        <v>91</v>
      </c>
      <c r="D6435" t="s">
        <v>96</v>
      </c>
      <c r="E6435" t="s">
        <v>83</v>
      </c>
      <c r="F6435">
        <v>12600</v>
      </c>
      <c r="G6435" t="s">
        <v>331</v>
      </c>
      <c r="H6435" s="15">
        <v>45292</v>
      </c>
      <c r="I6435">
        <v>12600</v>
      </c>
      <c r="J6435">
        <v>0</v>
      </c>
    </row>
    <row r="6436" spans="1:10" x14ac:dyDescent="0.3">
      <c r="A6436" s="15">
        <v>46023</v>
      </c>
      <c r="B6436" t="s">
        <v>159</v>
      </c>
      <c r="C6436" t="s">
        <v>81</v>
      </c>
      <c r="D6436" t="s">
        <v>86</v>
      </c>
      <c r="E6436" t="s">
        <v>87</v>
      </c>
      <c r="F6436">
        <v>2400</v>
      </c>
      <c r="G6436" t="s">
        <v>331</v>
      </c>
      <c r="H6436" s="15">
        <v>45292</v>
      </c>
      <c r="I6436">
        <v>2400</v>
      </c>
      <c r="J6436">
        <v>0</v>
      </c>
    </row>
    <row r="6437" spans="1:10" x14ac:dyDescent="0.3">
      <c r="A6437" s="15">
        <v>46023</v>
      </c>
      <c r="B6437" t="s">
        <v>161</v>
      </c>
      <c r="C6437" t="s">
        <v>91</v>
      </c>
      <c r="D6437" t="s">
        <v>99</v>
      </c>
      <c r="E6437" t="s">
        <v>83</v>
      </c>
      <c r="F6437">
        <v>11700</v>
      </c>
      <c r="G6437" t="s">
        <v>331</v>
      </c>
      <c r="H6437" s="15">
        <v>45292</v>
      </c>
      <c r="I6437">
        <v>11700</v>
      </c>
      <c r="J6437">
        <v>0</v>
      </c>
    </row>
    <row r="6438" spans="1:10" x14ac:dyDescent="0.3">
      <c r="A6438" s="15">
        <v>46023</v>
      </c>
      <c r="B6438" t="s">
        <v>162</v>
      </c>
      <c r="C6438" t="s">
        <v>91</v>
      </c>
      <c r="D6438" t="s">
        <v>82</v>
      </c>
      <c r="E6438" t="s">
        <v>103</v>
      </c>
      <c r="F6438">
        <v>10900</v>
      </c>
      <c r="G6438" t="s">
        <v>331</v>
      </c>
      <c r="H6438" s="15">
        <v>45292</v>
      </c>
      <c r="I6438">
        <v>10900</v>
      </c>
      <c r="J6438">
        <v>0</v>
      </c>
    </row>
    <row r="6439" spans="1:10" x14ac:dyDescent="0.3">
      <c r="A6439" s="15">
        <v>46023</v>
      </c>
      <c r="B6439" t="s">
        <v>164</v>
      </c>
      <c r="C6439" t="s">
        <v>81</v>
      </c>
      <c r="D6439" t="s">
        <v>99</v>
      </c>
      <c r="E6439" t="s">
        <v>89</v>
      </c>
      <c r="F6439">
        <v>2800</v>
      </c>
      <c r="G6439" t="s">
        <v>331</v>
      </c>
      <c r="H6439" s="15">
        <v>45292</v>
      </c>
      <c r="I6439">
        <v>2800</v>
      </c>
      <c r="J6439">
        <v>0</v>
      </c>
    </row>
    <row r="6440" spans="1:10" x14ac:dyDescent="0.3">
      <c r="A6440" s="15">
        <v>46023</v>
      </c>
      <c r="B6440" t="s">
        <v>165</v>
      </c>
      <c r="C6440" t="s">
        <v>81</v>
      </c>
      <c r="D6440" t="s">
        <v>82</v>
      </c>
      <c r="E6440" t="s">
        <v>97</v>
      </c>
      <c r="F6440">
        <v>2700</v>
      </c>
      <c r="G6440" t="s">
        <v>331</v>
      </c>
      <c r="H6440" s="15">
        <v>45292</v>
      </c>
      <c r="I6440">
        <v>2700</v>
      </c>
      <c r="J6440">
        <v>0</v>
      </c>
    </row>
    <row r="6441" spans="1:10" x14ac:dyDescent="0.3">
      <c r="A6441" s="15">
        <v>46023</v>
      </c>
      <c r="B6441" t="s">
        <v>166</v>
      </c>
      <c r="C6441" t="s">
        <v>81</v>
      </c>
      <c r="D6441" t="s">
        <v>99</v>
      </c>
      <c r="E6441" t="s">
        <v>103</v>
      </c>
      <c r="F6441">
        <v>2600</v>
      </c>
      <c r="G6441" t="s">
        <v>331</v>
      </c>
      <c r="H6441" s="15">
        <v>45292</v>
      </c>
      <c r="I6441">
        <v>2600</v>
      </c>
      <c r="J6441">
        <v>0</v>
      </c>
    </row>
    <row r="6442" spans="1:10" x14ac:dyDescent="0.3">
      <c r="A6442" s="15">
        <v>46023</v>
      </c>
      <c r="B6442" t="s">
        <v>167</v>
      </c>
      <c r="C6442" t="s">
        <v>81</v>
      </c>
      <c r="D6442" t="s">
        <v>82</v>
      </c>
      <c r="E6442" t="s">
        <v>97</v>
      </c>
      <c r="F6442">
        <v>2000</v>
      </c>
      <c r="G6442" t="s">
        <v>331</v>
      </c>
      <c r="H6442" s="15">
        <v>45292</v>
      </c>
      <c r="I6442">
        <v>2000</v>
      </c>
      <c r="J6442">
        <v>0</v>
      </c>
    </row>
    <row r="6443" spans="1:10" x14ac:dyDescent="0.3">
      <c r="A6443" s="15">
        <v>46023</v>
      </c>
      <c r="B6443" t="s">
        <v>168</v>
      </c>
      <c r="C6443" t="s">
        <v>91</v>
      </c>
      <c r="D6443" t="s">
        <v>86</v>
      </c>
      <c r="E6443" t="s">
        <v>103</v>
      </c>
      <c r="F6443">
        <v>12200</v>
      </c>
      <c r="G6443" t="s">
        <v>331</v>
      </c>
      <c r="H6443" s="15">
        <v>45292</v>
      </c>
      <c r="I6443">
        <v>12200</v>
      </c>
      <c r="J6443">
        <v>0</v>
      </c>
    </row>
    <row r="6444" spans="1:10" x14ac:dyDescent="0.3">
      <c r="A6444" s="15">
        <v>46023</v>
      </c>
      <c r="B6444" t="s">
        <v>170</v>
      </c>
      <c r="C6444" t="s">
        <v>91</v>
      </c>
      <c r="D6444" t="s">
        <v>99</v>
      </c>
      <c r="E6444" t="s">
        <v>83</v>
      </c>
      <c r="F6444">
        <v>6500</v>
      </c>
      <c r="G6444" t="s">
        <v>331</v>
      </c>
      <c r="H6444" s="15">
        <v>45292</v>
      </c>
      <c r="I6444">
        <v>6500</v>
      </c>
      <c r="J6444">
        <v>0</v>
      </c>
    </row>
    <row r="6445" spans="1:10" x14ac:dyDescent="0.3">
      <c r="A6445" s="15">
        <v>46023</v>
      </c>
      <c r="B6445" t="s">
        <v>171</v>
      </c>
      <c r="C6445" t="s">
        <v>81</v>
      </c>
      <c r="D6445" t="s">
        <v>99</v>
      </c>
      <c r="E6445" t="s">
        <v>97</v>
      </c>
      <c r="F6445">
        <v>1700</v>
      </c>
      <c r="G6445" t="s">
        <v>331</v>
      </c>
      <c r="H6445" s="15">
        <v>45292</v>
      </c>
      <c r="I6445">
        <v>1700</v>
      </c>
      <c r="J6445">
        <v>0</v>
      </c>
    </row>
    <row r="6446" spans="1:10" x14ac:dyDescent="0.3">
      <c r="A6446" s="15">
        <v>46023</v>
      </c>
      <c r="B6446" t="s">
        <v>174</v>
      </c>
      <c r="C6446" t="s">
        <v>81</v>
      </c>
      <c r="D6446" t="s">
        <v>82</v>
      </c>
      <c r="E6446" t="s">
        <v>92</v>
      </c>
      <c r="F6446">
        <v>2400</v>
      </c>
      <c r="G6446" t="s">
        <v>331</v>
      </c>
      <c r="H6446" s="15">
        <v>45292</v>
      </c>
      <c r="I6446">
        <v>2400</v>
      </c>
      <c r="J6446">
        <v>0</v>
      </c>
    </row>
    <row r="6447" spans="1:10" x14ac:dyDescent="0.3">
      <c r="A6447" s="15">
        <v>46023</v>
      </c>
      <c r="B6447" t="s">
        <v>175</v>
      </c>
      <c r="C6447" t="s">
        <v>91</v>
      </c>
      <c r="D6447" t="s">
        <v>96</v>
      </c>
      <c r="E6447" t="s">
        <v>83</v>
      </c>
      <c r="F6447">
        <v>8800</v>
      </c>
      <c r="G6447" t="s">
        <v>331</v>
      </c>
      <c r="H6447" s="15">
        <v>45292</v>
      </c>
      <c r="I6447">
        <v>8800</v>
      </c>
      <c r="J6447">
        <v>0</v>
      </c>
    </row>
    <row r="6448" spans="1:10" x14ac:dyDescent="0.3">
      <c r="A6448" s="15">
        <v>46023</v>
      </c>
      <c r="B6448" t="s">
        <v>176</v>
      </c>
      <c r="C6448" t="s">
        <v>81</v>
      </c>
      <c r="D6448" t="s">
        <v>99</v>
      </c>
      <c r="E6448" t="s">
        <v>92</v>
      </c>
      <c r="F6448">
        <v>2900</v>
      </c>
      <c r="G6448" t="s">
        <v>331</v>
      </c>
      <c r="H6448" s="15">
        <v>45292</v>
      </c>
      <c r="I6448">
        <v>2900</v>
      </c>
      <c r="J6448">
        <v>0</v>
      </c>
    </row>
    <row r="6449" spans="1:10" x14ac:dyDescent="0.3">
      <c r="A6449" s="15">
        <v>46023</v>
      </c>
      <c r="B6449" t="s">
        <v>177</v>
      </c>
      <c r="C6449" t="s">
        <v>81</v>
      </c>
      <c r="D6449" t="s">
        <v>96</v>
      </c>
      <c r="E6449" t="s">
        <v>83</v>
      </c>
      <c r="F6449">
        <v>2900</v>
      </c>
      <c r="G6449" t="s">
        <v>331</v>
      </c>
      <c r="H6449" s="15">
        <v>45292</v>
      </c>
      <c r="I6449">
        <v>2900</v>
      </c>
      <c r="J6449">
        <v>0</v>
      </c>
    </row>
    <row r="6450" spans="1:10" x14ac:dyDescent="0.3">
      <c r="A6450" s="15">
        <v>46023</v>
      </c>
      <c r="B6450" t="s">
        <v>178</v>
      </c>
      <c r="C6450" t="s">
        <v>91</v>
      </c>
      <c r="D6450" t="s">
        <v>82</v>
      </c>
      <c r="E6450" t="s">
        <v>89</v>
      </c>
      <c r="F6450">
        <v>8400</v>
      </c>
      <c r="G6450" t="s">
        <v>331</v>
      </c>
      <c r="H6450" s="15">
        <v>45292</v>
      </c>
      <c r="I6450">
        <v>8400</v>
      </c>
      <c r="J6450">
        <v>0</v>
      </c>
    </row>
    <row r="6451" spans="1:10" x14ac:dyDescent="0.3">
      <c r="A6451" s="15">
        <v>46023</v>
      </c>
      <c r="B6451" t="s">
        <v>179</v>
      </c>
      <c r="C6451" t="s">
        <v>110</v>
      </c>
      <c r="D6451" t="s">
        <v>86</v>
      </c>
      <c r="E6451" t="s">
        <v>87</v>
      </c>
      <c r="F6451">
        <v>30000</v>
      </c>
      <c r="G6451" t="s">
        <v>331</v>
      </c>
      <c r="H6451" s="15">
        <v>45292</v>
      </c>
      <c r="I6451">
        <v>30000</v>
      </c>
      <c r="J6451">
        <v>0</v>
      </c>
    </row>
    <row r="6452" spans="1:10" x14ac:dyDescent="0.3">
      <c r="A6452" s="15">
        <v>46023</v>
      </c>
      <c r="B6452" t="s">
        <v>180</v>
      </c>
      <c r="C6452" t="s">
        <v>91</v>
      </c>
      <c r="D6452" t="s">
        <v>86</v>
      </c>
      <c r="E6452" t="s">
        <v>83</v>
      </c>
      <c r="F6452">
        <v>8500</v>
      </c>
      <c r="G6452" t="s">
        <v>331</v>
      </c>
      <c r="H6452" s="15">
        <v>45292</v>
      </c>
      <c r="I6452">
        <v>8500</v>
      </c>
      <c r="J6452">
        <v>0</v>
      </c>
    </row>
    <row r="6453" spans="1:10" x14ac:dyDescent="0.3">
      <c r="A6453" s="15">
        <v>46023</v>
      </c>
      <c r="B6453" t="s">
        <v>181</v>
      </c>
      <c r="C6453" t="s">
        <v>91</v>
      </c>
      <c r="D6453" t="s">
        <v>82</v>
      </c>
      <c r="E6453" t="s">
        <v>97</v>
      </c>
      <c r="F6453">
        <v>10100</v>
      </c>
      <c r="G6453" t="s">
        <v>331</v>
      </c>
      <c r="H6453" s="15">
        <v>45292</v>
      </c>
      <c r="I6453">
        <v>10100</v>
      </c>
      <c r="J6453">
        <v>0</v>
      </c>
    </row>
    <row r="6454" spans="1:10" x14ac:dyDescent="0.3">
      <c r="A6454" s="15">
        <v>46023</v>
      </c>
      <c r="B6454" t="s">
        <v>182</v>
      </c>
      <c r="C6454" t="s">
        <v>125</v>
      </c>
      <c r="D6454" t="s">
        <v>82</v>
      </c>
      <c r="E6454" t="s">
        <v>92</v>
      </c>
      <c r="F6454">
        <v>93100</v>
      </c>
      <c r="G6454" t="s">
        <v>331</v>
      </c>
      <c r="H6454" s="15">
        <v>45292</v>
      </c>
      <c r="I6454">
        <v>93100</v>
      </c>
      <c r="J6454">
        <v>0</v>
      </c>
    </row>
    <row r="6455" spans="1:10" x14ac:dyDescent="0.3">
      <c r="A6455" s="15">
        <v>46023</v>
      </c>
      <c r="B6455" t="s">
        <v>183</v>
      </c>
      <c r="C6455" t="s">
        <v>91</v>
      </c>
      <c r="D6455" t="s">
        <v>96</v>
      </c>
      <c r="E6455" t="s">
        <v>92</v>
      </c>
      <c r="F6455">
        <v>9500</v>
      </c>
      <c r="G6455" t="s">
        <v>331</v>
      </c>
      <c r="H6455" s="15">
        <v>45292</v>
      </c>
      <c r="I6455">
        <v>9500</v>
      </c>
      <c r="J6455">
        <v>0</v>
      </c>
    </row>
    <row r="6456" spans="1:10" x14ac:dyDescent="0.3">
      <c r="A6456" s="15">
        <v>46023</v>
      </c>
      <c r="B6456" t="s">
        <v>184</v>
      </c>
      <c r="C6456" t="s">
        <v>81</v>
      </c>
      <c r="D6456" t="s">
        <v>82</v>
      </c>
      <c r="E6456" t="s">
        <v>83</v>
      </c>
      <c r="F6456">
        <v>2600</v>
      </c>
      <c r="G6456" t="s">
        <v>331</v>
      </c>
      <c r="H6456" s="15">
        <v>45292</v>
      </c>
      <c r="I6456">
        <v>2600</v>
      </c>
      <c r="J6456">
        <v>0</v>
      </c>
    </row>
    <row r="6457" spans="1:10" x14ac:dyDescent="0.3">
      <c r="A6457" s="15">
        <v>46023</v>
      </c>
      <c r="B6457" t="s">
        <v>185</v>
      </c>
      <c r="C6457" t="s">
        <v>81</v>
      </c>
      <c r="D6457" t="s">
        <v>96</v>
      </c>
      <c r="E6457" t="s">
        <v>97</v>
      </c>
      <c r="F6457">
        <v>1900</v>
      </c>
      <c r="G6457" t="s">
        <v>331</v>
      </c>
      <c r="H6457" s="15">
        <v>45292</v>
      </c>
      <c r="I6457">
        <v>1900</v>
      </c>
      <c r="J6457">
        <v>0</v>
      </c>
    </row>
    <row r="6458" spans="1:10" x14ac:dyDescent="0.3">
      <c r="A6458" s="15">
        <v>46023</v>
      </c>
      <c r="B6458" t="s">
        <v>186</v>
      </c>
      <c r="C6458" t="s">
        <v>91</v>
      </c>
      <c r="D6458" t="s">
        <v>82</v>
      </c>
      <c r="E6458" t="s">
        <v>103</v>
      </c>
      <c r="F6458">
        <v>13900</v>
      </c>
      <c r="G6458" t="s">
        <v>331</v>
      </c>
      <c r="H6458" s="15">
        <v>45292</v>
      </c>
      <c r="I6458">
        <v>13900</v>
      </c>
      <c r="J6458">
        <v>0</v>
      </c>
    </row>
    <row r="6459" spans="1:10" x14ac:dyDescent="0.3">
      <c r="A6459" s="15">
        <v>46023</v>
      </c>
      <c r="B6459" t="s">
        <v>187</v>
      </c>
      <c r="C6459" t="s">
        <v>110</v>
      </c>
      <c r="D6459" t="s">
        <v>86</v>
      </c>
      <c r="E6459" t="s">
        <v>97</v>
      </c>
      <c r="F6459">
        <v>30100</v>
      </c>
      <c r="G6459" t="s">
        <v>332</v>
      </c>
      <c r="H6459" s="15">
        <v>45292</v>
      </c>
      <c r="I6459">
        <v>26700</v>
      </c>
      <c r="J6459">
        <v>3400</v>
      </c>
    </row>
    <row r="6460" spans="1:10" x14ac:dyDescent="0.3">
      <c r="A6460" s="15">
        <v>46023</v>
      </c>
      <c r="B6460" t="s">
        <v>188</v>
      </c>
      <c r="C6460" t="s">
        <v>91</v>
      </c>
      <c r="D6460" t="s">
        <v>82</v>
      </c>
      <c r="E6460" t="s">
        <v>92</v>
      </c>
      <c r="F6460">
        <v>11200</v>
      </c>
      <c r="G6460" t="s">
        <v>332</v>
      </c>
      <c r="H6460" s="15">
        <v>45292</v>
      </c>
      <c r="I6460">
        <v>9900</v>
      </c>
      <c r="J6460">
        <v>1300</v>
      </c>
    </row>
    <row r="6461" spans="1:10" x14ac:dyDescent="0.3">
      <c r="A6461" s="15">
        <v>46023</v>
      </c>
      <c r="B6461" t="s">
        <v>189</v>
      </c>
      <c r="C6461" t="s">
        <v>81</v>
      </c>
      <c r="D6461" t="s">
        <v>86</v>
      </c>
      <c r="E6461" t="s">
        <v>103</v>
      </c>
      <c r="F6461">
        <v>2000</v>
      </c>
      <c r="G6461" t="s">
        <v>331</v>
      </c>
      <c r="H6461" s="15">
        <v>45292</v>
      </c>
      <c r="I6461">
        <v>2000</v>
      </c>
      <c r="J6461">
        <v>0</v>
      </c>
    </row>
    <row r="6462" spans="1:10" x14ac:dyDescent="0.3">
      <c r="A6462" s="15">
        <v>46023</v>
      </c>
      <c r="B6462" t="s">
        <v>190</v>
      </c>
      <c r="C6462" t="s">
        <v>81</v>
      </c>
      <c r="D6462" t="s">
        <v>99</v>
      </c>
      <c r="E6462" t="s">
        <v>89</v>
      </c>
      <c r="F6462">
        <v>1900</v>
      </c>
      <c r="G6462" t="s">
        <v>331</v>
      </c>
      <c r="H6462" s="15">
        <v>45292</v>
      </c>
      <c r="I6462">
        <v>1900</v>
      </c>
      <c r="J6462">
        <v>0</v>
      </c>
    </row>
    <row r="6463" spans="1:10" x14ac:dyDescent="0.3">
      <c r="A6463" s="15">
        <v>46023</v>
      </c>
      <c r="B6463" t="s">
        <v>191</v>
      </c>
      <c r="C6463" t="s">
        <v>91</v>
      </c>
      <c r="D6463" t="s">
        <v>86</v>
      </c>
      <c r="E6463" t="s">
        <v>87</v>
      </c>
      <c r="F6463">
        <v>6900</v>
      </c>
      <c r="G6463" t="s">
        <v>331</v>
      </c>
      <c r="H6463" s="15">
        <v>45292</v>
      </c>
      <c r="I6463">
        <v>6900</v>
      </c>
      <c r="J6463">
        <v>0</v>
      </c>
    </row>
    <row r="6464" spans="1:10" x14ac:dyDescent="0.3">
      <c r="A6464" s="15">
        <v>46023</v>
      </c>
      <c r="B6464" t="s">
        <v>192</v>
      </c>
      <c r="C6464" t="s">
        <v>81</v>
      </c>
      <c r="D6464" t="s">
        <v>82</v>
      </c>
      <c r="E6464" t="s">
        <v>97</v>
      </c>
      <c r="F6464">
        <v>2300</v>
      </c>
      <c r="G6464" t="s">
        <v>334</v>
      </c>
      <c r="H6464" s="15">
        <v>45292</v>
      </c>
      <c r="I6464">
        <v>2600</v>
      </c>
      <c r="J6464">
        <v>-300</v>
      </c>
    </row>
    <row r="6465" spans="1:10" x14ac:dyDescent="0.3">
      <c r="A6465" s="15">
        <v>46023</v>
      </c>
      <c r="B6465" t="s">
        <v>193</v>
      </c>
      <c r="C6465" t="s">
        <v>81</v>
      </c>
      <c r="D6465" t="s">
        <v>82</v>
      </c>
      <c r="E6465" t="s">
        <v>87</v>
      </c>
      <c r="F6465">
        <v>3200</v>
      </c>
      <c r="G6465" t="s">
        <v>331</v>
      </c>
      <c r="H6465" s="15">
        <v>45292</v>
      </c>
      <c r="I6465">
        <v>3200</v>
      </c>
      <c r="J6465">
        <v>0</v>
      </c>
    </row>
    <row r="6466" spans="1:10" x14ac:dyDescent="0.3">
      <c r="A6466" s="15">
        <v>46023</v>
      </c>
      <c r="B6466" t="s">
        <v>194</v>
      </c>
      <c r="C6466" t="s">
        <v>91</v>
      </c>
      <c r="D6466" t="s">
        <v>82</v>
      </c>
      <c r="E6466" t="s">
        <v>101</v>
      </c>
      <c r="F6466">
        <v>11200</v>
      </c>
      <c r="G6466" t="s">
        <v>331</v>
      </c>
      <c r="H6466" s="15">
        <v>45292</v>
      </c>
      <c r="I6466">
        <v>11200</v>
      </c>
      <c r="J6466">
        <v>0</v>
      </c>
    </row>
    <row r="6467" spans="1:10" x14ac:dyDescent="0.3">
      <c r="A6467" s="15">
        <v>46023</v>
      </c>
      <c r="B6467" t="s">
        <v>195</v>
      </c>
      <c r="C6467" t="s">
        <v>91</v>
      </c>
      <c r="D6467" t="s">
        <v>86</v>
      </c>
      <c r="E6467" t="s">
        <v>97</v>
      </c>
      <c r="F6467">
        <v>6800</v>
      </c>
      <c r="G6467" t="s">
        <v>331</v>
      </c>
      <c r="H6467" s="15">
        <v>45292</v>
      </c>
      <c r="I6467">
        <v>6800</v>
      </c>
      <c r="J6467">
        <v>0</v>
      </c>
    </row>
    <row r="6468" spans="1:10" x14ac:dyDescent="0.3">
      <c r="A6468" s="15">
        <v>46023</v>
      </c>
      <c r="B6468" t="s">
        <v>197</v>
      </c>
      <c r="C6468" t="s">
        <v>91</v>
      </c>
      <c r="D6468" t="s">
        <v>82</v>
      </c>
      <c r="E6468" t="s">
        <v>89</v>
      </c>
      <c r="F6468">
        <v>12000</v>
      </c>
      <c r="G6468" t="s">
        <v>331</v>
      </c>
      <c r="H6468" s="15">
        <v>45292</v>
      </c>
      <c r="I6468">
        <v>12000</v>
      </c>
      <c r="J6468">
        <v>0</v>
      </c>
    </row>
    <row r="6469" spans="1:10" x14ac:dyDescent="0.3">
      <c r="A6469" s="15">
        <v>46023</v>
      </c>
      <c r="B6469" t="s">
        <v>198</v>
      </c>
      <c r="C6469" t="s">
        <v>81</v>
      </c>
      <c r="D6469" t="s">
        <v>82</v>
      </c>
      <c r="E6469" t="s">
        <v>89</v>
      </c>
      <c r="F6469">
        <v>2900</v>
      </c>
      <c r="G6469" t="s">
        <v>331</v>
      </c>
      <c r="H6469" s="15">
        <v>45292</v>
      </c>
      <c r="I6469">
        <v>2900</v>
      </c>
      <c r="J6469">
        <v>0</v>
      </c>
    </row>
    <row r="6470" spans="1:10" x14ac:dyDescent="0.3">
      <c r="A6470" s="15">
        <v>46023</v>
      </c>
      <c r="B6470" t="s">
        <v>199</v>
      </c>
      <c r="C6470" t="s">
        <v>81</v>
      </c>
      <c r="D6470" t="s">
        <v>86</v>
      </c>
      <c r="E6470" t="s">
        <v>89</v>
      </c>
      <c r="F6470">
        <v>2200</v>
      </c>
      <c r="G6470" t="s">
        <v>331</v>
      </c>
      <c r="H6470" s="15">
        <v>45292</v>
      </c>
      <c r="I6470">
        <v>2200</v>
      </c>
      <c r="J6470">
        <v>0</v>
      </c>
    </row>
    <row r="6471" spans="1:10" x14ac:dyDescent="0.3">
      <c r="A6471" s="15">
        <v>46023</v>
      </c>
      <c r="B6471" t="s">
        <v>200</v>
      </c>
      <c r="C6471" t="s">
        <v>91</v>
      </c>
      <c r="D6471" t="s">
        <v>86</v>
      </c>
      <c r="E6471" t="s">
        <v>92</v>
      </c>
      <c r="F6471">
        <v>8800</v>
      </c>
      <c r="G6471" t="s">
        <v>331</v>
      </c>
      <c r="H6471" s="15">
        <v>45292</v>
      </c>
      <c r="I6471">
        <v>8800</v>
      </c>
      <c r="J6471">
        <v>0</v>
      </c>
    </row>
    <row r="6472" spans="1:10" x14ac:dyDescent="0.3">
      <c r="A6472" s="15">
        <v>46023</v>
      </c>
      <c r="B6472" t="s">
        <v>201</v>
      </c>
      <c r="C6472" t="s">
        <v>81</v>
      </c>
      <c r="D6472" t="s">
        <v>86</v>
      </c>
      <c r="E6472" t="s">
        <v>83</v>
      </c>
      <c r="F6472">
        <v>1800</v>
      </c>
      <c r="G6472" t="s">
        <v>331</v>
      </c>
      <c r="H6472" s="15">
        <v>45292</v>
      </c>
      <c r="I6472">
        <v>1800</v>
      </c>
      <c r="J6472">
        <v>0</v>
      </c>
    </row>
    <row r="6473" spans="1:10" x14ac:dyDescent="0.3">
      <c r="A6473" s="15">
        <v>46023</v>
      </c>
      <c r="B6473" t="s">
        <v>202</v>
      </c>
      <c r="C6473" t="s">
        <v>91</v>
      </c>
      <c r="D6473" t="s">
        <v>82</v>
      </c>
      <c r="E6473" t="s">
        <v>92</v>
      </c>
      <c r="F6473">
        <v>11000</v>
      </c>
      <c r="G6473" t="s">
        <v>331</v>
      </c>
      <c r="H6473" s="15">
        <v>45292</v>
      </c>
      <c r="I6473">
        <v>11000</v>
      </c>
      <c r="J6473">
        <v>0</v>
      </c>
    </row>
    <row r="6474" spans="1:10" x14ac:dyDescent="0.3">
      <c r="A6474" s="15">
        <v>46023</v>
      </c>
      <c r="B6474" t="s">
        <v>204</v>
      </c>
      <c r="C6474" t="s">
        <v>81</v>
      </c>
      <c r="D6474" t="s">
        <v>82</v>
      </c>
      <c r="E6474" t="s">
        <v>87</v>
      </c>
      <c r="F6474">
        <v>1900</v>
      </c>
      <c r="G6474" t="s">
        <v>331</v>
      </c>
      <c r="H6474" s="15">
        <v>45292</v>
      </c>
      <c r="I6474">
        <v>1900</v>
      </c>
      <c r="J6474">
        <v>0</v>
      </c>
    </row>
    <row r="6475" spans="1:10" x14ac:dyDescent="0.3">
      <c r="A6475" s="15">
        <v>46023</v>
      </c>
      <c r="B6475" t="s">
        <v>205</v>
      </c>
      <c r="C6475" t="s">
        <v>91</v>
      </c>
      <c r="D6475" t="s">
        <v>86</v>
      </c>
      <c r="E6475" t="s">
        <v>103</v>
      </c>
      <c r="F6475">
        <v>9800</v>
      </c>
      <c r="G6475" t="s">
        <v>331</v>
      </c>
      <c r="H6475" s="15">
        <v>45292</v>
      </c>
      <c r="I6475">
        <v>9800</v>
      </c>
      <c r="J6475">
        <v>0</v>
      </c>
    </row>
    <row r="6476" spans="1:10" x14ac:dyDescent="0.3">
      <c r="A6476" s="15">
        <v>46023</v>
      </c>
      <c r="B6476" t="s">
        <v>206</v>
      </c>
      <c r="C6476" t="s">
        <v>81</v>
      </c>
      <c r="D6476" t="s">
        <v>86</v>
      </c>
      <c r="E6476" t="s">
        <v>89</v>
      </c>
      <c r="F6476">
        <v>3000</v>
      </c>
      <c r="G6476" t="s">
        <v>331</v>
      </c>
      <c r="H6476" s="15">
        <v>45292</v>
      </c>
      <c r="I6476">
        <v>3000</v>
      </c>
      <c r="J6476">
        <v>0</v>
      </c>
    </row>
    <row r="6477" spans="1:10" x14ac:dyDescent="0.3">
      <c r="A6477" s="15">
        <v>46023</v>
      </c>
      <c r="B6477" t="s">
        <v>207</v>
      </c>
      <c r="C6477" t="s">
        <v>81</v>
      </c>
      <c r="D6477" t="s">
        <v>82</v>
      </c>
      <c r="E6477" t="s">
        <v>89</v>
      </c>
      <c r="F6477">
        <v>3500</v>
      </c>
      <c r="G6477" t="s">
        <v>331</v>
      </c>
      <c r="H6477" s="15">
        <v>45292</v>
      </c>
      <c r="I6477">
        <v>3500</v>
      </c>
      <c r="J6477">
        <v>0</v>
      </c>
    </row>
    <row r="6478" spans="1:10" x14ac:dyDescent="0.3">
      <c r="A6478" s="15">
        <v>46023</v>
      </c>
      <c r="B6478" t="s">
        <v>208</v>
      </c>
      <c r="C6478" t="s">
        <v>91</v>
      </c>
      <c r="D6478" t="s">
        <v>99</v>
      </c>
      <c r="E6478" t="s">
        <v>89</v>
      </c>
      <c r="F6478">
        <v>7700</v>
      </c>
      <c r="G6478" t="s">
        <v>334</v>
      </c>
      <c r="H6478" s="15">
        <v>45292</v>
      </c>
      <c r="I6478">
        <v>8400</v>
      </c>
      <c r="J6478">
        <v>-700</v>
      </c>
    </row>
    <row r="6479" spans="1:10" x14ac:dyDescent="0.3">
      <c r="A6479" s="15">
        <v>46023</v>
      </c>
      <c r="B6479" t="s">
        <v>209</v>
      </c>
      <c r="C6479" t="s">
        <v>81</v>
      </c>
      <c r="D6479" t="s">
        <v>86</v>
      </c>
      <c r="E6479" t="s">
        <v>83</v>
      </c>
      <c r="F6479">
        <v>3300</v>
      </c>
      <c r="G6479" t="s">
        <v>332</v>
      </c>
      <c r="H6479" s="15">
        <v>45292</v>
      </c>
      <c r="I6479">
        <v>3100</v>
      </c>
      <c r="J6479">
        <v>200</v>
      </c>
    </row>
    <row r="6480" spans="1:10" x14ac:dyDescent="0.3">
      <c r="A6480" s="15">
        <v>46023</v>
      </c>
      <c r="B6480" t="s">
        <v>210</v>
      </c>
      <c r="C6480" t="s">
        <v>125</v>
      </c>
      <c r="D6480" t="s">
        <v>96</v>
      </c>
      <c r="E6480" t="s">
        <v>89</v>
      </c>
      <c r="F6480">
        <v>90300</v>
      </c>
      <c r="G6480" t="s">
        <v>331</v>
      </c>
      <c r="H6480" s="15">
        <v>45292</v>
      </c>
      <c r="I6480">
        <v>90300</v>
      </c>
      <c r="J6480">
        <v>0</v>
      </c>
    </row>
    <row r="6481" spans="1:10" x14ac:dyDescent="0.3">
      <c r="A6481" s="15">
        <v>46023</v>
      </c>
      <c r="B6481" t="s">
        <v>213</v>
      </c>
      <c r="C6481" t="s">
        <v>81</v>
      </c>
      <c r="D6481" t="s">
        <v>82</v>
      </c>
      <c r="E6481" t="s">
        <v>97</v>
      </c>
      <c r="F6481">
        <v>3300</v>
      </c>
      <c r="G6481" t="s">
        <v>331</v>
      </c>
      <c r="H6481" s="15">
        <v>45292</v>
      </c>
      <c r="I6481">
        <v>3300</v>
      </c>
      <c r="J6481">
        <v>0</v>
      </c>
    </row>
    <row r="6482" spans="1:10" x14ac:dyDescent="0.3">
      <c r="A6482" s="15">
        <v>46023</v>
      </c>
      <c r="B6482" t="s">
        <v>214</v>
      </c>
      <c r="C6482" t="s">
        <v>91</v>
      </c>
      <c r="D6482" t="s">
        <v>82</v>
      </c>
      <c r="E6482" t="s">
        <v>89</v>
      </c>
      <c r="F6482">
        <v>8700</v>
      </c>
      <c r="G6482" t="s">
        <v>331</v>
      </c>
      <c r="H6482" s="15">
        <v>45292</v>
      </c>
      <c r="I6482">
        <v>8700</v>
      </c>
      <c r="J6482">
        <v>0</v>
      </c>
    </row>
    <row r="6483" spans="1:10" x14ac:dyDescent="0.3">
      <c r="A6483" s="15">
        <v>46023</v>
      </c>
      <c r="B6483" t="s">
        <v>216</v>
      </c>
      <c r="C6483" t="s">
        <v>81</v>
      </c>
      <c r="D6483" t="s">
        <v>82</v>
      </c>
      <c r="E6483" t="s">
        <v>97</v>
      </c>
      <c r="F6483">
        <v>3500</v>
      </c>
      <c r="G6483" t="s">
        <v>331</v>
      </c>
      <c r="H6483" s="15">
        <v>45292</v>
      </c>
      <c r="I6483">
        <v>3500</v>
      </c>
      <c r="J6483">
        <v>0</v>
      </c>
    </row>
    <row r="6484" spans="1:10" x14ac:dyDescent="0.3">
      <c r="A6484" s="15">
        <v>46023</v>
      </c>
      <c r="B6484" t="s">
        <v>217</v>
      </c>
      <c r="C6484" t="s">
        <v>91</v>
      </c>
      <c r="D6484" t="s">
        <v>82</v>
      </c>
      <c r="E6484" t="s">
        <v>97</v>
      </c>
      <c r="F6484">
        <v>9000</v>
      </c>
      <c r="G6484" t="s">
        <v>331</v>
      </c>
      <c r="H6484" s="15">
        <v>45292</v>
      </c>
      <c r="I6484">
        <v>9000</v>
      </c>
      <c r="J6484">
        <v>0</v>
      </c>
    </row>
    <row r="6485" spans="1:10" x14ac:dyDescent="0.3">
      <c r="A6485" s="15">
        <v>46023</v>
      </c>
      <c r="B6485" t="s">
        <v>218</v>
      </c>
      <c r="C6485" t="s">
        <v>110</v>
      </c>
      <c r="D6485" t="s">
        <v>99</v>
      </c>
      <c r="E6485" t="s">
        <v>92</v>
      </c>
      <c r="F6485">
        <v>32200</v>
      </c>
      <c r="G6485" t="s">
        <v>331</v>
      </c>
      <c r="H6485" s="15">
        <v>45292</v>
      </c>
      <c r="I6485">
        <v>32200</v>
      </c>
      <c r="J6485">
        <v>0</v>
      </c>
    </row>
    <row r="6486" spans="1:10" x14ac:dyDescent="0.3">
      <c r="A6486" s="15">
        <v>46023</v>
      </c>
      <c r="B6486" t="s">
        <v>219</v>
      </c>
      <c r="C6486" t="s">
        <v>81</v>
      </c>
      <c r="D6486" t="s">
        <v>99</v>
      </c>
      <c r="E6486" t="s">
        <v>89</v>
      </c>
      <c r="F6486">
        <v>2500</v>
      </c>
      <c r="G6486" t="s">
        <v>331</v>
      </c>
      <c r="H6486" s="15">
        <v>45292</v>
      </c>
      <c r="I6486">
        <v>2500</v>
      </c>
      <c r="J6486">
        <v>0</v>
      </c>
    </row>
    <row r="6487" spans="1:10" x14ac:dyDescent="0.3">
      <c r="A6487" s="15">
        <v>46023</v>
      </c>
      <c r="B6487" t="s">
        <v>220</v>
      </c>
      <c r="C6487" t="s">
        <v>110</v>
      </c>
      <c r="D6487" t="s">
        <v>82</v>
      </c>
      <c r="E6487" t="s">
        <v>89</v>
      </c>
      <c r="F6487">
        <v>30800</v>
      </c>
      <c r="G6487" t="s">
        <v>331</v>
      </c>
      <c r="H6487" s="15">
        <v>45292</v>
      </c>
      <c r="I6487">
        <v>30800</v>
      </c>
      <c r="J6487">
        <v>0</v>
      </c>
    </row>
    <row r="6488" spans="1:10" x14ac:dyDescent="0.3">
      <c r="A6488" s="15">
        <v>46023</v>
      </c>
      <c r="B6488" t="s">
        <v>224</v>
      </c>
      <c r="C6488" t="s">
        <v>91</v>
      </c>
      <c r="D6488" t="s">
        <v>82</v>
      </c>
      <c r="E6488" t="s">
        <v>101</v>
      </c>
      <c r="F6488">
        <v>10600</v>
      </c>
      <c r="G6488" t="s">
        <v>331</v>
      </c>
      <c r="H6488" s="15">
        <v>45292</v>
      </c>
      <c r="I6488">
        <v>10600</v>
      </c>
      <c r="J6488">
        <v>0</v>
      </c>
    </row>
    <row r="6489" spans="1:10" x14ac:dyDescent="0.3">
      <c r="A6489" s="15">
        <v>46023</v>
      </c>
      <c r="B6489" t="s">
        <v>225</v>
      </c>
      <c r="C6489" t="s">
        <v>110</v>
      </c>
      <c r="D6489" t="s">
        <v>99</v>
      </c>
      <c r="E6489" t="s">
        <v>103</v>
      </c>
      <c r="F6489">
        <v>42200</v>
      </c>
      <c r="G6489" t="s">
        <v>331</v>
      </c>
      <c r="H6489" s="15">
        <v>45292</v>
      </c>
      <c r="I6489">
        <v>42200</v>
      </c>
      <c r="J6489">
        <v>0</v>
      </c>
    </row>
    <row r="6490" spans="1:10" x14ac:dyDescent="0.3">
      <c r="A6490" s="15">
        <v>46023</v>
      </c>
      <c r="B6490" t="s">
        <v>226</v>
      </c>
      <c r="C6490" t="s">
        <v>91</v>
      </c>
      <c r="D6490" t="s">
        <v>82</v>
      </c>
      <c r="E6490" t="s">
        <v>103</v>
      </c>
      <c r="F6490">
        <v>5300</v>
      </c>
      <c r="G6490" t="s">
        <v>331</v>
      </c>
      <c r="H6490" s="15">
        <v>45292</v>
      </c>
      <c r="I6490">
        <v>5300</v>
      </c>
      <c r="J6490">
        <v>0</v>
      </c>
    </row>
    <row r="6491" spans="1:10" x14ac:dyDescent="0.3">
      <c r="A6491" s="15">
        <v>46023</v>
      </c>
      <c r="B6491" t="s">
        <v>227</v>
      </c>
      <c r="C6491" t="s">
        <v>110</v>
      </c>
      <c r="D6491" t="s">
        <v>86</v>
      </c>
      <c r="E6491" t="s">
        <v>87</v>
      </c>
      <c r="F6491">
        <v>27900</v>
      </c>
      <c r="G6491" t="s">
        <v>331</v>
      </c>
      <c r="H6491" s="15">
        <v>45292</v>
      </c>
      <c r="I6491">
        <v>27900</v>
      </c>
      <c r="J6491">
        <v>0</v>
      </c>
    </row>
    <row r="6492" spans="1:10" x14ac:dyDescent="0.3">
      <c r="A6492" s="15">
        <v>46023</v>
      </c>
      <c r="B6492" t="s">
        <v>228</v>
      </c>
      <c r="C6492" t="s">
        <v>91</v>
      </c>
      <c r="D6492" t="s">
        <v>96</v>
      </c>
      <c r="E6492" t="s">
        <v>89</v>
      </c>
      <c r="F6492">
        <v>12000</v>
      </c>
      <c r="G6492" t="s">
        <v>331</v>
      </c>
      <c r="H6492" s="15">
        <v>45292</v>
      </c>
      <c r="I6492">
        <v>12000</v>
      </c>
      <c r="J6492">
        <v>0</v>
      </c>
    </row>
    <row r="6493" spans="1:10" x14ac:dyDescent="0.3">
      <c r="A6493" s="15">
        <v>46023</v>
      </c>
      <c r="B6493" t="s">
        <v>229</v>
      </c>
      <c r="C6493" t="s">
        <v>81</v>
      </c>
      <c r="D6493" t="s">
        <v>82</v>
      </c>
      <c r="E6493" t="s">
        <v>83</v>
      </c>
      <c r="F6493">
        <v>3700</v>
      </c>
      <c r="G6493" t="s">
        <v>331</v>
      </c>
      <c r="H6493" s="15">
        <v>45292</v>
      </c>
      <c r="I6493">
        <v>3700</v>
      </c>
      <c r="J6493">
        <v>0</v>
      </c>
    </row>
    <row r="6494" spans="1:10" x14ac:dyDescent="0.3">
      <c r="A6494" s="15">
        <v>46023</v>
      </c>
      <c r="B6494" t="s">
        <v>230</v>
      </c>
      <c r="C6494" t="s">
        <v>81</v>
      </c>
      <c r="D6494" t="s">
        <v>86</v>
      </c>
      <c r="E6494" t="s">
        <v>101</v>
      </c>
      <c r="F6494">
        <v>3400</v>
      </c>
      <c r="G6494" t="s">
        <v>331</v>
      </c>
      <c r="H6494" s="15">
        <v>45292</v>
      </c>
      <c r="I6494">
        <v>3400</v>
      </c>
      <c r="J6494">
        <v>0</v>
      </c>
    </row>
    <row r="6495" spans="1:10" x14ac:dyDescent="0.3">
      <c r="A6495" s="15">
        <v>46023</v>
      </c>
      <c r="B6495" t="s">
        <v>231</v>
      </c>
      <c r="C6495" t="s">
        <v>91</v>
      </c>
      <c r="D6495" t="s">
        <v>82</v>
      </c>
      <c r="E6495" t="s">
        <v>92</v>
      </c>
      <c r="F6495">
        <v>6900</v>
      </c>
      <c r="G6495" t="s">
        <v>331</v>
      </c>
      <c r="H6495" s="15">
        <v>45292</v>
      </c>
      <c r="I6495">
        <v>6900</v>
      </c>
      <c r="J6495">
        <v>0</v>
      </c>
    </row>
    <row r="6496" spans="1:10" x14ac:dyDescent="0.3">
      <c r="A6496" s="15">
        <v>46023</v>
      </c>
      <c r="B6496" t="s">
        <v>232</v>
      </c>
      <c r="C6496" t="s">
        <v>125</v>
      </c>
      <c r="D6496" t="s">
        <v>86</v>
      </c>
      <c r="E6496" t="s">
        <v>83</v>
      </c>
      <c r="F6496">
        <v>121100</v>
      </c>
      <c r="G6496" t="s">
        <v>331</v>
      </c>
      <c r="H6496" s="15">
        <v>45292</v>
      </c>
      <c r="I6496">
        <v>121100</v>
      </c>
      <c r="J6496">
        <v>0</v>
      </c>
    </row>
    <row r="6497" spans="1:10" x14ac:dyDescent="0.3">
      <c r="A6497" s="15">
        <v>46023</v>
      </c>
      <c r="B6497" t="s">
        <v>233</v>
      </c>
      <c r="C6497" t="s">
        <v>81</v>
      </c>
      <c r="D6497" t="s">
        <v>82</v>
      </c>
      <c r="E6497" t="s">
        <v>87</v>
      </c>
      <c r="F6497">
        <v>3300</v>
      </c>
      <c r="G6497" t="s">
        <v>331</v>
      </c>
      <c r="H6497" s="15">
        <v>45292</v>
      </c>
      <c r="I6497">
        <v>3300</v>
      </c>
      <c r="J6497">
        <v>0</v>
      </c>
    </row>
    <row r="6498" spans="1:10" x14ac:dyDescent="0.3">
      <c r="A6498" s="15">
        <v>46023</v>
      </c>
      <c r="B6498" t="s">
        <v>234</v>
      </c>
      <c r="C6498" t="s">
        <v>110</v>
      </c>
      <c r="D6498" t="s">
        <v>82</v>
      </c>
      <c r="E6498" t="s">
        <v>103</v>
      </c>
      <c r="F6498">
        <v>43400</v>
      </c>
      <c r="G6498" t="s">
        <v>331</v>
      </c>
      <c r="H6498" s="15">
        <v>45292</v>
      </c>
      <c r="I6498">
        <v>43400</v>
      </c>
      <c r="J6498">
        <v>0</v>
      </c>
    </row>
    <row r="6499" spans="1:10" x14ac:dyDescent="0.3">
      <c r="A6499" s="15">
        <v>46023</v>
      </c>
      <c r="B6499" t="s">
        <v>235</v>
      </c>
      <c r="C6499" t="s">
        <v>91</v>
      </c>
      <c r="D6499" t="s">
        <v>96</v>
      </c>
      <c r="E6499" t="s">
        <v>103</v>
      </c>
      <c r="F6499">
        <v>11100</v>
      </c>
      <c r="G6499" t="s">
        <v>331</v>
      </c>
      <c r="H6499" s="15">
        <v>45292</v>
      </c>
      <c r="I6499">
        <v>11100</v>
      </c>
      <c r="J6499">
        <v>0</v>
      </c>
    </row>
    <row r="6500" spans="1:10" x14ac:dyDescent="0.3">
      <c r="A6500" s="15">
        <v>46023</v>
      </c>
      <c r="B6500" t="s">
        <v>236</v>
      </c>
      <c r="C6500" t="s">
        <v>110</v>
      </c>
      <c r="D6500" t="s">
        <v>82</v>
      </c>
      <c r="E6500" t="s">
        <v>97</v>
      </c>
      <c r="F6500">
        <v>0</v>
      </c>
      <c r="G6500" t="s">
        <v>333</v>
      </c>
      <c r="H6500" s="15">
        <v>45292</v>
      </c>
      <c r="I6500">
        <v>27200</v>
      </c>
      <c r="J6500">
        <v>-27200</v>
      </c>
    </row>
    <row r="6501" spans="1:10" x14ac:dyDescent="0.3">
      <c r="A6501" s="15">
        <v>46023</v>
      </c>
      <c r="B6501" t="s">
        <v>237</v>
      </c>
      <c r="C6501" t="s">
        <v>91</v>
      </c>
      <c r="D6501" t="s">
        <v>82</v>
      </c>
      <c r="E6501" t="s">
        <v>83</v>
      </c>
      <c r="F6501">
        <v>6900</v>
      </c>
      <c r="G6501" t="s">
        <v>331</v>
      </c>
      <c r="H6501" s="15">
        <v>45292</v>
      </c>
      <c r="I6501">
        <v>6900</v>
      </c>
      <c r="J6501">
        <v>0</v>
      </c>
    </row>
    <row r="6502" spans="1:10" x14ac:dyDescent="0.3">
      <c r="A6502" s="15">
        <v>46023</v>
      </c>
      <c r="B6502" t="s">
        <v>238</v>
      </c>
      <c r="C6502" t="s">
        <v>81</v>
      </c>
      <c r="D6502" t="s">
        <v>99</v>
      </c>
      <c r="E6502" t="s">
        <v>97</v>
      </c>
      <c r="F6502">
        <v>2300</v>
      </c>
      <c r="G6502" t="s">
        <v>331</v>
      </c>
      <c r="H6502" s="15">
        <v>45292</v>
      </c>
      <c r="I6502">
        <v>2300</v>
      </c>
      <c r="J6502">
        <v>0</v>
      </c>
    </row>
    <row r="6503" spans="1:10" x14ac:dyDescent="0.3">
      <c r="A6503" s="15">
        <v>46023</v>
      </c>
      <c r="B6503" t="s">
        <v>239</v>
      </c>
      <c r="C6503" t="s">
        <v>81</v>
      </c>
      <c r="D6503" t="s">
        <v>82</v>
      </c>
      <c r="E6503" t="s">
        <v>103</v>
      </c>
      <c r="F6503">
        <v>2500</v>
      </c>
      <c r="G6503" t="s">
        <v>331</v>
      </c>
      <c r="H6503" s="15">
        <v>45292</v>
      </c>
      <c r="I6503">
        <v>2500</v>
      </c>
      <c r="J6503">
        <v>0</v>
      </c>
    </row>
    <row r="6504" spans="1:10" x14ac:dyDescent="0.3">
      <c r="A6504" s="15">
        <v>46023</v>
      </c>
      <c r="B6504" t="s">
        <v>240</v>
      </c>
      <c r="C6504" t="s">
        <v>81</v>
      </c>
      <c r="D6504" t="s">
        <v>99</v>
      </c>
      <c r="E6504" t="s">
        <v>103</v>
      </c>
      <c r="F6504">
        <v>2300</v>
      </c>
      <c r="G6504" t="s">
        <v>331</v>
      </c>
      <c r="H6504" s="15">
        <v>45292</v>
      </c>
      <c r="I6504">
        <v>2300</v>
      </c>
      <c r="J6504">
        <v>0</v>
      </c>
    </row>
    <row r="6505" spans="1:10" x14ac:dyDescent="0.3">
      <c r="A6505" s="15">
        <v>46023</v>
      </c>
      <c r="B6505" t="s">
        <v>241</v>
      </c>
      <c r="C6505" t="s">
        <v>91</v>
      </c>
      <c r="D6505" t="s">
        <v>96</v>
      </c>
      <c r="E6505" t="s">
        <v>87</v>
      </c>
      <c r="F6505">
        <v>12100</v>
      </c>
      <c r="G6505" t="s">
        <v>331</v>
      </c>
      <c r="H6505" s="15">
        <v>45292</v>
      </c>
      <c r="I6505">
        <v>12100</v>
      </c>
      <c r="J6505">
        <v>0</v>
      </c>
    </row>
    <row r="6506" spans="1:10" x14ac:dyDescent="0.3">
      <c r="A6506" s="15">
        <v>46023</v>
      </c>
      <c r="B6506" t="s">
        <v>242</v>
      </c>
      <c r="C6506" t="s">
        <v>110</v>
      </c>
      <c r="D6506" t="s">
        <v>99</v>
      </c>
      <c r="E6506" t="s">
        <v>101</v>
      </c>
      <c r="F6506">
        <v>34800</v>
      </c>
      <c r="G6506" t="s">
        <v>331</v>
      </c>
      <c r="H6506" s="15">
        <v>45292</v>
      </c>
      <c r="I6506">
        <v>34800</v>
      </c>
      <c r="J6506">
        <v>0</v>
      </c>
    </row>
    <row r="6507" spans="1:10" x14ac:dyDescent="0.3">
      <c r="A6507" s="15">
        <v>46023</v>
      </c>
      <c r="B6507" t="s">
        <v>244</v>
      </c>
      <c r="C6507" t="s">
        <v>91</v>
      </c>
      <c r="D6507" t="s">
        <v>82</v>
      </c>
      <c r="E6507" t="s">
        <v>92</v>
      </c>
      <c r="F6507">
        <v>7800</v>
      </c>
      <c r="G6507" t="s">
        <v>331</v>
      </c>
      <c r="H6507" s="15">
        <v>45292</v>
      </c>
      <c r="I6507">
        <v>7800</v>
      </c>
      <c r="J6507">
        <v>0</v>
      </c>
    </row>
    <row r="6508" spans="1:10" x14ac:dyDescent="0.3">
      <c r="A6508" s="15">
        <v>46023</v>
      </c>
      <c r="B6508" t="s">
        <v>245</v>
      </c>
      <c r="C6508" t="s">
        <v>81</v>
      </c>
      <c r="D6508" t="s">
        <v>99</v>
      </c>
      <c r="E6508" t="s">
        <v>97</v>
      </c>
      <c r="F6508">
        <v>2900</v>
      </c>
      <c r="G6508" t="s">
        <v>331</v>
      </c>
      <c r="H6508" s="15">
        <v>45292</v>
      </c>
      <c r="I6508">
        <v>2900</v>
      </c>
      <c r="J6508">
        <v>0</v>
      </c>
    </row>
    <row r="6509" spans="1:10" x14ac:dyDescent="0.3">
      <c r="A6509" s="15">
        <v>46023</v>
      </c>
      <c r="B6509" t="s">
        <v>246</v>
      </c>
      <c r="C6509" t="s">
        <v>91</v>
      </c>
      <c r="D6509" t="s">
        <v>86</v>
      </c>
      <c r="E6509" t="s">
        <v>103</v>
      </c>
      <c r="F6509">
        <v>10100</v>
      </c>
      <c r="G6509" t="s">
        <v>331</v>
      </c>
      <c r="H6509" s="15">
        <v>45292</v>
      </c>
      <c r="I6509">
        <v>10100</v>
      </c>
      <c r="J6509">
        <v>0</v>
      </c>
    </row>
    <row r="6510" spans="1:10" x14ac:dyDescent="0.3">
      <c r="A6510" s="15">
        <v>46023</v>
      </c>
      <c r="B6510" t="s">
        <v>247</v>
      </c>
      <c r="C6510" t="s">
        <v>91</v>
      </c>
      <c r="D6510" t="s">
        <v>86</v>
      </c>
      <c r="E6510" t="s">
        <v>89</v>
      </c>
      <c r="F6510">
        <v>7800</v>
      </c>
      <c r="G6510" t="s">
        <v>331</v>
      </c>
      <c r="H6510" s="15">
        <v>45292</v>
      </c>
      <c r="I6510">
        <v>7800</v>
      </c>
      <c r="J6510">
        <v>0</v>
      </c>
    </row>
    <row r="6511" spans="1:10" x14ac:dyDescent="0.3">
      <c r="A6511" s="15">
        <v>46023</v>
      </c>
      <c r="B6511" t="s">
        <v>248</v>
      </c>
      <c r="C6511" t="s">
        <v>81</v>
      </c>
      <c r="D6511" t="s">
        <v>82</v>
      </c>
      <c r="E6511" t="s">
        <v>103</v>
      </c>
      <c r="F6511">
        <v>2100</v>
      </c>
      <c r="G6511" t="s">
        <v>331</v>
      </c>
      <c r="H6511" s="15">
        <v>45292</v>
      </c>
      <c r="I6511">
        <v>2100</v>
      </c>
      <c r="J6511">
        <v>0</v>
      </c>
    </row>
    <row r="6512" spans="1:10" x14ac:dyDescent="0.3">
      <c r="A6512" s="15">
        <v>46023</v>
      </c>
      <c r="B6512" t="s">
        <v>250</v>
      </c>
      <c r="C6512" t="s">
        <v>81</v>
      </c>
      <c r="D6512" t="s">
        <v>86</v>
      </c>
      <c r="E6512" t="s">
        <v>87</v>
      </c>
      <c r="F6512">
        <v>2600</v>
      </c>
      <c r="G6512" t="s">
        <v>331</v>
      </c>
      <c r="H6512" s="15">
        <v>45292</v>
      </c>
      <c r="I6512">
        <v>2600</v>
      </c>
      <c r="J6512">
        <v>0</v>
      </c>
    </row>
    <row r="6513" spans="1:10" x14ac:dyDescent="0.3">
      <c r="A6513" s="15">
        <v>46023</v>
      </c>
      <c r="B6513" t="s">
        <v>251</v>
      </c>
      <c r="C6513" t="s">
        <v>91</v>
      </c>
      <c r="D6513" t="s">
        <v>99</v>
      </c>
      <c r="E6513" t="s">
        <v>103</v>
      </c>
      <c r="F6513">
        <v>8800</v>
      </c>
      <c r="G6513" t="s">
        <v>331</v>
      </c>
      <c r="H6513" s="15">
        <v>45292</v>
      </c>
      <c r="I6513">
        <v>8800</v>
      </c>
      <c r="J6513">
        <v>0</v>
      </c>
    </row>
    <row r="6514" spans="1:10" x14ac:dyDescent="0.3">
      <c r="A6514" s="15">
        <v>46023</v>
      </c>
      <c r="B6514" t="s">
        <v>252</v>
      </c>
      <c r="C6514" t="s">
        <v>81</v>
      </c>
      <c r="D6514" t="s">
        <v>99</v>
      </c>
      <c r="E6514" t="s">
        <v>92</v>
      </c>
      <c r="F6514">
        <v>3400</v>
      </c>
      <c r="G6514" t="s">
        <v>331</v>
      </c>
      <c r="H6514" s="15">
        <v>45292</v>
      </c>
      <c r="I6514">
        <v>3400</v>
      </c>
      <c r="J6514">
        <v>0</v>
      </c>
    </row>
    <row r="6515" spans="1:10" x14ac:dyDescent="0.3">
      <c r="A6515" s="15">
        <v>46023</v>
      </c>
      <c r="B6515" t="s">
        <v>253</v>
      </c>
      <c r="C6515" t="s">
        <v>81</v>
      </c>
      <c r="D6515" t="s">
        <v>96</v>
      </c>
      <c r="E6515" t="s">
        <v>89</v>
      </c>
      <c r="F6515">
        <v>2400</v>
      </c>
      <c r="G6515" t="s">
        <v>331</v>
      </c>
      <c r="H6515" s="15">
        <v>45292</v>
      </c>
      <c r="I6515">
        <v>2400</v>
      </c>
      <c r="J6515">
        <v>0</v>
      </c>
    </row>
    <row r="6516" spans="1:10" x14ac:dyDescent="0.3">
      <c r="A6516" s="15">
        <v>46023</v>
      </c>
      <c r="B6516" t="s">
        <v>255</v>
      </c>
      <c r="C6516" t="s">
        <v>91</v>
      </c>
      <c r="D6516" t="s">
        <v>86</v>
      </c>
      <c r="E6516" t="s">
        <v>89</v>
      </c>
      <c r="F6516">
        <v>9900</v>
      </c>
      <c r="G6516" t="s">
        <v>331</v>
      </c>
      <c r="H6516" s="15">
        <v>45292</v>
      </c>
      <c r="I6516">
        <v>9900</v>
      </c>
      <c r="J6516">
        <v>0</v>
      </c>
    </row>
    <row r="6517" spans="1:10" x14ac:dyDescent="0.3">
      <c r="A6517" s="15">
        <v>46023</v>
      </c>
      <c r="B6517" t="s">
        <v>256</v>
      </c>
      <c r="C6517" t="s">
        <v>81</v>
      </c>
      <c r="D6517" t="s">
        <v>82</v>
      </c>
      <c r="E6517" t="s">
        <v>103</v>
      </c>
      <c r="F6517">
        <v>1800</v>
      </c>
      <c r="G6517" t="s">
        <v>331</v>
      </c>
      <c r="H6517" s="15">
        <v>45292</v>
      </c>
      <c r="I6517">
        <v>1800</v>
      </c>
      <c r="J6517">
        <v>0</v>
      </c>
    </row>
    <row r="6518" spans="1:10" x14ac:dyDescent="0.3">
      <c r="A6518" s="15">
        <v>46023</v>
      </c>
      <c r="B6518" t="s">
        <v>258</v>
      </c>
      <c r="C6518" t="s">
        <v>125</v>
      </c>
      <c r="D6518" t="s">
        <v>86</v>
      </c>
      <c r="E6518" t="s">
        <v>83</v>
      </c>
      <c r="F6518">
        <v>96300</v>
      </c>
      <c r="G6518" t="s">
        <v>331</v>
      </c>
      <c r="H6518" s="15">
        <v>45292</v>
      </c>
      <c r="I6518">
        <v>96300</v>
      </c>
      <c r="J6518">
        <v>0</v>
      </c>
    </row>
    <row r="6519" spans="1:10" x14ac:dyDescent="0.3">
      <c r="A6519" s="15">
        <v>46023</v>
      </c>
      <c r="B6519" t="s">
        <v>259</v>
      </c>
      <c r="C6519" t="s">
        <v>81</v>
      </c>
      <c r="D6519" t="s">
        <v>86</v>
      </c>
      <c r="E6519" t="s">
        <v>89</v>
      </c>
      <c r="F6519">
        <v>1900</v>
      </c>
      <c r="G6519" t="s">
        <v>331</v>
      </c>
      <c r="H6519" s="15">
        <v>45292</v>
      </c>
      <c r="I6519">
        <v>1900</v>
      </c>
      <c r="J6519">
        <v>0</v>
      </c>
    </row>
    <row r="6520" spans="1:10" x14ac:dyDescent="0.3">
      <c r="A6520" s="15">
        <v>46023</v>
      </c>
      <c r="B6520" t="s">
        <v>260</v>
      </c>
      <c r="C6520" t="s">
        <v>81</v>
      </c>
      <c r="D6520" t="s">
        <v>86</v>
      </c>
      <c r="E6520" t="s">
        <v>97</v>
      </c>
      <c r="F6520">
        <v>2000</v>
      </c>
      <c r="G6520" t="s">
        <v>331</v>
      </c>
      <c r="H6520" s="15">
        <v>45292</v>
      </c>
      <c r="I6520">
        <v>2000</v>
      </c>
      <c r="J6520">
        <v>0</v>
      </c>
    </row>
    <row r="6521" spans="1:10" x14ac:dyDescent="0.3">
      <c r="A6521" s="15">
        <v>46023</v>
      </c>
      <c r="B6521" t="s">
        <v>262</v>
      </c>
      <c r="C6521" t="s">
        <v>91</v>
      </c>
      <c r="D6521" t="s">
        <v>82</v>
      </c>
      <c r="E6521" t="s">
        <v>92</v>
      </c>
      <c r="F6521">
        <v>10800</v>
      </c>
      <c r="G6521" t="s">
        <v>331</v>
      </c>
      <c r="H6521" s="15">
        <v>45292</v>
      </c>
      <c r="I6521">
        <v>10800</v>
      </c>
      <c r="J6521">
        <v>0</v>
      </c>
    </row>
    <row r="6522" spans="1:10" x14ac:dyDescent="0.3">
      <c r="A6522" s="15">
        <v>46023</v>
      </c>
      <c r="B6522" t="s">
        <v>264</v>
      </c>
      <c r="C6522" t="s">
        <v>110</v>
      </c>
      <c r="D6522" t="s">
        <v>86</v>
      </c>
      <c r="E6522" t="s">
        <v>97</v>
      </c>
      <c r="F6522">
        <v>31500</v>
      </c>
      <c r="G6522" t="s">
        <v>331</v>
      </c>
      <c r="H6522" s="15">
        <v>45292</v>
      </c>
      <c r="I6522">
        <v>31500</v>
      </c>
      <c r="J6522">
        <v>0</v>
      </c>
    </row>
    <row r="6523" spans="1:10" x14ac:dyDescent="0.3">
      <c r="A6523" s="15">
        <v>46023</v>
      </c>
      <c r="B6523" t="s">
        <v>265</v>
      </c>
      <c r="C6523" t="s">
        <v>125</v>
      </c>
      <c r="D6523" t="s">
        <v>86</v>
      </c>
      <c r="E6523" t="s">
        <v>101</v>
      </c>
      <c r="F6523">
        <v>92200</v>
      </c>
      <c r="G6523" t="s">
        <v>331</v>
      </c>
      <c r="H6523" s="15">
        <v>45292</v>
      </c>
      <c r="I6523">
        <v>92200</v>
      </c>
      <c r="J6523">
        <v>0</v>
      </c>
    </row>
    <row r="6524" spans="1:10" x14ac:dyDescent="0.3">
      <c r="A6524" s="15">
        <v>46023</v>
      </c>
      <c r="B6524" t="s">
        <v>266</v>
      </c>
      <c r="C6524" t="s">
        <v>81</v>
      </c>
      <c r="D6524" t="s">
        <v>82</v>
      </c>
      <c r="E6524" t="s">
        <v>83</v>
      </c>
      <c r="F6524">
        <v>2200</v>
      </c>
      <c r="G6524" t="s">
        <v>331</v>
      </c>
      <c r="H6524" s="15">
        <v>45292</v>
      </c>
      <c r="I6524">
        <v>2200</v>
      </c>
      <c r="J6524">
        <v>0</v>
      </c>
    </row>
    <row r="6525" spans="1:10" x14ac:dyDescent="0.3">
      <c r="A6525" s="15">
        <v>46023</v>
      </c>
      <c r="B6525" t="s">
        <v>267</v>
      </c>
      <c r="C6525" t="s">
        <v>91</v>
      </c>
      <c r="D6525" t="s">
        <v>82</v>
      </c>
      <c r="E6525" t="s">
        <v>97</v>
      </c>
      <c r="F6525">
        <v>7300</v>
      </c>
      <c r="G6525" t="s">
        <v>331</v>
      </c>
      <c r="H6525" s="15">
        <v>45292</v>
      </c>
      <c r="I6525">
        <v>7300</v>
      </c>
      <c r="J6525">
        <v>0</v>
      </c>
    </row>
    <row r="6526" spans="1:10" x14ac:dyDescent="0.3">
      <c r="A6526" s="15">
        <v>46023</v>
      </c>
      <c r="B6526" t="s">
        <v>272</v>
      </c>
      <c r="C6526" t="s">
        <v>125</v>
      </c>
      <c r="D6526" t="s">
        <v>96</v>
      </c>
      <c r="E6526" t="s">
        <v>103</v>
      </c>
      <c r="F6526">
        <v>101100</v>
      </c>
      <c r="G6526" t="s">
        <v>331</v>
      </c>
      <c r="H6526" s="15">
        <v>45292</v>
      </c>
      <c r="I6526">
        <v>101100</v>
      </c>
      <c r="J6526">
        <v>0</v>
      </c>
    </row>
    <row r="6527" spans="1:10" x14ac:dyDescent="0.3">
      <c r="A6527" s="15">
        <v>46023</v>
      </c>
      <c r="B6527" t="s">
        <v>273</v>
      </c>
      <c r="C6527" t="s">
        <v>81</v>
      </c>
      <c r="D6527" t="s">
        <v>82</v>
      </c>
      <c r="E6527" t="s">
        <v>101</v>
      </c>
      <c r="F6527">
        <v>3300</v>
      </c>
      <c r="G6527" t="s">
        <v>331</v>
      </c>
      <c r="H6527" s="15">
        <v>45292</v>
      </c>
      <c r="I6527">
        <v>3300</v>
      </c>
      <c r="J6527">
        <v>0</v>
      </c>
    </row>
    <row r="6528" spans="1:10" x14ac:dyDescent="0.3">
      <c r="A6528" s="15">
        <v>46023</v>
      </c>
      <c r="B6528" t="s">
        <v>274</v>
      </c>
      <c r="C6528" t="s">
        <v>91</v>
      </c>
      <c r="D6528" t="s">
        <v>99</v>
      </c>
      <c r="E6528" t="s">
        <v>87</v>
      </c>
      <c r="F6528">
        <v>11400</v>
      </c>
      <c r="G6528" t="s">
        <v>331</v>
      </c>
      <c r="H6528" s="15">
        <v>45292</v>
      </c>
      <c r="I6528">
        <v>11400</v>
      </c>
      <c r="J6528">
        <v>0</v>
      </c>
    </row>
    <row r="6529" spans="1:10" x14ac:dyDescent="0.3">
      <c r="A6529" s="15">
        <v>46023</v>
      </c>
      <c r="B6529" t="s">
        <v>276</v>
      </c>
      <c r="C6529" t="s">
        <v>81</v>
      </c>
      <c r="D6529" t="s">
        <v>82</v>
      </c>
      <c r="E6529" t="s">
        <v>103</v>
      </c>
      <c r="F6529">
        <v>3300</v>
      </c>
      <c r="G6529" t="s">
        <v>331</v>
      </c>
      <c r="H6529" s="15">
        <v>45292</v>
      </c>
      <c r="I6529">
        <v>3300</v>
      </c>
      <c r="J6529">
        <v>0</v>
      </c>
    </row>
    <row r="6530" spans="1:10" x14ac:dyDescent="0.3">
      <c r="A6530" s="15">
        <v>46023</v>
      </c>
      <c r="B6530" t="s">
        <v>277</v>
      </c>
      <c r="C6530" t="s">
        <v>91</v>
      </c>
      <c r="D6530" t="s">
        <v>86</v>
      </c>
      <c r="E6530" t="s">
        <v>97</v>
      </c>
      <c r="F6530">
        <v>9200</v>
      </c>
      <c r="G6530" t="s">
        <v>331</v>
      </c>
      <c r="H6530" s="15">
        <v>45292</v>
      </c>
      <c r="I6530">
        <v>9200</v>
      </c>
      <c r="J6530">
        <v>0</v>
      </c>
    </row>
    <row r="6531" spans="1:10" x14ac:dyDescent="0.3">
      <c r="A6531" s="15">
        <v>46023</v>
      </c>
      <c r="B6531" t="s">
        <v>279</v>
      </c>
      <c r="C6531" t="s">
        <v>91</v>
      </c>
      <c r="D6531" t="s">
        <v>99</v>
      </c>
      <c r="E6531" t="s">
        <v>89</v>
      </c>
      <c r="F6531">
        <v>9800</v>
      </c>
      <c r="G6531" t="s">
        <v>331</v>
      </c>
      <c r="H6531" s="15">
        <v>45292</v>
      </c>
      <c r="I6531">
        <v>9800</v>
      </c>
      <c r="J6531">
        <v>0</v>
      </c>
    </row>
    <row r="6532" spans="1:10" x14ac:dyDescent="0.3">
      <c r="A6532" s="15">
        <v>46023</v>
      </c>
      <c r="B6532" t="s">
        <v>280</v>
      </c>
      <c r="C6532" t="s">
        <v>91</v>
      </c>
      <c r="D6532" t="s">
        <v>96</v>
      </c>
      <c r="E6532" t="s">
        <v>83</v>
      </c>
      <c r="F6532">
        <v>6300</v>
      </c>
      <c r="G6532" t="s">
        <v>331</v>
      </c>
      <c r="H6532" s="15">
        <v>45292</v>
      </c>
      <c r="I6532">
        <v>6300</v>
      </c>
      <c r="J6532">
        <v>0</v>
      </c>
    </row>
    <row r="6533" spans="1:10" x14ac:dyDescent="0.3">
      <c r="A6533" s="15">
        <v>46023</v>
      </c>
      <c r="B6533" t="s">
        <v>281</v>
      </c>
      <c r="C6533" t="s">
        <v>110</v>
      </c>
      <c r="D6533" t="s">
        <v>86</v>
      </c>
      <c r="E6533" t="s">
        <v>92</v>
      </c>
      <c r="F6533">
        <v>63400</v>
      </c>
      <c r="G6533" t="s">
        <v>331</v>
      </c>
      <c r="H6533" s="15">
        <v>45292</v>
      </c>
      <c r="I6533">
        <v>63400</v>
      </c>
      <c r="J6533">
        <v>0</v>
      </c>
    </row>
    <row r="6534" spans="1:10" x14ac:dyDescent="0.3">
      <c r="A6534" s="15">
        <v>46023</v>
      </c>
      <c r="B6534" t="s">
        <v>282</v>
      </c>
      <c r="C6534" t="s">
        <v>91</v>
      </c>
      <c r="D6534" t="s">
        <v>86</v>
      </c>
      <c r="E6534" t="s">
        <v>92</v>
      </c>
      <c r="F6534">
        <v>5800</v>
      </c>
      <c r="G6534" t="s">
        <v>331</v>
      </c>
      <c r="H6534" s="15">
        <v>45292</v>
      </c>
      <c r="I6534">
        <v>5800</v>
      </c>
      <c r="J6534">
        <v>0</v>
      </c>
    </row>
    <row r="6535" spans="1:10" x14ac:dyDescent="0.3">
      <c r="A6535" s="15">
        <v>46023</v>
      </c>
      <c r="B6535" t="s">
        <v>283</v>
      </c>
      <c r="C6535" t="s">
        <v>110</v>
      </c>
      <c r="D6535" t="s">
        <v>82</v>
      </c>
      <c r="E6535" t="s">
        <v>87</v>
      </c>
      <c r="F6535">
        <v>34200</v>
      </c>
      <c r="G6535" t="s">
        <v>331</v>
      </c>
      <c r="H6535" s="15">
        <v>45292</v>
      </c>
      <c r="I6535">
        <v>34200</v>
      </c>
      <c r="J6535">
        <v>0</v>
      </c>
    </row>
    <row r="6536" spans="1:10" x14ac:dyDescent="0.3">
      <c r="A6536" s="15">
        <v>46023</v>
      </c>
      <c r="B6536" t="s">
        <v>284</v>
      </c>
      <c r="C6536" t="s">
        <v>81</v>
      </c>
      <c r="D6536" t="s">
        <v>82</v>
      </c>
      <c r="E6536" t="s">
        <v>101</v>
      </c>
      <c r="F6536">
        <v>2200</v>
      </c>
      <c r="G6536" t="s">
        <v>331</v>
      </c>
      <c r="H6536" s="15">
        <v>45292</v>
      </c>
      <c r="I6536">
        <v>2200</v>
      </c>
      <c r="J6536">
        <v>0</v>
      </c>
    </row>
    <row r="6537" spans="1:10" x14ac:dyDescent="0.3">
      <c r="A6537" s="15">
        <v>46023</v>
      </c>
      <c r="B6537" t="s">
        <v>285</v>
      </c>
      <c r="C6537" t="s">
        <v>91</v>
      </c>
      <c r="D6537" t="s">
        <v>82</v>
      </c>
      <c r="E6537" t="s">
        <v>83</v>
      </c>
      <c r="F6537">
        <v>10900</v>
      </c>
      <c r="G6537" t="s">
        <v>331</v>
      </c>
      <c r="H6537" s="15">
        <v>45292</v>
      </c>
      <c r="I6537">
        <v>10900</v>
      </c>
      <c r="J6537">
        <v>0</v>
      </c>
    </row>
    <row r="6538" spans="1:10" x14ac:dyDescent="0.3">
      <c r="A6538" s="15">
        <v>46023</v>
      </c>
      <c r="B6538" t="s">
        <v>286</v>
      </c>
      <c r="C6538" t="s">
        <v>125</v>
      </c>
      <c r="D6538" t="s">
        <v>86</v>
      </c>
      <c r="E6538" t="s">
        <v>92</v>
      </c>
      <c r="F6538">
        <v>92400</v>
      </c>
      <c r="G6538" t="s">
        <v>331</v>
      </c>
      <c r="H6538" s="15">
        <v>45292</v>
      </c>
      <c r="I6538">
        <v>92400</v>
      </c>
      <c r="J6538">
        <v>0</v>
      </c>
    </row>
    <row r="6539" spans="1:10" x14ac:dyDescent="0.3">
      <c r="A6539" s="15">
        <v>46023</v>
      </c>
      <c r="B6539" t="s">
        <v>287</v>
      </c>
      <c r="C6539" t="s">
        <v>81</v>
      </c>
      <c r="D6539" t="s">
        <v>99</v>
      </c>
      <c r="E6539" t="s">
        <v>87</v>
      </c>
      <c r="F6539">
        <v>2300</v>
      </c>
      <c r="G6539" t="s">
        <v>331</v>
      </c>
      <c r="H6539" s="15">
        <v>45292</v>
      </c>
      <c r="I6539">
        <v>2300</v>
      </c>
      <c r="J6539">
        <v>0</v>
      </c>
    </row>
    <row r="6540" spans="1:10" x14ac:dyDescent="0.3">
      <c r="A6540" s="15">
        <v>46023</v>
      </c>
      <c r="B6540" t="s">
        <v>288</v>
      </c>
      <c r="C6540" t="s">
        <v>81</v>
      </c>
      <c r="D6540" t="s">
        <v>99</v>
      </c>
      <c r="E6540" t="s">
        <v>97</v>
      </c>
      <c r="F6540">
        <v>2900</v>
      </c>
      <c r="G6540" t="s">
        <v>331</v>
      </c>
      <c r="H6540" s="15">
        <v>45292</v>
      </c>
      <c r="I6540">
        <v>2900</v>
      </c>
      <c r="J6540">
        <v>0</v>
      </c>
    </row>
    <row r="6541" spans="1:10" x14ac:dyDescent="0.3">
      <c r="A6541" s="15">
        <v>46023</v>
      </c>
      <c r="B6541" t="s">
        <v>289</v>
      </c>
      <c r="C6541" t="s">
        <v>91</v>
      </c>
      <c r="D6541" t="s">
        <v>86</v>
      </c>
      <c r="E6541" t="s">
        <v>101</v>
      </c>
      <c r="F6541">
        <v>9400</v>
      </c>
      <c r="G6541" t="s">
        <v>331</v>
      </c>
      <c r="H6541" s="15">
        <v>45292</v>
      </c>
      <c r="I6541">
        <v>9400</v>
      </c>
      <c r="J6541">
        <v>0</v>
      </c>
    </row>
    <row r="6542" spans="1:10" x14ac:dyDescent="0.3">
      <c r="A6542" s="15">
        <v>46023</v>
      </c>
      <c r="B6542" t="s">
        <v>290</v>
      </c>
      <c r="C6542" t="s">
        <v>81</v>
      </c>
      <c r="D6542" t="s">
        <v>82</v>
      </c>
      <c r="E6542" t="s">
        <v>103</v>
      </c>
      <c r="F6542">
        <v>2500</v>
      </c>
      <c r="G6542" t="s">
        <v>331</v>
      </c>
      <c r="H6542" s="15">
        <v>45292</v>
      </c>
      <c r="I6542">
        <v>2500</v>
      </c>
      <c r="J6542">
        <v>0</v>
      </c>
    </row>
    <row r="6543" spans="1:10" x14ac:dyDescent="0.3">
      <c r="A6543" s="15">
        <v>46023</v>
      </c>
      <c r="B6543" t="s">
        <v>291</v>
      </c>
      <c r="C6543" t="s">
        <v>81</v>
      </c>
      <c r="D6543" t="s">
        <v>82</v>
      </c>
      <c r="E6543" t="s">
        <v>83</v>
      </c>
      <c r="F6543">
        <v>3100</v>
      </c>
      <c r="G6543" t="s">
        <v>331</v>
      </c>
      <c r="H6543" s="15">
        <v>45292</v>
      </c>
      <c r="I6543">
        <v>3100</v>
      </c>
      <c r="J6543">
        <v>0</v>
      </c>
    </row>
    <row r="6544" spans="1:10" x14ac:dyDescent="0.3">
      <c r="A6544" s="15">
        <v>46023</v>
      </c>
      <c r="B6544" t="s">
        <v>292</v>
      </c>
      <c r="C6544" t="s">
        <v>91</v>
      </c>
      <c r="D6544" t="s">
        <v>86</v>
      </c>
      <c r="E6544" t="s">
        <v>89</v>
      </c>
      <c r="F6544">
        <v>9900</v>
      </c>
      <c r="G6544" t="s">
        <v>331</v>
      </c>
      <c r="H6544" s="15">
        <v>45292</v>
      </c>
      <c r="I6544">
        <v>9900</v>
      </c>
      <c r="J6544">
        <v>0</v>
      </c>
    </row>
    <row r="6545" spans="1:10" x14ac:dyDescent="0.3">
      <c r="A6545" s="15">
        <v>46023</v>
      </c>
      <c r="B6545" t="s">
        <v>293</v>
      </c>
      <c r="C6545" t="s">
        <v>81</v>
      </c>
      <c r="D6545" t="s">
        <v>86</v>
      </c>
      <c r="E6545" t="s">
        <v>103</v>
      </c>
      <c r="F6545">
        <v>2200</v>
      </c>
      <c r="G6545" t="s">
        <v>331</v>
      </c>
      <c r="H6545" s="15">
        <v>45292</v>
      </c>
      <c r="I6545">
        <v>2200</v>
      </c>
      <c r="J6545">
        <v>0</v>
      </c>
    </row>
    <row r="6546" spans="1:10" x14ac:dyDescent="0.3">
      <c r="A6546" s="15">
        <v>46023</v>
      </c>
      <c r="B6546" t="s">
        <v>294</v>
      </c>
      <c r="C6546" t="s">
        <v>91</v>
      </c>
      <c r="D6546" t="s">
        <v>82</v>
      </c>
      <c r="E6546" t="s">
        <v>97</v>
      </c>
      <c r="F6546">
        <v>9100</v>
      </c>
      <c r="G6546" t="s">
        <v>331</v>
      </c>
      <c r="H6546" s="15">
        <v>45292</v>
      </c>
      <c r="I6546">
        <v>9100</v>
      </c>
      <c r="J6546">
        <v>0</v>
      </c>
    </row>
    <row r="6547" spans="1:10" x14ac:dyDescent="0.3">
      <c r="A6547" s="15">
        <v>46023</v>
      </c>
      <c r="B6547" t="s">
        <v>295</v>
      </c>
      <c r="C6547" t="s">
        <v>81</v>
      </c>
      <c r="D6547" t="s">
        <v>82</v>
      </c>
      <c r="E6547" t="s">
        <v>103</v>
      </c>
      <c r="F6547">
        <v>2300</v>
      </c>
      <c r="G6547" t="s">
        <v>331</v>
      </c>
      <c r="H6547" s="15">
        <v>45292</v>
      </c>
      <c r="I6547">
        <v>2300</v>
      </c>
      <c r="J6547">
        <v>0</v>
      </c>
    </row>
    <row r="6548" spans="1:10" x14ac:dyDescent="0.3">
      <c r="A6548" s="15">
        <v>46023</v>
      </c>
      <c r="B6548" t="s">
        <v>298</v>
      </c>
      <c r="C6548" t="s">
        <v>81</v>
      </c>
      <c r="D6548" t="s">
        <v>86</v>
      </c>
      <c r="E6548" t="s">
        <v>89</v>
      </c>
      <c r="F6548">
        <v>2700</v>
      </c>
      <c r="G6548" t="s">
        <v>331</v>
      </c>
      <c r="H6548" s="15">
        <v>45292</v>
      </c>
      <c r="I6548">
        <v>2700</v>
      </c>
      <c r="J6548">
        <v>0</v>
      </c>
    </row>
    <row r="6549" spans="1:10" x14ac:dyDescent="0.3">
      <c r="A6549" s="15">
        <v>46023</v>
      </c>
      <c r="B6549" t="s">
        <v>299</v>
      </c>
      <c r="C6549" t="s">
        <v>81</v>
      </c>
      <c r="D6549" t="s">
        <v>99</v>
      </c>
      <c r="E6549" t="s">
        <v>103</v>
      </c>
      <c r="F6549">
        <v>2900</v>
      </c>
      <c r="G6549" t="s">
        <v>331</v>
      </c>
      <c r="H6549" s="15">
        <v>45292</v>
      </c>
      <c r="I6549">
        <v>2900</v>
      </c>
      <c r="J6549">
        <v>0</v>
      </c>
    </row>
    <row r="6550" spans="1:10" x14ac:dyDescent="0.3">
      <c r="A6550" s="15">
        <v>46023</v>
      </c>
      <c r="B6550" t="s">
        <v>300</v>
      </c>
      <c r="C6550" t="s">
        <v>91</v>
      </c>
      <c r="D6550" t="s">
        <v>82</v>
      </c>
      <c r="E6550" t="s">
        <v>89</v>
      </c>
      <c r="F6550">
        <v>11500</v>
      </c>
      <c r="G6550" t="s">
        <v>331</v>
      </c>
      <c r="H6550" s="15">
        <v>45292</v>
      </c>
      <c r="I6550">
        <v>11500</v>
      </c>
      <c r="J6550">
        <v>0</v>
      </c>
    </row>
    <row r="6551" spans="1:10" x14ac:dyDescent="0.3">
      <c r="A6551" s="15">
        <v>46023</v>
      </c>
      <c r="B6551" t="s">
        <v>303</v>
      </c>
      <c r="C6551" t="s">
        <v>81</v>
      </c>
      <c r="D6551" t="s">
        <v>82</v>
      </c>
      <c r="E6551" t="s">
        <v>83</v>
      </c>
      <c r="F6551">
        <v>1500</v>
      </c>
      <c r="G6551" t="s">
        <v>331</v>
      </c>
      <c r="H6551" s="15">
        <v>45292</v>
      </c>
      <c r="I6551">
        <v>1500</v>
      </c>
      <c r="J6551">
        <v>0</v>
      </c>
    </row>
    <row r="6552" spans="1:10" x14ac:dyDescent="0.3">
      <c r="A6552" s="15">
        <v>46023</v>
      </c>
      <c r="B6552" t="s">
        <v>304</v>
      </c>
      <c r="C6552" t="s">
        <v>81</v>
      </c>
      <c r="D6552" t="s">
        <v>86</v>
      </c>
      <c r="E6552" t="s">
        <v>92</v>
      </c>
      <c r="F6552">
        <v>2100</v>
      </c>
      <c r="G6552" t="s">
        <v>331</v>
      </c>
      <c r="H6552" s="15">
        <v>45292</v>
      </c>
      <c r="I6552">
        <v>2100</v>
      </c>
      <c r="J6552">
        <v>0</v>
      </c>
    </row>
    <row r="6553" spans="1:10" x14ac:dyDescent="0.3">
      <c r="A6553" s="15">
        <v>46023</v>
      </c>
      <c r="B6553" t="s">
        <v>306</v>
      </c>
      <c r="C6553" t="s">
        <v>91</v>
      </c>
      <c r="D6553" t="s">
        <v>82</v>
      </c>
      <c r="E6553" t="s">
        <v>87</v>
      </c>
      <c r="F6553">
        <v>11700</v>
      </c>
      <c r="G6553" t="s">
        <v>331</v>
      </c>
      <c r="H6553" s="15">
        <v>45292</v>
      </c>
      <c r="I6553">
        <v>11700</v>
      </c>
      <c r="J6553">
        <v>0</v>
      </c>
    </row>
    <row r="6554" spans="1:10" x14ac:dyDescent="0.3">
      <c r="A6554" s="15">
        <v>46023</v>
      </c>
      <c r="B6554" t="s">
        <v>307</v>
      </c>
      <c r="C6554" t="s">
        <v>81</v>
      </c>
      <c r="D6554" t="s">
        <v>86</v>
      </c>
      <c r="E6554" t="s">
        <v>97</v>
      </c>
      <c r="F6554">
        <v>2600</v>
      </c>
      <c r="G6554" t="s">
        <v>331</v>
      </c>
      <c r="H6554" s="15">
        <v>45292</v>
      </c>
      <c r="I6554">
        <v>2600</v>
      </c>
      <c r="J6554">
        <v>0</v>
      </c>
    </row>
    <row r="6555" spans="1:10" x14ac:dyDescent="0.3">
      <c r="A6555" s="15">
        <v>46023</v>
      </c>
      <c r="B6555" t="s">
        <v>309</v>
      </c>
      <c r="C6555" t="s">
        <v>91</v>
      </c>
      <c r="D6555" t="s">
        <v>82</v>
      </c>
      <c r="E6555" t="s">
        <v>87</v>
      </c>
      <c r="F6555">
        <v>11800</v>
      </c>
      <c r="G6555" t="s">
        <v>331</v>
      </c>
      <c r="H6555" s="15">
        <v>45292</v>
      </c>
      <c r="I6555">
        <v>11800</v>
      </c>
      <c r="J6555">
        <v>0</v>
      </c>
    </row>
    <row r="6556" spans="1:10" x14ac:dyDescent="0.3">
      <c r="A6556" s="15">
        <v>46023</v>
      </c>
      <c r="B6556" t="s">
        <v>310</v>
      </c>
      <c r="C6556" t="s">
        <v>91</v>
      </c>
      <c r="D6556" t="s">
        <v>99</v>
      </c>
      <c r="E6556" t="s">
        <v>87</v>
      </c>
      <c r="F6556">
        <v>10000</v>
      </c>
      <c r="G6556" t="s">
        <v>331</v>
      </c>
      <c r="H6556" s="15">
        <v>45292</v>
      </c>
      <c r="I6556">
        <v>10000</v>
      </c>
      <c r="J6556">
        <v>0</v>
      </c>
    </row>
    <row r="6557" spans="1:10" x14ac:dyDescent="0.3">
      <c r="A6557" s="15">
        <v>46023</v>
      </c>
      <c r="B6557" t="s">
        <v>313</v>
      </c>
      <c r="C6557" t="s">
        <v>91</v>
      </c>
      <c r="D6557" t="s">
        <v>82</v>
      </c>
      <c r="E6557" t="s">
        <v>101</v>
      </c>
      <c r="F6557">
        <v>12700</v>
      </c>
      <c r="G6557" t="s">
        <v>331</v>
      </c>
      <c r="H6557" s="15">
        <v>45292</v>
      </c>
      <c r="I6557">
        <v>12700</v>
      </c>
      <c r="J6557">
        <v>0</v>
      </c>
    </row>
    <row r="6558" spans="1:10" x14ac:dyDescent="0.3">
      <c r="A6558" s="15">
        <v>46023</v>
      </c>
      <c r="B6558" t="s">
        <v>315</v>
      </c>
      <c r="C6558" t="s">
        <v>125</v>
      </c>
      <c r="D6558" t="s">
        <v>86</v>
      </c>
      <c r="E6558" t="s">
        <v>92</v>
      </c>
      <c r="F6558">
        <v>76200</v>
      </c>
      <c r="G6558" t="s">
        <v>331</v>
      </c>
      <c r="H6558" s="15">
        <v>45292</v>
      </c>
      <c r="I6558">
        <v>76200</v>
      </c>
      <c r="J6558">
        <v>0</v>
      </c>
    </row>
    <row r="6559" spans="1:10" x14ac:dyDescent="0.3">
      <c r="A6559" s="15">
        <v>46023</v>
      </c>
      <c r="B6559" t="s">
        <v>316</v>
      </c>
      <c r="C6559" t="s">
        <v>81</v>
      </c>
      <c r="D6559" t="s">
        <v>96</v>
      </c>
      <c r="E6559" t="s">
        <v>92</v>
      </c>
      <c r="F6559">
        <v>2000</v>
      </c>
      <c r="G6559" t="s">
        <v>331</v>
      </c>
      <c r="H6559" s="15">
        <v>45292</v>
      </c>
      <c r="I6559">
        <v>2000</v>
      </c>
      <c r="J6559">
        <v>0</v>
      </c>
    </row>
    <row r="6560" spans="1:10" x14ac:dyDescent="0.3">
      <c r="A6560" s="15">
        <v>46023</v>
      </c>
      <c r="B6560" t="s">
        <v>318</v>
      </c>
      <c r="C6560" t="s">
        <v>110</v>
      </c>
      <c r="D6560" t="s">
        <v>82</v>
      </c>
      <c r="E6560" t="s">
        <v>97</v>
      </c>
      <c r="F6560">
        <v>29600</v>
      </c>
      <c r="G6560" t="s">
        <v>331</v>
      </c>
      <c r="H6560" s="15">
        <v>45292</v>
      </c>
      <c r="I6560">
        <v>29600</v>
      </c>
      <c r="J6560">
        <v>0</v>
      </c>
    </row>
    <row r="6561" spans="1:10" x14ac:dyDescent="0.3">
      <c r="A6561" s="15">
        <v>46023</v>
      </c>
      <c r="B6561" t="s">
        <v>320</v>
      </c>
      <c r="C6561" t="s">
        <v>91</v>
      </c>
      <c r="D6561" t="s">
        <v>86</v>
      </c>
      <c r="E6561" t="s">
        <v>97</v>
      </c>
      <c r="F6561">
        <v>7700</v>
      </c>
      <c r="G6561" t="s">
        <v>331</v>
      </c>
      <c r="H6561" s="15">
        <v>45292</v>
      </c>
      <c r="I6561">
        <v>7700</v>
      </c>
      <c r="J6561">
        <v>0</v>
      </c>
    </row>
    <row r="6562" spans="1:10" x14ac:dyDescent="0.3">
      <c r="A6562" s="15">
        <v>46023</v>
      </c>
      <c r="B6562" t="s">
        <v>321</v>
      </c>
      <c r="C6562" t="s">
        <v>81</v>
      </c>
      <c r="D6562" t="s">
        <v>99</v>
      </c>
      <c r="E6562" t="s">
        <v>101</v>
      </c>
      <c r="F6562">
        <v>3500</v>
      </c>
      <c r="G6562" t="s">
        <v>331</v>
      </c>
      <c r="H6562" s="15">
        <v>45292</v>
      </c>
      <c r="I6562">
        <v>3500</v>
      </c>
      <c r="J6562">
        <v>0</v>
      </c>
    </row>
    <row r="6563" spans="1:10" x14ac:dyDescent="0.3">
      <c r="A6563" s="15">
        <v>46023</v>
      </c>
      <c r="B6563" t="s">
        <v>322</v>
      </c>
      <c r="C6563" t="s">
        <v>81</v>
      </c>
      <c r="D6563" t="s">
        <v>82</v>
      </c>
      <c r="E6563" t="s">
        <v>103</v>
      </c>
      <c r="F6563">
        <v>2000</v>
      </c>
      <c r="G6563" t="s">
        <v>331</v>
      </c>
      <c r="H6563" s="15">
        <v>45292</v>
      </c>
      <c r="I6563">
        <v>2000</v>
      </c>
      <c r="J6563">
        <v>0</v>
      </c>
    </row>
    <row r="6564" spans="1:10" x14ac:dyDescent="0.3">
      <c r="A6564" s="15">
        <v>46023</v>
      </c>
      <c r="B6564" t="s">
        <v>323</v>
      </c>
      <c r="C6564" t="s">
        <v>110</v>
      </c>
      <c r="D6564" t="s">
        <v>82</v>
      </c>
      <c r="E6564" t="s">
        <v>89</v>
      </c>
      <c r="F6564">
        <v>23400</v>
      </c>
      <c r="G6564" t="s">
        <v>331</v>
      </c>
      <c r="H6564" s="15">
        <v>45292</v>
      </c>
      <c r="I6564">
        <v>23400</v>
      </c>
      <c r="J6564">
        <v>0</v>
      </c>
    </row>
    <row r="6565" spans="1:10" x14ac:dyDescent="0.3">
      <c r="A6565" s="15">
        <v>46023</v>
      </c>
      <c r="B6565" t="s">
        <v>324</v>
      </c>
      <c r="C6565" t="s">
        <v>81</v>
      </c>
      <c r="D6565" t="s">
        <v>86</v>
      </c>
      <c r="E6565" t="s">
        <v>87</v>
      </c>
      <c r="F6565">
        <v>2700</v>
      </c>
      <c r="G6565" t="s">
        <v>331</v>
      </c>
      <c r="H6565" s="15">
        <v>45292</v>
      </c>
      <c r="I6565">
        <v>2700</v>
      </c>
      <c r="J6565">
        <v>0</v>
      </c>
    </row>
    <row r="6566" spans="1:10" x14ac:dyDescent="0.3">
      <c r="A6566" s="15">
        <v>46023</v>
      </c>
      <c r="B6566" t="s">
        <v>325</v>
      </c>
      <c r="C6566" t="s">
        <v>91</v>
      </c>
      <c r="D6566" t="s">
        <v>86</v>
      </c>
      <c r="E6566" t="s">
        <v>87</v>
      </c>
      <c r="F6566">
        <v>9400</v>
      </c>
      <c r="G6566" t="s">
        <v>331</v>
      </c>
      <c r="H6566" s="15">
        <v>45292</v>
      </c>
      <c r="I6566">
        <v>9400</v>
      </c>
      <c r="J6566">
        <v>0</v>
      </c>
    </row>
    <row r="6567" spans="1:10" x14ac:dyDescent="0.3">
      <c r="A6567" s="15">
        <v>46023</v>
      </c>
      <c r="B6567" t="s">
        <v>327</v>
      </c>
      <c r="C6567" t="s">
        <v>125</v>
      </c>
      <c r="D6567" t="s">
        <v>99</v>
      </c>
      <c r="E6567" t="s">
        <v>97</v>
      </c>
      <c r="F6567">
        <v>77500</v>
      </c>
      <c r="G6567" t="s">
        <v>331</v>
      </c>
      <c r="H6567" s="15">
        <v>45292</v>
      </c>
      <c r="I6567">
        <v>77500</v>
      </c>
      <c r="J6567">
        <v>0</v>
      </c>
    </row>
    <row r="6568" spans="1:10" x14ac:dyDescent="0.3">
      <c r="A6568" s="15">
        <v>46023</v>
      </c>
      <c r="B6568" t="s">
        <v>329</v>
      </c>
      <c r="C6568" t="s">
        <v>81</v>
      </c>
      <c r="D6568" t="s">
        <v>86</v>
      </c>
      <c r="E6568" t="s">
        <v>101</v>
      </c>
      <c r="F6568">
        <v>2200</v>
      </c>
      <c r="G6568" t="s">
        <v>331</v>
      </c>
      <c r="H6568" s="15">
        <v>45292</v>
      </c>
      <c r="I6568">
        <v>2200</v>
      </c>
      <c r="J6568">
        <v>0</v>
      </c>
    </row>
    <row r="6569" spans="1:10" x14ac:dyDescent="0.3">
      <c r="A6569" s="15">
        <v>46023</v>
      </c>
      <c r="B6569" t="s">
        <v>330</v>
      </c>
      <c r="C6569" t="s">
        <v>125</v>
      </c>
      <c r="D6569" t="s">
        <v>86</v>
      </c>
      <c r="E6569" t="s">
        <v>87</v>
      </c>
      <c r="F6569">
        <v>105400</v>
      </c>
      <c r="G6569" t="s">
        <v>331</v>
      </c>
      <c r="H6569" s="15">
        <v>45292</v>
      </c>
      <c r="I6569">
        <v>105400</v>
      </c>
      <c r="J6569">
        <v>0</v>
      </c>
    </row>
    <row r="6570" spans="1:10" x14ac:dyDescent="0.3">
      <c r="A6570" s="15">
        <v>46023</v>
      </c>
      <c r="B6570" t="s">
        <v>335</v>
      </c>
      <c r="C6570" t="s">
        <v>91</v>
      </c>
      <c r="D6570" t="s">
        <v>86</v>
      </c>
      <c r="E6570" t="s">
        <v>89</v>
      </c>
      <c r="F6570">
        <v>6500</v>
      </c>
      <c r="G6570" t="s">
        <v>331</v>
      </c>
      <c r="H6570" s="15">
        <v>45323</v>
      </c>
      <c r="I6570">
        <v>6500</v>
      </c>
      <c r="J6570">
        <v>0</v>
      </c>
    </row>
    <row r="6571" spans="1:10" x14ac:dyDescent="0.3">
      <c r="A6571" s="15">
        <v>46023</v>
      </c>
      <c r="B6571" t="s">
        <v>336</v>
      </c>
      <c r="C6571" t="s">
        <v>81</v>
      </c>
      <c r="D6571" t="s">
        <v>82</v>
      </c>
      <c r="E6571" t="s">
        <v>103</v>
      </c>
      <c r="F6571">
        <v>1500</v>
      </c>
      <c r="G6571" t="s">
        <v>331</v>
      </c>
      <c r="H6571" s="15">
        <v>45323</v>
      </c>
      <c r="I6571">
        <v>1500</v>
      </c>
      <c r="J6571">
        <v>0</v>
      </c>
    </row>
    <row r="6572" spans="1:10" x14ac:dyDescent="0.3">
      <c r="A6572" s="15">
        <v>46023</v>
      </c>
      <c r="B6572" t="s">
        <v>339</v>
      </c>
      <c r="C6572" t="s">
        <v>81</v>
      </c>
      <c r="D6572" t="s">
        <v>82</v>
      </c>
      <c r="E6572" t="s">
        <v>103</v>
      </c>
      <c r="F6572">
        <v>1600</v>
      </c>
      <c r="G6572" t="s">
        <v>331</v>
      </c>
      <c r="H6572" s="15">
        <v>45323</v>
      </c>
      <c r="I6572">
        <v>1600</v>
      </c>
      <c r="J6572">
        <v>0</v>
      </c>
    </row>
    <row r="6573" spans="1:10" x14ac:dyDescent="0.3">
      <c r="A6573" s="15">
        <v>46023</v>
      </c>
      <c r="B6573" t="s">
        <v>341</v>
      </c>
      <c r="C6573" t="s">
        <v>110</v>
      </c>
      <c r="D6573" t="s">
        <v>82</v>
      </c>
      <c r="E6573" t="s">
        <v>92</v>
      </c>
      <c r="F6573">
        <v>18800</v>
      </c>
      <c r="G6573" t="s">
        <v>331</v>
      </c>
      <c r="H6573" s="15">
        <v>45323</v>
      </c>
      <c r="I6573">
        <v>18800</v>
      </c>
      <c r="J6573">
        <v>0</v>
      </c>
    </row>
    <row r="6574" spans="1:10" x14ac:dyDescent="0.3">
      <c r="A6574" s="15">
        <v>46023</v>
      </c>
      <c r="B6574" t="s">
        <v>342</v>
      </c>
      <c r="C6574" t="s">
        <v>91</v>
      </c>
      <c r="D6574" t="s">
        <v>82</v>
      </c>
      <c r="E6574" t="s">
        <v>83</v>
      </c>
      <c r="F6574">
        <v>6300</v>
      </c>
      <c r="G6574" t="s">
        <v>331</v>
      </c>
      <c r="H6574" s="15">
        <v>45352</v>
      </c>
      <c r="I6574">
        <v>6300</v>
      </c>
      <c r="J6574">
        <v>0</v>
      </c>
    </row>
    <row r="6575" spans="1:10" x14ac:dyDescent="0.3">
      <c r="A6575" s="15">
        <v>46023</v>
      </c>
      <c r="B6575" t="s">
        <v>343</v>
      </c>
      <c r="C6575" t="s">
        <v>81</v>
      </c>
      <c r="D6575" t="s">
        <v>82</v>
      </c>
      <c r="E6575" t="s">
        <v>89</v>
      </c>
      <c r="F6575">
        <v>2500</v>
      </c>
      <c r="G6575" t="s">
        <v>331</v>
      </c>
      <c r="H6575" s="15">
        <v>45352</v>
      </c>
      <c r="I6575">
        <v>2500</v>
      </c>
      <c r="J6575">
        <v>0</v>
      </c>
    </row>
    <row r="6576" spans="1:10" x14ac:dyDescent="0.3">
      <c r="A6576" s="15">
        <v>46023</v>
      </c>
      <c r="B6576" t="s">
        <v>344</v>
      </c>
      <c r="C6576" t="s">
        <v>110</v>
      </c>
      <c r="D6576" t="s">
        <v>86</v>
      </c>
      <c r="E6576" t="s">
        <v>89</v>
      </c>
      <c r="F6576">
        <v>25800</v>
      </c>
      <c r="G6576" t="s">
        <v>331</v>
      </c>
      <c r="H6576" s="15">
        <v>45352</v>
      </c>
      <c r="I6576">
        <v>25800</v>
      </c>
      <c r="J6576">
        <v>0</v>
      </c>
    </row>
    <row r="6577" spans="1:10" x14ac:dyDescent="0.3">
      <c r="A6577" s="15">
        <v>46023</v>
      </c>
      <c r="B6577" t="s">
        <v>345</v>
      </c>
      <c r="C6577" t="s">
        <v>91</v>
      </c>
      <c r="D6577" t="s">
        <v>86</v>
      </c>
      <c r="E6577" t="s">
        <v>83</v>
      </c>
      <c r="F6577">
        <v>7900</v>
      </c>
      <c r="G6577" t="s">
        <v>331</v>
      </c>
      <c r="H6577" s="15">
        <v>45352</v>
      </c>
      <c r="I6577">
        <v>7900</v>
      </c>
      <c r="J6577">
        <v>0</v>
      </c>
    </row>
    <row r="6578" spans="1:10" x14ac:dyDescent="0.3">
      <c r="A6578" s="15">
        <v>46023</v>
      </c>
      <c r="B6578" t="s">
        <v>346</v>
      </c>
      <c r="C6578" t="s">
        <v>81</v>
      </c>
      <c r="D6578" t="s">
        <v>86</v>
      </c>
      <c r="E6578" t="s">
        <v>97</v>
      </c>
      <c r="F6578">
        <v>1700</v>
      </c>
      <c r="G6578" t="s">
        <v>331</v>
      </c>
      <c r="H6578" s="15">
        <v>45352</v>
      </c>
      <c r="I6578">
        <v>1700</v>
      </c>
      <c r="J6578">
        <v>0</v>
      </c>
    </row>
    <row r="6579" spans="1:10" x14ac:dyDescent="0.3">
      <c r="A6579" s="15">
        <v>46023</v>
      </c>
      <c r="B6579" t="s">
        <v>347</v>
      </c>
      <c r="C6579" t="s">
        <v>91</v>
      </c>
      <c r="D6579" t="s">
        <v>82</v>
      </c>
      <c r="E6579" t="s">
        <v>83</v>
      </c>
      <c r="F6579">
        <v>4700</v>
      </c>
      <c r="G6579" t="s">
        <v>331</v>
      </c>
      <c r="H6579" s="15">
        <v>45383</v>
      </c>
      <c r="I6579">
        <v>4700</v>
      </c>
      <c r="J6579">
        <v>0</v>
      </c>
    </row>
    <row r="6580" spans="1:10" x14ac:dyDescent="0.3">
      <c r="A6580" s="15">
        <v>46023</v>
      </c>
      <c r="B6580" t="s">
        <v>350</v>
      </c>
      <c r="C6580" t="s">
        <v>91</v>
      </c>
      <c r="D6580" t="s">
        <v>82</v>
      </c>
      <c r="E6580" t="s">
        <v>83</v>
      </c>
      <c r="F6580">
        <v>4400</v>
      </c>
      <c r="G6580" t="s">
        <v>331</v>
      </c>
      <c r="H6580" s="15">
        <v>45383</v>
      </c>
      <c r="I6580">
        <v>4400</v>
      </c>
      <c r="J6580">
        <v>0</v>
      </c>
    </row>
    <row r="6581" spans="1:10" x14ac:dyDescent="0.3">
      <c r="A6581" s="15">
        <v>46023</v>
      </c>
      <c r="B6581" t="s">
        <v>351</v>
      </c>
      <c r="C6581" t="s">
        <v>81</v>
      </c>
      <c r="D6581" t="s">
        <v>86</v>
      </c>
      <c r="E6581" t="s">
        <v>83</v>
      </c>
      <c r="F6581">
        <v>2700</v>
      </c>
      <c r="G6581" t="s">
        <v>331</v>
      </c>
      <c r="H6581" s="15">
        <v>45383</v>
      </c>
      <c r="I6581">
        <v>2700</v>
      </c>
      <c r="J6581">
        <v>0</v>
      </c>
    </row>
    <row r="6582" spans="1:10" x14ac:dyDescent="0.3">
      <c r="A6582" s="15">
        <v>46023</v>
      </c>
      <c r="B6582" t="s">
        <v>352</v>
      </c>
      <c r="C6582" t="s">
        <v>91</v>
      </c>
      <c r="D6582" t="s">
        <v>82</v>
      </c>
      <c r="E6582" t="s">
        <v>89</v>
      </c>
      <c r="F6582">
        <v>8800</v>
      </c>
      <c r="G6582" t="s">
        <v>331</v>
      </c>
      <c r="H6582" s="15">
        <v>45383</v>
      </c>
      <c r="I6582">
        <v>8800</v>
      </c>
      <c r="J6582">
        <v>0</v>
      </c>
    </row>
    <row r="6583" spans="1:10" x14ac:dyDescent="0.3">
      <c r="A6583" s="15">
        <v>46023</v>
      </c>
      <c r="B6583" t="s">
        <v>353</v>
      </c>
      <c r="C6583" t="s">
        <v>81</v>
      </c>
      <c r="D6583" t="s">
        <v>99</v>
      </c>
      <c r="E6583" t="s">
        <v>103</v>
      </c>
      <c r="F6583">
        <v>1200</v>
      </c>
      <c r="G6583" t="s">
        <v>331</v>
      </c>
      <c r="H6583" s="15">
        <v>45383</v>
      </c>
      <c r="I6583">
        <v>1200</v>
      </c>
      <c r="J6583">
        <v>0</v>
      </c>
    </row>
    <row r="6584" spans="1:10" x14ac:dyDescent="0.3">
      <c r="A6584" s="15">
        <v>46023</v>
      </c>
      <c r="B6584" t="s">
        <v>354</v>
      </c>
      <c r="C6584" t="s">
        <v>81</v>
      </c>
      <c r="D6584" t="s">
        <v>82</v>
      </c>
      <c r="E6584" t="s">
        <v>92</v>
      </c>
      <c r="F6584">
        <v>1700</v>
      </c>
      <c r="G6584" t="s">
        <v>331</v>
      </c>
      <c r="H6584" s="15">
        <v>45413</v>
      </c>
      <c r="I6584">
        <v>1700</v>
      </c>
      <c r="J6584">
        <v>0</v>
      </c>
    </row>
    <row r="6585" spans="1:10" x14ac:dyDescent="0.3">
      <c r="A6585" s="15">
        <v>46023</v>
      </c>
      <c r="B6585" t="s">
        <v>355</v>
      </c>
      <c r="C6585" t="s">
        <v>81</v>
      </c>
      <c r="D6585" t="s">
        <v>86</v>
      </c>
      <c r="E6585" t="s">
        <v>97</v>
      </c>
      <c r="F6585">
        <v>2000</v>
      </c>
      <c r="G6585" t="s">
        <v>331</v>
      </c>
      <c r="H6585" s="15">
        <v>45413</v>
      </c>
      <c r="I6585">
        <v>2000</v>
      </c>
      <c r="J6585">
        <v>0</v>
      </c>
    </row>
    <row r="6586" spans="1:10" x14ac:dyDescent="0.3">
      <c r="A6586" s="15">
        <v>46023</v>
      </c>
      <c r="B6586" t="s">
        <v>356</v>
      </c>
      <c r="C6586" t="s">
        <v>110</v>
      </c>
      <c r="D6586" t="s">
        <v>82</v>
      </c>
      <c r="E6586" t="s">
        <v>97</v>
      </c>
      <c r="F6586">
        <v>33000</v>
      </c>
      <c r="G6586" t="s">
        <v>331</v>
      </c>
      <c r="H6586" s="15">
        <v>45413</v>
      </c>
      <c r="I6586">
        <v>33000</v>
      </c>
      <c r="J6586">
        <v>0</v>
      </c>
    </row>
    <row r="6587" spans="1:10" x14ac:dyDescent="0.3">
      <c r="A6587" s="15">
        <v>46023</v>
      </c>
      <c r="B6587" t="s">
        <v>357</v>
      </c>
      <c r="C6587" t="s">
        <v>125</v>
      </c>
      <c r="D6587" t="s">
        <v>86</v>
      </c>
      <c r="E6587" t="s">
        <v>97</v>
      </c>
      <c r="F6587">
        <v>83400</v>
      </c>
      <c r="G6587" t="s">
        <v>331</v>
      </c>
      <c r="H6587" s="15">
        <v>45413</v>
      </c>
      <c r="I6587">
        <v>83400</v>
      </c>
      <c r="J6587">
        <v>0</v>
      </c>
    </row>
    <row r="6588" spans="1:10" x14ac:dyDescent="0.3">
      <c r="A6588" s="15">
        <v>46023</v>
      </c>
      <c r="B6588" t="s">
        <v>358</v>
      </c>
      <c r="C6588" t="s">
        <v>110</v>
      </c>
      <c r="D6588" t="s">
        <v>86</v>
      </c>
      <c r="E6588" t="s">
        <v>83</v>
      </c>
      <c r="F6588">
        <v>24100</v>
      </c>
      <c r="G6588" t="s">
        <v>331</v>
      </c>
      <c r="H6588" s="15">
        <v>45413</v>
      </c>
      <c r="I6588">
        <v>24100</v>
      </c>
      <c r="J6588">
        <v>0</v>
      </c>
    </row>
    <row r="6589" spans="1:10" x14ac:dyDescent="0.3">
      <c r="A6589" s="15">
        <v>46023</v>
      </c>
      <c r="B6589" t="s">
        <v>359</v>
      </c>
      <c r="C6589" t="s">
        <v>110</v>
      </c>
      <c r="D6589" t="s">
        <v>86</v>
      </c>
      <c r="E6589" t="s">
        <v>101</v>
      </c>
      <c r="F6589">
        <v>31400</v>
      </c>
      <c r="G6589" t="s">
        <v>331</v>
      </c>
      <c r="H6589" s="15">
        <v>45413</v>
      </c>
      <c r="I6589">
        <v>31400</v>
      </c>
      <c r="J6589">
        <v>0</v>
      </c>
    </row>
    <row r="6590" spans="1:10" x14ac:dyDescent="0.3">
      <c r="A6590" s="15">
        <v>46023</v>
      </c>
      <c r="B6590" t="s">
        <v>361</v>
      </c>
      <c r="C6590" t="s">
        <v>91</v>
      </c>
      <c r="D6590" t="s">
        <v>86</v>
      </c>
      <c r="E6590" t="s">
        <v>83</v>
      </c>
      <c r="F6590">
        <v>5700</v>
      </c>
      <c r="G6590" t="s">
        <v>331</v>
      </c>
      <c r="H6590" s="15">
        <v>45444</v>
      </c>
      <c r="I6590">
        <v>5700</v>
      </c>
      <c r="J6590">
        <v>0</v>
      </c>
    </row>
    <row r="6591" spans="1:10" x14ac:dyDescent="0.3">
      <c r="A6591" s="15">
        <v>46023</v>
      </c>
      <c r="B6591" t="s">
        <v>362</v>
      </c>
      <c r="C6591" t="s">
        <v>91</v>
      </c>
      <c r="D6591" t="s">
        <v>82</v>
      </c>
      <c r="E6591" t="s">
        <v>101</v>
      </c>
      <c r="F6591">
        <v>5700</v>
      </c>
      <c r="G6591" t="s">
        <v>331</v>
      </c>
      <c r="H6591" s="15">
        <v>45444</v>
      </c>
      <c r="I6591">
        <v>5700</v>
      </c>
      <c r="J6591">
        <v>0</v>
      </c>
    </row>
    <row r="6592" spans="1:10" x14ac:dyDescent="0.3">
      <c r="A6592" s="15">
        <v>46023</v>
      </c>
      <c r="B6592" t="s">
        <v>363</v>
      </c>
      <c r="C6592" t="s">
        <v>91</v>
      </c>
      <c r="D6592" t="s">
        <v>86</v>
      </c>
      <c r="E6592" t="s">
        <v>83</v>
      </c>
      <c r="F6592">
        <v>4400</v>
      </c>
      <c r="G6592" t="s">
        <v>331</v>
      </c>
      <c r="H6592" s="15">
        <v>45444</v>
      </c>
      <c r="I6592">
        <v>4400</v>
      </c>
      <c r="J6592">
        <v>0</v>
      </c>
    </row>
    <row r="6593" spans="1:10" x14ac:dyDescent="0.3">
      <c r="A6593" s="15">
        <v>46023</v>
      </c>
      <c r="B6593" t="s">
        <v>364</v>
      </c>
      <c r="C6593" t="s">
        <v>91</v>
      </c>
      <c r="D6593" t="s">
        <v>82</v>
      </c>
      <c r="E6593" t="s">
        <v>101</v>
      </c>
      <c r="F6593">
        <v>6700</v>
      </c>
      <c r="G6593" t="s">
        <v>331</v>
      </c>
      <c r="H6593" s="15">
        <v>45444</v>
      </c>
      <c r="I6593">
        <v>6700</v>
      </c>
      <c r="J6593">
        <v>0</v>
      </c>
    </row>
    <row r="6594" spans="1:10" x14ac:dyDescent="0.3">
      <c r="A6594" s="15">
        <v>46023</v>
      </c>
      <c r="B6594" t="s">
        <v>366</v>
      </c>
      <c r="C6594" t="s">
        <v>81</v>
      </c>
      <c r="D6594" t="s">
        <v>99</v>
      </c>
      <c r="E6594" t="s">
        <v>92</v>
      </c>
      <c r="F6594">
        <v>1600</v>
      </c>
      <c r="G6594" t="s">
        <v>331</v>
      </c>
      <c r="H6594" s="15">
        <v>45474</v>
      </c>
      <c r="I6594">
        <v>1600</v>
      </c>
      <c r="J6594">
        <v>0</v>
      </c>
    </row>
    <row r="6595" spans="1:10" x14ac:dyDescent="0.3">
      <c r="A6595" s="15">
        <v>46023</v>
      </c>
      <c r="B6595" t="s">
        <v>367</v>
      </c>
      <c r="C6595" t="s">
        <v>91</v>
      </c>
      <c r="D6595" t="s">
        <v>82</v>
      </c>
      <c r="E6595" t="s">
        <v>92</v>
      </c>
      <c r="F6595">
        <v>0</v>
      </c>
      <c r="G6595" t="s">
        <v>333</v>
      </c>
      <c r="H6595" s="15">
        <v>45474</v>
      </c>
      <c r="I6595">
        <v>4400</v>
      </c>
      <c r="J6595">
        <v>-4400</v>
      </c>
    </row>
    <row r="6596" spans="1:10" x14ac:dyDescent="0.3">
      <c r="A6596" s="15">
        <v>46023</v>
      </c>
      <c r="B6596" t="s">
        <v>368</v>
      </c>
      <c r="C6596" t="s">
        <v>81</v>
      </c>
      <c r="D6596" t="s">
        <v>86</v>
      </c>
      <c r="E6596" t="s">
        <v>89</v>
      </c>
      <c r="F6596">
        <v>1400</v>
      </c>
      <c r="G6596" t="s">
        <v>331</v>
      </c>
      <c r="H6596" s="15">
        <v>45474</v>
      </c>
      <c r="I6596">
        <v>1400</v>
      </c>
      <c r="J6596">
        <v>0</v>
      </c>
    </row>
    <row r="6597" spans="1:10" x14ac:dyDescent="0.3">
      <c r="A6597" s="15">
        <v>46023</v>
      </c>
      <c r="B6597" t="s">
        <v>369</v>
      </c>
      <c r="C6597" t="s">
        <v>81</v>
      </c>
      <c r="D6597" t="s">
        <v>86</v>
      </c>
      <c r="E6597" t="s">
        <v>83</v>
      </c>
      <c r="F6597">
        <v>2000</v>
      </c>
      <c r="G6597" t="s">
        <v>331</v>
      </c>
      <c r="H6597" s="15">
        <v>45474</v>
      </c>
      <c r="I6597">
        <v>2000</v>
      </c>
      <c r="J6597">
        <v>0</v>
      </c>
    </row>
    <row r="6598" spans="1:10" x14ac:dyDescent="0.3">
      <c r="A6598" s="15">
        <v>46023</v>
      </c>
      <c r="B6598" t="s">
        <v>370</v>
      </c>
      <c r="C6598" t="s">
        <v>81</v>
      </c>
      <c r="D6598" t="s">
        <v>99</v>
      </c>
      <c r="E6598" t="s">
        <v>87</v>
      </c>
      <c r="F6598">
        <v>2300</v>
      </c>
      <c r="G6598" t="s">
        <v>331</v>
      </c>
      <c r="H6598" s="15">
        <v>45474</v>
      </c>
      <c r="I6598">
        <v>2300</v>
      </c>
      <c r="J6598">
        <v>0</v>
      </c>
    </row>
    <row r="6599" spans="1:10" x14ac:dyDescent="0.3">
      <c r="A6599" s="15">
        <v>46023</v>
      </c>
      <c r="B6599" t="s">
        <v>373</v>
      </c>
      <c r="C6599" t="s">
        <v>91</v>
      </c>
      <c r="D6599" t="s">
        <v>99</v>
      </c>
      <c r="E6599" t="s">
        <v>101</v>
      </c>
      <c r="F6599">
        <v>5200</v>
      </c>
      <c r="G6599" t="s">
        <v>331</v>
      </c>
      <c r="H6599" s="15">
        <v>45505</v>
      </c>
      <c r="I6599">
        <v>5200</v>
      </c>
      <c r="J6599">
        <v>0</v>
      </c>
    </row>
    <row r="6600" spans="1:10" x14ac:dyDescent="0.3">
      <c r="A6600" s="15">
        <v>46023</v>
      </c>
      <c r="B6600" t="s">
        <v>376</v>
      </c>
      <c r="C6600" t="s">
        <v>110</v>
      </c>
      <c r="D6600" t="s">
        <v>86</v>
      </c>
      <c r="E6600" t="s">
        <v>103</v>
      </c>
      <c r="F6600">
        <v>22900</v>
      </c>
      <c r="G6600" t="s">
        <v>331</v>
      </c>
      <c r="H6600" s="15">
        <v>45505</v>
      </c>
      <c r="I6600">
        <v>22900</v>
      </c>
      <c r="J6600">
        <v>0</v>
      </c>
    </row>
    <row r="6601" spans="1:10" x14ac:dyDescent="0.3">
      <c r="A6601" s="15">
        <v>46023</v>
      </c>
      <c r="B6601" t="s">
        <v>377</v>
      </c>
      <c r="C6601" t="s">
        <v>81</v>
      </c>
      <c r="D6601" t="s">
        <v>99</v>
      </c>
      <c r="E6601" t="s">
        <v>92</v>
      </c>
      <c r="F6601">
        <v>2300</v>
      </c>
      <c r="G6601" t="s">
        <v>331</v>
      </c>
      <c r="H6601" s="15">
        <v>45536</v>
      </c>
      <c r="I6601">
        <v>2300</v>
      </c>
      <c r="J6601">
        <v>0</v>
      </c>
    </row>
    <row r="6602" spans="1:10" x14ac:dyDescent="0.3">
      <c r="A6602" s="15">
        <v>46023</v>
      </c>
      <c r="B6602" t="s">
        <v>379</v>
      </c>
      <c r="C6602" t="s">
        <v>81</v>
      </c>
      <c r="D6602" t="s">
        <v>99</v>
      </c>
      <c r="E6602" t="s">
        <v>101</v>
      </c>
      <c r="F6602">
        <v>2200</v>
      </c>
      <c r="G6602" t="s">
        <v>331</v>
      </c>
      <c r="H6602" s="15">
        <v>45536</v>
      </c>
      <c r="I6602">
        <v>2200</v>
      </c>
      <c r="J6602">
        <v>0</v>
      </c>
    </row>
    <row r="6603" spans="1:10" x14ac:dyDescent="0.3">
      <c r="A6603" s="15">
        <v>46023</v>
      </c>
      <c r="B6603" t="s">
        <v>381</v>
      </c>
      <c r="C6603" t="s">
        <v>91</v>
      </c>
      <c r="D6603" t="s">
        <v>86</v>
      </c>
      <c r="E6603" t="s">
        <v>92</v>
      </c>
      <c r="F6603">
        <v>4600</v>
      </c>
      <c r="G6603" t="s">
        <v>331</v>
      </c>
      <c r="H6603" s="15">
        <v>45536</v>
      </c>
      <c r="I6603">
        <v>4600</v>
      </c>
      <c r="J6603">
        <v>0</v>
      </c>
    </row>
    <row r="6604" spans="1:10" x14ac:dyDescent="0.3">
      <c r="A6604" s="15">
        <v>46023</v>
      </c>
      <c r="B6604" t="s">
        <v>382</v>
      </c>
      <c r="C6604" t="s">
        <v>81</v>
      </c>
      <c r="D6604" t="s">
        <v>96</v>
      </c>
      <c r="E6604" t="s">
        <v>101</v>
      </c>
      <c r="F6604">
        <v>2100</v>
      </c>
      <c r="G6604" t="s">
        <v>331</v>
      </c>
      <c r="H6604" s="15">
        <v>45536</v>
      </c>
      <c r="I6604">
        <v>2100</v>
      </c>
      <c r="J6604">
        <v>0</v>
      </c>
    </row>
    <row r="6605" spans="1:10" x14ac:dyDescent="0.3">
      <c r="A6605" s="15">
        <v>46023</v>
      </c>
      <c r="B6605" t="s">
        <v>383</v>
      </c>
      <c r="C6605" t="s">
        <v>81</v>
      </c>
      <c r="D6605" t="s">
        <v>82</v>
      </c>
      <c r="E6605" t="s">
        <v>87</v>
      </c>
      <c r="F6605">
        <v>1600</v>
      </c>
      <c r="G6605" t="s">
        <v>331</v>
      </c>
      <c r="H6605" s="15">
        <v>45536</v>
      </c>
      <c r="I6605">
        <v>1600</v>
      </c>
      <c r="J6605">
        <v>0</v>
      </c>
    </row>
    <row r="6606" spans="1:10" x14ac:dyDescent="0.3">
      <c r="A6606" s="15">
        <v>46023</v>
      </c>
      <c r="B6606" t="s">
        <v>385</v>
      </c>
      <c r="C6606" t="s">
        <v>91</v>
      </c>
      <c r="D6606" t="s">
        <v>99</v>
      </c>
      <c r="E6606" t="s">
        <v>83</v>
      </c>
      <c r="F6606">
        <v>8300</v>
      </c>
      <c r="G6606" t="s">
        <v>331</v>
      </c>
      <c r="H6606" s="15">
        <v>45566</v>
      </c>
      <c r="I6606">
        <v>8300</v>
      </c>
      <c r="J6606">
        <v>0</v>
      </c>
    </row>
    <row r="6607" spans="1:10" x14ac:dyDescent="0.3">
      <c r="A6607" s="15">
        <v>46023</v>
      </c>
      <c r="B6607" t="s">
        <v>386</v>
      </c>
      <c r="C6607" t="s">
        <v>81</v>
      </c>
      <c r="D6607" t="s">
        <v>82</v>
      </c>
      <c r="E6607" t="s">
        <v>103</v>
      </c>
      <c r="F6607">
        <v>2200</v>
      </c>
      <c r="G6607" t="s">
        <v>331</v>
      </c>
      <c r="H6607" s="15">
        <v>45566</v>
      </c>
      <c r="I6607">
        <v>2200</v>
      </c>
      <c r="J6607">
        <v>0</v>
      </c>
    </row>
    <row r="6608" spans="1:10" x14ac:dyDescent="0.3">
      <c r="A6608" s="15">
        <v>46023</v>
      </c>
      <c r="B6608" t="s">
        <v>387</v>
      </c>
      <c r="C6608" t="s">
        <v>81</v>
      </c>
      <c r="D6608" t="s">
        <v>86</v>
      </c>
      <c r="E6608" t="s">
        <v>92</v>
      </c>
      <c r="F6608">
        <v>1500</v>
      </c>
      <c r="G6608" t="s">
        <v>331</v>
      </c>
      <c r="H6608" s="15">
        <v>45566</v>
      </c>
      <c r="I6608">
        <v>1500</v>
      </c>
      <c r="J6608">
        <v>0</v>
      </c>
    </row>
    <row r="6609" spans="1:10" x14ac:dyDescent="0.3">
      <c r="A6609" s="15">
        <v>46023</v>
      </c>
      <c r="B6609" t="s">
        <v>388</v>
      </c>
      <c r="C6609" t="s">
        <v>81</v>
      </c>
      <c r="D6609" t="s">
        <v>99</v>
      </c>
      <c r="E6609" t="s">
        <v>103</v>
      </c>
      <c r="F6609">
        <v>1700</v>
      </c>
      <c r="G6609" t="s">
        <v>331</v>
      </c>
      <c r="H6609" s="15">
        <v>45566</v>
      </c>
      <c r="I6609">
        <v>1700</v>
      </c>
      <c r="J6609">
        <v>0</v>
      </c>
    </row>
    <row r="6610" spans="1:10" x14ac:dyDescent="0.3">
      <c r="A6610" s="15">
        <v>46023</v>
      </c>
      <c r="B6610" t="s">
        <v>390</v>
      </c>
      <c r="C6610" t="s">
        <v>91</v>
      </c>
      <c r="D6610" t="s">
        <v>82</v>
      </c>
      <c r="E6610" t="s">
        <v>89</v>
      </c>
      <c r="F6610">
        <v>6200</v>
      </c>
      <c r="G6610" t="s">
        <v>331</v>
      </c>
      <c r="H6610" s="15">
        <v>45566</v>
      </c>
      <c r="I6610">
        <v>6200</v>
      </c>
      <c r="J6610">
        <v>0</v>
      </c>
    </row>
    <row r="6611" spans="1:10" x14ac:dyDescent="0.3">
      <c r="A6611" s="15">
        <v>46023</v>
      </c>
      <c r="B6611" t="s">
        <v>392</v>
      </c>
      <c r="C6611" t="s">
        <v>91</v>
      </c>
      <c r="D6611" t="s">
        <v>86</v>
      </c>
      <c r="E6611" t="s">
        <v>97</v>
      </c>
      <c r="F6611">
        <v>10000</v>
      </c>
      <c r="G6611" t="s">
        <v>331</v>
      </c>
      <c r="H6611" s="15">
        <v>45597</v>
      </c>
      <c r="I6611">
        <v>10000</v>
      </c>
      <c r="J6611">
        <v>0</v>
      </c>
    </row>
    <row r="6612" spans="1:10" x14ac:dyDescent="0.3">
      <c r="A6612" s="15">
        <v>46023</v>
      </c>
      <c r="B6612" t="s">
        <v>393</v>
      </c>
      <c r="C6612" t="s">
        <v>81</v>
      </c>
      <c r="D6612" t="s">
        <v>82</v>
      </c>
      <c r="E6612" t="s">
        <v>92</v>
      </c>
      <c r="F6612">
        <v>2100</v>
      </c>
      <c r="G6612" t="s">
        <v>331</v>
      </c>
      <c r="H6612" s="15">
        <v>45597</v>
      </c>
      <c r="I6612">
        <v>2100</v>
      </c>
      <c r="J6612">
        <v>0</v>
      </c>
    </row>
    <row r="6613" spans="1:10" x14ac:dyDescent="0.3">
      <c r="A6613" s="15">
        <v>46023</v>
      </c>
      <c r="B6613" t="s">
        <v>394</v>
      </c>
      <c r="C6613" t="s">
        <v>81</v>
      </c>
      <c r="D6613" t="s">
        <v>99</v>
      </c>
      <c r="E6613" t="s">
        <v>87</v>
      </c>
      <c r="F6613">
        <v>1400</v>
      </c>
      <c r="G6613" t="s">
        <v>331</v>
      </c>
      <c r="H6613" s="15">
        <v>45597</v>
      </c>
      <c r="I6613">
        <v>1400</v>
      </c>
      <c r="J6613">
        <v>0</v>
      </c>
    </row>
    <row r="6614" spans="1:10" x14ac:dyDescent="0.3">
      <c r="A6614" s="15">
        <v>46023</v>
      </c>
      <c r="B6614" t="s">
        <v>395</v>
      </c>
      <c r="C6614" t="s">
        <v>81</v>
      </c>
      <c r="D6614" t="s">
        <v>82</v>
      </c>
      <c r="E6614" t="s">
        <v>97</v>
      </c>
      <c r="F6614">
        <v>2200</v>
      </c>
      <c r="G6614" t="s">
        <v>331</v>
      </c>
      <c r="H6614" s="15">
        <v>45627</v>
      </c>
      <c r="I6614">
        <v>2200</v>
      </c>
      <c r="J6614">
        <v>0</v>
      </c>
    </row>
    <row r="6615" spans="1:10" x14ac:dyDescent="0.3">
      <c r="A6615" s="15">
        <v>46023</v>
      </c>
      <c r="B6615" t="s">
        <v>396</v>
      </c>
      <c r="C6615" t="s">
        <v>91</v>
      </c>
      <c r="D6615" t="s">
        <v>82</v>
      </c>
      <c r="E6615" t="s">
        <v>92</v>
      </c>
      <c r="F6615">
        <v>8800</v>
      </c>
      <c r="G6615" t="s">
        <v>331</v>
      </c>
      <c r="H6615" s="15">
        <v>45627</v>
      </c>
      <c r="I6615">
        <v>8800</v>
      </c>
      <c r="J6615">
        <v>0</v>
      </c>
    </row>
    <row r="6616" spans="1:10" x14ac:dyDescent="0.3">
      <c r="A6616" s="15">
        <v>46023</v>
      </c>
      <c r="B6616" t="s">
        <v>398</v>
      </c>
      <c r="C6616" t="s">
        <v>81</v>
      </c>
      <c r="D6616" t="s">
        <v>86</v>
      </c>
      <c r="E6616" t="s">
        <v>92</v>
      </c>
      <c r="F6616">
        <v>1400</v>
      </c>
      <c r="G6616" t="s">
        <v>331</v>
      </c>
      <c r="H6616" s="15">
        <v>45627</v>
      </c>
      <c r="I6616">
        <v>1400</v>
      </c>
      <c r="J6616">
        <v>0</v>
      </c>
    </row>
    <row r="6617" spans="1:10" x14ac:dyDescent="0.3">
      <c r="A6617" s="15">
        <v>46023</v>
      </c>
      <c r="B6617" t="s">
        <v>399</v>
      </c>
      <c r="C6617" t="s">
        <v>110</v>
      </c>
      <c r="D6617" t="s">
        <v>82</v>
      </c>
      <c r="E6617" t="s">
        <v>101</v>
      </c>
      <c r="F6617">
        <v>17400</v>
      </c>
      <c r="G6617" t="s">
        <v>331</v>
      </c>
      <c r="H6617" s="15">
        <v>45627</v>
      </c>
      <c r="I6617">
        <v>17400</v>
      </c>
      <c r="J6617">
        <v>0</v>
      </c>
    </row>
    <row r="6618" spans="1:10" x14ac:dyDescent="0.3">
      <c r="A6618" s="15">
        <v>46023</v>
      </c>
      <c r="B6618" t="s">
        <v>400</v>
      </c>
      <c r="C6618" t="s">
        <v>91</v>
      </c>
      <c r="D6618" t="s">
        <v>82</v>
      </c>
      <c r="E6618" t="s">
        <v>103</v>
      </c>
      <c r="F6618">
        <v>4400</v>
      </c>
      <c r="G6618" t="s">
        <v>331</v>
      </c>
      <c r="H6618" s="15">
        <v>45627</v>
      </c>
      <c r="I6618">
        <v>4400</v>
      </c>
      <c r="J6618">
        <v>0</v>
      </c>
    </row>
    <row r="6619" spans="1:10" x14ac:dyDescent="0.3">
      <c r="A6619" s="15">
        <v>46023</v>
      </c>
      <c r="B6619" t="s">
        <v>403</v>
      </c>
      <c r="C6619" t="s">
        <v>81</v>
      </c>
      <c r="D6619" t="s">
        <v>82</v>
      </c>
      <c r="E6619" t="s">
        <v>101</v>
      </c>
      <c r="F6619">
        <v>1900</v>
      </c>
      <c r="G6619" t="s">
        <v>331</v>
      </c>
      <c r="H6619" s="15">
        <v>45658</v>
      </c>
      <c r="I6619">
        <v>1900</v>
      </c>
      <c r="J6619">
        <v>0</v>
      </c>
    </row>
    <row r="6620" spans="1:10" x14ac:dyDescent="0.3">
      <c r="A6620" s="15">
        <v>46023</v>
      </c>
      <c r="B6620" t="s">
        <v>404</v>
      </c>
      <c r="C6620" t="s">
        <v>81</v>
      </c>
      <c r="D6620" t="s">
        <v>86</v>
      </c>
      <c r="E6620" t="s">
        <v>83</v>
      </c>
      <c r="F6620">
        <v>2100</v>
      </c>
      <c r="G6620" t="s">
        <v>331</v>
      </c>
      <c r="H6620" s="15">
        <v>45658</v>
      </c>
      <c r="I6620">
        <v>2100</v>
      </c>
      <c r="J6620">
        <v>0</v>
      </c>
    </row>
    <row r="6621" spans="1:10" x14ac:dyDescent="0.3">
      <c r="A6621" s="15">
        <v>46023</v>
      </c>
      <c r="B6621" t="s">
        <v>405</v>
      </c>
      <c r="C6621" t="s">
        <v>81</v>
      </c>
      <c r="D6621" t="s">
        <v>82</v>
      </c>
      <c r="E6621" t="s">
        <v>92</v>
      </c>
      <c r="F6621">
        <v>1600</v>
      </c>
      <c r="G6621" t="s">
        <v>331</v>
      </c>
      <c r="H6621" s="15">
        <v>45658</v>
      </c>
      <c r="I6621">
        <v>1600</v>
      </c>
      <c r="J6621">
        <v>0</v>
      </c>
    </row>
    <row r="6622" spans="1:10" x14ac:dyDescent="0.3">
      <c r="A6622" s="15">
        <v>46023</v>
      </c>
      <c r="B6622" t="s">
        <v>406</v>
      </c>
      <c r="C6622" t="s">
        <v>91</v>
      </c>
      <c r="D6622" t="s">
        <v>86</v>
      </c>
      <c r="E6622" t="s">
        <v>87</v>
      </c>
      <c r="F6622">
        <v>4700</v>
      </c>
      <c r="G6622" t="s">
        <v>331</v>
      </c>
      <c r="H6622" s="15">
        <v>45658</v>
      </c>
      <c r="I6622">
        <v>4700</v>
      </c>
      <c r="J6622">
        <v>0</v>
      </c>
    </row>
    <row r="6623" spans="1:10" x14ac:dyDescent="0.3">
      <c r="A6623" s="15">
        <v>46023</v>
      </c>
      <c r="B6623" t="s">
        <v>407</v>
      </c>
      <c r="C6623" t="s">
        <v>81</v>
      </c>
      <c r="D6623" t="s">
        <v>82</v>
      </c>
      <c r="E6623" t="s">
        <v>92</v>
      </c>
      <c r="F6623">
        <v>2400</v>
      </c>
      <c r="G6623" t="s">
        <v>331</v>
      </c>
      <c r="H6623" s="15">
        <v>45689</v>
      </c>
      <c r="I6623">
        <v>2400</v>
      </c>
      <c r="J6623">
        <v>0</v>
      </c>
    </row>
    <row r="6624" spans="1:10" x14ac:dyDescent="0.3">
      <c r="A6624" s="15">
        <v>46023</v>
      </c>
      <c r="B6624" t="s">
        <v>409</v>
      </c>
      <c r="C6624" t="s">
        <v>81</v>
      </c>
      <c r="D6624" t="s">
        <v>82</v>
      </c>
      <c r="E6624" t="s">
        <v>83</v>
      </c>
      <c r="F6624">
        <v>1700</v>
      </c>
      <c r="G6624" t="s">
        <v>331</v>
      </c>
      <c r="H6624" s="15">
        <v>45689</v>
      </c>
      <c r="I6624">
        <v>1700</v>
      </c>
      <c r="J6624">
        <v>0</v>
      </c>
    </row>
    <row r="6625" spans="1:10" x14ac:dyDescent="0.3">
      <c r="A6625" s="15">
        <v>46023</v>
      </c>
      <c r="B6625" t="s">
        <v>410</v>
      </c>
      <c r="C6625" t="s">
        <v>125</v>
      </c>
      <c r="D6625" t="s">
        <v>82</v>
      </c>
      <c r="E6625" t="s">
        <v>103</v>
      </c>
      <c r="F6625">
        <v>56400</v>
      </c>
      <c r="G6625" t="s">
        <v>331</v>
      </c>
      <c r="H6625" s="15">
        <v>45689</v>
      </c>
      <c r="I6625">
        <v>56400</v>
      </c>
      <c r="J6625">
        <v>0</v>
      </c>
    </row>
    <row r="6626" spans="1:10" x14ac:dyDescent="0.3">
      <c r="A6626" s="15">
        <v>46023</v>
      </c>
      <c r="B6626" t="s">
        <v>411</v>
      </c>
      <c r="C6626" t="s">
        <v>91</v>
      </c>
      <c r="D6626" t="s">
        <v>86</v>
      </c>
      <c r="E6626" t="s">
        <v>92</v>
      </c>
      <c r="F6626">
        <v>7700</v>
      </c>
      <c r="G6626" t="s">
        <v>331</v>
      </c>
      <c r="H6626" s="15">
        <v>45689</v>
      </c>
      <c r="I6626">
        <v>7700</v>
      </c>
      <c r="J6626">
        <v>0</v>
      </c>
    </row>
    <row r="6627" spans="1:10" x14ac:dyDescent="0.3">
      <c r="A6627" s="15">
        <v>46023</v>
      </c>
      <c r="B6627" t="s">
        <v>412</v>
      </c>
      <c r="C6627" t="s">
        <v>81</v>
      </c>
      <c r="D6627" t="s">
        <v>82</v>
      </c>
      <c r="E6627" t="s">
        <v>89</v>
      </c>
      <c r="F6627">
        <v>0</v>
      </c>
      <c r="G6627" t="s">
        <v>333</v>
      </c>
      <c r="H6627" s="15">
        <v>45717</v>
      </c>
      <c r="I6627">
        <v>2200</v>
      </c>
      <c r="J6627">
        <v>-2200</v>
      </c>
    </row>
    <row r="6628" spans="1:10" x14ac:dyDescent="0.3">
      <c r="A6628" s="15">
        <v>46023</v>
      </c>
      <c r="B6628" t="s">
        <v>413</v>
      </c>
      <c r="C6628" t="s">
        <v>81</v>
      </c>
      <c r="D6628" t="s">
        <v>99</v>
      </c>
      <c r="E6628" t="s">
        <v>101</v>
      </c>
      <c r="F6628">
        <v>2300</v>
      </c>
      <c r="G6628" t="s">
        <v>331</v>
      </c>
      <c r="H6628" s="15">
        <v>45717</v>
      </c>
      <c r="I6628">
        <v>2300</v>
      </c>
      <c r="J6628">
        <v>0</v>
      </c>
    </row>
    <row r="6629" spans="1:10" x14ac:dyDescent="0.3">
      <c r="A6629" s="15">
        <v>46023</v>
      </c>
      <c r="B6629" t="s">
        <v>414</v>
      </c>
      <c r="C6629" t="s">
        <v>110</v>
      </c>
      <c r="D6629" t="s">
        <v>99</v>
      </c>
      <c r="E6629" t="s">
        <v>89</v>
      </c>
      <c r="F6629">
        <v>30900</v>
      </c>
      <c r="G6629" t="s">
        <v>331</v>
      </c>
      <c r="H6629" s="15">
        <v>45717</v>
      </c>
      <c r="I6629">
        <v>30900</v>
      </c>
      <c r="J6629">
        <v>0</v>
      </c>
    </row>
    <row r="6630" spans="1:10" x14ac:dyDescent="0.3">
      <c r="A6630" s="15">
        <v>46023</v>
      </c>
      <c r="B6630" t="s">
        <v>417</v>
      </c>
      <c r="C6630" t="s">
        <v>110</v>
      </c>
      <c r="D6630" t="s">
        <v>86</v>
      </c>
      <c r="E6630" t="s">
        <v>92</v>
      </c>
      <c r="F6630">
        <v>35600</v>
      </c>
      <c r="G6630" t="s">
        <v>331</v>
      </c>
      <c r="H6630" s="15">
        <v>45717</v>
      </c>
      <c r="I6630">
        <v>35600</v>
      </c>
      <c r="J6630">
        <v>0</v>
      </c>
    </row>
    <row r="6631" spans="1:10" x14ac:dyDescent="0.3">
      <c r="A6631" s="15">
        <v>46023</v>
      </c>
      <c r="B6631" t="s">
        <v>418</v>
      </c>
      <c r="C6631" t="s">
        <v>81</v>
      </c>
      <c r="D6631" t="s">
        <v>86</v>
      </c>
      <c r="E6631" t="s">
        <v>92</v>
      </c>
      <c r="F6631">
        <v>1800</v>
      </c>
      <c r="G6631" t="s">
        <v>331</v>
      </c>
      <c r="H6631" s="15">
        <v>45748</v>
      </c>
      <c r="I6631">
        <v>1800</v>
      </c>
      <c r="J6631">
        <v>0</v>
      </c>
    </row>
    <row r="6632" spans="1:10" x14ac:dyDescent="0.3">
      <c r="A6632" s="15">
        <v>46023</v>
      </c>
      <c r="B6632" t="s">
        <v>419</v>
      </c>
      <c r="C6632" t="s">
        <v>125</v>
      </c>
      <c r="D6632" t="s">
        <v>96</v>
      </c>
      <c r="E6632" t="s">
        <v>103</v>
      </c>
      <c r="F6632">
        <v>73300</v>
      </c>
      <c r="G6632" t="s">
        <v>331</v>
      </c>
      <c r="H6632" s="15">
        <v>45748</v>
      </c>
      <c r="I6632">
        <v>73300</v>
      </c>
      <c r="J6632">
        <v>0</v>
      </c>
    </row>
    <row r="6633" spans="1:10" x14ac:dyDescent="0.3">
      <c r="A6633" s="15">
        <v>46023</v>
      </c>
      <c r="B6633" t="s">
        <v>420</v>
      </c>
      <c r="C6633" t="s">
        <v>110</v>
      </c>
      <c r="D6633" t="s">
        <v>96</v>
      </c>
      <c r="E6633" t="s">
        <v>103</v>
      </c>
      <c r="F6633">
        <v>22900</v>
      </c>
      <c r="G6633" t="s">
        <v>331</v>
      </c>
      <c r="H6633" s="15">
        <v>45748</v>
      </c>
      <c r="I6633">
        <v>22900</v>
      </c>
      <c r="J6633">
        <v>0</v>
      </c>
    </row>
    <row r="6634" spans="1:10" x14ac:dyDescent="0.3">
      <c r="A6634" s="15">
        <v>46023</v>
      </c>
      <c r="B6634" t="s">
        <v>421</v>
      </c>
      <c r="C6634" t="s">
        <v>110</v>
      </c>
      <c r="D6634" t="s">
        <v>82</v>
      </c>
      <c r="E6634" t="s">
        <v>103</v>
      </c>
      <c r="F6634">
        <v>18800</v>
      </c>
      <c r="G6634" t="s">
        <v>331</v>
      </c>
      <c r="H6634" s="15">
        <v>45748</v>
      </c>
      <c r="I6634">
        <v>18800</v>
      </c>
      <c r="J6634">
        <v>0</v>
      </c>
    </row>
    <row r="6635" spans="1:10" x14ac:dyDescent="0.3">
      <c r="A6635" s="15">
        <v>46023</v>
      </c>
      <c r="B6635" t="s">
        <v>422</v>
      </c>
      <c r="C6635" t="s">
        <v>81</v>
      </c>
      <c r="D6635" t="s">
        <v>82</v>
      </c>
      <c r="E6635" t="s">
        <v>97</v>
      </c>
      <c r="F6635">
        <v>2300</v>
      </c>
      <c r="G6635" t="s">
        <v>331</v>
      </c>
      <c r="H6635" s="15">
        <v>45748</v>
      </c>
      <c r="I6635">
        <v>2300</v>
      </c>
      <c r="J6635">
        <v>0</v>
      </c>
    </row>
    <row r="6636" spans="1:10" x14ac:dyDescent="0.3">
      <c r="A6636" s="15">
        <v>46023</v>
      </c>
      <c r="B6636" t="s">
        <v>423</v>
      </c>
      <c r="C6636" t="s">
        <v>125</v>
      </c>
      <c r="D6636" t="s">
        <v>86</v>
      </c>
      <c r="E6636" t="s">
        <v>97</v>
      </c>
      <c r="F6636">
        <v>52800</v>
      </c>
      <c r="G6636" t="s">
        <v>331</v>
      </c>
      <c r="H6636" s="15">
        <v>45748</v>
      </c>
      <c r="I6636">
        <v>52800</v>
      </c>
      <c r="J6636">
        <v>0</v>
      </c>
    </row>
    <row r="6637" spans="1:10" x14ac:dyDescent="0.3">
      <c r="A6637" s="15">
        <v>46023</v>
      </c>
      <c r="B6637" t="s">
        <v>425</v>
      </c>
      <c r="C6637" t="s">
        <v>110</v>
      </c>
      <c r="D6637" t="s">
        <v>82</v>
      </c>
      <c r="E6637" t="s">
        <v>97</v>
      </c>
      <c r="F6637">
        <v>22700</v>
      </c>
      <c r="G6637" t="s">
        <v>331</v>
      </c>
      <c r="H6637" s="15">
        <v>45778</v>
      </c>
      <c r="I6637">
        <v>22700</v>
      </c>
      <c r="J6637">
        <v>0</v>
      </c>
    </row>
    <row r="6638" spans="1:10" x14ac:dyDescent="0.3">
      <c r="A6638" s="15">
        <v>46023</v>
      </c>
      <c r="B6638" t="s">
        <v>426</v>
      </c>
      <c r="C6638" t="s">
        <v>81</v>
      </c>
      <c r="D6638" t="s">
        <v>82</v>
      </c>
      <c r="E6638" t="s">
        <v>89</v>
      </c>
      <c r="F6638">
        <v>1900</v>
      </c>
      <c r="G6638" t="s">
        <v>331</v>
      </c>
      <c r="H6638" s="15">
        <v>45778</v>
      </c>
      <c r="I6638">
        <v>1900</v>
      </c>
      <c r="J6638">
        <v>0</v>
      </c>
    </row>
    <row r="6639" spans="1:10" x14ac:dyDescent="0.3">
      <c r="A6639" s="15">
        <v>46023</v>
      </c>
      <c r="B6639" t="s">
        <v>427</v>
      </c>
      <c r="C6639" t="s">
        <v>110</v>
      </c>
      <c r="D6639" t="s">
        <v>82</v>
      </c>
      <c r="E6639" t="s">
        <v>83</v>
      </c>
      <c r="F6639">
        <v>25300</v>
      </c>
      <c r="G6639" t="s">
        <v>331</v>
      </c>
      <c r="H6639" s="15">
        <v>45778</v>
      </c>
      <c r="I6639">
        <v>25300</v>
      </c>
      <c r="J6639">
        <v>0</v>
      </c>
    </row>
    <row r="6640" spans="1:10" x14ac:dyDescent="0.3">
      <c r="A6640" s="15">
        <v>46023</v>
      </c>
      <c r="B6640" t="s">
        <v>428</v>
      </c>
      <c r="C6640" t="s">
        <v>81</v>
      </c>
      <c r="D6640" t="s">
        <v>86</v>
      </c>
      <c r="E6640" t="s">
        <v>89</v>
      </c>
      <c r="F6640">
        <v>2300</v>
      </c>
      <c r="G6640" t="s">
        <v>331</v>
      </c>
      <c r="H6640" s="15">
        <v>45778</v>
      </c>
      <c r="I6640">
        <v>2300</v>
      </c>
      <c r="J6640">
        <v>0</v>
      </c>
    </row>
    <row r="6641" spans="1:10" x14ac:dyDescent="0.3">
      <c r="A6641" s="15">
        <v>46023</v>
      </c>
      <c r="B6641" t="s">
        <v>429</v>
      </c>
      <c r="C6641" t="s">
        <v>81</v>
      </c>
      <c r="D6641" t="s">
        <v>82</v>
      </c>
      <c r="E6641" t="s">
        <v>97</v>
      </c>
      <c r="F6641">
        <v>0</v>
      </c>
      <c r="G6641" t="s">
        <v>333</v>
      </c>
      <c r="H6641" s="15">
        <v>45809</v>
      </c>
      <c r="I6641">
        <v>2100</v>
      </c>
      <c r="J6641">
        <v>-2100</v>
      </c>
    </row>
    <row r="6642" spans="1:10" x14ac:dyDescent="0.3">
      <c r="A6642" s="15">
        <v>46023</v>
      </c>
      <c r="B6642" t="s">
        <v>430</v>
      </c>
      <c r="C6642" t="s">
        <v>110</v>
      </c>
      <c r="D6642" t="s">
        <v>82</v>
      </c>
      <c r="E6642" t="s">
        <v>87</v>
      </c>
      <c r="F6642">
        <v>24300</v>
      </c>
      <c r="G6642" t="s">
        <v>331</v>
      </c>
      <c r="H6642" s="15">
        <v>45809</v>
      </c>
      <c r="I6642">
        <v>24300</v>
      </c>
      <c r="J6642">
        <v>0</v>
      </c>
    </row>
    <row r="6643" spans="1:10" x14ac:dyDescent="0.3">
      <c r="A6643" s="15">
        <v>46023</v>
      </c>
      <c r="B6643" t="s">
        <v>431</v>
      </c>
      <c r="C6643" t="s">
        <v>110</v>
      </c>
      <c r="D6643" t="s">
        <v>82</v>
      </c>
      <c r="E6643" t="s">
        <v>101</v>
      </c>
      <c r="F6643">
        <v>19800</v>
      </c>
      <c r="G6643" t="s">
        <v>331</v>
      </c>
      <c r="H6643" s="15">
        <v>45809</v>
      </c>
      <c r="I6643">
        <v>19800</v>
      </c>
      <c r="J6643">
        <v>0</v>
      </c>
    </row>
    <row r="6644" spans="1:10" x14ac:dyDescent="0.3">
      <c r="A6644" s="15">
        <v>46023</v>
      </c>
      <c r="B6644" t="s">
        <v>435</v>
      </c>
      <c r="C6644" t="s">
        <v>81</v>
      </c>
      <c r="D6644" t="s">
        <v>82</v>
      </c>
      <c r="E6644" t="s">
        <v>92</v>
      </c>
      <c r="F6644">
        <v>1400</v>
      </c>
      <c r="G6644" t="s">
        <v>331</v>
      </c>
      <c r="H6644" s="15">
        <v>45809</v>
      </c>
      <c r="I6644">
        <v>1400</v>
      </c>
      <c r="J6644">
        <v>0</v>
      </c>
    </row>
    <row r="6645" spans="1:10" x14ac:dyDescent="0.3">
      <c r="A6645" s="15">
        <v>46023</v>
      </c>
      <c r="B6645" t="s">
        <v>436</v>
      </c>
      <c r="C6645" t="s">
        <v>81</v>
      </c>
      <c r="D6645" t="s">
        <v>82</v>
      </c>
      <c r="E6645" t="s">
        <v>97</v>
      </c>
      <c r="F6645">
        <v>2100</v>
      </c>
      <c r="G6645" t="s">
        <v>331</v>
      </c>
      <c r="H6645" s="15">
        <v>45839</v>
      </c>
      <c r="I6645">
        <v>2100</v>
      </c>
      <c r="J6645">
        <v>0</v>
      </c>
    </row>
    <row r="6646" spans="1:10" x14ac:dyDescent="0.3">
      <c r="A6646" s="15">
        <v>46023</v>
      </c>
      <c r="B6646" t="s">
        <v>437</v>
      </c>
      <c r="C6646" t="s">
        <v>81</v>
      </c>
      <c r="D6646" t="s">
        <v>99</v>
      </c>
      <c r="E6646" t="s">
        <v>92</v>
      </c>
      <c r="F6646">
        <v>1600</v>
      </c>
      <c r="G6646" t="s">
        <v>331</v>
      </c>
      <c r="H6646" s="15">
        <v>45839</v>
      </c>
      <c r="I6646">
        <v>1600</v>
      </c>
      <c r="J6646">
        <v>0</v>
      </c>
    </row>
    <row r="6647" spans="1:10" x14ac:dyDescent="0.3">
      <c r="A6647" s="15">
        <v>46023</v>
      </c>
      <c r="B6647" t="s">
        <v>438</v>
      </c>
      <c r="C6647" t="s">
        <v>91</v>
      </c>
      <c r="D6647" t="s">
        <v>96</v>
      </c>
      <c r="E6647" t="s">
        <v>101</v>
      </c>
      <c r="F6647">
        <v>8600</v>
      </c>
      <c r="G6647" t="s">
        <v>331</v>
      </c>
      <c r="H6647" s="15">
        <v>45839</v>
      </c>
      <c r="I6647">
        <v>8600</v>
      </c>
      <c r="J6647">
        <v>0</v>
      </c>
    </row>
    <row r="6648" spans="1:10" x14ac:dyDescent="0.3">
      <c r="A6648" s="15">
        <v>46023</v>
      </c>
      <c r="B6648" t="s">
        <v>439</v>
      </c>
      <c r="C6648" t="s">
        <v>81</v>
      </c>
      <c r="D6648" t="s">
        <v>99</v>
      </c>
      <c r="E6648" t="s">
        <v>87</v>
      </c>
      <c r="F6648">
        <v>1700</v>
      </c>
      <c r="G6648" t="s">
        <v>331</v>
      </c>
      <c r="H6648" s="15">
        <v>45839</v>
      </c>
      <c r="I6648">
        <v>1700</v>
      </c>
      <c r="J6648">
        <v>0</v>
      </c>
    </row>
    <row r="6649" spans="1:10" x14ac:dyDescent="0.3">
      <c r="A6649" s="15">
        <v>46023</v>
      </c>
      <c r="B6649" t="s">
        <v>440</v>
      </c>
      <c r="C6649" t="s">
        <v>81</v>
      </c>
      <c r="D6649" t="s">
        <v>82</v>
      </c>
      <c r="E6649" t="s">
        <v>97</v>
      </c>
      <c r="F6649">
        <v>2200</v>
      </c>
      <c r="G6649" t="s">
        <v>331</v>
      </c>
      <c r="H6649" s="15">
        <v>45839</v>
      </c>
      <c r="I6649">
        <v>2200</v>
      </c>
      <c r="J6649">
        <v>0</v>
      </c>
    </row>
    <row r="6650" spans="1:10" x14ac:dyDescent="0.3">
      <c r="A6650" s="15">
        <v>46023</v>
      </c>
      <c r="B6650" t="s">
        <v>441</v>
      </c>
      <c r="C6650" t="s">
        <v>110</v>
      </c>
      <c r="D6650" t="s">
        <v>86</v>
      </c>
      <c r="E6650" t="s">
        <v>97</v>
      </c>
      <c r="F6650">
        <v>35800</v>
      </c>
      <c r="G6650" t="s">
        <v>331</v>
      </c>
      <c r="H6650" s="15">
        <v>45839</v>
      </c>
      <c r="I6650">
        <v>35800</v>
      </c>
      <c r="J6650">
        <v>0</v>
      </c>
    </row>
    <row r="6651" spans="1:10" x14ac:dyDescent="0.3">
      <c r="A6651" s="15">
        <v>46023</v>
      </c>
      <c r="B6651" t="s">
        <v>442</v>
      </c>
      <c r="C6651" t="s">
        <v>110</v>
      </c>
      <c r="D6651" t="s">
        <v>86</v>
      </c>
      <c r="E6651" t="s">
        <v>83</v>
      </c>
      <c r="F6651">
        <v>23900</v>
      </c>
      <c r="G6651" t="s">
        <v>331</v>
      </c>
      <c r="H6651" s="15">
        <v>45870</v>
      </c>
      <c r="I6651">
        <v>23900</v>
      </c>
      <c r="J6651">
        <v>0</v>
      </c>
    </row>
    <row r="6652" spans="1:10" x14ac:dyDescent="0.3">
      <c r="A6652" s="15">
        <v>46023</v>
      </c>
      <c r="B6652" t="s">
        <v>443</v>
      </c>
      <c r="C6652" t="s">
        <v>81</v>
      </c>
      <c r="D6652" t="s">
        <v>86</v>
      </c>
      <c r="E6652" t="s">
        <v>101</v>
      </c>
      <c r="F6652">
        <v>1800</v>
      </c>
      <c r="G6652" t="s">
        <v>331</v>
      </c>
      <c r="H6652" s="15">
        <v>45870</v>
      </c>
      <c r="I6652">
        <v>1800</v>
      </c>
      <c r="J6652">
        <v>0</v>
      </c>
    </row>
    <row r="6653" spans="1:10" x14ac:dyDescent="0.3">
      <c r="A6653" s="15">
        <v>46023</v>
      </c>
      <c r="B6653" t="s">
        <v>444</v>
      </c>
      <c r="C6653" t="s">
        <v>125</v>
      </c>
      <c r="D6653" t="s">
        <v>82</v>
      </c>
      <c r="E6653" t="s">
        <v>92</v>
      </c>
      <c r="F6653">
        <v>71600</v>
      </c>
      <c r="G6653" t="s">
        <v>332</v>
      </c>
      <c r="H6653" s="15">
        <v>45870</v>
      </c>
      <c r="I6653">
        <v>68100</v>
      </c>
      <c r="J6653">
        <v>3500</v>
      </c>
    </row>
    <row r="6654" spans="1:10" x14ac:dyDescent="0.3">
      <c r="A6654" s="15">
        <v>46023</v>
      </c>
      <c r="B6654" t="s">
        <v>445</v>
      </c>
      <c r="C6654" t="s">
        <v>91</v>
      </c>
      <c r="D6654" t="s">
        <v>82</v>
      </c>
      <c r="E6654" t="s">
        <v>89</v>
      </c>
      <c r="F6654">
        <v>4700</v>
      </c>
      <c r="G6654" t="s">
        <v>331</v>
      </c>
      <c r="H6654" s="15">
        <v>45870</v>
      </c>
      <c r="I6654">
        <v>4700</v>
      </c>
      <c r="J6654">
        <v>0</v>
      </c>
    </row>
    <row r="6655" spans="1:10" x14ac:dyDescent="0.3">
      <c r="A6655" s="15">
        <v>46023</v>
      </c>
      <c r="B6655" t="s">
        <v>446</v>
      </c>
      <c r="C6655" t="s">
        <v>81</v>
      </c>
      <c r="D6655" t="s">
        <v>86</v>
      </c>
      <c r="E6655" t="s">
        <v>97</v>
      </c>
      <c r="F6655">
        <v>1600</v>
      </c>
      <c r="G6655" t="s">
        <v>334</v>
      </c>
      <c r="H6655" s="15">
        <v>45870</v>
      </c>
      <c r="I6655">
        <v>1800</v>
      </c>
      <c r="J6655">
        <v>-200</v>
      </c>
    </row>
    <row r="6656" spans="1:10" x14ac:dyDescent="0.3">
      <c r="A6656" s="15">
        <v>46023</v>
      </c>
      <c r="B6656" t="s">
        <v>447</v>
      </c>
      <c r="C6656" t="s">
        <v>81</v>
      </c>
      <c r="D6656" t="s">
        <v>86</v>
      </c>
      <c r="E6656" t="s">
        <v>103</v>
      </c>
      <c r="F6656">
        <v>2300</v>
      </c>
      <c r="G6656" t="s">
        <v>331</v>
      </c>
      <c r="H6656" s="15">
        <v>45870</v>
      </c>
      <c r="I6656">
        <v>2300</v>
      </c>
      <c r="J6656">
        <v>0</v>
      </c>
    </row>
    <row r="6657" spans="1:10" x14ac:dyDescent="0.3">
      <c r="A6657" s="15">
        <v>46023</v>
      </c>
      <c r="B6657" t="s">
        <v>448</v>
      </c>
      <c r="C6657" t="s">
        <v>125</v>
      </c>
      <c r="D6657" t="s">
        <v>86</v>
      </c>
      <c r="E6657" t="s">
        <v>89</v>
      </c>
      <c r="F6657">
        <v>64000</v>
      </c>
      <c r="G6657" t="s">
        <v>331</v>
      </c>
      <c r="H6657" s="15">
        <v>45870</v>
      </c>
      <c r="I6657">
        <v>64000</v>
      </c>
      <c r="J6657">
        <v>0</v>
      </c>
    </row>
    <row r="6658" spans="1:10" x14ac:dyDescent="0.3">
      <c r="A6658" s="15">
        <v>46023</v>
      </c>
      <c r="B6658" t="s">
        <v>449</v>
      </c>
      <c r="C6658" t="s">
        <v>81</v>
      </c>
      <c r="D6658" t="s">
        <v>82</v>
      </c>
      <c r="E6658" t="s">
        <v>92</v>
      </c>
      <c r="F6658">
        <v>1600</v>
      </c>
      <c r="G6658" t="s">
        <v>331</v>
      </c>
      <c r="H6658" s="15">
        <v>45870</v>
      </c>
      <c r="I6658">
        <v>1600</v>
      </c>
      <c r="J6658">
        <v>0</v>
      </c>
    </row>
    <row r="6659" spans="1:10" x14ac:dyDescent="0.3">
      <c r="A6659" s="15">
        <v>46023</v>
      </c>
      <c r="B6659" t="s">
        <v>450</v>
      </c>
      <c r="C6659" t="s">
        <v>81</v>
      </c>
      <c r="D6659" t="s">
        <v>86</v>
      </c>
      <c r="E6659" t="s">
        <v>89</v>
      </c>
      <c r="F6659">
        <v>1900</v>
      </c>
      <c r="G6659" t="s">
        <v>332</v>
      </c>
      <c r="H6659" s="15">
        <v>45901</v>
      </c>
      <c r="I6659">
        <v>1700</v>
      </c>
      <c r="J6659">
        <v>200</v>
      </c>
    </row>
    <row r="6660" spans="1:10" x14ac:dyDescent="0.3">
      <c r="A6660" s="15">
        <v>46023</v>
      </c>
      <c r="B6660" t="s">
        <v>451</v>
      </c>
      <c r="C6660" t="s">
        <v>110</v>
      </c>
      <c r="D6660" t="s">
        <v>82</v>
      </c>
      <c r="E6660" t="s">
        <v>92</v>
      </c>
      <c r="F6660">
        <v>26100</v>
      </c>
      <c r="G6660" t="s">
        <v>331</v>
      </c>
      <c r="H6660" s="15">
        <v>45901</v>
      </c>
      <c r="I6660">
        <v>26100</v>
      </c>
      <c r="J6660">
        <v>0</v>
      </c>
    </row>
    <row r="6661" spans="1:10" x14ac:dyDescent="0.3">
      <c r="A6661" s="15">
        <v>46023</v>
      </c>
      <c r="B6661" t="s">
        <v>452</v>
      </c>
      <c r="C6661" t="s">
        <v>91</v>
      </c>
      <c r="D6661" t="s">
        <v>86</v>
      </c>
      <c r="E6661" t="s">
        <v>92</v>
      </c>
      <c r="F6661">
        <v>8600</v>
      </c>
      <c r="G6661" t="s">
        <v>331</v>
      </c>
      <c r="H6661" s="15">
        <v>45901</v>
      </c>
      <c r="I6661">
        <v>8600</v>
      </c>
      <c r="J6661">
        <v>0</v>
      </c>
    </row>
    <row r="6662" spans="1:10" x14ac:dyDescent="0.3">
      <c r="A6662" s="15">
        <v>46023</v>
      </c>
      <c r="B6662" t="s">
        <v>454</v>
      </c>
      <c r="C6662" t="s">
        <v>91</v>
      </c>
      <c r="D6662" t="s">
        <v>82</v>
      </c>
      <c r="E6662" t="s">
        <v>89</v>
      </c>
      <c r="F6662">
        <v>6200</v>
      </c>
      <c r="G6662" t="s">
        <v>331</v>
      </c>
      <c r="H6662" s="15">
        <v>45901</v>
      </c>
      <c r="I6662">
        <v>6200</v>
      </c>
      <c r="J6662">
        <v>0</v>
      </c>
    </row>
    <row r="6663" spans="1:10" x14ac:dyDescent="0.3">
      <c r="A6663" s="15">
        <v>46023</v>
      </c>
      <c r="B6663" t="s">
        <v>455</v>
      </c>
      <c r="C6663" t="s">
        <v>125</v>
      </c>
      <c r="D6663" t="s">
        <v>99</v>
      </c>
      <c r="E6663" t="s">
        <v>103</v>
      </c>
      <c r="F6663">
        <v>75900</v>
      </c>
      <c r="G6663" t="s">
        <v>331</v>
      </c>
      <c r="H6663" s="15">
        <v>45901</v>
      </c>
      <c r="I6663">
        <v>75900</v>
      </c>
      <c r="J6663">
        <v>0</v>
      </c>
    </row>
    <row r="6664" spans="1:10" x14ac:dyDescent="0.3">
      <c r="A6664" s="15">
        <v>46023</v>
      </c>
      <c r="B6664" t="s">
        <v>456</v>
      </c>
      <c r="C6664" t="s">
        <v>81</v>
      </c>
      <c r="D6664" t="s">
        <v>82</v>
      </c>
      <c r="E6664" t="s">
        <v>103</v>
      </c>
      <c r="F6664">
        <v>0</v>
      </c>
      <c r="G6664" t="s">
        <v>333</v>
      </c>
      <c r="H6664" s="15">
        <v>45901</v>
      </c>
      <c r="I6664">
        <v>2000</v>
      </c>
      <c r="J6664">
        <v>-2000</v>
      </c>
    </row>
    <row r="6665" spans="1:10" x14ac:dyDescent="0.3">
      <c r="A6665" s="15">
        <v>46023</v>
      </c>
      <c r="B6665" t="s">
        <v>457</v>
      </c>
      <c r="C6665" t="s">
        <v>81</v>
      </c>
      <c r="D6665" t="s">
        <v>86</v>
      </c>
      <c r="E6665" t="s">
        <v>89</v>
      </c>
      <c r="F6665">
        <v>2200</v>
      </c>
      <c r="G6665" t="s">
        <v>331</v>
      </c>
      <c r="H6665" s="15">
        <v>45931</v>
      </c>
      <c r="I6665">
        <v>2200</v>
      </c>
      <c r="J6665">
        <v>0</v>
      </c>
    </row>
    <row r="6666" spans="1:10" x14ac:dyDescent="0.3">
      <c r="A6666" s="15">
        <v>46023</v>
      </c>
      <c r="B6666" t="s">
        <v>458</v>
      </c>
      <c r="C6666" t="s">
        <v>91</v>
      </c>
      <c r="D6666" t="s">
        <v>86</v>
      </c>
      <c r="E6666" t="s">
        <v>83</v>
      </c>
      <c r="F6666">
        <v>8300</v>
      </c>
      <c r="G6666" t="s">
        <v>331</v>
      </c>
      <c r="H6666" s="15">
        <v>45931</v>
      </c>
      <c r="I6666">
        <v>8300</v>
      </c>
      <c r="J6666">
        <v>0</v>
      </c>
    </row>
    <row r="6667" spans="1:10" x14ac:dyDescent="0.3">
      <c r="A6667" s="15">
        <v>46023</v>
      </c>
      <c r="B6667" t="s">
        <v>459</v>
      </c>
      <c r="C6667" t="s">
        <v>91</v>
      </c>
      <c r="D6667" t="s">
        <v>99</v>
      </c>
      <c r="E6667" t="s">
        <v>87</v>
      </c>
      <c r="F6667">
        <v>5800</v>
      </c>
      <c r="G6667" t="s">
        <v>331</v>
      </c>
      <c r="H6667" s="15">
        <v>45931</v>
      </c>
      <c r="I6667">
        <v>5800</v>
      </c>
      <c r="J6667">
        <v>0</v>
      </c>
    </row>
    <row r="6668" spans="1:10" x14ac:dyDescent="0.3">
      <c r="A6668" s="15">
        <v>46023</v>
      </c>
      <c r="B6668" t="s">
        <v>460</v>
      </c>
      <c r="C6668" t="s">
        <v>91</v>
      </c>
      <c r="D6668" t="s">
        <v>86</v>
      </c>
      <c r="E6668" t="s">
        <v>101</v>
      </c>
      <c r="F6668">
        <v>5300</v>
      </c>
      <c r="G6668" t="s">
        <v>331</v>
      </c>
      <c r="H6668" s="15">
        <v>45931</v>
      </c>
      <c r="I6668">
        <v>5300</v>
      </c>
      <c r="J6668">
        <v>0</v>
      </c>
    </row>
    <row r="6669" spans="1:10" x14ac:dyDescent="0.3">
      <c r="A6669" s="15">
        <v>46023</v>
      </c>
      <c r="B6669" t="s">
        <v>461</v>
      </c>
      <c r="C6669" t="s">
        <v>81</v>
      </c>
      <c r="D6669" t="s">
        <v>86</v>
      </c>
      <c r="E6669" t="s">
        <v>92</v>
      </c>
      <c r="F6669">
        <v>1500</v>
      </c>
      <c r="G6669" t="s">
        <v>331</v>
      </c>
      <c r="H6669" s="15">
        <v>45931</v>
      </c>
      <c r="I6669">
        <v>1500</v>
      </c>
      <c r="J6669">
        <v>0</v>
      </c>
    </row>
    <row r="6670" spans="1:10" x14ac:dyDescent="0.3">
      <c r="A6670" s="15">
        <v>46023</v>
      </c>
      <c r="B6670" t="s">
        <v>462</v>
      </c>
      <c r="C6670" t="s">
        <v>81</v>
      </c>
      <c r="D6670" t="s">
        <v>86</v>
      </c>
      <c r="E6670" t="s">
        <v>92</v>
      </c>
      <c r="F6670">
        <v>2200</v>
      </c>
      <c r="G6670" t="s">
        <v>331</v>
      </c>
      <c r="H6670" s="15">
        <v>45931</v>
      </c>
      <c r="I6670">
        <v>2200</v>
      </c>
      <c r="J6670">
        <v>0</v>
      </c>
    </row>
    <row r="6671" spans="1:10" x14ac:dyDescent="0.3">
      <c r="A6671" s="15">
        <v>46023</v>
      </c>
      <c r="B6671" t="s">
        <v>463</v>
      </c>
      <c r="C6671" t="s">
        <v>91</v>
      </c>
      <c r="D6671" t="s">
        <v>86</v>
      </c>
      <c r="E6671" t="s">
        <v>89</v>
      </c>
      <c r="F6671">
        <v>8800</v>
      </c>
      <c r="G6671" t="s">
        <v>331</v>
      </c>
      <c r="H6671" s="15">
        <v>45962</v>
      </c>
      <c r="I6671">
        <v>8800</v>
      </c>
      <c r="J6671">
        <v>0</v>
      </c>
    </row>
    <row r="6672" spans="1:10" x14ac:dyDescent="0.3">
      <c r="A6672" s="15">
        <v>46023</v>
      </c>
      <c r="B6672" t="s">
        <v>464</v>
      </c>
      <c r="C6672" t="s">
        <v>91</v>
      </c>
      <c r="D6672" t="s">
        <v>99</v>
      </c>
      <c r="E6672" t="s">
        <v>87</v>
      </c>
      <c r="F6672">
        <v>6000</v>
      </c>
      <c r="G6672" t="s">
        <v>331</v>
      </c>
      <c r="H6672" s="15">
        <v>45962</v>
      </c>
      <c r="I6672">
        <v>6000</v>
      </c>
      <c r="J6672">
        <v>0</v>
      </c>
    </row>
    <row r="6673" spans="1:10" x14ac:dyDescent="0.3">
      <c r="A6673" s="15">
        <v>46023</v>
      </c>
      <c r="B6673" t="s">
        <v>465</v>
      </c>
      <c r="C6673" t="s">
        <v>81</v>
      </c>
      <c r="D6673" t="s">
        <v>86</v>
      </c>
      <c r="E6673" t="s">
        <v>87</v>
      </c>
      <c r="F6673">
        <v>2000</v>
      </c>
      <c r="G6673" t="s">
        <v>331</v>
      </c>
      <c r="H6673" s="15">
        <v>45962</v>
      </c>
      <c r="I6673">
        <v>2000</v>
      </c>
      <c r="J6673">
        <v>0</v>
      </c>
    </row>
    <row r="6674" spans="1:10" x14ac:dyDescent="0.3">
      <c r="A6674" s="15">
        <v>46023</v>
      </c>
      <c r="B6674" t="s">
        <v>466</v>
      </c>
      <c r="C6674" t="s">
        <v>81</v>
      </c>
      <c r="D6674" t="s">
        <v>99</v>
      </c>
      <c r="E6674" t="s">
        <v>92</v>
      </c>
      <c r="F6674">
        <v>1400</v>
      </c>
      <c r="G6674" t="s">
        <v>331</v>
      </c>
      <c r="H6674" s="15">
        <v>45962</v>
      </c>
      <c r="I6674">
        <v>1400</v>
      </c>
      <c r="J6674">
        <v>0</v>
      </c>
    </row>
    <row r="6675" spans="1:10" x14ac:dyDescent="0.3">
      <c r="A6675" s="15">
        <v>46023</v>
      </c>
      <c r="B6675" t="s">
        <v>467</v>
      </c>
      <c r="C6675" t="s">
        <v>91</v>
      </c>
      <c r="D6675" t="s">
        <v>86</v>
      </c>
      <c r="E6675" t="s">
        <v>89</v>
      </c>
      <c r="F6675">
        <v>8200</v>
      </c>
      <c r="G6675" t="s">
        <v>331</v>
      </c>
      <c r="H6675" s="15">
        <v>45962</v>
      </c>
      <c r="I6675">
        <v>8200</v>
      </c>
      <c r="J6675">
        <v>0</v>
      </c>
    </row>
    <row r="6676" spans="1:10" x14ac:dyDescent="0.3">
      <c r="A6676" s="15">
        <v>46023</v>
      </c>
      <c r="B6676" t="s">
        <v>468</v>
      </c>
      <c r="C6676" t="s">
        <v>81</v>
      </c>
      <c r="D6676" t="s">
        <v>86</v>
      </c>
      <c r="E6676" t="s">
        <v>92</v>
      </c>
      <c r="F6676">
        <v>1900</v>
      </c>
      <c r="G6676" t="s">
        <v>331</v>
      </c>
      <c r="H6676" s="15">
        <v>45992</v>
      </c>
      <c r="I6676">
        <v>1900</v>
      </c>
      <c r="J6676">
        <v>0</v>
      </c>
    </row>
    <row r="6677" spans="1:10" x14ac:dyDescent="0.3">
      <c r="A6677" s="15">
        <v>46023</v>
      </c>
      <c r="B6677" t="s">
        <v>469</v>
      </c>
      <c r="C6677" t="s">
        <v>81</v>
      </c>
      <c r="D6677" t="s">
        <v>86</v>
      </c>
      <c r="E6677" t="s">
        <v>87</v>
      </c>
      <c r="F6677">
        <v>2500</v>
      </c>
      <c r="G6677" t="s">
        <v>331</v>
      </c>
      <c r="H6677" s="15">
        <v>45992</v>
      </c>
      <c r="I6677">
        <v>2500</v>
      </c>
      <c r="J6677">
        <v>0</v>
      </c>
    </row>
    <row r="6678" spans="1:10" x14ac:dyDescent="0.3">
      <c r="A6678" s="15">
        <v>46023</v>
      </c>
      <c r="B6678" t="s">
        <v>470</v>
      </c>
      <c r="C6678" t="s">
        <v>81</v>
      </c>
      <c r="D6678" t="s">
        <v>86</v>
      </c>
      <c r="E6678" t="s">
        <v>103</v>
      </c>
      <c r="F6678">
        <v>1600</v>
      </c>
      <c r="G6678" t="s">
        <v>331</v>
      </c>
      <c r="H6678" s="15">
        <v>45992</v>
      </c>
      <c r="I6678">
        <v>1600</v>
      </c>
      <c r="J6678">
        <v>0</v>
      </c>
    </row>
    <row r="6679" spans="1:10" x14ac:dyDescent="0.3">
      <c r="A6679" s="15">
        <v>46023</v>
      </c>
      <c r="B6679" t="s">
        <v>471</v>
      </c>
      <c r="C6679" t="s">
        <v>110</v>
      </c>
      <c r="D6679" t="s">
        <v>86</v>
      </c>
      <c r="E6679" t="s">
        <v>103</v>
      </c>
      <c r="F6679">
        <v>31000</v>
      </c>
      <c r="G6679" t="s">
        <v>331</v>
      </c>
      <c r="H6679" s="15">
        <v>45992</v>
      </c>
      <c r="I6679">
        <v>31000</v>
      </c>
      <c r="J6679">
        <v>0</v>
      </c>
    </row>
    <row r="6680" spans="1:10" x14ac:dyDescent="0.3">
      <c r="A6680" s="15">
        <v>46023</v>
      </c>
      <c r="B6680" t="s">
        <v>472</v>
      </c>
      <c r="C6680" t="s">
        <v>91</v>
      </c>
      <c r="D6680" t="s">
        <v>86</v>
      </c>
      <c r="E6680" t="s">
        <v>97</v>
      </c>
      <c r="F6680">
        <v>5100</v>
      </c>
      <c r="G6680" t="s">
        <v>331</v>
      </c>
      <c r="H6680" s="15">
        <v>45992</v>
      </c>
      <c r="I6680">
        <v>5100</v>
      </c>
      <c r="J6680">
        <v>0</v>
      </c>
    </row>
    <row r="6681" spans="1:10" x14ac:dyDescent="0.3">
      <c r="A6681" s="15">
        <v>46023</v>
      </c>
      <c r="B6681" t="s">
        <v>473</v>
      </c>
      <c r="C6681" t="s">
        <v>110</v>
      </c>
      <c r="D6681" t="s">
        <v>86</v>
      </c>
      <c r="E6681" t="s">
        <v>97</v>
      </c>
      <c r="F6681">
        <v>20000</v>
      </c>
      <c r="G6681" t="s">
        <v>331</v>
      </c>
      <c r="H6681" s="15">
        <v>45992</v>
      </c>
      <c r="I6681">
        <v>20000</v>
      </c>
      <c r="J6681">
        <v>0</v>
      </c>
    </row>
    <row r="6682" spans="1:10" x14ac:dyDescent="0.3">
      <c r="A6682" s="15">
        <v>46023</v>
      </c>
      <c r="B6682" t="s">
        <v>474</v>
      </c>
      <c r="C6682" t="s">
        <v>81</v>
      </c>
      <c r="D6682" t="s">
        <v>99</v>
      </c>
      <c r="E6682" t="s">
        <v>92</v>
      </c>
      <c r="F6682">
        <v>1400</v>
      </c>
      <c r="G6682" t="s">
        <v>331</v>
      </c>
      <c r="H6682" s="15">
        <v>45992</v>
      </c>
      <c r="I6682">
        <v>1400</v>
      </c>
      <c r="J6682">
        <v>0</v>
      </c>
    </row>
    <row r="6683" spans="1:10" x14ac:dyDescent="0.3">
      <c r="A6683" s="15">
        <v>46023</v>
      </c>
      <c r="B6683" t="s">
        <v>475</v>
      </c>
      <c r="C6683" t="s">
        <v>110</v>
      </c>
      <c r="D6683" t="s">
        <v>82</v>
      </c>
      <c r="E6683" t="s">
        <v>101</v>
      </c>
      <c r="F6683">
        <v>35000</v>
      </c>
      <c r="G6683" t="s">
        <v>331</v>
      </c>
      <c r="H6683" s="15">
        <v>45992</v>
      </c>
      <c r="I6683">
        <v>35000</v>
      </c>
      <c r="J6683">
        <v>0</v>
      </c>
    </row>
    <row r="6684" spans="1:10" x14ac:dyDescent="0.3">
      <c r="A6684" s="15">
        <v>46023</v>
      </c>
      <c r="B6684" t="s">
        <v>476</v>
      </c>
      <c r="C6684" t="s">
        <v>81</v>
      </c>
      <c r="D6684" t="s">
        <v>82</v>
      </c>
      <c r="E6684" t="s">
        <v>89</v>
      </c>
      <c r="F6684">
        <v>2600</v>
      </c>
      <c r="G6684" t="s">
        <v>331</v>
      </c>
      <c r="H6684" s="15">
        <v>45992</v>
      </c>
      <c r="I6684">
        <v>2600</v>
      </c>
      <c r="J6684">
        <v>0</v>
      </c>
    </row>
    <row r="6685" spans="1:10" x14ac:dyDescent="0.3">
      <c r="A6685" s="15">
        <v>46023</v>
      </c>
      <c r="B6685" t="s">
        <v>477</v>
      </c>
      <c r="C6685" t="s">
        <v>81</v>
      </c>
      <c r="D6685" t="s">
        <v>82</v>
      </c>
      <c r="E6685" t="s">
        <v>92</v>
      </c>
      <c r="F6685">
        <v>2100</v>
      </c>
      <c r="G6685" t="s">
        <v>84</v>
      </c>
      <c r="H6685" s="15">
        <v>46023</v>
      </c>
      <c r="I6685">
        <v>0</v>
      </c>
      <c r="J6685">
        <v>2100</v>
      </c>
    </row>
    <row r="6686" spans="1:10" x14ac:dyDescent="0.3">
      <c r="A6686" s="15">
        <v>46023</v>
      </c>
      <c r="B6686" t="s">
        <v>478</v>
      </c>
      <c r="C6686" t="s">
        <v>91</v>
      </c>
      <c r="D6686" t="s">
        <v>82</v>
      </c>
      <c r="E6686" t="s">
        <v>97</v>
      </c>
      <c r="F6686">
        <v>6500</v>
      </c>
      <c r="G6686" t="s">
        <v>84</v>
      </c>
      <c r="H6686" s="15">
        <v>46023</v>
      </c>
      <c r="I6686">
        <v>0</v>
      </c>
      <c r="J6686">
        <v>6500</v>
      </c>
    </row>
    <row r="6687" spans="1:10" x14ac:dyDescent="0.3">
      <c r="A6687" s="15">
        <v>46023</v>
      </c>
      <c r="B6687" t="s">
        <v>479</v>
      </c>
      <c r="C6687" t="s">
        <v>81</v>
      </c>
      <c r="D6687" t="s">
        <v>82</v>
      </c>
      <c r="E6687" t="s">
        <v>87</v>
      </c>
      <c r="F6687">
        <v>1600</v>
      </c>
      <c r="G6687" t="s">
        <v>84</v>
      </c>
      <c r="H6687" s="15">
        <v>46023</v>
      </c>
      <c r="I6687">
        <v>0</v>
      </c>
      <c r="J6687">
        <v>1600</v>
      </c>
    </row>
    <row r="6688" spans="1:10" x14ac:dyDescent="0.3">
      <c r="A6688" s="15">
        <v>46023</v>
      </c>
      <c r="B6688" t="s">
        <v>480</v>
      </c>
      <c r="C6688" t="s">
        <v>81</v>
      </c>
      <c r="D6688" t="s">
        <v>86</v>
      </c>
      <c r="E6688" t="s">
        <v>103</v>
      </c>
      <c r="F6688">
        <v>1600</v>
      </c>
      <c r="G6688" t="s">
        <v>84</v>
      </c>
      <c r="H6688" s="15">
        <v>46023</v>
      </c>
      <c r="I6688">
        <v>0</v>
      </c>
      <c r="J6688">
        <v>1600</v>
      </c>
    </row>
    <row r="6689" spans="1:10" x14ac:dyDescent="0.3">
      <c r="A6689" s="15">
        <v>46023</v>
      </c>
      <c r="B6689" t="s">
        <v>481</v>
      </c>
      <c r="C6689" t="s">
        <v>81</v>
      </c>
      <c r="D6689" t="s">
        <v>82</v>
      </c>
      <c r="E6689" t="s">
        <v>103</v>
      </c>
      <c r="F6689">
        <v>1800</v>
      </c>
      <c r="G6689" t="s">
        <v>84</v>
      </c>
      <c r="H6689" s="15">
        <v>46023</v>
      </c>
      <c r="I6689">
        <v>0</v>
      </c>
      <c r="J6689">
        <v>1800</v>
      </c>
    </row>
    <row r="6690" spans="1:10" x14ac:dyDescent="0.3">
      <c r="A6690" s="15">
        <v>46023</v>
      </c>
      <c r="B6690" t="s">
        <v>482</v>
      </c>
      <c r="C6690" t="s">
        <v>110</v>
      </c>
      <c r="D6690" t="s">
        <v>82</v>
      </c>
      <c r="E6690" t="s">
        <v>83</v>
      </c>
      <c r="F6690">
        <v>18100</v>
      </c>
      <c r="G6690" t="s">
        <v>84</v>
      </c>
      <c r="H6690" s="15">
        <v>46023</v>
      </c>
      <c r="I6690">
        <v>0</v>
      </c>
      <c r="J6690">
        <v>18100</v>
      </c>
    </row>
    <row r="6691" spans="1:10" x14ac:dyDescent="0.3">
      <c r="A6691" s="15">
        <v>46023</v>
      </c>
      <c r="B6691" t="s">
        <v>483</v>
      </c>
      <c r="C6691" t="s">
        <v>81</v>
      </c>
      <c r="D6691" t="s">
        <v>82</v>
      </c>
      <c r="E6691" t="s">
        <v>89</v>
      </c>
      <c r="F6691">
        <v>1900</v>
      </c>
      <c r="G6691" t="s">
        <v>84</v>
      </c>
      <c r="H6691" s="15">
        <v>46023</v>
      </c>
      <c r="I6691">
        <v>0</v>
      </c>
      <c r="J6691">
        <v>1900</v>
      </c>
    </row>
    <row r="6692" spans="1:10" x14ac:dyDescent="0.3">
      <c r="A6692" s="15">
        <v>46054</v>
      </c>
      <c r="B6692" t="s">
        <v>80</v>
      </c>
      <c r="C6692" t="s">
        <v>81</v>
      </c>
      <c r="D6692" t="s">
        <v>82</v>
      </c>
      <c r="E6692" t="s">
        <v>83</v>
      </c>
      <c r="F6692">
        <v>1900</v>
      </c>
      <c r="G6692" t="s">
        <v>331</v>
      </c>
      <c r="H6692" s="15">
        <v>45292</v>
      </c>
      <c r="I6692">
        <v>1900</v>
      </c>
      <c r="J6692">
        <v>0</v>
      </c>
    </row>
    <row r="6693" spans="1:10" x14ac:dyDescent="0.3">
      <c r="A6693" s="15">
        <v>46054</v>
      </c>
      <c r="B6693" t="s">
        <v>85</v>
      </c>
      <c r="C6693" t="s">
        <v>81</v>
      </c>
      <c r="D6693" t="s">
        <v>86</v>
      </c>
      <c r="E6693" t="s">
        <v>87</v>
      </c>
      <c r="F6693">
        <v>2400</v>
      </c>
      <c r="G6693" t="s">
        <v>331</v>
      </c>
      <c r="H6693" s="15">
        <v>45292</v>
      </c>
      <c r="I6693">
        <v>2400</v>
      </c>
      <c r="J6693">
        <v>0</v>
      </c>
    </row>
    <row r="6694" spans="1:10" x14ac:dyDescent="0.3">
      <c r="A6694" s="15">
        <v>46054</v>
      </c>
      <c r="B6694" t="s">
        <v>88</v>
      </c>
      <c r="C6694" t="s">
        <v>81</v>
      </c>
      <c r="D6694" t="s">
        <v>86</v>
      </c>
      <c r="E6694" t="s">
        <v>89</v>
      </c>
      <c r="F6694">
        <v>2400</v>
      </c>
      <c r="G6694" t="s">
        <v>331</v>
      </c>
      <c r="H6694" s="15">
        <v>45292</v>
      </c>
      <c r="I6694">
        <v>2400</v>
      </c>
      <c r="J6694">
        <v>0</v>
      </c>
    </row>
    <row r="6695" spans="1:10" x14ac:dyDescent="0.3">
      <c r="A6695" s="15">
        <v>46054</v>
      </c>
      <c r="B6695" t="s">
        <v>90</v>
      </c>
      <c r="C6695" t="s">
        <v>91</v>
      </c>
      <c r="D6695" t="s">
        <v>82</v>
      </c>
      <c r="E6695" t="s">
        <v>92</v>
      </c>
      <c r="F6695">
        <v>9200</v>
      </c>
      <c r="G6695" t="s">
        <v>331</v>
      </c>
      <c r="H6695" s="15">
        <v>45292</v>
      </c>
      <c r="I6695">
        <v>9200</v>
      </c>
      <c r="J6695">
        <v>0</v>
      </c>
    </row>
    <row r="6696" spans="1:10" x14ac:dyDescent="0.3">
      <c r="A6696" s="15">
        <v>46054</v>
      </c>
      <c r="B6696" t="s">
        <v>93</v>
      </c>
      <c r="C6696" t="s">
        <v>81</v>
      </c>
      <c r="D6696" t="s">
        <v>86</v>
      </c>
      <c r="E6696" t="s">
        <v>83</v>
      </c>
      <c r="F6696">
        <v>2600</v>
      </c>
      <c r="G6696" t="s">
        <v>331</v>
      </c>
      <c r="H6696" s="15">
        <v>45292</v>
      </c>
      <c r="I6696">
        <v>2600</v>
      </c>
      <c r="J6696">
        <v>0</v>
      </c>
    </row>
    <row r="6697" spans="1:10" x14ac:dyDescent="0.3">
      <c r="A6697" s="15">
        <v>46054</v>
      </c>
      <c r="B6697" t="s">
        <v>94</v>
      </c>
      <c r="C6697" t="s">
        <v>91</v>
      </c>
      <c r="D6697" t="s">
        <v>86</v>
      </c>
      <c r="E6697" t="s">
        <v>83</v>
      </c>
      <c r="F6697">
        <v>8500</v>
      </c>
      <c r="G6697" t="s">
        <v>331</v>
      </c>
      <c r="H6697" s="15">
        <v>45292</v>
      </c>
      <c r="I6697">
        <v>8500</v>
      </c>
      <c r="J6697">
        <v>0</v>
      </c>
    </row>
    <row r="6698" spans="1:10" x14ac:dyDescent="0.3">
      <c r="A6698" s="15">
        <v>46054</v>
      </c>
      <c r="B6698" t="s">
        <v>95</v>
      </c>
      <c r="C6698" t="s">
        <v>81</v>
      </c>
      <c r="D6698" t="s">
        <v>96</v>
      </c>
      <c r="E6698" t="s">
        <v>97</v>
      </c>
      <c r="F6698">
        <v>3100</v>
      </c>
      <c r="G6698" t="s">
        <v>331</v>
      </c>
      <c r="H6698" s="15">
        <v>45292</v>
      </c>
      <c r="I6698">
        <v>3100</v>
      </c>
      <c r="J6698">
        <v>0</v>
      </c>
    </row>
    <row r="6699" spans="1:10" x14ac:dyDescent="0.3">
      <c r="A6699" s="15">
        <v>46054</v>
      </c>
      <c r="B6699" t="s">
        <v>98</v>
      </c>
      <c r="C6699" t="s">
        <v>81</v>
      </c>
      <c r="D6699" t="s">
        <v>99</v>
      </c>
      <c r="E6699" t="s">
        <v>92</v>
      </c>
      <c r="F6699">
        <v>2000</v>
      </c>
      <c r="G6699" t="s">
        <v>331</v>
      </c>
      <c r="H6699" s="15">
        <v>45292</v>
      </c>
      <c r="I6699">
        <v>2000</v>
      </c>
      <c r="J6699">
        <v>0</v>
      </c>
    </row>
    <row r="6700" spans="1:10" x14ac:dyDescent="0.3">
      <c r="A6700" s="15">
        <v>46054</v>
      </c>
      <c r="B6700" t="s">
        <v>102</v>
      </c>
      <c r="C6700" t="s">
        <v>81</v>
      </c>
      <c r="D6700" t="s">
        <v>99</v>
      </c>
      <c r="E6700" t="s">
        <v>103</v>
      </c>
      <c r="F6700">
        <v>2900</v>
      </c>
      <c r="G6700" t="s">
        <v>331</v>
      </c>
      <c r="H6700" s="15">
        <v>45292</v>
      </c>
      <c r="I6700">
        <v>2900</v>
      </c>
      <c r="J6700">
        <v>0</v>
      </c>
    </row>
    <row r="6701" spans="1:10" x14ac:dyDescent="0.3">
      <c r="A6701" s="15">
        <v>46054</v>
      </c>
      <c r="B6701" t="s">
        <v>104</v>
      </c>
      <c r="C6701" t="s">
        <v>91</v>
      </c>
      <c r="D6701" t="s">
        <v>99</v>
      </c>
      <c r="E6701" t="s">
        <v>87</v>
      </c>
      <c r="F6701">
        <v>7000</v>
      </c>
      <c r="G6701" t="s">
        <v>331</v>
      </c>
      <c r="H6701" s="15">
        <v>45292</v>
      </c>
      <c r="I6701">
        <v>7000</v>
      </c>
      <c r="J6701">
        <v>0</v>
      </c>
    </row>
    <row r="6702" spans="1:10" x14ac:dyDescent="0.3">
      <c r="A6702" s="15">
        <v>46054</v>
      </c>
      <c r="B6702" t="s">
        <v>105</v>
      </c>
      <c r="C6702" t="s">
        <v>91</v>
      </c>
      <c r="D6702" t="s">
        <v>86</v>
      </c>
      <c r="E6702" t="s">
        <v>89</v>
      </c>
      <c r="F6702">
        <v>12900</v>
      </c>
      <c r="G6702" t="s">
        <v>331</v>
      </c>
      <c r="H6702" s="15">
        <v>45292</v>
      </c>
      <c r="I6702">
        <v>12900</v>
      </c>
      <c r="J6702">
        <v>0</v>
      </c>
    </row>
    <row r="6703" spans="1:10" x14ac:dyDescent="0.3">
      <c r="A6703" s="15">
        <v>46054</v>
      </c>
      <c r="B6703" t="s">
        <v>106</v>
      </c>
      <c r="C6703" t="s">
        <v>81</v>
      </c>
      <c r="D6703" t="s">
        <v>99</v>
      </c>
      <c r="E6703" t="s">
        <v>92</v>
      </c>
      <c r="F6703">
        <v>2700</v>
      </c>
      <c r="G6703" t="s">
        <v>331</v>
      </c>
      <c r="H6703" s="15">
        <v>45292</v>
      </c>
      <c r="I6703">
        <v>2700</v>
      </c>
      <c r="J6703">
        <v>0</v>
      </c>
    </row>
    <row r="6704" spans="1:10" x14ac:dyDescent="0.3">
      <c r="A6704" s="15">
        <v>46054</v>
      </c>
      <c r="B6704" t="s">
        <v>109</v>
      </c>
      <c r="C6704" t="s">
        <v>110</v>
      </c>
      <c r="D6704" t="s">
        <v>82</v>
      </c>
      <c r="E6704" t="s">
        <v>103</v>
      </c>
      <c r="F6704">
        <v>37500</v>
      </c>
      <c r="G6704" t="s">
        <v>331</v>
      </c>
      <c r="H6704" s="15">
        <v>45292</v>
      </c>
      <c r="I6704">
        <v>37500</v>
      </c>
      <c r="J6704">
        <v>0</v>
      </c>
    </row>
    <row r="6705" spans="1:10" x14ac:dyDescent="0.3">
      <c r="A6705" s="15">
        <v>46054</v>
      </c>
      <c r="B6705" t="s">
        <v>111</v>
      </c>
      <c r="C6705" t="s">
        <v>91</v>
      </c>
      <c r="D6705" t="s">
        <v>82</v>
      </c>
      <c r="E6705" t="s">
        <v>83</v>
      </c>
      <c r="F6705">
        <v>8800</v>
      </c>
      <c r="G6705" t="s">
        <v>331</v>
      </c>
      <c r="H6705" s="15">
        <v>45292</v>
      </c>
      <c r="I6705">
        <v>8800</v>
      </c>
      <c r="J6705">
        <v>0</v>
      </c>
    </row>
    <row r="6706" spans="1:10" x14ac:dyDescent="0.3">
      <c r="A6706" s="15">
        <v>46054</v>
      </c>
      <c r="B6706" t="s">
        <v>112</v>
      </c>
      <c r="C6706" t="s">
        <v>91</v>
      </c>
      <c r="D6706" t="s">
        <v>82</v>
      </c>
      <c r="E6706" t="s">
        <v>92</v>
      </c>
      <c r="F6706">
        <v>8600</v>
      </c>
      <c r="G6706" t="s">
        <v>331</v>
      </c>
      <c r="H6706" s="15">
        <v>45292</v>
      </c>
      <c r="I6706">
        <v>8600</v>
      </c>
      <c r="J6706">
        <v>0</v>
      </c>
    </row>
    <row r="6707" spans="1:10" x14ac:dyDescent="0.3">
      <c r="A6707" s="15">
        <v>46054</v>
      </c>
      <c r="B6707" t="s">
        <v>113</v>
      </c>
      <c r="C6707" t="s">
        <v>81</v>
      </c>
      <c r="D6707" t="s">
        <v>96</v>
      </c>
      <c r="E6707" t="s">
        <v>89</v>
      </c>
      <c r="F6707">
        <v>2300</v>
      </c>
      <c r="G6707" t="s">
        <v>331</v>
      </c>
      <c r="H6707" s="15">
        <v>45292</v>
      </c>
      <c r="I6707">
        <v>2300</v>
      </c>
      <c r="J6707">
        <v>0</v>
      </c>
    </row>
    <row r="6708" spans="1:10" x14ac:dyDescent="0.3">
      <c r="A6708" s="15">
        <v>46054</v>
      </c>
      <c r="B6708" t="s">
        <v>114</v>
      </c>
      <c r="C6708" t="s">
        <v>110</v>
      </c>
      <c r="D6708" t="s">
        <v>99</v>
      </c>
      <c r="E6708" t="s">
        <v>97</v>
      </c>
      <c r="F6708">
        <v>46200</v>
      </c>
      <c r="G6708" t="s">
        <v>331</v>
      </c>
      <c r="H6708" s="15">
        <v>45292</v>
      </c>
      <c r="I6708">
        <v>46200</v>
      </c>
      <c r="J6708">
        <v>0</v>
      </c>
    </row>
    <row r="6709" spans="1:10" x14ac:dyDescent="0.3">
      <c r="A6709" s="15">
        <v>46054</v>
      </c>
      <c r="B6709" t="s">
        <v>115</v>
      </c>
      <c r="C6709" t="s">
        <v>81</v>
      </c>
      <c r="D6709" t="s">
        <v>82</v>
      </c>
      <c r="E6709" t="s">
        <v>101</v>
      </c>
      <c r="F6709">
        <v>2600</v>
      </c>
      <c r="G6709" t="s">
        <v>331</v>
      </c>
      <c r="H6709" s="15">
        <v>45292</v>
      </c>
      <c r="I6709">
        <v>2600</v>
      </c>
      <c r="J6709">
        <v>0</v>
      </c>
    </row>
    <row r="6710" spans="1:10" x14ac:dyDescent="0.3">
      <c r="A6710" s="15">
        <v>46054</v>
      </c>
      <c r="B6710" t="s">
        <v>116</v>
      </c>
      <c r="C6710" t="s">
        <v>81</v>
      </c>
      <c r="D6710" t="s">
        <v>86</v>
      </c>
      <c r="E6710" t="s">
        <v>87</v>
      </c>
      <c r="F6710">
        <v>2900</v>
      </c>
      <c r="G6710" t="s">
        <v>331</v>
      </c>
      <c r="H6710" s="15">
        <v>45292</v>
      </c>
      <c r="I6710">
        <v>2900</v>
      </c>
      <c r="J6710">
        <v>0</v>
      </c>
    </row>
    <row r="6711" spans="1:10" x14ac:dyDescent="0.3">
      <c r="A6711" s="15">
        <v>46054</v>
      </c>
      <c r="B6711" t="s">
        <v>117</v>
      </c>
      <c r="C6711" t="s">
        <v>81</v>
      </c>
      <c r="D6711" t="s">
        <v>86</v>
      </c>
      <c r="E6711" t="s">
        <v>103</v>
      </c>
      <c r="F6711">
        <v>2500</v>
      </c>
      <c r="G6711" t="s">
        <v>331</v>
      </c>
      <c r="H6711" s="15">
        <v>45292</v>
      </c>
      <c r="I6711">
        <v>2500</v>
      </c>
      <c r="J6711">
        <v>0</v>
      </c>
    </row>
    <row r="6712" spans="1:10" x14ac:dyDescent="0.3">
      <c r="A6712" s="15">
        <v>46054</v>
      </c>
      <c r="B6712" t="s">
        <v>120</v>
      </c>
      <c r="C6712" t="s">
        <v>81</v>
      </c>
      <c r="D6712" t="s">
        <v>86</v>
      </c>
      <c r="E6712" t="s">
        <v>101</v>
      </c>
      <c r="F6712">
        <v>2200</v>
      </c>
      <c r="G6712" t="s">
        <v>331</v>
      </c>
      <c r="H6712" s="15">
        <v>45292</v>
      </c>
      <c r="I6712">
        <v>2200</v>
      </c>
      <c r="J6712">
        <v>0</v>
      </c>
    </row>
    <row r="6713" spans="1:10" x14ac:dyDescent="0.3">
      <c r="A6713" s="15">
        <v>46054</v>
      </c>
      <c r="B6713" t="s">
        <v>123</v>
      </c>
      <c r="C6713" t="s">
        <v>81</v>
      </c>
      <c r="D6713" t="s">
        <v>82</v>
      </c>
      <c r="E6713" t="s">
        <v>92</v>
      </c>
      <c r="F6713">
        <v>1900</v>
      </c>
      <c r="G6713" t="s">
        <v>331</v>
      </c>
      <c r="H6713" s="15">
        <v>45292</v>
      </c>
      <c r="I6713">
        <v>1900</v>
      </c>
      <c r="J6713">
        <v>0</v>
      </c>
    </row>
    <row r="6714" spans="1:10" x14ac:dyDescent="0.3">
      <c r="A6714" s="15">
        <v>46054</v>
      </c>
      <c r="B6714" t="s">
        <v>124</v>
      </c>
      <c r="C6714" t="s">
        <v>125</v>
      </c>
      <c r="D6714" t="s">
        <v>82</v>
      </c>
      <c r="E6714" t="s">
        <v>97</v>
      </c>
      <c r="F6714">
        <v>67900</v>
      </c>
      <c r="G6714" t="s">
        <v>331</v>
      </c>
      <c r="H6714" s="15">
        <v>45292</v>
      </c>
      <c r="I6714">
        <v>67900</v>
      </c>
      <c r="J6714">
        <v>0</v>
      </c>
    </row>
    <row r="6715" spans="1:10" x14ac:dyDescent="0.3">
      <c r="A6715" s="15">
        <v>46054</v>
      </c>
      <c r="B6715" t="s">
        <v>126</v>
      </c>
      <c r="C6715" t="s">
        <v>91</v>
      </c>
      <c r="D6715" t="s">
        <v>82</v>
      </c>
      <c r="E6715" t="s">
        <v>83</v>
      </c>
      <c r="F6715">
        <v>8800</v>
      </c>
      <c r="G6715" t="s">
        <v>331</v>
      </c>
      <c r="H6715" s="15">
        <v>45292</v>
      </c>
      <c r="I6715">
        <v>8800</v>
      </c>
      <c r="J6715">
        <v>0</v>
      </c>
    </row>
    <row r="6716" spans="1:10" x14ac:dyDescent="0.3">
      <c r="A6716" s="15">
        <v>46054</v>
      </c>
      <c r="B6716" t="s">
        <v>127</v>
      </c>
      <c r="C6716" t="s">
        <v>81</v>
      </c>
      <c r="D6716" t="s">
        <v>82</v>
      </c>
      <c r="E6716" t="s">
        <v>101</v>
      </c>
      <c r="F6716">
        <v>2400</v>
      </c>
      <c r="G6716" t="s">
        <v>331</v>
      </c>
      <c r="H6716" s="15">
        <v>45292</v>
      </c>
      <c r="I6716">
        <v>2400</v>
      </c>
      <c r="J6716">
        <v>0</v>
      </c>
    </row>
    <row r="6717" spans="1:10" x14ac:dyDescent="0.3">
      <c r="A6717" s="15">
        <v>46054</v>
      </c>
      <c r="B6717" t="s">
        <v>128</v>
      </c>
      <c r="C6717" t="s">
        <v>81</v>
      </c>
      <c r="D6717" t="s">
        <v>82</v>
      </c>
      <c r="E6717" t="s">
        <v>92</v>
      </c>
      <c r="F6717">
        <v>1700</v>
      </c>
      <c r="G6717" t="s">
        <v>331</v>
      </c>
      <c r="H6717" s="15">
        <v>45292</v>
      </c>
      <c r="I6717">
        <v>1700</v>
      </c>
      <c r="J6717">
        <v>0</v>
      </c>
    </row>
    <row r="6718" spans="1:10" x14ac:dyDescent="0.3">
      <c r="A6718" s="15">
        <v>46054</v>
      </c>
      <c r="B6718" t="s">
        <v>129</v>
      </c>
      <c r="C6718" t="s">
        <v>110</v>
      </c>
      <c r="D6718" t="s">
        <v>86</v>
      </c>
      <c r="E6718" t="s">
        <v>92</v>
      </c>
      <c r="F6718">
        <v>36900</v>
      </c>
      <c r="G6718" t="s">
        <v>331</v>
      </c>
      <c r="H6718" s="15">
        <v>45292</v>
      </c>
      <c r="I6718">
        <v>36900</v>
      </c>
      <c r="J6718">
        <v>0</v>
      </c>
    </row>
    <row r="6719" spans="1:10" x14ac:dyDescent="0.3">
      <c r="A6719" s="15">
        <v>46054</v>
      </c>
      <c r="B6719" t="s">
        <v>133</v>
      </c>
      <c r="C6719" t="s">
        <v>81</v>
      </c>
      <c r="D6719" t="s">
        <v>96</v>
      </c>
      <c r="E6719" t="s">
        <v>87</v>
      </c>
      <c r="F6719">
        <v>2700</v>
      </c>
      <c r="G6719" t="s">
        <v>331</v>
      </c>
      <c r="H6719" s="15">
        <v>45292</v>
      </c>
      <c r="I6719">
        <v>2700</v>
      </c>
      <c r="J6719">
        <v>0</v>
      </c>
    </row>
    <row r="6720" spans="1:10" x14ac:dyDescent="0.3">
      <c r="A6720" s="15">
        <v>46054</v>
      </c>
      <c r="B6720" t="s">
        <v>134</v>
      </c>
      <c r="C6720" t="s">
        <v>81</v>
      </c>
      <c r="D6720" t="s">
        <v>82</v>
      </c>
      <c r="E6720" t="s">
        <v>92</v>
      </c>
      <c r="F6720">
        <v>2400</v>
      </c>
      <c r="G6720" t="s">
        <v>331</v>
      </c>
      <c r="H6720" s="15">
        <v>45292</v>
      </c>
      <c r="I6720">
        <v>2400</v>
      </c>
      <c r="J6720">
        <v>0</v>
      </c>
    </row>
    <row r="6721" spans="1:10" x14ac:dyDescent="0.3">
      <c r="A6721" s="15">
        <v>46054</v>
      </c>
      <c r="B6721" t="s">
        <v>135</v>
      </c>
      <c r="C6721" t="s">
        <v>81</v>
      </c>
      <c r="D6721" t="s">
        <v>82</v>
      </c>
      <c r="E6721" t="s">
        <v>103</v>
      </c>
      <c r="F6721">
        <v>2400</v>
      </c>
      <c r="G6721" t="s">
        <v>331</v>
      </c>
      <c r="H6721" s="15">
        <v>45292</v>
      </c>
      <c r="I6721">
        <v>2400</v>
      </c>
      <c r="J6721">
        <v>0</v>
      </c>
    </row>
    <row r="6722" spans="1:10" x14ac:dyDescent="0.3">
      <c r="A6722" s="15">
        <v>46054</v>
      </c>
      <c r="B6722" t="s">
        <v>136</v>
      </c>
      <c r="C6722" t="s">
        <v>81</v>
      </c>
      <c r="D6722" t="s">
        <v>82</v>
      </c>
      <c r="E6722" t="s">
        <v>101</v>
      </c>
      <c r="F6722">
        <v>2900</v>
      </c>
      <c r="G6722" t="s">
        <v>331</v>
      </c>
      <c r="H6722" s="15">
        <v>45292</v>
      </c>
      <c r="I6722">
        <v>2900</v>
      </c>
      <c r="J6722">
        <v>0</v>
      </c>
    </row>
    <row r="6723" spans="1:10" x14ac:dyDescent="0.3">
      <c r="A6723" s="15">
        <v>46054</v>
      </c>
      <c r="B6723" t="s">
        <v>138</v>
      </c>
      <c r="C6723" t="s">
        <v>81</v>
      </c>
      <c r="D6723" t="s">
        <v>86</v>
      </c>
      <c r="E6723" t="s">
        <v>97</v>
      </c>
      <c r="F6723">
        <v>3300</v>
      </c>
      <c r="G6723" t="s">
        <v>331</v>
      </c>
      <c r="H6723" s="15">
        <v>45292</v>
      </c>
      <c r="I6723">
        <v>3300</v>
      </c>
      <c r="J6723">
        <v>0</v>
      </c>
    </row>
    <row r="6724" spans="1:10" x14ac:dyDescent="0.3">
      <c r="A6724" s="15">
        <v>46054</v>
      </c>
      <c r="B6724" t="s">
        <v>139</v>
      </c>
      <c r="C6724" t="s">
        <v>91</v>
      </c>
      <c r="D6724" t="s">
        <v>82</v>
      </c>
      <c r="E6724" t="s">
        <v>103</v>
      </c>
      <c r="F6724">
        <v>6800</v>
      </c>
      <c r="G6724" t="s">
        <v>331</v>
      </c>
      <c r="H6724" s="15">
        <v>45292</v>
      </c>
      <c r="I6724">
        <v>6800</v>
      </c>
      <c r="J6724">
        <v>0</v>
      </c>
    </row>
    <row r="6725" spans="1:10" x14ac:dyDescent="0.3">
      <c r="A6725" s="15">
        <v>46054</v>
      </c>
      <c r="B6725" t="s">
        <v>141</v>
      </c>
      <c r="C6725" t="s">
        <v>125</v>
      </c>
      <c r="D6725" t="s">
        <v>99</v>
      </c>
      <c r="E6725" t="s">
        <v>103</v>
      </c>
      <c r="F6725">
        <v>127400</v>
      </c>
      <c r="G6725" t="s">
        <v>331</v>
      </c>
      <c r="H6725" s="15">
        <v>45292</v>
      </c>
      <c r="I6725">
        <v>127400</v>
      </c>
      <c r="J6725">
        <v>0</v>
      </c>
    </row>
    <row r="6726" spans="1:10" x14ac:dyDescent="0.3">
      <c r="A6726" s="15">
        <v>46054</v>
      </c>
      <c r="B6726" t="s">
        <v>142</v>
      </c>
      <c r="C6726" t="s">
        <v>125</v>
      </c>
      <c r="D6726" t="s">
        <v>82</v>
      </c>
      <c r="E6726" t="s">
        <v>92</v>
      </c>
      <c r="F6726">
        <v>103800</v>
      </c>
      <c r="G6726" t="s">
        <v>331</v>
      </c>
      <c r="H6726" s="15">
        <v>45292</v>
      </c>
      <c r="I6726">
        <v>103800</v>
      </c>
      <c r="J6726">
        <v>0</v>
      </c>
    </row>
    <row r="6727" spans="1:10" x14ac:dyDescent="0.3">
      <c r="A6727" s="15">
        <v>46054</v>
      </c>
      <c r="B6727" t="s">
        <v>143</v>
      </c>
      <c r="C6727" t="s">
        <v>91</v>
      </c>
      <c r="D6727" t="s">
        <v>99</v>
      </c>
      <c r="E6727" t="s">
        <v>103</v>
      </c>
      <c r="F6727">
        <v>8000</v>
      </c>
      <c r="G6727" t="s">
        <v>331</v>
      </c>
      <c r="H6727" s="15">
        <v>45292</v>
      </c>
      <c r="I6727">
        <v>8000</v>
      </c>
      <c r="J6727">
        <v>0</v>
      </c>
    </row>
    <row r="6728" spans="1:10" x14ac:dyDescent="0.3">
      <c r="A6728" s="15">
        <v>46054</v>
      </c>
      <c r="B6728" t="s">
        <v>144</v>
      </c>
      <c r="C6728" t="s">
        <v>81</v>
      </c>
      <c r="D6728" t="s">
        <v>82</v>
      </c>
      <c r="E6728" t="s">
        <v>92</v>
      </c>
      <c r="F6728">
        <v>2400</v>
      </c>
      <c r="G6728" t="s">
        <v>331</v>
      </c>
      <c r="H6728" s="15">
        <v>45292</v>
      </c>
      <c r="I6728">
        <v>2400</v>
      </c>
      <c r="J6728">
        <v>0</v>
      </c>
    </row>
    <row r="6729" spans="1:10" x14ac:dyDescent="0.3">
      <c r="A6729" s="15">
        <v>46054</v>
      </c>
      <c r="B6729" t="s">
        <v>145</v>
      </c>
      <c r="C6729" t="s">
        <v>91</v>
      </c>
      <c r="D6729" t="s">
        <v>82</v>
      </c>
      <c r="E6729" t="s">
        <v>87</v>
      </c>
      <c r="F6729">
        <v>8200</v>
      </c>
      <c r="G6729" t="s">
        <v>331</v>
      </c>
      <c r="H6729" s="15">
        <v>45292</v>
      </c>
      <c r="I6729">
        <v>8200</v>
      </c>
      <c r="J6729">
        <v>0</v>
      </c>
    </row>
    <row r="6730" spans="1:10" x14ac:dyDescent="0.3">
      <c r="A6730" s="15">
        <v>46054</v>
      </c>
      <c r="B6730" t="s">
        <v>146</v>
      </c>
      <c r="C6730" t="s">
        <v>91</v>
      </c>
      <c r="D6730" t="s">
        <v>86</v>
      </c>
      <c r="E6730" t="s">
        <v>87</v>
      </c>
      <c r="F6730">
        <v>10100</v>
      </c>
      <c r="G6730" t="s">
        <v>331</v>
      </c>
      <c r="H6730" s="15">
        <v>45292</v>
      </c>
      <c r="I6730">
        <v>10100</v>
      </c>
      <c r="J6730">
        <v>0</v>
      </c>
    </row>
    <row r="6731" spans="1:10" x14ac:dyDescent="0.3">
      <c r="A6731" s="15">
        <v>46054</v>
      </c>
      <c r="B6731" t="s">
        <v>149</v>
      </c>
      <c r="C6731" t="s">
        <v>110</v>
      </c>
      <c r="D6731" t="s">
        <v>82</v>
      </c>
      <c r="E6731" t="s">
        <v>103</v>
      </c>
      <c r="F6731">
        <v>25500</v>
      </c>
      <c r="G6731" t="s">
        <v>334</v>
      </c>
      <c r="H6731" s="15">
        <v>45292</v>
      </c>
      <c r="I6731">
        <v>28900</v>
      </c>
      <c r="J6731">
        <v>-3400</v>
      </c>
    </row>
    <row r="6732" spans="1:10" x14ac:dyDescent="0.3">
      <c r="A6732" s="15">
        <v>46054</v>
      </c>
      <c r="B6732" t="s">
        <v>151</v>
      </c>
      <c r="C6732" t="s">
        <v>91</v>
      </c>
      <c r="D6732" t="s">
        <v>82</v>
      </c>
      <c r="E6732" t="s">
        <v>97</v>
      </c>
      <c r="F6732">
        <v>5600</v>
      </c>
      <c r="G6732" t="s">
        <v>334</v>
      </c>
      <c r="H6732" s="15">
        <v>45292</v>
      </c>
      <c r="I6732">
        <v>6800</v>
      </c>
      <c r="J6732">
        <v>-1200</v>
      </c>
    </row>
    <row r="6733" spans="1:10" x14ac:dyDescent="0.3">
      <c r="A6733" s="15">
        <v>46054</v>
      </c>
      <c r="B6733" t="s">
        <v>154</v>
      </c>
      <c r="C6733" t="s">
        <v>91</v>
      </c>
      <c r="D6733" t="s">
        <v>86</v>
      </c>
      <c r="E6733" t="s">
        <v>103</v>
      </c>
      <c r="F6733">
        <v>9700</v>
      </c>
      <c r="G6733" t="s">
        <v>331</v>
      </c>
      <c r="H6733" s="15">
        <v>45292</v>
      </c>
      <c r="I6733">
        <v>9700</v>
      </c>
      <c r="J6733">
        <v>0</v>
      </c>
    </row>
    <row r="6734" spans="1:10" x14ac:dyDescent="0.3">
      <c r="A6734" s="15">
        <v>46054</v>
      </c>
      <c r="B6734" t="s">
        <v>155</v>
      </c>
      <c r="C6734" t="s">
        <v>91</v>
      </c>
      <c r="D6734" t="s">
        <v>82</v>
      </c>
      <c r="E6734" t="s">
        <v>92</v>
      </c>
      <c r="F6734">
        <v>6600</v>
      </c>
      <c r="G6734" t="s">
        <v>331</v>
      </c>
      <c r="H6734" s="15">
        <v>45292</v>
      </c>
      <c r="I6734">
        <v>6600</v>
      </c>
      <c r="J6734">
        <v>0</v>
      </c>
    </row>
    <row r="6735" spans="1:10" x14ac:dyDescent="0.3">
      <c r="A6735" s="15">
        <v>46054</v>
      </c>
      <c r="B6735" t="s">
        <v>156</v>
      </c>
      <c r="C6735" t="s">
        <v>81</v>
      </c>
      <c r="D6735" t="s">
        <v>86</v>
      </c>
      <c r="E6735" t="s">
        <v>101</v>
      </c>
      <c r="F6735">
        <v>2300</v>
      </c>
      <c r="G6735" t="s">
        <v>331</v>
      </c>
      <c r="H6735" s="15">
        <v>45292</v>
      </c>
      <c r="I6735">
        <v>2300</v>
      </c>
      <c r="J6735">
        <v>0</v>
      </c>
    </row>
    <row r="6736" spans="1:10" x14ac:dyDescent="0.3">
      <c r="A6736" s="15">
        <v>46054</v>
      </c>
      <c r="B6736" t="s">
        <v>157</v>
      </c>
      <c r="C6736" t="s">
        <v>81</v>
      </c>
      <c r="D6736" t="s">
        <v>82</v>
      </c>
      <c r="E6736" t="s">
        <v>92</v>
      </c>
      <c r="F6736">
        <v>1800</v>
      </c>
      <c r="G6736" t="s">
        <v>331</v>
      </c>
      <c r="H6736" s="15">
        <v>45292</v>
      </c>
      <c r="I6736">
        <v>1800</v>
      </c>
      <c r="J6736">
        <v>0</v>
      </c>
    </row>
    <row r="6737" spans="1:10" x14ac:dyDescent="0.3">
      <c r="A6737" s="15">
        <v>46054</v>
      </c>
      <c r="B6737" t="s">
        <v>158</v>
      </c>
      <c r="C6737" t="s">
        <v>91</v>
      </c>
      <c r="D6737" t="s">
        <v>96</v>
      </c>
      <c r="E6737" t="s">
        <v>83</v>
      </c>
      <c r="F6737">
        <v>12600</v>
      </c>
      <c r="G6737" t="s">
        <v>331</v>
      </c>
      <c r="H6737" s="15">
        <v>45292</v>
      </c>
      <c r="I6737">
        <v>12600</v>
      </c>
      <c r="J6737">
        <v>0</v>
      </c>
    </row>
    <row r="6738" spans="1:10" x14ac:dyDescent="0.3">
      <c r="A6738" s="15">
        <v>46054</v>
      </c>
      <c r="B6738" t="s">
        <v>159</v>
      </c>
      <c r="C6738" t="s">
        <v>81</v>
      </c>
      <c r="D6738" t="s">
        <v>86</v>
      </c>
      <c r="E6738" t="s">
        <v>87</v>
      </c>
      <c r="F6738">
        <v>2400</v>
      </c>
      <c r="G6738" t="s">
        <v>331</v>
      </c>
      <c r="H6738" s="15">
        <v>45292</v>
      </c>
      <c r="I6738">
        <v>2400</v>
      </c>
      <c r="J6738">
        <v>0</v>
      </c>
    </row>
    <row r="6739" spans="1:10" x14ac:dyDescent="0.3">
      <c r="A6739" s="15">
        <v>46054</v>
      </c>
      <c r="B6739" t="s">
        <v>161</v>
      </c>
      <c r="C6739" t="s">
        <v>91</v>
      </c>
      <c r="D6739" t="s">
        <v>99</v>
      </c>
      <c r="E6739" t="s">
        <v>83</v>
      </c>
      <c r="F6739">
        <v>11700</v>
      </c>
      <c r="G6739" t="s">
        <v>331</v>
      </c>
      <c r="H6739" s="15">
        <v>45292</v>
      </c>
      <c r="I6739">
        <v>11700</v>
      </c>
      <c r="J6739">
        <v>0</v>
      </c>
    </row>
    <row r="6740" spans="1:10" x14ac:dyDescent="0.3">
      <c r="A6740" s="15">
        <v>46054</v>
      </c>
      <c r="B6740" t="s">
        <v>162</v>
      </c>
      <c r="C6740" t="s">
        <v>91</v>
      </c>
      <c r="D6740" t="s">
        <v>82</v>
      </c>
      <c r="E6740" t="s">
        <v>103</v>
      </c>
      <c r="F6740">
        <v>0</v>
      </c>
      <c r="G6740" t="s">
        <v>333</v>
      </c>
      <c r="H6740" s="15">
        <v>45292</v>
      </c>
      <c r="I6740">
        <v>10900</v>
      </c>
      <c r="J6740">
        <v>-10900</v>
      </c>
    </row>
    <row r="6741" spans="1:10" x14ac:dyDescent="0.3">
      <c r="A6741" s="15">
        <v>46054</v>
      </c>
      <c r="B6741" t="s">
        <v>164</v>
      </c>
      <c r="C6741" t="s">
        <v>81</v>
      </c>
      <c r="D6741" t="s">
        <v>99</v>
      </c>
      <c r="E6741" t="s">
        <v>89</v>
      </c>
      <c r="F6741">
        <v>2800</v>
      </c>
      <c r="G6741" t="s">
        <v>331</v>
      </c>
      <c r="H6741" s="15">
        <v>45292</v>
      </c>
      <c r="I6741">
        <v>2800</v>
      </c>
      <c r="J6741">
        <v>0</v>
      </c>
    </row>
    <row r="6742" spans="1:10" x14ac:dyDescent="0.3">
      <c r="A6742" s="15">
        <v>46054</v>
      </c>
      <c r="B6742" t="s">
        <v>165</v>
      </c>
      <c r="C6742" t="s">
        <v>81</v>
      </c>
      <c r="D6742" t="s">
        <v>82</v>
      </c>
      <c r="E6742" t="s">
        <v>97</v>
      </c>
      <c r="F6742">
        <v>2700</v>
      </c>
      <c r="G6742" t="s">
        <v>331</v>
      </c>
      <c r="H6742" s="15">
        <v>45292</v>
      </c>
      <c r="I6742">
        <v>2700</v>
      </c>
      <c r="J6742">
        <v>0</v>
      </c>
    </row>
    <row r="6743" spans="1:10" x14ac:dyDescent="0.3">
      <c r="A6743" s="15">
        <v>46054</v>
      </c>
      <c r="B6743" t="s">
        <v>166</v>
      </c>
      <c r="C6743" t="s">
        <v>81</v>
      </c>
      <c r="D6743" t="s">
        <v>99</v>
      </c>
      <c r="E6743" t="s">
        <v>103</v>
      </c>
      <c r="F6743">
        <v>2600</v>
      </c>
      <c r="G6743" t="s">
        <v>331</v>
      </c>
      <c r="H6743" s="15">
        <v>45292</v>
      </c>
      <c r="I6743">
        <v>2600</v>
      </c>
      <c r="J6743">
        <v>0</v>
      </c>
    </row>
    <row r="6744" spans="1:10" x14ac:dyDescent="0.3">
      <c r="A6744" s="15">
        <v>46054</v>
      </c>
      <c r="B6744" t="s">
        <v>167</v>
      </c>
      <c r="C6744" t="s">
        <v>81</v>
      </c>
      <c r="D6744" t="s">
        <v>82</v>
      </c>
      <c r="E6744" t="s">
        <v>97</v>
      </c>
      <c r="F6744">
        <v>2000</v>
      </c>
      <c r="G6744" t="s">
        <v>331</v>
      </c>
      <c r="H6744" s="15">
        <v>45292</v>
      </c>
      <c r="I6744">
        <v>2000</v>
      </c>
      <c r="J6744">
        <v>0</v>
      </c>
    </row>
    <row r="6745" spans="1:10" x14ac:dyDescent="0.3">
      <c r="A6745" s="15">
        <v>46054</v>
      </c>
      <c r="B6745" t="s">
        <v>168</v>
      </c>
      <c r="C6745" t="s">
        <v>91</v>
      </c>
      <c r="D6745" t="s">
        <v>86</v>
      </c>
      <c r="E6745" t="s">
        <v>103</v>
      </c>
      <c r="F6745">
        <v>12200</v>
      </c>
      <c r="G6745" t="s">
        <v>331</v>
      </c>
      <c r="H6745" s="15">
        <v>45292</v>
      </c>
      <c r="I6745">
        <v>12200</v>
      </c>
      <c r="J6745">
        <v>0</v>
      </c>
    </row>
    <row r="6746" spans="1:10" x14ac:dyDescent="0.3">
      <c r="A6746" s="15">
        <v>46054</v>
      </c>
      <c r="B6746" t="s">
        <v>170</v>
      </c>
      <c r="C6746" t="s">
        <v>91</v>
      </c>
      <c r="D6746" t="s">
        <v>99</v>
      </c>
      <c r="E6746" t="s">
        <v>83</v>
      </c>
      <c r="F6746">
        <v>6500</v>
      </c>
      <c r="G6746" t="s">
        <v>331</v>
      </c>
      <c r="H6746" s="15">
        <v>45292</v>
      </c>
      <c r="I6746">
        <v>6500</v>
      </c>
      <c r="J6746">
        <v>0</v>
      </c>
    </row>
    <row r="6747" spans="1:10" x14ac:dyDescent="0.3">
      <c r="A6747" s="15">
        <v>46054</v>
      </c>
      <c r="B6747" t="s">
        <v>171</v>
      </c>
      <c r="C6747" t="s">
        <v>81</v>
      </c>
      <c r="D6747" t="s">
        <v>99</v>
      </c>
      <c r="E6747" t="s">
        <v>97</v>
      </c>
      <c r="F6747">
        <v>1700</v>
      </c>
      <c r="G6747" t="s">
        <v>331</v>
      </c>
      <c r="H6747" s="15">
        <v>45292</v>
      </c>
      <c r="I6747">
        <v>1700</v>
      </c>
      <c r="J6747">
        <v>0</v>
      </c>
    </row>
    <row r="6748" spans="1:10" x14ac:dyDescent="0.3">
      <c r="A6748" s="15">
        <v>46054</v>
      </c>
      <c r="B6748" t="s">
        <v>174</v>
      </c>
      <c r="C6748" t="s">
        <v>81</v>
      </c>
      <c r="D6748" t="s">
        <v>82</v>
      </c>
      <c r="E6748" t="s">
        <v>92</v>
      </c>
      <c r="F6748">
        <v>2400</v>
      </c>
      <c r="G6748" t="s">
        <v>331</v>
      </c>
      <c r="H6748" s="15">
        <v>45292</v>
      </c>
      <c r="I6748">
        <v>2400</v>
      </c>
      <c r="J6748">
        <v>0</v>
      </c>
    </row>
    <row r="6749" spans="1:10" x14ac:dyDescent="0.3">
      <c r="A6749" s="15">
        <v>46054</v>
      </c>
      <c r="B6749" t="s">
        <v>175</v>
      </c>
      <c r="C6749" t="s">
        <v>91</v>
      </c>
      <c r="D6749" t="s">
        <v>96</v>
      </c>
      <c r="E6749" t="s">
        <v>83</v>
      </c>
      <c r="F6749">
        <v>8800</v>
      </c>
      <c r="G6749" t="s">
        <v>331</v>
      </c>
      <c r="H6749" s="15">
        <v>45292</v>
      </c>
      <c r="I6749">
        <v>8800</v>
      </c>
      <c r="J6749">
        <v>0</v>
      </c>
    </row>
    <row r="6750" spans="1:10" x14ac:dyDescent="0.3">
      <c r="A6750" s="15">
        <v>46054</v>
      </c>
      <c r="B6750" t="s">
        <v>176</v>
      </c>
      <c r="C6750" t="s">
        <v>81</v>
      </c>
      <c r="D6750" t="s">
        <v>99</v>
      </c>
      <c r="E6750" t="s">
        <v>92</v>
      </c>
      <c r="F6750">
        <v>2900</v>
      </c>
      <c r="G6750" t="s">
        <v>331</v>
      </c>
      <c r="H6750" s="15">
        <v>45292</v>
      </c>
      <c r="I6750">
        <v>2900</v>
      </c>
      <c r="J6750">
        <v>0</v>
      </c>
    </row>
    <row r="6751" spans="1:10" x14ac:dyDescent="0.3">
      <c r="A6751" s="15">
        <v>46054</v>
      </c>
      <c r="B6751" t="s">
        <v>177</v>
      </c>
      <c r="C6751" t="s">
        <v>81</v>
      </c>
      <c r="D6751" t="s">
        <v>96</v>
      </c>
      <c r="E6751" t="s">
        <v>83</v>
      </c>
      <c r="F6751">
        <v>2900</v>
      </c>
      <c r="G6751" t="s">
        <v>331</v>
      </c>
      <c r="H6751" s="15">
        <v>45292</v>
      </c>
      <c r="I6751">
        <v>2900</v>
      </c>
      <c r="J6751">
        <v>0</v>
      </c>
    </row>
    <row r="6752" spans="1:10" x14ac:dyDescent="0.3">
      <c r="A6752" s="15">
        <v>46054</v>
      </c>
      <c r="B6752" t="s">
        <v>178</v>
      </c>
      <c r="C6752" t="s">
        <v>91</v>
      </c>
      <c r="D6752" t="s">
        <v>82</v>
      </c>
      <c r="E6752" t="s">
        <v>89</v>
      </c>
      <c r="F6752">
        <v>8400</v>
      </c>
      <c r="G6752" t="s">
        <v>331</v>
      </c>
      <c r="H6752" s="15">
        <v>45292</v>
      </c>
      <c r="I6752">
        <v>8400</v>
      </c>
      <c r="J6752">
        <v>0</v>
      </c>
    </row>
    <row r="6753" spans="1:10" x14ac:dyDescent="0.3">
      <c r="A6753" s="15">
        <v>46054</v>
      </c>
      <c r="B6753" t="s">
        <v>179</v>
      </c>
      <c r="C6753" t="s">
        <v>110</v>
      </c>
      <c r="D6753" t="s">
        <v>86</v>
      </c>
      <c r="E6753" t="s">
        <v>87</v>
      </c>
      <c r="F6753">
        <v>30000</v>
      </c>
      <c r="G6753" t="s">
        <v>331</v>
      </c>
      <c r="H6753" s="15">
        <v>45292</v>
      </c>
      <c r="I6753">
        <v>30000</v>
      </c>
      <c r="J6753">
        <v>0</v>
      </c>
    </row>
    <row r="6754" spans="1:10" x14ac:dyDescent="0.3">
      <c r="A6754" s="15">
        <v>46054</v>
      </c>
      <c r="B6754" t="s">
        <v>180</v>
      </c>
      <c r="C6754" t="s">
        <v>91</v>
      </c>
      <c r="D6754" t="s">
        <v>86</v>
      </c>
      <c r="E6754" t="s">
        <v>83</v>
      </c>
      <c r="F6754">
        <v>8500</v>
      </c>
      <c r="G6754" t="s">
        <v>331</v>
      </c>
      <c r="H6754" s="15">
        <v>45292</v>
      </c>
      <c r="I6754">
        <v>8500</v>
      </c>
      <c r="J6754">
        <v>0</v>
      </c>
    </row>
    <row r="6755" spans="1:10" x14ac:dyDescent="0.3">
      <c r="A6755" s="15">
        <v>46054</v>
      </c>
      <c r="B6755" t="s">
        <v>181</v>
      </c>
      <c r="C6755" t="s">
        <v>91</v>
      </c>
      <c r="D6755" t="s">
        <v>82</v>
      </c>
      <c r="E6755" t="s">
        <v>97</v>
      </c>
      <c r="F6755">
        <v>10100</v>
      </c>
      <c r="G6755" t="s">
        <v>331</v>
      </c>
      <c r="H6755" s="15">
        <v>45292</v>
      </c>
      <c r="I6755">
        <v>10100</v>
      </c>
      <c r="J6755">
        <v>0</v>
      </c>
    </row>
    <row r="6756" spans="1:10" x14ac:dyDescent="0.3">
      <c r="A6756" s="15">
        <v>46054</v>
      </c>
      <c r="B6756" t="s">
        <v>182</v>
      </c>
      <c r="C6756" t="s">
        <v>125</v>
      </c>
      <c r="D6756" t="s">
        <v>82</v>
      </c>
      <c r="E6756" t="s">
        <v>92</v>
      </c>
      <c r="F6756">
        <v>93100</v>
      </c>
      <c r="G6756" t="s">
        <v>331</v>
      </c>
      <c r="H6756" s="15">
        <v>45292</v>
      </c>
      <c r="I6756">
        <v>93100</v>
      </c>
      <c r="J6756">
        <v>0</v>
      </c>
    </row>
    <row r="6757" spans="1:10" x14ac:dyDescent="0.3">
      <c r="A6757" s="15">
        <v>46054</v>
      </c>
      <c r="B6757" t="s">
        <v>183</v>
      </c>
      <c r="C6757" t="s">
        <v>91</v>
      </c>
      <c r="D6757" t="s">
        <v>96</v>
      </c>
      <c r="E6757" t="s">
        <v>92</v>
      </c>
      <c r="F6757">
        <v>9500</v>
      </c>
      <c r="G6757" t="s">
        <v>331</v>
      </c>
      <c r="H6757" s="15">
        <v>45292</v>
      </c>
      <c r="I6757">
        <v>9500</v>
      </c>
      <c r="J6757">
        <v>0</v>
      </c>
    </row>
    <row r="6758" spans="1:10" x14ac:dyDescent="0.3">
      <c r="A6758" s="15">
        <v>46054</v>
      </c>
      <c r="B6758" t="s">
        <v>184</v>
      </c>
      <c r="C6758" t="s">
        <v>81</v>
      </c>
      <c r="D6758" t="s">
        <v>82</v>
      </c>
      <c r="E6758" t="s">
        <v>83</v>
      </c>
      <c r="F6758">
        <v>2600</v>
      </c>
      <c r="G6758" t="s">
        <v>331</v>
      </c>
      <c r="H6758" s="15">
        <v>45292</v>
      </c>
      <c r="I6758">
        <v>2600</v>
      </c>
      <c r="J6758">
        <v>0</v>
      </c>
    </row>
    <row r="6759" spans="1:10" x14ac:dyDescent="0.3">
      <c r="A6759" s="15">
        <v>46054</v>
      </c>
      <c r="B6759" t="s">
        <v>185</v>
      </c>
      <c r="C6759" t="s">
        <v>81</v>
      </c>
      <c r="D6759" t="s">
        <v>96</v>
      </c>
      <c r="E6759" t="s">
        <v>97</v>
      </c>
      <c r="F6759">
        <v>1900</v>
      </c>
      <c r="G6759" t="s">
        <v>331</v>
      </c>
      <c r="H6759" s="15">
        <v>45292</v>
      </c>
      <c r="I6759">
        <v>1900</v>
      </c>
      <c r="J6759">
        <v>0</v>
      </c>
    </row>
    <row r="6760" spans="1:10" x14ac:dyDescent="0.3">
      <c r="A6760" s="15">
        <v>46054</v>
      </c>
      <c r="B6760" t="s">
        <v>186</v>
      </c>
      <c r="C6760" t="s">
        <v>91</v>
      </c>
      <c r="D6760" t="s">
        <v>82</v>
      </c>
      <c r="E6760" t="s">
        <v>103</v>
      </c>
      <c r="F6760">
        <v>13900</v>
      </c>
      <c r="G6760" t="s">
        <v>331</v>
      </c>
      <c r="H6760" s="15">
        <v>45292</v>
      </c>
      <c r="I6760">
        <v>13900</v>
      </c>
      <c r="J6760">
        <v>0</v>
      </c>
    </row>
    <row r="6761" spans="1:10" x14ac:dyDescent="0.3">
      <c r="A6761" s="15">
        <v>46054</v>
      </c>
      <c r="B6761" t="s">
        <v>187</v>
      </c>
      <c r="C6761" t="s">
        <v>110</v>
      </c>
      <c r="D6761" t="s">
        <v>86</v>
      </c>
      <c r="E6761" t="s">
        <v>97</v>
      </c>
      <c r="F6761">
        <v>30100</v>
      </c>
      <c r="G6761" t="s">
        <v>331</v>
      </c>
      <c r="H6761" s="15">
        <v>45292</v>
      </c>
      <c r="I6761">
        <v>30100</v>
      </c>
      <c r="J6761">
        <v>0</v>
      </c>
    </row>
    <row r="6762" spans="1:10" x14ac:dyDescent="0.3">
      <c r="A6762" s="15">
        <v>46054</v>
      </c>
      <c r="B6762" t="s">
        <v>188</v>
      </c>
      <c r="C6762" t="s">
        <v>91</v>
      </c>
      <c r="D6762" t="s">
        <v>82</v>
      </c>
      <c r="E6762" t="s">
        <v>92</v>
      </c>
      <c r="F6762">
        <v>11200</v>
      </c>
      <c r="G6762" t="s">
        <v>331</v>
      </c>
      <c r="H6762" s="15">
        <v>45292</v>
      </c>
      <c r="I6762">
        <v>11200</v>
      </c>
      <c r="J6762">
        <v>0</v>
      </c>
    </row>
    <row r="6763" spans="1:10" x14ac:dyDescent="0.3">
      <c r="A6763" s="15">
        <v>46054</v>
      </c>
      <c r="B6763" t="s">
        <v>189</v>
      </c>
      <c r="C6763" t="s">
        <v>81</v>
      </c>
      <c r="D6763" t="s">
        <v>86</v>
      </c>
      <c r="E6763" t="s">
        <v>103</v>
      </c>
      <c r="F6763">
        <v>2000</v>
      </c>
      <c r="G6763" t="s">
        <v>331</v>
      </c>
      <c r="H6763" s="15">
        <v>45292</v>
      </c>
      <c r="I6763">
        <v>2000</v>
      </c>
      <c r="J6763">
        <v>0</v>
      </c>
    </row>
    <row r="6764" spans="1:10" x14ac:dyDescent="0.3">
      <c r="A6764" s="15">
        <v>46054</v>
      </c>
      <c r="B6764" t="s">
        <v>190</v>
      </c>
      <c r="C6764" t="s">
        <v>81</v>
      </c>
      <c r="D6764" t="s">
        <v>99</v>
      </c>
      <c r="E6764" t="s">
        <v>89</v>
      </c>
      <c r="F6764">
        <v>1900</v>
      </c>
      <c r="G6764" t="s">
        <v>331</v>
      </c>
      <c r="H6764" s="15">
        <v>45292</v>
      </c>
      <c r="I6764">
        <v>1900</v>
      </c>
      <c r="J6764">
        <v>0</v>
      </c>
    </row>
    <row r="6765" spans="1:10" x14ac:dyDescent="0.3">
      <c r="A6765" s="15">
        <v>46054</v>
      </c>
      <c r="B6765" t="s">
        <v>191</v>
      </c>
      <c r="C6765" t="s">
        <v>91</v>
      </c>
      <c r="D6765" t="s">
        <v>86</v>
      </c>
      <c r="E6765" t="s">
        <v>87</v>
      </c>
      <c r="F6765">
        <v>6900</v>
      </c>
      <c r="G6765" t="s">
        <v>331</v>
      </c>
      <c r="H6765" s="15">
        <v>45292</v>
      </c>
      <c r="I6765">
        <v>6900</v>
      </c>
      <c r="J6765">
        <v>0</v>
      </c>
    </row>
    <row r="6766" spans="1:10" x14ac:dyDescent="0.3">
      <c r="A6766" s="15">
        <v>46054</v>
      </c>
      <c r="B6766" t="s">
        <v>192</v>
      </c>
      <c r="C6766" t="s">
        <v>81</v>
      </c>
      <c r="D6766" t="s">
        <v>82</v>
      </c>
      <c r="E6766" t="s">
        <v>97</v>
      </c>
      <c r="F6766">
        <v>2300</v>
      </c>
      <c r="G6766" t="s">
        <v>331</v>
      </c>
      <c r="H6766" s="15">
        <v>45292</v>
      </c>
      <c r="I6766">
        <v>2300</v>
      </c>
      <c r="J6766">
        <v>0</v>
      </c>
    </row>
    <row r="6767" spans="1:10" x14ac:dyDescent="0.3">
      <c r="A6767" s="15">
        <v>46054</v>
      </c>
      <c r="B6767" t="s">
        <v>193</v>
      </c>
      <c r="C6767" t="s">
        <v>81</v>
      </c>
      <c r="D6767" t="s">
        <v>82</v>
      </c>
      <c r="E6767" t="s">
        <v>87</v>
      </c>
      <c r="F6767">
        <v>3200</v>
      </c>
      <c r="G6767" t="s">
        <v>331</v>
      </c>
      <c r="H6767" s="15">
        <v>45292</v>
      </c>
      <c r="I6767">
        <v>3200</v>
      </c>
      <c r="J6767">
        <v>0</v>
      </c>
    </row>
    <row r="6768" spans="1:10" x14ac:dyDescent="0.3">
      <c r="A6768" s="15">
        <v>46054</v>
      </c>
      <c r="B6768" t="s">
        <v>194</v>
      </c>
      <c r="C6768" t="s">
        <v>91</v>
      </c>
      <c r="D6768" t="s">
        <v>82</v>
      </c>
      <c r="E6768" t="s">
        <v>101</v>
      </c>
      <c r="F6768">
        <v>11200</v>
      </c>
      <c r="G6768" t="s">
        <v>331</v>
      </c>
      <c r="H6768" s="15">
        <v>45292</v>
      </c>
      <c r="I6768">
        <v>11200</v>
      </c>
      <c r="J6768">
        <v>0</v>
      </c>
    </row>
    <row r="6769" spans="1:10" x14ac:dyDescent="0.3">
      <c r="A6769" s="15">
        <v>46054</v>
      </c>
      <c r="B6769" t="s">
        <v>195</v>
      </c>
      <c r="C6769" t="s">
        <v>91</v>
      </c>
      <c r="D6769" t="s">
        <v>86</v>
      </c>
      <c r="E6769" t="s">
        <v>97</v>
      </c>
      <c r="F6769">
        <v>6800</v>
      </c>
      <c r="G6769" t="s">
        <v>331</v>
      </c>
      <c r="H6769" s="15">
        <v>45292</v>
      </c>
      <c r="I6769">
        <v>6800</v>
      </c>
      <c r="J6769">
        <v>0</v>
      </c>
    </row>
    <row r="6770" spans="1:10" x14ac:dyDescent="0.3">
      <c r="A6770" s="15">
        <v>46054</v>
      </c>
      <c r="B6770" t="s">
        <v>197</v>
      </c>
      <c r="C6770" t="s">
        <v>91</v>
      </c>
      <c r="D6770" t="s">
        <v>82</v>
      </c>
      <c r="E6770" t="s">
        <v>89</v>
      </c>
      <c r="F6770">
        <v>12000</v>
      </c>
      <c r="G6770" t="s">
        <v>331</v>
      </c>
      <c r="H6770" s="15">
        <v>45292</v>
      </c>
      <c r="I6770">
        <v>12000</v>
      </c>
      <c r="J6770">
        <v>0</v>
      </c>
    </row>
    <row r="6771" spans="1:10" x14ac:dyDescent="0.3">
      <c r="A6771" s="15">
        <v>46054</v>
      </c>
      <c r="B6771" t="s">
        <v>198</v>
      </c>
      <c r="C6771" t="s">
        <v>81</v>
      </c>
      <c r="D6771" t="s">
        <v>82</v>
      </c>
      <c r="E6771" t="s">
        <v>89</v>
      </c>
      <c r="F6771">
        <v>2900</v>
      </c>
      <c r="G6771" t="s">
        <v>331</v>
      </c>
      <c r="H6771" s="15">
        <v>45292</v>
      </c>
      <c r="I6771">
        <v>2900</v>
      </c>
      <c r="J6771">
        <v>0</v>
      </c>
    </row>
    <row r="6772" spans="1:10" x14ac:dyDescent="0.3">
      <c r="A6772" s="15">
        <v>46054</v>
      </c>
      <c r="B6772" t="s">
        <v>199</v>
      </c>
      <c r="C6772" t="s">
        <v>81</v>
      </c>
      <c r="D6772" t="s">
        <v>86</v>
      </c>
      <c r="E6772" t="s">
        <v>89</v>
      </c>
      <c r="F6772">
        <v>2200</v>
      </c>
      <c r="G6772" t="s">
        <v>331</v>
      </c>
      <c r="H6772" s="15">
        <v>45292</v>
      </c>
      <c r="I6772">
        <v>2200</v>
      </c>
      <c r="J6772">
        <v>0</v>
      </c>
    </row>
    <row r="6773" spans="1:10" x14ac:dyDescent="0.3">
      <c r="A6773" s="15">
        <v>46054</v>
      </c>
      <c r="B6773" t="s">
        <v>200</v>
      </c>
      <c r="C6773" t="s">
        <v>91</v>
      </c>
      <c r="D6773" t="s">
        <v>86</v>
      </c>
      <c r="E6773" t="s">
        <v>92</v>
      </c>
      <c r="F6773">
        <v>8800</v>
      </c>
      <c r="G6773" t="s">
        <v>331</v>
      </c>
      <c r="H6773" s="15">
        <v>45292</v>
      </c>
      <c r="I6773">
        <v>8800</v>
      </c>
      <c r="J6773">
        <v>0</v>
      </c>
    </row>
    <row r="6774" spans="1:10" x14ac:dyDescent="0.3">
      <c r="A6774" s="15">
        <v>46054</v>
      </c>
      <c r="B6774" t="s">
        <v>201</v>
      </c>
      <c r="C6774" t="s">
        <v>81</v>
      </c>
      <c r="D6774" t="s">
        <v>86</v>
      </c>
      <c r="E6774" t="s">
        <v>83</v>
      </c>
      <c r="F6774">
        <v>1500</v>
      </c>
      <c r="G6774" t="s">
        <v>334</v>
      </c>
      <c r="H6774" s="15">
        <v>45292</v>
      </c>
      <c r="I6774">
        <v>1800</v>
      </c>
      <c r="J6774">
        <v>-300</v>
      </c>
    </row>
    <row r="6775" spans="1:10" x14ac:dyDescent="0.3">
      <c r="A6775" s="15">
        <v>46054</v>
      </c>
      <c r="B6775" t="s">
        <v>202</v>
      </c>
      <c r="C6775" t="s">
        <v>91</v>
      </c>
      <c r="D6775" t="s">
        <v>82</v>
      </c>
      <c r="E6775" t="s">
        <v>92</v>
      </c>
      <c r="F6775">
        <v>11000</v>
      </c>
      <c r="G6775" t="s">
        <v>331</v>
      </c>
      <c r="H6775" s="15">
        <v>45292</v>
      </c>
      <c r="I6775">
        <v>11000</v>
      </c>
      <c r="J6775">
        <v>0</v>
      </c>
    </row>
    <row r="6776" spans="1:10" x14ac:dyDescent="0.3">
      <c r="A6776" s="15">
        <v>46054</v>
      </c>
      <c r="B6776" t="s">
        <v>204</v>
      </c>
      <c r="C6776" t="s">
        <v>81</v>
      </c>
      <c r="D6776" t="s">
        <v>82</v>
      </c>
      <c r="E6776" t="s">
        <v>87</v>
      </c>
      <c r="F6776">
        <v>1900</v>
      </c>
      <c r="G6776" t="s">
        <v>331</v>
      </c>
      <c r="H6776" s="15">
        <v>45292</v>
      </c>
      <c r="I6776">
        <v>1900</v>
      </c>
      <c r="J6776">
        <v>0</v>
      </c>
    </row>
    <row r="6777" spans="1:10" x14ac:dyDescent="0.3">
      <c r="A6777" s="15">
        <v>46054</v>
      </c>
      <c r="B6777" t="s">
        <v>205</v>
      </c>
      <c r="C6777" t="s">
        <v>91</v>
      </c>
      <c r="D6777" t="s">
        <v>86</v>
      </c>
      <c r="E6777" t="s">
        <v>103</v>
      </c>
      <c r="F6777">
        <v>9800</v>
      </c>
      <c r="G6777" t="s">
        <v>331</v>
      </c>
      <c r="H6777" s="15">
        <v>45292</v>
      </c>
      <c r="I6777">
        <v>9800</v>
      </c>
      <c r="J6777">
        <v>0</v>
      </c>
    </row>
    <row r="6778" spans="1:10" x14ac:dyDescent="0.3">
      <c r="A6778" s="15">
        <v>46054</v>
      </c>
      <c r="B6778" t="s">
        <v>206</v>
      </c>
      <c r="C6778" t="s">
        <v>81</v>
      </c>
      <c r="D6778" t="s">
        <v>86</v>
      </c>
      <c r="E6778" t="s">
        <v>89</v>
      </c>
      <c r="F6778">
        <v>3000</v>
      </c>
      <c r="G6778" t="s">
        <v>331</v>
      </c>
      <c r="H6778" s="15">
        <v>45292</v>
      </c>
      <c r="I6778">
        <v>3000</v>
      </c>
      <c r="J6778">
        <v>0</v>
      </c>
    </row>
    <row r="6779" spans="1:10" x14ac:dyDescent="0.3">
      <c r="A6779" s="15">
        <v>46054</v>
      </c>
      <c r="B6779" t="s">
        <v>207</v>
      </c>
      <c r="C6779" t="s">
        <v>81</v>
      </c>
      <c r="D6779" t="s">
        <v>82</v>
      </c>
      <c r="E6779" t="s">
        <v>89</v>
      </c>
      <c r="F6779">
        <v>3500</v>
      </c>
      <c r="G6779" t="s">
        <v>331</v>
      </c>
      <c r="H6779" s="15">
        <v>45292</v>
      </c>
      <c r="I6779">
        <v>3500</v>
      </c>
      <c r="J6779">
        <v>0</v>
      </c>
    </row>
    <row r="6780" spans="1:10" x14ac:dyDescent="0.3">
      <c r="A6780" s="15">
        <v>46054</v>
      </c>
      <c r="B6780" t="s">
        <v>208</v>
      </c>
      <c r="C6780" t="s">
        <v>91</v>
      </c>
      <c r="D6780" t="s">
        <v>99</v>
      </c>
      <c r="E6780" t="s">
        <v>89</v>
      </c>
      <c r="F6780">
        <v>7700</v>
      </c>
      <c r="G6780" t="s">
        <v>331</v>
      </c>
      <c r="H6780" s="15">
        <v>45292</v>
      </c>
      <c r="I6780">
        <v>7700</v>
      </c>
      <c r="J6780">
        <v>0</v>
      </c>
    </row>
    <row r="6781" spans="1:10" x14ac:dyDescent="0.3">
      <c r="A6781" s="15">
        <v>46054</v>
      </c>
      <c r="B6781" t="s">
        <v>209</v>
      </c>
      <c r="C6781" t="s">
        <v>81</v>
      </c>
      <c r="D6781" t="s">
        <v>86</v>
      </c>
      <c r="E6781" t="s">
        <v>83</v>
      </c>
      <c r="F6781">
        <v>3300</v>
      </c>
      <c r="G6781" t="s">
        <v>331</v>
      </c>
      <c r="H6781" s="15">
        <v>45292</v>
      </c>
      <c r="I6781">
        <v>3300</v>
      </c>
      <c r="J6781">
        <v>0</v>
      </c>
    </row>
    <row r="6782" spans="1:10" x14ac:dyDescent="0.3">
      <c r="A6782" s="15">
        <v>46054</v>
      </c>
      <c r="B6782" t="s">
        <v>210</v>
      </c>
      <c r="C6782" t="s">
        <v>125</v>
      </c>
      <c r="D6782" t="s">
        <v>96</v>
      </c>
      <c r="E6782" t="s">
        <v>89</v>
      </c>
      <c r="F6782">
        <v>90300</v>
      </c>
      <c r="G6782" t="s">
        <v>331</v>
      </c>
      <c r="H6782" s="15">
        <v>45292</v>
      </c>
      <c r="I6782">
        <v>90300</v>
      </c>
      <c r="J6782">
        <v>0</v>
      </c>
    </row>
    <row r="6783" spans="1:10" x14ac:dyDescent="0.3">
      <c r="A6783" s="15">
        <v>46054</v>
      </c>
      <c r="B6783" t="s">
        <v>213</v>
      </c>
      <c r="C6783" t="s">
        <v>81</v>
      </c>
      <c r="D6783" t="s">
        <v>82</v>
      </c>
      <c r="E6783" t="s">
        <v>97</v>
      </c>
      <c r="F6783">
        <v>3300</v>
      </c>
      <c r="G6783" t="s">
        <v>331</v>
      </c>
      <c r="H6783" s="15">
        <v>45292</v>
      </c>
      <c r="I6783">
        <v>3300</v>
      </c>
      <c r="J6783">
        <v>0</v>
      </c>
    </row>
    <row r="6784" spans="1:10" x14ac:dyDescent="0.3">
      <c r="A6784" s="15">
        <v>46054</v>
      </c>
      <c r="B6784" t="s">
        <v>214</v>
      </c>
      <c r="C6784" t="s">
        <v>91</v>
      </c>
      <c r="D6784" t="s">
        <v>82</v>
      </c>
      <c r="E6784" t="s">
        <v>89</v>
      </c>
      <c r="F6784">
        <v>8700</v>
      </c>
      <c r="G6784" t="s">
        <v>331</v>
      </c>
      <c r="H6784" s="15">
        <v>45292</v>
      </c>
      <c r="I6784">
        <v>8700</v>
      </c>
      <c r="J6784">
        <v>0</v>
      </c>
    </row>
    <row r="6785" spans="1:10" x14ac:dyDescent="0.3">
      <c r="A6785" s="15">
        <v>46054</v>
      </c>
      <c r="B6785" t="s">
        <v>216</v>
      </c>
      <c r="C6785" t="s">
        <v>81</v>
      </c>
      <c r="D6785" t="s">
        <v>82</v>
      </c>
      <c r="E6785" t="s">
        <v>97</v>
      </c>
      <c r="F6785">
        <v>3500</v>
      </c>
      <c r="G6785" t="s">
        <v>331</v>
      </c>
      <c r="H6785" s="15">
        <v>45292</v>
      </c>
      <c r="I6785">
        <v>3500</v>
      </c>
      <c r="J6785">
        <v>0</v>
      </c>
    </row>
    <row r="6786" spans="1:10" x14ac:dyDescent="0.3">
      <c r="A6786" s="15">
        <v>46054</v>
      </c>
      <c r="B6786" t="s">
        <v>217</v>
      </c>
      <c r="C6786" t="s">
        <v>91</v>
      </c>
      <c r="D6786" t="s">
        <v>82</v>
      </c>
      <c r="E6786" t="s">
        <v>97</v>
      </c>
      <c r="F6786">
        <v>0</v>
      </c>
      <c r="G6786" t="s">
        <v>333</v>
      </c>
      <c r="H6786" s="15">
        <v>45292</v>
      </c>
      <c r="I6786">
        <v>9000</v>
      </c>
      <c r="J6786">
        <v>-9000</v>
      </c>
    </row>
    <row r="6787" spans="1:10" x14ac:dyDescent="0.3">
      <c r="A6787" s="15">
        <v>46054</v>
      </c>
      <c r="B6787" t="s">
        <v>218</v>
      </c>
      <c r="C6787" t="s">
        <v>110</v>
      </c>
      <c r="D6787" t="s">
        <v>99</v>
      </c>
      <c r="E6787" t="s">
        <v>92</v>
      </c>
      <c r="F6787">
        <v>32200</v>
      </c>
      <c r="G6787" t="s">
        <v>331</v>
      </c>
      <c r="H6787" s="15">
        <v>45292</v>
      </c>
      <c r="I6787">
        <v>32200</v>
      </c>
      <c r="J6787">
        <v>0</v>
      </c>
    </row>
    <row r="6788" spans="1:10" x14ac:dyDescent="0.3">
      <c r="A6788" s="15">
        <v>46054</v>
      </c>
      <c r="B6788" t="s">
        <v>219</v>
      </c>
      <c r="C6788" t="s">
        <v>81</v>
      </c>
      <c r="D6788" t="s">
        <v>99</v>
      </c>
      <c r="E6788" t="s">
        <v>89</v>
      </c>
      <c r="F6788">
        <v>2500</v>
      </c>
      <c r="G6788" t="s">
        <v>331</v>
      </c>
      <c r="H6788" s="15">
        <v>45292</v>
      </c>
      <c r="I6788">
        <v>2500</v>
      </c>
      <c r="J6788">
        <v>0</v>
      </c>
    </row>
    <row r="6789" spans="1:10" x14ac:dyDescent="0.3">
      <c r="A6789" s="15">
        <v>46054</v>
      </c>
      <c r="B6789" t="s">
        <v>220</v>
      </c>
      <c r="C6789" t="s">
        <v>110</v>
      </c>
      <c r="D6789" t="s">
        <v>82</v>
      </c>
      <c r="E6789" t="s">
        <v>89</v>
      </c>
      <c r="F6789">
        <v>30800</v>
      </c>
      <c r="G6789" t="s">
        <v>331</v>
      </c>
      <c r="H6789" s="15">
        <v>45292</v>
      </c>
      <c r="I6789">
        <v>30800</v>
      </c>
      <c r="J6789">
        <v>0</v>
      </c>
    </row>
    <row r="6790" spans="1:10" x14ac:dyDescent="0.3">
      <c r="A6790" s="15">
        <v>46054</v>
      </c>
      <c r="B6790" t="s">
        <v>224</v>
      </c>
      <c r="C6790" t="s">
        <v>91</v>
      </c>
      <c r="D6790" t="s">
        <v>82</v>
      </c>
      <c r="E6790" t="s">
        <v>101</v>
      </c>
      <c r="F6790">
        <v>10600</v>
      </c>
      <c r="G6790" t="s">
        <v>331</v>
      </c>
      <c r="H6790" s="15">
        <v>45292</v>
      </c>
      <c r="I6790">
        <v>10600</v>
      </c>
      <c r="J6790">
        <v>0</v>
      </c>
    </row>
    <row r="6791" spans="1:10" x14ac:dyDescent="0.3">
      <c r="A6791" s="15">
        <v>46054</v>
      </c>
      <c r="B6791" t="s">
        <v>225</v>
      </c>
      <c r="C6791" t="s">
        <v>110</v>
      </c>
      <c r="D6791" t="s">
        <v>99</v>
      </c>
      <c r="E6791" t="s">
        <v>103</v>
      </c>
      <c r="F6791">
        <v>42200</v>
      </c>
      <c r="G6791" t="s">
        <v>331</v>
      </c>
      <c r="H6791" s="15">
        <v>45292</v>
      </c>
      <c r="I6791">
        <v>42200</v>
      </c>
      <c r="J6791">
        <v>0</v>
      </c>
    </row>
    <row r="6792" spans="1:10" x14ac:dyDescent="0.3">
      <c r="A6792" s="15">
        <v>46054</v>
      </c>
      <c r="B6792" t="s">
        <v>226</v>
      </c>
      <c r="C6792" t="s">
        <v>91</v>
      </c>
      <c r="D6792" t="s">
        <v>82</v>
      </c>
      <c r="E6792" t="s">
        <v>103</v>
      </c>
      <c r="F6792">
        <v>5300</v>
      </c>
      <c r="G6792" t="s">
        <v>331</v>
      </c>
      <c r="H6792" s="15">
        <v>45292</v>
      </c>
      <c r="I6792">
        <v>5300</v>
      </c>
      <c r="J6792">
        <v>0</v>
      </c>
    </row>
    <row r="6793" spans="1:10" x14ac:dyDescent="0.3">
      <c r="A6793" s="15">
        <v>46054</v>
      </c>
      <c r="B6793" t="s">
        <v>227</v>
      </c>
      <c r="C6793" t="s">
        <v>110</v>
      </c>
      <c r="D6793" t="s">
        <v>86</v>
      </c>
      <c r="E6793" t="s">
        <v>87</v>
      </c>
      <c r="F6793">
        <v>27900</v>
      </c>
      <c r="G6793" t="s">
        <v>331</v>
      </c>
      <c r="H6793" s="15">
        <v>45292</v>
      </c>
      <c r="I6793">
        <v>27900</v>
      </c>
      <c r="J6793">
        <v>0</v>
      </c>
    </row>
    <row r="6794" spans="1:10" x14ac:dyDescent="0.3">
      <c r="A6794" s="15">
        <v>46054</v>
      </c>
      <c r="B6794" t="s">
        <v>228</v>
      </c>
      <c r="C6794" t="s">
        <v>91</v>
      </c>
      <c r="D6794" t="s">
        <v>96</v>
      </c>
      <c r="E6794" t="s">
        <v>89</v>
      </c>
      <c r="F6794">
        <v>12000</v>
      </c>
      <c r="G6794" t="s">
        <v>331</v>
      </c>
      <c r="H6794" s="15">
        <v>45292</v>
      </c>
      <c r="I6794">
        <v>12000</v>
      </c>
      <c r="J6794">
        <v>0</v>
      </c>
    </row>
    <row r="6795" spans="1:10" x14ac:dyDescent="0.3">
      <c r="A6795" s="15">
        <v>46054</v>
      </c>
      <c r="B6795" t="s">
        <v>229</v>
      </c>
      <c r="C6795" t="s">
        <v>81</v>
      </c>
      <c r="D6795" t="s">
        <v>82</v>
      </c>
      <c r="E6795" t="s">
        <v>83</v>
      </c>
      <c r="F6795">
        <v>3700</v>
      </c>
      <c r="G6795" t="s">
        <v>331</v>
      </c>
      <c r="H6795" s="15">
        <v>45292</v>
      </c>
      <c r="I6795">
        <v>3700</v>
      </c>
      <c r="J6795">
        <v>0</v>
      </c>
    </row>
    <row r="6796" spans="1:10" x14ac:dyDescent="0.3">
      <c r="A6796" s="15">
        <v>46054</v>
      </c>
      <c r="B6796" t="s">
        <v>230</v>
      </c>
      <c r="C6796" t="s">
        <v>81</v>
      </c>
      <c r="D6796" t="s">
        <v>86</v>
      </c>
      <c r="E6796" t="s">
        <v>101</v>
      </c>
      <c r="F6796">
        <v>3400</v>
      </c>
      <c r="G6796" t="s">
        <v>331</v>
      </c>
      <c r="H6796" s="15">
        <v>45292</v>
      </c>
      <c r="I6796">
        <v>3400</v>
      </c>
      <c r="J6796">
        <v>0</v>
      </c>
    </row>
    <row r="6797" spans="1:10" x14ac:dyDescent="0.3">
      <c r="A6797" s="15">
        <v>46054</v>
      </c>
      <c r="B6797" t="s">
        <v>231</v>
      </c>
      <c r="C6797" t="s">
        <v>91</v>
      </c>
      <c r="D6797" t="s">
        <v>82</v>
      </c>
      <c r="E6797" t="s">
        <v>92</v>
      </c>
      <c r="F6797">
        <v>6900</v>
      </c>
      <c r="G6797" t="s">
        <v>331</v>
      </c>
      <c r="H6797" s="15">
        <v>45292</v>
      </c>
      <c r="I6797">
        <v>6900</v>
      </c>
      <c r="J6797">
        <v>0</v>
      </c>
    </row>
    <row r="6798" spans="1:10" x14ac:dyDescent="0.3">
      <c r="A6798" s="15">
        <v>46054</v>
      </c>
      <c r="B6798" t="s">
        <v>232</v>
      </c>
      <c r="C6798" t="s">
        <v>125</v>
      </c>
      <c r="D6798" t="s">
        <v>86</v>
      </c>
      <c r="E6798" t="s">
        <v>83</v>
      </c>
      <c r="F6798">
        <v>121100</v>
      </c>
      <c r="G6798" t="s">
        <v>331</v>
      </c>
      <c r="H6798" s="15">
        <v>45292</v>
      </c>
      <c r="I6798">
        <v>121100</v>
      </c>
      <c r="J6798">
        <v>0</v>
      </c>
    </row>
    <row r="6799" spans="1:10" x14ac:dyDescent="0.3">
      <c r="A6799" s="15">
        <v>46054</v>
      </c>
      <c r="B6799" t="s">
        <v>233</v>
      </c>
      <c r="C6799" t="s">
        <v>81</v>
      </c>
      <c r="D6799" t="s">
        <v>82</v>
      </c>
      <c r="E6799" t="s">
        <v>87</v>
      </c>
      <c r="F6799">
        <v>3300</v>
      </c>
      <c r="G6799" t="s">
        <v>331</v>
      </c>
      <c r="H6799" s="15">
        <v>45292</v>
      </c>
      <c r="I6799">
        <v>3300</v>
      </c>
      <c r="J6799">
        <v>0</v>
      </c>
    </row>
    <row r="6800" spans="1:10" x14ac:dyDescent="0.3">
      <c r="A6800" s="15">
        <v>46054</v>
      </c>
      <c r="B6800" t="s">
        <v>234</v>
      </c>
      <c r="C6800" t="s">
        <v>110</v>
      </c>
      <c r="D6800" t="s">
        <v>82</v>
      </c>
      <c r="E6800" t="s">
        <v>103</v>
      </c>
      <c r="F6800">
        <v>0</v>
      </c>
      <c r="G6800" t="s">
        <v>333</v>
      </c>
      <c r="H6800" s="15">
        <v>45292</v>
      </c>
      <c r="I6800">
        <v>43400</v>
      </c>
      <c r="J6800">
        <v>-43400</v>
      </c>
    </row>
    <row r="6801" spans="1:10" x14ac:dyDescent="0.3">
      <c r="A6801" s="15">
        <v>46054</v>
      </c>
      <c r="B6801" t="s">
        <v>235</v>
      </c>
      <c r="C6801" t="s">
        <v>91</v>
      </c>
      <c r="D6801" t="s">
        <v>96</v>
      </c>
      <c r="E6801" t="s">
        <v>103</v>
      </c>
      <c r="F6801">
        <v>11100</v>
      </c>
      <c r="G6801" t="s">
        <v>331</v>
      </c>
      <c r="H6801" s="15">
        <v>45292</v>
      </c>
      <c r="I6801">
        <v>11100</v>
      </c>
      <c r="J6801">
        <v>0</v>
      </c>
    </row>
    <row r="6802" spans="1:10" x14ac:dyDescent="0.3">
      <c r="A6802" s="15">
        <v>46054</v>
      </c>
      <c r="B6802" t="s">
        <v>237</v>
      </c>
      <c r="C6802" t="s">
        <v>91</v>
      </c>
      <c r="D6802" t="s">
        <v>82</v>
      </c>
      <c r="E6802" t="s">
        <v>83</v>
      </c>
      <c r="F6802">
        <v>6900</v>
      </c>
      <c r="G6802" t="s">
        <v>331</v>
      </c>
      <c r="H6802" s="15">
        <v>45292</v>
      </c>
      <c r="I6802">
        <v>6900</v>
      </c>
      <c r="J6802">
        <v>0</v>
      </c>
    </row>
    <row r="6803" spans="1:10" x14ac:dyDescent="0.3">
      <c r="A6803" s="15">
        <v>46054</v>
      </c>
      <c r="B6803" t="s">
        <v>238</v>
      </c>
      <c r="C6803" t="s">
        <v>81</v>
      </c>
      <c r="D6803" t="s">
        <v>99</v>
      </c>
      <c r="E6803" t="s">
        <v>97</v>
      </c>
      <c r="F6803">
        <v>2300</v>
      </c>
      <c r="G6803" t="s">
        <v>331</v>
      </c>
      <c r="H6803" s="15">
        <v>45292</v>
      </c>
      <c r="I6803">
        <v>2300</v>
      </c>
      <c r="J6803">
        <v>0</v>
      </c>
    </row>
    <row r="6804" spans="1:10" x14ac:dyDescent="0.3">
      <c r="A6804" s="15">
        <v>46054</v>
      </c>
      <c r="B6804" t="s">
        <v>239</v>
      </c>
      <c r="C6804" t="s">
        <v>81</v>
      </c>
      <c r="D6804" t="s">
        <v>82</v>
      </c>
      <c r="E6804" t="s">
        <v>103</v>
      </c>
      <c r="F6804">
        <v>2500</v>
      </c>
      <c r="G6804" t="s">
        <v>331</v>
      </c>
      <c r="H6804" s="15">
        <v>45292</v>
      </c>
      <c r="I6804">
        <v>2500</v>
      </c>
      <c r="J6804">
        <v>0</v>
      </c>
    </row>
    <row r="6805" spans="1:10" x14ac:dyDescent="0.3">
      <c r="A6805" s="15">
        <v>46054</v>
      </c>
      <c r="B6805" t="s">
        <v>240</v>
      </c>
      <c r="C6805" t="s">
        <v>81</v>
      </c>
      <c r="D6805" t="s">
        <v>99</v>
      </c>
      <c r="E6805" t="s">
        <v>103</v>
      </c>
      <c r="F6805">
        <v>2300</v>
      </c>
      <c r="G6805" t="s">
        <v>331</v>
      </c>
      <c r="H6805" s="15">
        <v>45292</v>
      </c>
      <c r="I6805">
        <v>2300</v>
      </c>
      <c r="J6805">
        <v>0</v>
      </c>
    </row>
    <row r="6806" spans="1:10" x14ac:dyDescent="0.3">
      <c r="A6806" s="15">
        <v>46054</v>
      </c>
      <c r="B6806" t="s">
        <v>241</v>
      </c>
      <c r="C6806" t="s">
        <v>91</v>
      </c>
      <c r="D6806" t="s">
        <v>96</v>
      </c>
      <c r="E6806" t="s">
        <v>87</v>
      </c>
      <c r="F6806">
        <v>12100</v>
      </c>
      <c r="G6806" t="s">
        <v>331</v>
      </c>
      <c r="H6806" s="15">
        <v>45292</v>
      </c>
      <c r="I6806">
        <v>12100</v>
      </c>
      <c r="J6806">
        <v>0</v>
      </c>
    </row>
    <row r="6807" spans="1:10" x14ac:dyDescent="0.3">
      <c r="A6807" s="15">
        <v>46054</v>
      </c>
      <c r="B6807" t="s">
        <v>242</v>
      </c>
      <c r="C6807" t="s">
        <v>110</v>
      </c>
      <c r="D6807" t="s">
        <v>99</v>
      </c>
      <c r="E6807" t="s">
        <v>101</v>
      </c>
      <c r="F6807">
        <v>34800</v>
      </c>
      <c r="G6807" t="s">
        <v>331</v>
      </c>
      <c r="H6807" s="15">
        <v>45292</v>
      </c>
      <c r="I6807">
        <v>34800</v>
      </c>
      <c r="J6807">
        <v>0</v>
      </c>
    </row>
    <row r="6808" spans="1:10" x14ac:dyDescent="0.3">
      <c r="A6808" s="15">
        <v>46054</v>
      </c>
      <c r="B6808" t="s">
        <v>244</v>
      </c>
      <c r="C6808" t="s">
        <v>91</v>
      </c>
      <c r="D6808" t="s">
        <v>82</v>
      </c>
      <c r="E6808" t="s">
        <v>92</v>
      </c>
      <c r="F6808">
        <v>7800</v>
      </c>
      <c r="G6808" t="s">
        <v>331</v>
      </c>
      <c r="H6808" s="15">
        <v>45292</v>
      </c>
      <c r="I6808">
        <v>7800</v>
      </c>
      <c r="J6808">
        <v>0</v>
      </c>
    </row>
    <row r="6809" spans="1:10" x14ac:dyDescent="0.3">
      <c r="A6809" s="15">
        <v>46054</v>
      </c>
      <c r="B6809" t="s">
        <v>245</v>
      </c>
      <c r="C6809" t="s">
        <v>81</v>
      </c>
      <c r="D6809" t="s">
        <v>99</v>
      </c>
      <c r="E6809" t="s">
        <v>97</v>
      </c>
      <c r="F6809">
        <v>2900</v>
      </c>
      <c r="G6809" t="s">
        <v>331</v>
      </c>
      <c r="H6809" s="15">
        <v>45292</v>
      </c>
      <c r="I6809">
        <v>2900</v>
      </c>
      <c r="J6809">
        <v>0</v>
      </c>
    </row>
    <row r="6810" spans="1:10" x14ac:dyDescent="0.3">
      <c r="A6810" s="15">
        <v>46054</v>
      </c>
      <c r="B6810" t="s">
        <v>246</v>
      </c>
      <c r="C6810" t="s">
        <v>91</v>
      </c>
      <c r="D6810" t="s">
        <v>86</v>
      </c>
      <c r="E6810" t="s">
        <v>103</v>
      </c>
      <c r="F6810">
        <v>10100</v>
      </c>
      <c r="G6810" t="s">
        <v>331</v>
      </c>
      <c r="H6810" s="15">
        <v>45292</v>
      </c>
      <c r="I6810">
        <v>10100</v>
      </c>
      <c r="J6810">
        <v>0</v>
      </c>
    </row>
    <row r="6811" spans="1:10" x14ac:dyDescent="0.3">
      <c r="A6811" s="15">
        <v>46054</v>
      </c>
      <c r="B6811" t="s">
        <v>247</v>
      </c>
      <c r="C6811" t="s">
        <v>91</v>
      </c>
      <c r="D6811" t="s">
        <v>86</v>
      </c>
      <c r="E6811" t="s">
        <v>89</v>
      </c>
      <c r="F6811">
        <v>7800</v>
      </c>
      <c r="G6811" t="s">
        <v>331</v>
      </c>
      <c r="H6811" s="15">
        <v>45292</v>
      </c>
      <c r="I6811">
        <v>7800</v>
      </c>
      <c r="J6811">
        <v>0</v>
      </c>
    </row>
    <row r="6812" spans="1:10" x14ac:dyDescent="0.3">
      <c r="A6812" s="15">
        <v>46054</v>
      </c>
      <c r="B6812" t="s">
        <v>248</v>
      </c>
      <c r="C6812" t="s">
        <v>81</v>
      </c>
      <c r="D6812" t="s">
        <v>82</v>
      </c>
      <c r="E6812" t="s">
        <v>103</v>
      </c>
      <c r="F6812">
        <v>2100</v>
      </c>
      <c r="G6812" t="s">
        <v>331</v>
      </c>
      <c r="H6812" s="15">
        <v>45292</v>
      </c>
      <c r="I6812">
        <v>2100</v>
      </c>
      <c r="J6812">
        <v>0</v>
      </c>
    </row>
    <row r="6813" spans="1:10" x14ac:dyDescent="0.3">
      <c r="A6813" s="15">
        <v>46054</v>
      </c>
      <c r="B6813" t="s">
        <v>250</v>
      </c>
      <c r="C6813" t="s">
        <v>81</v>
      </c>
      <c r="D6813" t="s">
        <v>86</v>
      </c>
      <c r="E6813" t="s">
        <v>87</v>
      </c>
      <c r="F6813">
        <v>2800</v>
      </c>
      <c r="G6813" t="s">
        <v>332</v>
      </c>
      <c r="H6813" s="15">
        <v>45292</v>
      </c>
      <c r="I6813">
        <v>2600</v>
      </c>
      <c r="J6813">
        <v>200</v>
      </c>
    </row>
    <row r="6814" spans="1:10" x14ac:dyDescent="0.3">
      <c r="A6814" s="15">
        <v>46054</v>
      </c>
      <c r="B6814" t="s">
        <v>251</v>
      </c>
      <c r="C6814" t="s">
        <v>91</v>
      </c>
      <c r="D6814" t="s">
        <v>99</v>
      </c>
      <c r="E6814" t="s">
        <v>103</v>
      </c>
      <c r="F6814">
        <v>8800</v>
      </c>
      <c r="G6814" t="s">
        <v>331</v>
      </c>
      <c r="H6814" s="15">
        <v>45292</v>
      </c>
      <c r="I6814">
        <v>8800</v>
      </c>
      <c r="J6814">
        <v>0</v>
      </c>
    </row>
    <row r="6815" spans="1:10" x14ac:dyDescent="0.3">
      <c r="A6815" s="15">
        <v>46054</v>
      </c>
      <c r="B6815" t="s">
        <v>252</v>
      </c>
      <c r="C6815" t="s">
        <v>81</v>
      </c>
      <c r="D6815" t="s">
        <v>99</v>
      </c>
      <c r="E6815" t="s">
        <v>92</v>
      </c>
      <c r="F6815">
        <v>3400</v>
      </c>
      <c r="G6815" t="s">
        <v>331</v>
      </c>
      <c r="H6815" s="15">
        <v>45292</v>
      </c>
      <c r="I6815">
        <v>3400</v>
      </c>
      <c r="J6815">
        <v>0</v>
      </c>
    </row>
    <row r="6816" spans="1:10" x14ac:dyDescent="0.3">
      <c r="A6816" s="15">
        <v>46054</v>
      </c>
      <c r="B6816" t="s">
        <v>253</v>
      </c>
      <c r="C6816" t="s">
        <v>81</v>
      </c>
      <c r="D6816" t="s">
        <v>96</v>
      </c>
      <c r="E6816" t="s">
        <v>89</v>
      </c>
      <c r="F6816">
        <v>2400</v>
      </c>
      <c r="G6816" t="s">
        <v>331</v>
      </c>
      <c r="H6816" s="15">
        <v>45292</v>
      </c>
      <c r="I6816">
        <v>2400</v>
      </c>
      <c r="J6816">
        <v>0</v>
      </c>
    </row>
    <row r="6817" spans="1:10" x14ac:dyDescent="0.3">
      <c r="A6817" s="15">
        <v>46054</v>
      </c>
      <c r="B6817" t="s">
        <v>255</v>
      </c>
      <c r="C6817" t="s">
        <v>91</v>
      </c>
      <c r="D6817" t="s">
        <v>86</v>
      </c>
      <c r="E6817" t="s">
        <v>89</v>
      </c>
      <c r="F6817">
        <v>9900</v>
      </c>
      <c r="G6817" t="s">
        <v>331</v>
      </c>
      <c r="H6817" s="15">
        <v>45292</v>
      </c>
      <c r="I6817">
        <v>9900</v>
      </c>
      <c r="J6817">
        <v>0</v>
      </c>
    </row>
    <row r="6818" spans="1:10" x14ac:dyDescent="0.3">
      <c r="A6818" s="15">
        <v>46054</v>
      </c>
      <c r="B6818" t="s">
        <v>256</v>
      </c>
      <c r="C6818" t="s">
        <v>81</v>
      </c>
      <c r="D6818" t="s">
        <v>82</v>
      </c>
      <c r="E6818" t="s">
        <v>103</v>
      </c>
      <c r="F6818">
        <v>1800</v>
      </c>
      <c r="G6818" t="s">
        <v>331</v>
      </c>
      <c r="H6818" s="15">
        <v>45292</v>
      </c>
      <c r="I6818">
        <v>1800</v>
      </c>
      <c r="J6818">
        <v>0</v>
      </c>
    </row>
    <row r="6819" spans="1:10" x14ac:dyDescent="0.3">
      <c r="A6819" s="15">
        <v>46054</v>
      </c>
      <c r="B6819" t="s">
        <v>258</v>
      </c>
      <c r="C6819" t="s">
        <v>125</v>
      </c>
      <c r="D6819" t="s">
        <v>86</v>
      </c>
      <c r="E6819" t="s">
        <v>83</v>
      </c>
      <c r="F6819">
        <v>96300</v>
      </c>
      <c r="G6819" t="s">
        <v>331</v>
      </c>
      <c r="H6819" s="15">
        <v>45292</v>
      </c>
      <c r="I6819">
        <v>96300</v>
      </c>
      <c r="J6819">
        <v>0</v>
      </c>
    </row>
    <row r="6820" spans="1:10" x14ac:dyDescent="0.3">
      <c r="A6820" s="15">
        <v>46054</v>
      </c>
      <c r="B6820" t="s">
        <v>259</v>
      </c>
      <c r="C6820" t="s">
        <v>81</v>
      </c>
      <c r="D6820" t="s">
        <v>86</v>
      </c>
      <c r="E6820" t="s">
        <v>89</v>
      </c>
      <c r="F6820">
        <v>1900</v>
      </c>
      <c r="G6820" t="s">
        <v>331</v>
      </c>
      <c r="H6820" s="15">
        <v>45292</v>
      </c>
      <c r="I6820">
        <v>1900</v>
      </c>
      <c r="J6820">
        <v>0</v>
      </c>
    </row>
    <row r="6821" spans="1:10" x14ac:dyDescent="0.3">
      <c r="A6821" s="15">
        <v>46054</v>
      </c>
      <c r="B6821" t="s">
        <v>260</v>
      </c>
      <c r="C6821" t="s">
        <v>81</v>
      </c>
      <c r="D6821" t="s">
        <v>86</v>
      </c>
      <c r="E6821" t="s">
        <v>97</v>
      </c>
      <c r="F6821">
        <v>2000</v>
      </c>
      <c r="G6821" t="s">
        <v>331</v>
      </c>
      <c r="H6821" s="15">
        <v>45292</v>
      </c>
      <c r="I6821">
        <v>2000</v>
      </c>
      <c r="J6821">
        <v>0</v>
      </c>
    </row>
    <row r="6822" spans="1:10" x14ac:dyDescent="0.3">
      <c r="A6822" s="15">
        <v>46054</v>
      </c>
      <c r="B6822" t="s">
        <v>262</v>
      </c>
      <c r="C6822" t="s">
        <v>91</v>
      </c>
      <c r="D6822" t="s">
        <v>82</v>
      </c>
      <c r="E6822" t="s">
        <v>92</v>
      </c>
      <c r="F6822">
        <v>10800</v>
      </c>
      <c r="G6822" t="s">
        <v>331</v>
      </c>
      <c r="H6822" s="15">
        <v>45292</v>
      </c>
      <c r="I6822">
        <v>10800</v>
      </c>
      <c r="J6822">
        <v>0</v>
      </c>
    </row>
    <row r="6823" spans="1:10" x14ac:dyDescent="0.3">
      <c r="A6823" s="15">
        <v>46054</v>
      </c>
      <c r="B6823" t="s">
        <v>264</v>
      </c>
      <c r="C6823" t="s">
        <v>110</v>
      </c>
      <c r="D6823" t="s">
        <v>86</v>
      </c>
      <c r="E6823" t="s">
        <v>97</v>
      </c>
      <c r="F6823">
        <v>31500</v>
      </c>
      <c r="G6823" t="s">
        <v>331</v>
      </c>
      <c r="H6823" s="15">
        <v>45292</v>
      </c>
      <c r="I6823">
        <v>31500</v>
      </c>
      <c r="J6823">
        <v>0</v>
      </c>
    </row>
    <row r="6824" spans="1:10" x14ac:dyDescent="0.3">
      <c r="A6824" s="15">
        <v>46054</v>
      </c>
      <c r="B6824" t="s">
        <v>265</v>
      </c>
      <c r="C6824" t="s">
        <v>125</v>
      </c>
      <c r="D6824" t="s">
        <v>86</v>
      </c>
      <c r="E6824" t="s">
        <v>101</v>
      </c>
      <c r="F6824">
        <v>76700</v>
      </c>
      <c r="G6824" t="s">
        <v>334</v>
      </c>
      <c r="H6824" s="15">
        <v>45292</v>
      </c>
      <c r="I6824">
        <v>92200</v>
      </c>
      <c r="J6824">
        <v>-15500</v>
      </c>
    </row>
    <row r="6825" spans="1:10" x14ac:dyDescent="0.3">
      <c r="A6825" s="15">
        <v>46054</v>
      </c>
      <c r="B6825" t="s">
        <v>266</v>
      </c>
      <c r="C6825" t="s">
        <v>81</v>
      </c>
      <c r="D6825" t="s">
        <v>82</v>
      </c>
      <c r="E6825" t="s">
        <v>83</v>
      </c>
      <c r="F6825">
        <v>2200</v>
      </c>
      <c r="G6825" t="s">
        <v>331</v>
      </c>
      <c r="H6825" s="15">
        <v>45292</v>
      </c>
      <c r="I6825">
        <v>2200</v>
      </c>
      <c r="J6825">
        <v>0</v>
      </c>
    </row>
    <row r="6826" spans="1:10" x14ac:dyDescent="0.3">
      <c r="A6826" s="15">
        <v>46054</v>
      </c>
      <c r="B6826" t="s">
        <v>267</v>
      </c>
      <c r="C6826" t="s">
        <v>91</v>
      </c>
      <c r="D6826" t="s">
        <v>82</v>
      </c>
      <c r="E6826" t="s">
        <v>97</v>
      </c>
      <c r="F6826">
        <v>7300</v>
      </c>
      <c r="G6826" t="s">
        <v>331</v>
      </c>
      <c r="H6826" s="15">
        <v>45292</v>
      </c>
      <c r="I6826">
        <v>7300</v>
      </c>
      <c r="J6826">
        <v>0</v>
      </c>
    </row>
    <row r="6827" spans="1:10" x14ac:dyDescent="0.3">
      <c r="A6827" s="15">
        <v>46054</v>
      </c>
      <c r="B6827" t="s">
        <v>272</v>
      </c>
      <c r="C6827" t="s">
        <v>125</v>
      </c>
      <c r="D6827" t="s">
        <v>96</v>
      </c>
      <c r="E6827" t="s">
        <v>103</v>
      </c>
      <c r="F6827">
        <v>101100</v>
      </c>
      <c r="G6827" t="s">
        <v>331</v>
      </c>
      <c r="H6827" s="15">
        <v>45292</v>
      </c>
      <c r="I6827">
        <v>101100</v>
      </c>
      <c r="J6827">
        <v>0</v>
      </c>
    </row>
    <row r="6828" spans="1:10" x14ac:dyDescent="0.3">
      <c r="A6828" s="15">
        <v>46054</v>
      </c>
      <c r="B6828" t="s">
        <v>273</v>
      </c>
      <c r="C6828" t="s">
        <v>81</v>
      </c>
      <c r="D6828" t="s">
        <v>82</v>
      </c>
      <c r="E6828" t="s">
        <v>101</v>
      </c>
      <c r="F6828">
        <v>3300</v>
      </c>
      <c r="G6828" t="s">
        <v>331</v>
      </c>
      <c r="H6828" s="15">
        <v>45292</v>
      </c>
      <c r="I6828">
        <v>3300</v>
      </c>
      <c r="J6828">
        <v>0</v>
      </c>
    </row>
    <row r="6829" spans="1:10" x14ac:dyDescent="0.3">
      <c r="A6829" s="15">
        <v>46054</v>
      </c>
      <c r="B6829" t="s">
        <v>274</v>
      </c>
      <c r="C6829" t="s">
        <v>91</v>
      </c>
      <c r="D6829" t="s">
        <v>99</v>
      </c>
      <c r="E6829" t="s">
        <v>87</v>
      </c>
      <c r="F6829">
        <v>11400</v>
      </c>
      <c r="G6829" t="s">
        <v>331</v>
      </c>
      <c r="H6829" s="15">
        <v>45292</v>
      </c>
      <c r="I6829">
        <v>11400</v>
      </c>
      <c r="J6829">
        <v>0</v>
      </c>
    </row>
    <row r="6830" spans="1:10" x14ac:dyDescent="0.3">
      <c r="A6830" s="15">
        <v>46054</v>
      </c>
      <c r="B6830" t="s">
        <v>276</v>
      </c>
      <c r="C6830" t="s">
        <v>81</v>
      </c>
      <c r="D6830" t="s">
        <v>82</v>
      </c>
      <c r="E6830" t="s">
        <v>103</v>
      </c>
      <c r="F6830">
        <v>3300</v>
      </c>
      <c r="G6830" t="s">
        <v>331</v>
      </c>
      <c r="H6830" s="15">
        <v>45292</v>
      </c>
      <c r="I6830">
        <v>3300</v>
      </c>
      <c r="J6830">
        <v>0</v>
      </c>
    </row>
    <row r="6831" spans="1:10" x14ac:dyDescent="0.3">
      <c r="A6831" s="15">
        <v>46054</v>
      </c>
      <c r="B6831" t="s">
        <v>277</v>
      </c>
      <c r="C6831" t="s">
        <v>91</v>
      </c>
      <c r="D6831" t="s">
        <v>86</v>
      </c>
      <c r="E6831" t="s">
        <v>97</v>
      </c>
      <c r="F6831">
        <v>9200</v>
      </c>
      <c r="G6831" t="s">
        <v>331</v>
      </c>
      <c r="H6831" s="15">
        <v>45292</v>
      </c>
      <c r="I6831">
        <v>9200</v>
      </c>
      <c r="J6831">
        <v>0</v>
      </c>
    </row>
    <row r="6832" spans="1:10" x14ac:dyDescent="0.3">
      <c r="A6832" s="15">
        <v>46054</v>
      </c>
      <c r="B6832" t="s">
        <v>279</v>
      </c>
      <c r="C6832" t="s">
        <v>91</v>
      </c>
      <c r="D6832" t="s">
        <v>99</v>
      </c>
      <c r="E6832" t="s">
        <v>89</v>
      </c>
      <c r="F6832">
        <v>9800</v>
      </c>
      <c r="G6832" t="s">
        <v>331</v>
      </c>
      <c r="H6832" s="15">
        <v>45292</v>
      </c>
      <c r="I6832">
        <v>9800</v>
      </c>
      <c r="J6832">
        <v>0</v>
      </c>
    </row>
    <row r="6833" spans="1:10" x14ac:dyDescent="0.3">
      <c r="A6833" s="15">
        <v>46054</v>
      </c>
      <c r="B6833" t="s">
        <v>280</v>
      </c>
      <c r="C6833" t="s">
        <v>91</v>
      </c>
      <c r="D6833" t="s">
        <v>96</v>
      </c>
      <c r="E6833" t="s">
        <v>83</v>
      </c>
      <c r="F6833">
        <v>6300</v>
      </c>
      <c r="G6833" t="s">
        <v>331</v>
      </c>
      <c r="H6833" s="15">
        <v>45292</v>
      </c>
      <c r="I6833">
        <v>6300</v>
      </c>
      <c r="J6833">
        <v>0</v>
      </c>
    </row>
    <row r="6834" spans="1:10" x14ac:dyDescent="0.3">
      <c r="A6834" s="15">
        <v>46054</v>
      </c>
      <c r="B6834" t="s">
        <v>281</v>
      </c>
      <c r="C6834" t="s">
        <v>110</v>
      </c>
      <c r="D6834" t="s">
        <v>86</v>
      </c>
      <c r="E6834" t="s">
        <v>92</v>
      </c>
      <c r="F6834">
        <v>0</v>
      </c>
      <c r="G6834" t="s">
        <v>333</v>
      </c>
      <c r="H6834" s="15">
        <v>45292</v>
      </c>
      <c r="I6834">
        <v>63400</v>
      </c>
      <c r="J6834">
        <v>-63400</v>
      </c>
    </row>
    <row r="6835" spans="1:10" x14ac:dyDescent="0.3">
      <c r="A6835" s="15">
        <v>46054</v>
      </c>
      <c r="B6835" t="s">
        <v>282</v>
      </c>
      <c r="C6835" t="s">
        <v>91</v>
      </c>
      <c r="D6835" t="s">
        <v>86</v>
      </c>
      <c r="E6835" t="s">
        <v>92</v>
      </c>
      <c r="F6835">
        <v>5800</v>
      </c>
      <c r="G6835" t="s">
        <v>331</v>
      </c>
      <c r="H6835" s="15">
        <v>45292</v>
      </c>
      <c r="I6835">
        <v>5800</v>
      </c>
      <c r="J6835">
        <v>0</v>
      </c>
    </row>
    <row r="6836" spans="1:10" x14ac:dyDescent="0.3">
      <c r="A6836" s="15">
        <v>46054</v>
      </c>
      <c r="B6836" t="s">
        <v>283</v>
      </c>
      <c r="C6836" t="s">
        <v>110</v>
      </c>
      <c r="D6836" t="s">
        <v>82</v>
      </c>
      <c r="E6836" t="s">
        <v>87</v>
      </c>
      <c r="F6836">
        <v>34200</v>
      </c>
      <c r="G6836" t="s">
        <v>331</v>
      </c>
      <c r="H6836" s="15">
        <v>45292</v>
      </c>
      <c r="I6836">
        <v>34200</v>
      </c>
      <c r="J6836">
        <v>0</v>
      </c>
    </row>
    <row r="6837" spans="1:10" x14ac:dyDescent="0.3">
      <c r="A6837" s="15">
        <v>46054</v>
      </c>
      <c r="B6837" t="s">
        <v>284</v>
      </c>
      <c r="C6837" t="s">
        <v>81</v>
      </c>
      <c r="D6837" t="s">
        <v>82</v>
      </c>
      <c r="E6837" t="s">
        <v>101</v>
      </c>
      <c r="F6837">
        <v>2200</v>
      </c>
      <c r="G6837" t="s">
        <v>331</v>
      </c>
      <c r="H6837" s="15">
        <v>45292</v>
      </c>
      <c r="I6837">
        <v>2200</v>
      </c>
      <c r="J6837">
        <v>0</v>
      </c>
    </row>
    <row r="6838" spans="1:10" x14ac:dyDescent="0.3">
      <c r="A6838" s="15">
        <v>46054</v>
      </c>
      <c r="B6838" t="s">
        <v>285</v>
      </c>
      <c r="C6838" t="s">
        <v>91</v>
      </c>
      <c r="D6838" t="s">
        <v>82</v>
      </c>
      <c r="E6838" t="s">
        <v>83</v>
      </c>
      <c r="F6838">
        <v>10900</v>
      </c>
      <c r="G6838" t="s">
        <v>331</v>
      </c>
      <c r="H6838" s="15">
        <v>45292</v>
      </c>
      <c r="I6838">
        <v>10900</v>
      </c>
      <c r="J6838">
        <v>0</v>
      </c>
    </row>
    <row r="6839" spans="1:10" x14ac:dyDescent="0.3">
      <c r="A6839" s="15">
        <v>46054</v>
      </c>
      <c r="B6839" t="s">
        <v>286</v>
      </c>
      <c r="C6839" t="s">
        <v>125</v>
      </c>
      <c r="D6839" t="s">
        <v>86</v>
      </c>
      <c r="E6839" t="s">
        <v>92</v>
      </c>
      <c r="F6839">
        <v>92400</v>
      </c>
      <c r="G6839" t="s">
        <v>331</v>
      </c>
      <c r="H6839" s="15">
        <v>45292</v>
      </c>
      <c r="I6839">
        <v>92400</v>
      </c>
      <c r="J6839">
        <v>0</v>
      </c>
    </row>
    <row r="6840" spans="1:10" x14ac:dyDescent="0.3">
      <c r="A6840" s="15">
        <v>46054</v>
      </c>
      <c r="B6840" t="s">
        <v>287</v>
      </c>
      <c r="C6840" t="s">
        <v>81</v>
      </c>
      <c r="D6840" t="s">
        <v>99</v>
      </c>
      <c r="E6840" t="s">
        <v>87</v>
      </c>
      <c r="F6840">
        <v>2300</v>
      </c>
      <c r="G6840" t="s">
        <v>331</v>
      </c>
      <c r="H6840" s="15">
        <v>45292</v>
      </c>
      <c r="I6840">
        <v>2300</v>
      </c>
      <c r="J6840">
        <v>0</v>
      </c>
    </row>
    <row r="6841" spans="1:10" x14ac:dyDescent="0.3">
      <c r="A6841" s="15">
        <v>46054</v>
      </c>
      <c r="B6841" t="s">
        <v>288</v>
      </c>
      <c r="C6841" t="s">
        <v>81</v>
      </c>
      <c r="D6841" t="s">
        <v>99</v>
      </c>
      <c r="E6841" t="s">
        <v>97</v>
      </c>
      <c r="F6841">
        <v>2900</v>
      </c>
      <c r="G6841" t="s">
        <v>331</v>
      </c>
      <c r="H6841" s="15">
        <v>45292</v>
      </c>
      <c r="I6841">
        <v>2900</v>
      </c>
      <c r="J6841">
        <v>0</v>
      </c>
    </row>
    <row r="6842" spans="1:10" x14ac:dyDescent="0.3">
      <c r="A6842" s="15">
        <v>46054</v>
      </c>
      <c r="B6842" t="s">
        <v>289</v>
      </c>
      <c r="C6842" t="s">
        <v>91</v>
      </c>
      <c r="D6842" t="s">
        <v>86</v>
      </c>
      <c r="E6842" t="s">
        <v>101</v>
      </c>
      <c r="F6842">
        <v>9400</v>
      </c>
      <c r="G6842" t="s">
        <v>331</v>
      </c>
      <c r="H6842" s="15">
        <v>45292</v>
      </c>
      <c r="I6842">
        <v>9400</v>
      </c>
      <c r="J6842">
        <v>0</v>
      </c>
    </row>
    <row r="6843" spans="1:10" x14ac:dyDescent="0.3">
      <c r="A6843" s="15">
        <v>46054</v>
      </c>
      <c r="B6843" t="s">
        <v>290</v>
      </c>
      <c r="C6843" t="s">
        <v>81</v>
      </c>
      <c r="D6843" t="s">
        <v>82</v>
      </c>
      <c r="E6843" t="s">
        <v>103</v>
      </c>
      <c r="F6843">
        <v>2500</v>
      </c>
      <c r="G6843" t="s">
        <v>331</v>
      </c>
      <c r="H6843" s="15">
        <v>45292</v>
      </c>
      <c r="I6843">
        <v>2500</v>
      </c>
      <c r="J6843">
        <v>0</v>
      </c>
    </row>
    <row r="6844" spans="1:10" x14ac:dyDescent="0.3">
      <c r="A6844" s="15">
        <v>46054</v>
      </c>
      <c r="B6844" t="s">
        <v>291</v>
      </c>
      <c r="C6844" t="s">
        <v>81</v>
      </c>
      <c r="D6844" t="s">
        <v>82</v>
      </c>
      <c r="E6844" t="s">
        <v>83</v>
      </c>
      <c r="F6844">
        <v>3100</v>
      </c>
      <c r="G6844" t="s">
        <v>331</v>
      </c>
      <c r="H6844" s="15">
        <v>45292</v>
      </c>
      <c r="I6844">
        <v>3100</v>
      </c>
      <c r="J6844">
        <v>0</v>
      </c>
    </row>
    <row r="6845" spans="1:10" x14ac:dyDescent="0.3">
      <c r="A6845" s="15">
        <v>46054</v>
      </c>
      <c r="B6845" t="s">
        <v>292</v>
      </c>
      <c r="C6845" t="s">
        <v>91</v>
      </c>
      <c r="D6845" t="s">
        <v>86</v>
      </c>
      <c r="E6845" t="s">
        <v>89</v>
      </c>
      <c r="F6845">
        <v>9900</v>
      </c>
      <c r="G6845" t="s">
        <v>331</v>
      </c>
      <c r="H6845" s="15">
        <v>45292</v>
      </c>
      <c r="I6845">
        <v>9900</v>
      </c>
      <c r="J6845">
        <v>0</v>
      </c>
    </row>
    <row r="6846" spans="1:10" x14ac:dyDescent="0.3">
      <c r="A6846" s="15">
        <v>46054</v>
      </c>
      <c r="B6846" t="s">
        <v>293</v>
      </c>
      <c r="C6846" t="s">
        <v>81</v>
      </c>
      <c r="D6846" t="s">
        <v>86</v>
      </c>
      <c r="E6846" t="s">
        <v>103</v>
      </c>
      <c r="F6846">
        <v>2200</v>
      </c>
      <c r="G6846" t="s">
        <v>331</v>
      </c>
      <c r="H6846" s="15">
        <v>45292</v>
      </c>
      <c r="I6846">
        <v>2200</v>
      </c>
      <c r="J6846">
        <v>0</v>
      </c>
    </row>
    <row r="6847" spans="1:10" x14ac:dyDescent="0.3">
      <c r="A6847" s="15">
        <v>46054</v>
      </c>
      <c r="B6847" t="s">
        <v>294</v>
      </c>
      <c r="C6847" t="s">
        <v>91</v>
      </c>
      <c r="D6847" t="s">
        <v>82</v>
      </c>
      <c r="E6847" t="s">
        <v>97</v>
      </c>
      <c r="F6847">
        <v>9100</v>
      </c>
      <c r="G6847" t="s">
        <v>331</v>
      </c>
      <c r="H6847" s="15">
        <v>45292</v>
      </c>
      <c r="I6847">
        <v>9100</v>
      </c>
      <c r="J6847">
        <v>0</v>
      </c>
    </row>
    <row r="6848" spans="1:10" x14ac:dyDescent="0.3">
      <c r="A6848" s="15">
        <v>46054</v>
      </c>
      <c r="B6848" t="s">
        <v>295</v>
      </c>
      <c r="C6848" t="s">
        <v>81</v>
      </c>
      <c r="D6848" t="s">
        <v>82</v>
      </c>
      <c r="E6848" t="s">
        <v>103</v>
      </c>
      <c r="F6848">
        <v>2000</v>
      </c>
      <c r="G6848" t="s">
        <v>334</v>
      </c>
      <c r="H6848" s="15">
        <v>45292</v>
      </c>
      <c r="I6848">
        <v>2300</v>
      </c>
      <c r="J6848">
        <v>-300</v>
      </c>
    </row>
    <row r="6849" spans="1:10" x14ac:dyDescent="0.3">
      <c r="A6849" s="15">
        <v>46054</v>
      </c>
      <c r="B6849" t="s">
        <v>298</v>
      </c>
      <c r="C6849" t="s">
        <v>81</v>
      </c>
      <c r="D6849" t="s">
        <v>86</v>
      </c>
      <c r="E6849" t="s">
        <v>89</v>
      </c>
      <c r="F6849">
        <v>2700</v>
      </c>
      <c r="G6849" t="s">
        <v>331</v>
      </c>
      <c r="H6849" s="15">
        <v>45292</v>
      </c>
      <c r="I6849">
        <v>2700</v>
      </c>
      <c r="J6849">
        <v>0</v>
      </c>
    </row>
    <row r="6850" spans="1:10" x14ac:dyDescent="0.3">
      <c r="A6850" s="15">
        <v>46054</v>
      </c>
      <c r="B6850" t="s">
        <v>299</v>
      </c>
      <c r="C6850" t="s">
        <v>81</v>
      </c>
      <c r="D6850" t="s">
        <v>99</v>
      </c>
      <c r="E6850" t="s">
        <v>103</v>
      </c>
      <c r="F6850">
        <v>2900</v>
      </c>
      <c r="G6850" t="s">
        <v>331</v>
      </c>
      <c r="H6850" s="15">
        <v>45292</v>
      </c>
      <c r="I6850">
        <v>2900</v>
      </c>
      <c r="J6850">
        <v>0</v>
      </c>
    </row>
    <row r="6851" spans="1:10" x14ac:dyDescent="0.3">
      <c r="A6851" s="15">
        <v>46054</v>
      </c>
      <c r="B6851" t="s">
        <v>300</v>
      </c>
      <c r="C6851" t="s">
        <v>91</v>
      </c>
      <c r="D6851" t="s">
        <v>82</v>
      </c>
      <c r="E6851" t="s">
        <v>89</v>
      </c>
      <c r="F6851">
        <v>11500</v>
      </c>
      <c r="G6851" t="s">
        <v>331</v>
      </c>
      <c r="H6851" s="15">
        <v>45292</v>
      </c>
      <c r="I6851">
        <v>11500</v>
      </c>
      <c r="J6851">
        <v>0</v>
      </c>
    </row>
    <row r="6852" spans="1:10" x14ac:dyDescent="0.3">
      <c r="A6852" s="15">
        <v>46054</v>
      </c>
      <c r="B6852" t="s">
        <v>303</v>
      </c>
      <c r="C6852" t="s">
        <v>81</v>
      </c>
      <c r="D6852" t="s">
        <v>82</v>
      </c>
      <c r="E6852" t="s">
        <v>83</v>
      </c>
      <c r="F6852">
        <v>1500</v>
      </c>
      <c r="G6852" t="s">
        <v>331</v>
      </c>
      <c r="H6852" s="15">
        <v>45292</v>
      </c>
      <c r="I6852">
        <v>1500</v>
      </c>
      <c r="J6852">
        <v>0</v>
      </c>
    </row>
    <row r="6853" spans="1:10" x14ac:dyDescent="0.3">
      <c r="A6853" s="15">
        <v>46054</v>
      </c>
      <c r="B6853" t="s">
        <v>304</v>
      </c>
      <c r="C6853" t="s">
        <v>81</v>
      </c>
      <c r="D6853" t="s">
        <v>86</v>
      </c>
      <c r="E6853" t="s">
        <v>92</v>
      </c>
      <c r="F6853">
        <v>2100</v>
      </c>
      <c r="G6853" t="s">
        <v>331</v>
      </c>
      <c r="H6853" s="15">
        <v>45292</v>
      </c>
      <c r="I6853">
        <v>2100</v>
      </c>
      <c r="J6853">
        <v>0</v>
      </c>
    </row>
    <row r="6854" spans="1:10" x14ac:dyDescent="0.3">
      <c r="A6854" s="15">
        <v>46054</v>
      </c>
      <c r="B6854" t="s">
        <v>306</v>
      </c>
      <c r="C6854" t="s">
        <v>91</v>
      </c>
      <c r="D6854" t="s">
        <v>82</v>
      </c>
      <c r="E6854" t="s">
        <v>87</v>
      </c>
      <c r="F6854">
        <v>11700</v>
      </c>
      <c r="G6854" t="s">
        <v>331</v>
      </c>
      <c r="H6854" s="15">
        <v>45292</v>
      </c>
      <c r="I6854">
        <v>11700</v>
      </c>
      <c r="J6854">
        <v>0</v>
      </c>
    </row>
    <row r="6855" spans="1:10" x14ac:dyDescent="0.3">
      <c r="A6855" s="15">
        <v>46054</v>
      </c>
      <c r="B6855" t="s">
        <v>307</v>
      </c>
      <c r="C6855" t="s">
        <v>81</v>
      </c>
      <c r="D6855" t="s">
        <v>86</v>
      </c>
      <c r="E6855" t="s">
        <v>97</v>
      </c>
      <c r="F6855">
        <v>2600</v>
      </c>
      <c r="G6855" t="s">
        <v>331</v>
      </c>
      <c r="H6855" s="15">
        <v>45292</v>
      </c>
      <c r="I6855">
        <v>2600</v>
      </c>
      <c r="J6855">
        <v>0</v>
      </c>
    </row>
    <row r="6856" spans="1:10" x14ac:dyDescent="0.3">
      <c r="A6856" s="15">
        <v>46054</v>
      </c>
      <c r="B6856" t="s">
        <v>309</v>
      </c>
      <c r="C6856" t="s">
        <v>91</v>
      </c>
      <c r="D6856" t="s">
        <v>82</v>
      </c>
      <c r="E6856" t="s">
        <v>87</v>
      </c>
      <c r="F6856">
        <v>11800</v>
      </c>
      <c r="G6856" t="s">
        <v>331</v>
      </c>
      <c r="H6856" s="15">
        <v>45292</v>
      </c>
      <c r="I6856">
        <v>11800</v>
      </c>
      <c r="J6856">
        <v>0</v>
      </c>
    </row>
    <row r="6857" spans="1:10" x14ac:dyDescent="0.3">
      <c r="A6857" s="15">
        <v>46054</v>
      </c>
      <c r="B6857" t="s">
        <v>310</v>
      </c>
      <c r="C6857" t="s">
        <v>91</v>
      </c>
      <c r="D6857" t="s">
        <v>99</v>
      </c>
      <c r="E6857" t="s">
        <v>87</v>
      </c>
      <c r="F6857">
        <v>10000</v>
      </c>
      <c r="G6857" t="s">
        <v>331</v>
      </c>
      <c r="H6857" s="15">
        <v>45292</v>
      </c>
      <c r="I6857">
        <v>10000</v>
      </c>
      <c r="J6857">
        <v>0</v>
      </c>
    </row>
    <row r="6858" spans="1:10" x14ac:dyDescent="0.3">
      <c r="A6858" s="15">
        <v>46054</v>
      </c>
      <c r="B6858" t="s">
        <v>313</v>
      </c>
      <c r="C6858" t="s">
        <v>91</v>
      </c>
      <c r="D6858" t="s">
        <v>82</v>
      </c>
      <c r="E6858" t="s">
        <v>101</v>
      </c>
      <c r="F6858">
        <v>12700</v>
      </c>
      <c r="G6858" t="s">
        <v>331</v>
      </c>
      <c r="H6858" s="15">
        <v>45292</v>
      </c>
      <c r="I6858">
        <v>12700</v>
      </c>
      <c r="J6858">
        <v>0</v>
      </c>
    </row>
    <row r="6859" spans="1:10" x14ac:dyDescent="0.3">
      <c r="A6859" s="15">
        <v>46054</v>
      </c>
      <c r="B6859" t="s">
        <v>315</v>
      </c>
      <c r="C6859" t="s">
        <v>125</v>
      </c>
      <c r="D6859" t="s">
        <v>86</v>
      </c>
      <c r="E6859" t="s">
        <v>92</v>
      </c>
      <c r="F6859">
        <v>76200</v>
      </c>
      <c r="G6859" t="s">
        <v>331</v>
      </c>
      <c r="H6859" s="15">
        <v>45292</v>
      </c>
      <c r="I6859">
        <v>76200</v>
      </c>
      <c r="J6859">
        <v>0</v>
      </c>
    </row>
    <row r="6860" spans="1:10" x14ac:dyDescent="0.3">
      <c r="A6860" s="15">
        <v>46054</v>
      </c>
      <c r="B6860" t="s">
        <v>316</v>
      </c>
      <c r="C6860" t="s">
        <v>81</v>
      </c>
      <c r="D6860" t="s">
        <v>96</v>
      </c>
      <c r="E6860" t="s">
        <v>92</v>
      </c>
      <c r="F6860">
        <v>2000</v>
      </c>
      <c r="G6860" t="s">
        <v>331</v>
      </c>
      <c r="H6860" s="15">
        <v>45292</v>
      </c>
      <c r="I6860">
        <v>2000</v>
      </c>
      <c r="J6860">
        <v>0</v>
      </c>
    </row>
    <row r="6861" spans="1:10" x14ac:dyDescent="0.3">
      <c r="A6861" s="15">
        <v>46054</v>
      </c>
      <c r="B6861" t="s">
        <v>318</v>
      </c>
      <c r="C6861" t="s">
        <v>110</v>
      </c>
      <c r="D6861" t="s">
        <v>82</v>
      </c>
      <c r="E6861" t="s">
        <v>97</v>
      </c>
      <c r="F6861">
        <v>29600</v>
      </c>
      <c r="G6861" t="s">
        <v>331</v>
      </c>
      <c r="H6861" s="15">
        <v>45292</v>
      </c>
      <c r="I6861">
        <v>29600</v>
      </c>
      <c r="J6861">
        <v>0</v>
      </c>
    </row>
    <row r="6862" spans="1:10" x14ac:dyDescent="0.3">
      <c r="A6862" s="15">
        <v>46054</v>
      </c>
      <c r="B6862" t="s">
        <v>320</v>
      </c>
      <c r="C6862" t="s">
        <v>91</v>
      </c>
      <c r="D6862" t="s">
        <v>86</v>
      </c>
      <c r="E6862" t="s">
        <v>97</v>
      </c>
      <c r="F6862">
        <v>7700</v>
      </c>
      <c r="G6862" t="s">
        <v>331</v>
      </c>
      <c r="H6862" s="15">
        <v>45292</v>
      </c>
      <c r="I6862">
        <v>7700</v>
      </c>
      <c r="J6862">
        <v>0</v>
      </c>
    </row>
    <row r="6863" spans="1:10" x14ac:dyDescent="0.3">
      <c r="A6863" s="15">
        <v>46054</v>
      </c>
      <c r="B6863" t="s">
        <v>321</v>
      </c>
      <c r="C6863" t="s">
        <v>81</v>
      </c>
      <c r="D6863" t="s">
        <v>99</v>
      </c>
      <c r="E6863" t="s">
        <v>101</v>
      </c>
      <c r="F6863">
        <v>3500</v>
      </c>
      <c r="G6863" t="s">
        <v>331</v>
      </c>
      <c r="H6863" s="15">
        <v>45292</v>
      </c>
      <c r="I6863">
        <v>3500</v>
      </c>
      <c r="J6863">
        <v>0</v>
      </c>
    </row>
    <row r="6864" spans="1:10" x14ac:dyDescent="0.3">
      <c r="A6864" s="15">
        <v>46054</v>
      </c>
      <c r="B6864" t="s">
        <v>322</v>
      </c>
      <c r="C6864" t="s">
        <v>81</v>
      </c>
      <c r="D6864" t="s">
        <v>82</v>
      </c>
      <c r="E6864" t="s">
        <v>103</v>
      </c>
      <c r="F6864">
        <v>2000</v>
      </c>
      <c r="G6864" t="s">
        <v>331</v>
      </c>
      <c r="H6864" s="15">
        <v>45292</v>
      </c>
      <c r="I6864">
        <v>2000</v>
      </c>
      <c r="J6864">
        <v>0</v>
      </c>
    </row>
    <row r="6865" spans="1:10" x14ac:dyDescent="0.3">
      <c r="A6865" s="15">
        <v>46054</v>
      </c>
      <c r="B6865" t="s">
        <v>323</v>
      </c>
      <c r="C6865" t="s">
        <v>110</v>
      </c>
      <c r="D6865" t="s">
        <v>82</v>
      </c>
      <c r="E6865" t="s">
        <v>89</v>
      </c>
      <c r="F6865">
        <v>23400</v>
      </c>
      <c r="G6865" t="s">
        <v>331</v>
      </c>
      <c r="H6865" s="15">
        <v>45292</v>
      </c>
      <c r="I6865">
        <v>23400</v>
      </c>
      <c r="J6865">
        <v>0</v>
      </c>
    </row>
    <row r="6866" spans="1:10" x14ac:dyDescent="0.3">
      <c r="A6866" s="15">
        <v>46054</v>
      </c>
      <c r="B6866" t="s">
        <v>324</v>
      </c>
      <c r="C6866" t="s">
        <v>81</v>
      </c>
      <c r="D6866" t="s">
        <v>86</v>
      </c>
      <c r="E6866" t="s">
        <v>87</v>
      </c>
      <c r="F6866">
        <v>2700</v>
      </c>
      <c r="G6866" t="s">
        <v>331</v>
      </c>
      <c r="H6866" s="15">
        <v>45292</v>
      </c>
      <c r="I6866">
        <v>2700</v>
      </c>
      <c r="J6866">
        <v>0</v>
      </c>
    </row>
    <row r="6867" spans="1:10" x14ac:dyDescent="0.3">
      <c r="A6867" s="15">
        <v>46054</v>
      </c>
      <c r="B6867" t="s">
        <v>325</v>
      </c>
      <c r="C6867" t="s">
        <v>91</v>
      </c>
      <c r="D6867" t="s">
        <v>86</v>
      </c>
      <c r="E6867" t="s">
        <v>87</v>
      </c>
      <c r="F6867">
        <v>9400</v>
      </c>
      <c r="G6867" t="s">
        <v>331</v>
      </c>
      <c r="H6867" s="15">
        <v>45292</v>
      </c>
      <c r="I6867">
        <v>9400</v>
      </c>
      <c r="J6867">
        <v>0</v>
      </c>
    </row>
    <row r="6868" spans="1:10" x14ac:dyDescent="0.3">
      <c r="A6868" s="15">
        <v>46054</v>
      </c>
      <c r="B6868" t="s">
        <v>327</v>
      </c>
      <c r="C6868" t="s">
        <v>125</v>
      </c>
      <c r="D6868" t="s">
        <v>99</v>
      </c>
      <c r="E6868" t="s">
        <v>97</v>
      </c>
      <c r="F6868">
        <v>77500</v>
      </c>
      <c r="G6868" t="s">
        <v>331</v>
      </c>
      <c r="H6868" s="15">
        <v>45292</v>
      </c>
      <c r="I6868">
        <v>77500</v>
      </c>
      <c r="J6868">
        <v>0</v>
      </c>
    </row>
    <row r="6869" spans="1:10" x14ac:dyDescent="0.3">
      <c r="A6869" s="15">
        <v>46054</v>
      </c>
      <c r="B6869" t="s">
        <v>329</v>
      </c>
      <c r="C6869" t="s">
        <v>81</v>
      </c>
      <c r="D6869" t="s">
        <v>86</v>
      </c>
      <c r="E6869" t="s">
        <v>101</v>
      </c>
      <c r="F6869">
        <v>2200</v>
      </c>
      <c r="G6869" t="s">
        <v>331</v>
      </c>
      <c r="H6869" s="15">
        <v>45292</v>
      </c>
      <c r="I6869">
        <v>2200</v>
      </c>
      <c r="J6869">
        <v>0</v>
      </c>
    </row>
    <row r="6870" spans="1:10" x14ac:dyDescent="0.3">
      <c r="A6870" s="15">
        <v>46054</v>
      </c>
      <c r="B6870" t="s">
        <v>330</v>
      </c>
      <c r="C6870" t="s">
        <v>125</v>
      </c>
      <c r="D6870" t="s">
        <v>86</v>
      </c>
      <c r="E6870" t="s">
        <v>87</v>
      </c>
      <c r="F6870">
        <v>105400</v>
      </c>
      <c r="G6870" t="s">
        <v>331</v>
      </c>
      <c r="H6870" s="15">
        <v>45292</v>
      </c>
      <c r="I6870">
        <v>105400</v>
      </c>
      <c r="J6870">
        <v>0</v>
      </c>
    </row>
    <row r="6871" spans="1:10" x14ac:dyDescent="0.3">
      <c r="A6871" s="15">
        <v>46054</v>
      </c>
      <c r="B6871" t="s">
        <v>335</v>
      </c>
      <c r="C6871" t="s">
        <v>91</v>
      </c>
      <c r="D6871" t="s">
        <v>86</v>
      </c>
      <c r="E6871" t="s">
        <v>89</v>
      </c>
      <c r="F6871">
        <v>6500</v>
      </c>
      <c r="G6871" t="s">
        <v>331</v>
      </c>
      <c r="H6871" s="15">
        <v>45323</v>
      </c>
      <c r="I6871">
        <v>6500</v>
      </c>
      <c r="J6871">
        <v>0</v>
      </c>
    </row>
    <row r="6872" spans="1:10" x14ac:dyDescent="0.3">
      <c r="A6872" s="15">
        <v>46054</v>
      </c>
      <c r="B6872" t="s">
        <v>336</v>
      </c>
      <c r="C6872" t="s">
        <v>81</v>
      </c>
      <c r="D6872" t="s">
        <v>82</v>
      </c>
      <c r="E6872" t="s">
        <v>103</v>
      </c>
      <c r="F6872">
        <v>1500</v>
      </c>
      <c r="G6872" t="s">
        <v>331</v>
      </c>
      <c r="H6872" s="15">
        <v>45323</v>
      </c>
      <c r="I6872">
        <v>1500</v>
      </c>
      <c r="J6872">
        <v>0</v>
      </c>
    </row>
    <row r="6873" spans="1:10" x14ac:dyDescent="0.3">
      <c r="A6873" s="15">
        <v>46054</v>
      </c>
      <c r="B6873" t="s">
        <v>339</v>
      </c>
      <c r="C6873" t="s">
        <v>81</v>
      </c>
      <c r="D6873" t="s">
        <v>82</v>
      </c>
      <c r="E6873" t="s">
        <v>103</v>
      </c>
      <c r="F6873">
        <v>1600</v>
      </c>
      <c r="G6873" t="s">
        <v>331</v>
      </c>
      <c r="H6873" s="15">
        <v>45323</v>
      </c>
      <c r="I6873">
        <v>1600</v>
      </c>
      <c r="J6873">
        <v>0</v>
      </c>
    </row>
    <row r="6874" spans="1:10" x14ac:dyDescent="0.3">
      <c r="A6874" s="15">
        <v>46054</v>
      </c>
      <c r="B6874" t="s">
        <v>341</v>
      </c>
      <c r="C6874" t="s">
        <v>110</v>
      </c>
      <c r="D6874" t="s">
        <v>82</v>
      </c>
      <c r="E6874" t="s">
        <v>92</v>
      </c>
      <c r="F6874">
        <v>18800</v>
      </c>
      <c r="G6874" t="s">
        <v>331</v>
      </c>
      <c r="H6874" s="15">
        <v>45323</v>
      </c>
      <c r="I6874">
        <v>18800</v>
      </c>
      <c r="J6874">
        <v>0</v>
      </c>
    </row>
    <row r="6875" spans="1:10" x14ac:dyDescent="0.3">
      <c r="A6875" s="15">
        <v>46054</v>
      </c>
      <c r="B6875" t="s">
        <v>342</v>
      </c>
      <c r="C6875" t="s">
        <v>91</v>
      </c>
      <c r="D6875" t="s">
        <v>82</v>
      </c>
      <c r="E6875" t="s">
        <v>83</v>
      </c>
      <c r="F6875">
        <v>6300</v>
      </c>
      <c r="G6875" t="s">
        <v>331</v>
      </c>
      <c r="H6875" s="15">
        <v>45352</v>
      </c>
      <c r="I6875">
        <v>6300</v>
      </c>
      <c r="J6875">
        <v>0</v>
      </c>
    </row>
    <row r="6876" spans="1:10" x14ac:dyDescent="0.3">
      <c r="A6876" s="15">
        <v>46054</v>
      </c>
      <c r="B6876" t="s">
        <v>343</v>
      </c>
      <c r="C6876" t="s">
        <v>81</v>
      </c>
      <c r="D6876" t="s">
        <v>82</v>
      </c>
      <c r="E6876" t="s">
        <v>89</v>
      </c>
      <c r="F6876">
        <v>2500</v>
      </c>
      <c r="G6876" t="s">
        <v>331</v>
      </c>
      <c r="H6876" s="15">
        <v>45352</v>
      </c>
      <c r="I6876">
        <v>2500</v>
      </c>
      <c r="J6876">
        <v>0</v>
      </c>
    </row>
    <row r="6877" spans="1:10" x14ac:dyDescent="0.3">
      <c r="A6877" s="15">
        <v>46054</v>
      </c>
      <c r="B6877" t="s">
        <v>344</v>
      </c>
      <c r="C6877" t="s">
        <v>110</v>
      </c>
      <c r="D6877" t="s">
        <v>86</v>
      </c>
      <c r="E6877" t="s">
        <v>89</v>
      </c>
      <c r="F6877">
        <v>25800</v>
      </c>
      <c r="G6877" t="s">
        <v>331</v>
      </c>
      <c r="H6877" s="15">
        <v>45352</v>
      </c>
      <c r="I6877">
        <v>25800</v>
      </c>
      <c r="J6877">
        <v>0</v>
      </c>
    </row>
    <row r="6878" spans="1:10" x14ac:dyDescent="0.3">
      <c r="A6878" s="15">
        <v>46054</v>
      </c>
      <c r="B6878" t="s">
        <v>345</v>
      </c>
      <c r="C6878" t="s">
        <v>91</v>
      </c>
      <c r="D6878" t="s">
        <v>86</v>
      </c>
      <c r="E6878" t="s">
        <v>83</v>
      </c>
      <c r="F6878">
        <v>7900</v>
      </c>
      <c r="G6878" t="s">
        <v>331</v>
      </c>
      <c r="H6878" s="15">
        <v>45352</v>
      </c>
      <c r="I6878">
        <v>7900</v>
      </c>
      <c r="J6878">
        <v>0</v>
      </c>
    </row>
    <row r="6879" spans="1:10" x14ac:dyDescent="0.3">
      <c r="A6879" s="15">
        <v>46054</v>
      </c>
      <c r="B6879" t="s">
        <v>346</v>
      </c>
      <c r="C6879" t="s">
        <v>81</v>
      </c>
      <c r="D6879" t="s">
        <v>86</v>
      </c>
      <c r="E6879" t="s">
        <v>97</v>
      </c>
      <c r="F6879">
        <v>1700</v>
      </c>
      <c r="G6879" t="s">
        <v>331</v>
      </c>
      <c r="H6879" s="15">
        <v>45352</v>
      </c>
      <c r="I6879">
        <v>1700</v>
      </c>
      <c r="J6879">
        <v>0</v>
      </c>
    </row>
    <row r="6880" spans="1:10" x14ac:dyDescent="0.3">
      <c r="A6880" s="15">
        <v>46054</v>
      </c>
      <c r="B6880" t="s">
        <v>347</v>
      </c>
      <c r="C6880" t="s">
        <v>91</v>
      </c>
      <c r="D6880" t="s">
        <v>82</v>
      </c>
      <c r="E6880" t="s">
        <v>83</v>
      </c>
      <c r="F6880">
        <v>4700</v>
      </c>
      <c r="G6880" t="s">
        <v>331</v>
      </c>
      <c r="H6880" s="15">
        <v>45383</v>
      </c>
      <c r="I6880">
        <v>4700</v>
      </c>
      <c r="J6880">
        <v>0</v>
      </c>
    </row>
    <row r="6881" spans="1:10" x14ac:dyDescent="0.3">
      <c r="A6881" s="15">
        <v>46054</v>
      </c>
      <c r="B6881" t="s">
        <v>350</v>
      </c>
      <c r="C6881" t="s">
        <v>91</v>
      </c>
      <c r="D6881" t="s">
        <v>82</v>
      </c>
      <c r="E6881" t="s">
        <v>83</v>
      </c>
      <c r="F6881">
        <v>4400</v>
      </c>
      <c r="G6881" t="s">
        <v>331</v>
      </c>
      <c r="H6881" s="15">
        <v>45383</v>
      </c>
      <c r="I6881">
        <v>4400</v>
      </c>
      <c r="J6881">
        <v>0</v>
      </c>
    </row>
    <row r="6882" spans="1:10" x14ac:dyDescent="0.3">
      <c r="A6882" s="15">
        <v>46054</v>
      </c>
      <c r="B6882" t="s">
        <v>351</v>
      </c>
      <c r="C6882" t="s">
        <v>81</v>
      </c>
      <c r="D6882" t="s">
        <v>86</v>
      </c>
      <c r="E6882" t="s">
        <v>83</v>
      </c>
      <c r="F6882">
        <v>2700</v>
      </c>
      <c r="G6882" t="s">
        <v>331</v>
      </c>
      <c r="H6882" s="15">
        <v>45383</v>
      </c>
      <c r="I6882">
        <v>2700</v>
      </c>
      <c r="J6882">
        <v>0</v>
      </c>
    </row>
    <row r="6883" spans="1:10" x14ac:dyDescent="0.3">
      <c r="A6883" s="15">
        <v>46054</v>
      </c>
      <c r="B6883" t="s">
        <v>352</v>
      </c>
      <c r="C6883" t="s">
        <v>91</v>
      </c>
      <c r="D6883" t="s">
        <v>82</v>
      </c>
      <c r="E6883" t="s">
        <v>89</v>
      </c>
      <c r="F6883">
        <v>8800</v>
      </c>
      <c r="G6883" t="s">
        <v>331</v>
      </c>
      <c r="H6883" s="15">
        <v>45383</v>
      </c>
      <c r="I6883">
        <v>8800</v>
      </c>
      <c r="J6883">
        <v>0</v>
      </c>
    </row>
    <row r="6884" spans="1:10" x14ac:dyDescent="0.3">
      <c r="A6884" s="15">
        <v>46054</v>
      </c>
      <c r="B6884" t="s">
        <v>353</v>
      </c>
      <c r="C6884" t="s">
        <v>81</v>
      </c>
      <c r="D6884" t="s">
        <v>99</v>
      </c>
      <c r="E6884" t="s">
        <v>103</v>
      </c>
      <c r="F6884">
        <v>1200</v>
      </c>
      <c r="G6884" t="s">
        <v>331</v>
      </c>
      <c r="H6884" s="15">
        <v>45383</v>
      </c>
      <c r="I6884">
        <v>1200</v>
      </c>
      <c r="J6884">
        <v>0</v>
      </c>
    </row>
    <row r="6885" spans="1:10" x14ac:dyDescent="0.3">
      <c r="A6885" s="15">
        <v>46054</v>
      </c>
      <c r="B6885" t="s">
        <v>354</v>
      </c>
      <c r="C6885" t="s">
        <v>81</v>
      </c>
      <c r="D6885" t="s">
        <v>82</v>
      </c>
      <c r="E6885" t="s">
        <v>92</v>
      </c>
      <c r="F6885">
        <v>1700</v>
      </c>
      <c r="G6885" t="s">
        <v>331</v>
      </c>
      <c r="H6885" s="15">
        <v>45413</v>
      </c>
      <c r="I6885">
        <v>1700</v>
      </c>
      <c r="J6885">
        <v>0</v>
      </c>
    </row>
    <row r="6886" spans="1:10" x14ac:dyDescent="0.3">
      <c r="A6886" s="15">
        <v>46054</v>
      </c>
      <c r="B6886" t="s">
        <v>355</v>
      </c>
      <c r="C6886" t="s">
        <v>81</v>
      </c>
      <c r="D6886" t="s">
        <v>86</v>
      </c>
      <c r="E6886" t="s">
        <v>97</v>
      </c>
      <c r="F6886">
        <v>2000</v>
      </c>
      <c r="G6886" t="s">
        <v>331</v>
      </c>
      <c r="H6886" s="15">
        <v>45413</v>
      </c>
      <c r="I6886">
        <v>2000</v>
      </c>
      <c r="J6886">
        <v>0</v>
      </c>
    </row>
    <row r="6887" spans="1:10" x14ac:dyDescent="0.3">
      <c r="A6887" s="15">
        <v>46054</v>
      </c>
      <c r="B6887" t="s">
        <v>356</v>
      </c>
      <c r="C6887" t="s">
        <v>110</v>
      </c>
      <c r="D6887" t="s">
        <v>82</v>
      </c>
      <c r="E6887" t="s">
        <v>97</v>
      </c>
      <c r="F6887">
        <v>33000</v>
      </c>
      <c r="G6887" t="s">
        <v>331</v>
      </c>
      <c r="H6887" s="15">
        <v>45413</v>
      </c>
      <c r="I6887">
        <v>33000</v>
      </c>
      <c r="J6887">
        <v>0</v>
      </c>
    </row>
    <row r="6888" spans="1:10" x14ac:dyDescent="0.3">
      <c r="A6888" s="15">
        <v>46054</v>
      </c>
      <c r="B6888" t="s">
        <v>357</v>
      </c>
      <c r="C6888" t="s">
        <v>125</v>
      </c>
      <c r="D6888" t="s">
        <v>86</v>
      </c>
      <c r="E6888" t="s">
        <v>97</v>
      </c>
      <c r="F6888">
        <v>83400</v>
      </c>
      <c r="G6888" t="s">
        <v>331</v>
      </c>
      <c r="H6888" s="15">
        <v>45413</v>
      </c>
      <c r="I6888">
        <v>83400</v>
      </c>
      <c r="J6888">
        <v>0</v>
      </c>
    </row>
    <row r="6889" spans="1:10" x14ac:dyDescent="0.3">
      <c r="A6889" s="15">
        <v>46054</v>
      </c>
      <c r="B6889" t="s">
        <v>358</v>
      </c>
      <c r="C6889" t="s">
        <v>110</v>
      </c>
      <c r="D6889" t="s">
        <v>86</v>
      </c>
      <c r="E6889" t="s">
        <v>83</v>
      </c>
      <c r="F6889">
        <v>24100</v>
      </c>
      <c r="G6889" t="s">
        <v>331</v>
      </c>
      <c r="H6889" s="15">
        <v>45413</v>
      </c>
      <c r="I6889">
        <v>24100</v>
      </c>
      <c r="J6889">
        <v>0</v>
      </c>
    </row>
    <row r="6890" spans="1:10" x14ac:dyDescent="0.3">
      <c r="A6890" s="15">
        <v>46054</v>
      </c>
      <c r="B6890" t="s">
        <v>359</v>
      </c>
      <c r="C6890" t="s">
        <v>110</v>
      </c>
      <c r="D6890" t="s">
        <v>86</v>
      </c>
      <c r="E6890" t="s">
        <v>101</v>
      </c>
      <c r="F6890">
        <v>28900</v>
      </c>
      <c r="G6890" t="s">
        <v>334</v>
      </c>
      <c r="H6890" s="15">
        <v>45413</v>
      </c>
      <c r="I6890">
        <v>31400</v>
      </c>
      <c r="J6890">
        <v>-2500</v>
      </c>
    </row>
    <row r="6891" spans="1:10" x14ac:dyDescent="0.3">
      <c r="A6891" s="15">
        <v>46054</v>
      </c>
      <c r="B6891" t="s">
        <v>361</v>
      </c>
      <c r="C6891" t="s">
        <v>91</v>
      </c>
      <c r="D6891" t="s">
        <v>86</v>
      </c>
      <c r="E6891" t="s">
        <v>83</v>
      </c>
      <c r="F6891">
        <v>5700</v>
      </c>
      <c r="G6891" t="s">
        <v>331</v>
      </c>
      <c r="H6891" s="15">
        <v>45444</v>
      </c>
      <c r="I6891">
        <v>5700</v>
      </c>
      <c r="J6891">
        <v>0</v>
      </c>
    </row>
    <row r="6892" spans="1:10" x14ac:dyDescent="0.3">
      <c r="A6892" s="15">
        <v>46054</v>
      </c>
      <c r="B6892" t="s">
        <v>362</v>
      </c>
      <c r="C6892" t="s">
        <v>91</v>
      </c>
      <c r="D6892" t="s">
        <v>82</v>
      </c>
      <c r="E6892" t="s">
        <v>101</v>
      </c>
      <c r="F6892">
        <v>5700</v>
      </c>
      <c r="G6892" t="s">
        <v>331</v>
      </c>
      <c r="H6892" s="15">
        <v>45444</v>
      </c>
      <c r="I6892">
        <v>5700</v>
      </c>
      <c r="J6892">
        <v>0</v>
      </c>
    </row>
    <row r="6893" spans="1:10" x14ac:dyDescent="0.3">
      <c r="A6893" s="15">
        <v>46054</v>
      </c>
      <c r="B6893" t="s">
        <v>363</v>
      </c>
      <c r="C6893" t="s">
        <v>91</v>
      </c>
      <c r="D6893" t="s">
        <v>86</v>
      </c>
      <c r="E6893" t="s">
        <v>83</v>
      </c>
      <c r="F6893">
        <v>4400</v>
      </c>
      <c r="G6893" t="s">
        <v>331</v>
      </c>
      <c r="H6893" s="15">
        <v>45444</v>
      </c>
      <c r="I6893">
        <v>4400</v>
      </c>
      <c r="J6893">
        <v>0</v>
      </c>
    </row>
    <row r="6894" spans="1:10" x14ac:dyDescent="0.3">
      <c r="A6894" s="15">
        <v>46054</v>
      </c>
      <c r="B6894" t="s">
        <v>364</v>
      </c>
      <c r="C6894" t="s">
        <v>91</v>
      </c>
      <c r="D6894" t="s">
        <v>82</v>
      </c>
      <c r="E6894" t="s">
        <v>101</v>
      </c>
      <c r="F6894">
        <v>7600</v>
      </c>
      <c r="G6894" t="s">
        <v>332</v>
      </c>
      <c r="H6894" s="15">
        <v>45444</v>
      </c>
      <c r="I6894">
        <v>6700</v>
      </c>
      <c r="J6894">
        <v>900</v>
      </c>
    </row>
    <row r="6895" spans="1:10" x14ac:dyDescent="0.3">
      <c r="A6895" s="15">
        <v>46054</v>
      </c>
      <c r="B6895" t="s">
        <v>366</v>
      </c>
      <c r="C6895" t="s">
        <v>81</v>
      </c>
      <c r="D6895" t="s">
        <v>99</v>
      </c>
      <c r="E6895" t="s">
        <v>92</v>
      </c>
      <c r="F6895">
        <v>1600</v>
      </c>
      <c r="G6895" t="s">
        <v>331</v>
      </c>
      <c r="H6895" s="15">
        <v>45474</v>
      </c>
      <c r="I6895">
        <v>1600</v>
      </c>
      <c r="J6895">
        <v>0</v>
      </c>
    </row>
    <row r="6896" spans="1:10" x14ac:dyDescent="0.3">
      <c r="A6896" s="15">
        <v>46054</v>
      </c>
      <c r="B6896" t="s">
        <v>368</v>
      </c>
      <c r="C6896" t="s">
        <v>81</v>
      </c>
      <c r="D6896" t="s">
        <v>86</v>
      </c>
      <c r="E6896" t="s">
        <v>89</v>
      </c>
      <c r="F6896">
        <v>1400</v>
      </c>
      <c r="G6896" t="s">
        <v>331</v>
      </c>
      <c r="H6896" s="15">
        <v>45474</v>
      </c>
      <c r="I6896">
        <v>1400</v>
      </c>
      <c r="J6896">
        <v>0</v>
      </c>
    </row>
    <row r="6897" spans="1:10" x14ac:dyDescent="0.3">
      <c r="A6897" s="15">
        <v>46054</v>
      </c>
      <c r="B6897" t="s">
        <v>369</v>
      </c>
      <c r="C6897" t="s">
        <v>81</v>
      </c>
      <c r="D6897" t="s">
        <v>86</v>
      </c>
      <c r="E6897" t="s">
        <v>83</v>
      </c>
      <c r="F6897">
        <v>2300</v>
      </c>
      <c r="G6897" t="s">
        <v>332</v>
      </c>
      <c r="H6897" s="15">
        <v>45474</v>
      </c>
      <c r="I6897">
        <v>2000</v>
      </c>
      <c r="J6897">
        <v>300</v>
      </c>
    </row>
    <row r="6898" spans="1:10" x14ac:dyDescent="0.3">
      <c r="A6898" s="15">
        <v>46054</v>
      </c>
      <c r="B6898" t="s">
        <v>370</v>
      </c>
      <c r="C6898" t="s">
        <v>81</v>
      </c>
      <c r="D6898" t="s">
        <v>99</v>
      </c>
      <c r="E6898" t="s">
        <v>87</v>
      </c>
      <c r="F6898">
        <v>2300</v>
      </c>
      <c r="G6898" t="s">
        <v>331</v>
      </c>
      <c r="H6898" s="15">
        <v>45474</v>
      </c>
      <c r="I6898">
        <v>2300</v>
      </c>
      <c r="J6898">
        <v>0</v>
      </c>
    </row>
    <row r="6899" spans="1:10" x14ac:dyDescent="0.3">
      <c r="A6899" s="15">
        <v>46054</v>
      </c>
      <c r="B6899" t="s">
        <v>373</v>
      </c>
      <c r="C6899" t="s">
        <v>91</v>
      </c>
      <c r="D6899" t="s">
        <v>99</v>
      </c>
      <c r="E6899" t="s">
        <v>101</v>
      </c>
      <c r="F6899">
        <v>5200</v>
      </c>
      <c r="G6899" t="s">
        <v>331</v>
      </c>
      <c r="H6899" s="15">
        <v>45505</v>
      </c>
      <c r="I6899">
        <v>5200</v>
      </c>
      <c r="J6899">
        <v>0</v>
      </c>
    </row>
    <row r="6900" spans="1:10" x14ac:dyDescent="0.3">
      <c r="A6900" s="15">
        <v>46054</v>
      </c>
      <c r="B6900" t="s">
        <v>376</v>
      </c>
      <c r="C6900" t="s">
        <v>110</v>
      </c>
      <c r="D6900" t="s">
        <v>86</v>
      </c>
      <c r="E6900" t="s">
        <v>103</v>
      </c>
      <c r="F6900">
        <v>22900</v>
      </c>
      <c r="G6900" t="s">
        <v>331</v>
      </c>
      <c r="H6900" s="15">
        <v>45505</v>
      </c>
      <c r="I6900">
        <v>22900</v>
      </c>
      <c r="J6900">
        <v>0</v>
      </c>
    </row>
    <row r="6901" spans="1:10" x14ac:dyDescent="0.3">
      <c r="A6901" s="15">
        <v>46054</v>
      </c>
      <c r="B6901" t="s">
        <v>377</v>
      </c>
      <c r="C6901" t="s">
        <v>81</v>
      </c>
      <c r="D6901" t="s">
        <v>99</v>
      </c>
      <c r="E6901" t="s">
        <v>92</v>
      </c>
      <c r="F6901">
        <v>2300</v>
      </c>
      <c r="G6901" t="s">
        <v>331</v>
      </c>
      <c r="H6901" s="15">
        <v>45536</v>
      </c>
      <c r="I6901">
        <v>2300</v>
      </c>
      <c r="J6901">
        <v>0</v>
      </c>
    </row>
    <row r="6902" spans="1:10" x14ac:dyDescent="0.3">
      <c r="A6902" s="15">
        <v>46054</v>
      </c>
      <c r="B6902" t="s">
        <v>379</v>
      </c>
      <c r="C6902" t="s">
        <v>81</v>
      </c>
      <c r="D6902" t="s">
        <v>99</v>
      </c>
      <c r="E6902" t="s">
        <v>101</v>
      </c>
      <c r="F6902">
        <v>2200</v>
      </c>
      <c r="G6902" t="s">
        <v>331</v>
      </c>
      <c r="H6902" s="15">
        <v>45536</v>
      </c>
      <c r="I6902">
        <v>2200</v>
      </c>
      <c r="J6902">
        <v>0</v>
      </c>
    </row>
    <row r="6903" spans="1:10" x14ac:dyDescent="0.3">
      <c r="A6903" s="15">
        <v>46054</v>
      </c>
      <c r="B6903" t="s">
        <v>381</v>
      </c>
      <c r="C6903" t="s">
        <v>91</v>
      </c>
      <c r="D6903" t="s">
        <v>86</v>
      </c>
      <c r="E6903" t="s">
        <v>92</v>
      </c>
      <c r="F6903">
        <v>4600</v>
      </c>
      <c r="G6903" t="s">
        <v>331</v>
      </c>
      <c r="H6903" s="15">
        <v>45536</v>
      </c>
      <c r="I6903">
        <v>4600</v>
      </c>
      <c r="J6903">
        <v>0</v>
      </c>
    </row>
    <row r="6904" spans="1:10" x14ac:dyDescent="0.3">
      <c r="A6904" s="15">
        <v>46054</v>
      </c>
      <c r="B6904" t="s">
        <v>382</v>
      </c>
      <c r="C6904" t="s">
        <v>81</v>
      </c>
      <c r="D6904" t="s">
        <v>96</v>
      </c>
      <c r="E6904" t="s">
        <v>101</v>
      </c>
      <c r="F6904">
        <v>2100</v>
      </c>
      <c r="G6904" t="s">
        <v>331</v>
      </c>
      <c r="H6904" s="15">
        <v>45536</v>
      </c>
      <c r="I6904">
        <v>2100</v>
      </c>
      <c r="J6904">
        <v>0</v>
      </c>
    </row>
    <row r="6905" spans="1:10" x14ac:dyDescent="0.3">
      <c r="A6905" s="15">
        <v>46054</v>
      </c>
      <c r="B6905" t="s">
        <v>383</v>
      </c>
      <c r="C6905" t="s">
        <v>81</v>
      </c>
      <c r="D6905" t="s">
        <v>82</v>
      </c>
      <c r="E6905" t="s">
        <v>87</v>
      </c>
      <c r="F6905">
        <v>1600</v>
      </c>
      <c r="G6905" t="s">
        <v>331</v>
      </c>
      <c r="H6905" s="15">
        <v>45536</v>
      </c>
      <c r="I6905">
        <v>1600</v>
      </c>
      <c r="J6905">
        <v>0</v>
      </c>
    </row>
    <row r="6906" spans="1:10" x14ac:dyDescent="0.3">
      <c r="A6906" s="15">
        <v>46054</v>
      </c>
      <c r="B6906" t="s">
        <v>385</v>
      </c>
      <c r="C6906" t="s">
        <v>91</v>
      </c>
      <c r="D6906" t="s">
        <v>99</v>
      </c>
      <c r="E6906" t="s">
        <v>83</v>
      </c>
      <c r="F6906">
        <v>8300</v>
      </c>
      <c r="G6906" t="s">
        <v>331</v>
      </c>
      <c r="H6906" s="15">
        <v>45566</v>
      </c>
      <c r="I6906">
        <v>8300</v>
      </c>
      <c r="J6906">
        <v>0</v>
      </c>
    </row>
    <row r="6907" spans="1:10" x14ac:dyDescent="0.3">
      <c r="A6907" s="15">
        <v>46054</v>
      </c>
      <c r="B6907" t="s">
        <v>386</v>
      </c>
      <c r="C6907" t="s">
        <v>81</v>
      </c>
      <c r="D6907" t="s">
        <v>82</v>
      </c>
      <c r="E6907" t="s">
        <v>103</v>
      </c>
      <c r="F6907">
        <v>2200</v>
      </c>
      <c r="G6907" t="s">
        <v>331</v>
      </c>
      <c r="H6907" s="15">
        <v>45566</v>
      </c>
      <c r="I6907">
        <v>2200</v>
      </c>
      <c r="J6907">
        <v>0</v>
      </c>
    </row>
    <row r="6908" spans="1:10" x14ac:dyDescent="0.3">
      <c r="A6908" s="15">
        <v>46054</v>
      </c>
      <c r="B6908" t="s">
        <v>387</v>
      </c>
      <c r="C6908" t="s">
        <v>81</v>
      </c>
      <c r="D6908" t="s">
        <v>86</v>
      </c>
      <c r="E6908" t="s">
        <v>92</v>
      </c>
      <c r="F6908">
        <v>1500</v>
      </c>
      <c r="G6908" t="s">
        <v>331</v>
      </c>
      <c r="H6908" s="15">
        <v>45566</v>
      </c>
      <c r="I6908">
        <v>1500</v>
      </c>
      <c r="J6908">
        <v>0</v>
      </c>
    </row>
    <row r="6909" spans="1:10" x14ac:dyDescent="0.3">
      <c r="A6909" s="15">
        <v>46054</v>
      </c>
      <c r="B6909" t="s">
        <v>388</v>
      </c>
      <c r="C6909" t="s">
        <v>81</v>
      </c>
      <c r="D6909" t="s">
        <v>99</v>
      </c>
      <c r="E6909" t="s">
        <v>103</v>
      </c>
      <c r="F6909">
        <v>1700</v>
      </c>
      <c r="G6909" t="s">
        <v>331</v>
      </c>
      <c r="H6909" s="15">
        <v>45566</v>
      </c>
      <c r="I6909">
        <v>1700</v>
      </c>
      <c r="J6909">
        <v>0</v>
      </c>
    </row>
    <row r="6910" spans="1:10" x14ac:dyDescent="0.3">
      <c r="A6910" s="15">
        <v>46054</v>
      </c>
      <c r="B6910" t="s">
        <v>390</v>
      </c>
      <c r="C6910" t="s">
        <v>91</v>
      </c>
      <c r="D6910" t="s">
        <v>82</v>
      </c>
      <c r="E6910" t="s">
        <v>89</v>
      </c>
      <c r="F6910">
        <v>6200</v>
      </c>
      <c r="G6910" t="s">
        <v>331</v>
      </c>
      <c r="H6910" s="15">
        <v>45566</v>
      </c>
      <c r="I6910">
        <v>6200</v>
      </c>
      <c r="J6910">
        <v>0</v>
      </c>
    </row>
    <row r="6911" spans="1:10" x14ac:dyDescent="0.3">
      <c r="A6911" s="15">
        <v>46054</v>
      </c>
      <c r="B6911" t="s">
        <v>392</v>
      </c>
      <c r="C6911" t="s">
        <v>91</v>
      </c>
      <c r="D6911" t="s">
        <v>86</v>
      </c>
      <c r="E6911" t="s">
        <v>97</v>
      </c>
      <c r="F6911">
        <v>10000</v>
      </c>
      <c r="G6911" t="s">
        <v>331</v>
      </c>
      <c r="H6911" s="15">
        <v>45597</v>
      </c>
      <c r="I6911">
        <v>10000</v>
      </c>
      <c r="J6911">
        <v>0</v>
      </c>
    </row>
    <row r="6912" spans="1:10" x14ac:dyDescent="0.3">
      <c r="A6912" s="15">
        <v>46054</v>
      </c>
      <c r="B6912" t="s">
        <v>393</v>
      </c>
      <c r="C6912" t="s">
        <v>81</v>
      </c>
      <c r="D6912" t="s">
        <v>82</v>
      </c>
      <c r="E6912" t="s">
        <v>92</v>
      </c>
      <c r="F6912">
        <v>2100</v>
      </c>
      <c r="G6912" t="s">
        <v>331</v>
      </c>
      <c r="H6912" s="15">
        <v>45597</v>
      </c>
      <c r="I6912">
        <v>2100</v>
      </c>
      <c r="J6912">
        <v>0</v>
      </c>
    </row>
    <row r="6913" spans="1:10" x14ac:dyDescent="0.3">
      <c r="A6913" s="15">
        <v>46054</v>
      </c>
      <c r="B6913" t="s">
        <v>394</v>
      </c>
      <c r="C6913" t="s">
        <v>81</v>
      </c>
      <c r="D6913" t="s">
        <v>99</v>
      </c>
      <c r="E6913" t="s">
        <v>87</v>
      </c>
      <c r="F6913">
        <v>1300</v>
      </c>
      <c r="G6913" t="s">
        <v>334</v>
      </c>
      <c r="H6913" s="15">
        <v>45597</v>
      </c>
      <c r="I6913">
        <v>1400</v>
      </c>
      <c r="J6913">
        <v>-100</v>
      </c>
    </row>
    <row r="6914" spans="1:10" x14ac:dyDescent="0.3">
      <c r="A6914" s="15">
        <v>46054</v>
      </c>
      <c r="B6914" t="s">
        <v>395</v>
      </c>
      <c r="C6914" t="s">
        <v>81</v>
      </c>
      <c r="D6914" t="s">
        <v>82</v>
      </c>
      <c r="E6914" t="s">
        <v>97</v>
      </c>
      <c r="F6914">
        <v>2200</v>
      </c>
      <c r="G6914" t="s">
        <v>331</v>
      </c>
      <c r="H6914" s="15">
        <v>45627</v>
      </c>
      <c r="I6914">
        <v>2200</v>
      </c>
      <c r="J6914">
        <v>0</v>
      </c>
    </row>
    <row r="6915" spans="1:10" x14ac:dyDescent="0.3">
      <c r="A6915" s="15">
        <v>46054</v>
      </c>
      <c r="B6915" t="s">
        <v>396</v>
      </c>
      <c r="C6915" t="s">
        <v>91</v>
      </c>
      <c r="D6915" t="s">
        <v>82</v>
      </c>
      <c r="E6915" t="s">
        <v>92</v>
      </c>
      <c r="F6915">
        <v>8800</v>
      </c>
      <c r="G6915" t="s">
        <v>331</v>
      </c>
      <c r="H6915" s="15">
        <v>45627</v>
      </c>
      <c r="I6915">
        <v>8800</v>
      </c>
      <c r="J6915">
        <v>0</v>
      </c>
    </row>
    <row r="6916" spans="1:10" x14ac:dyDescent="0.3">
      <c r="A6916" s="15">
        <v>46054</v>
      </c>
      <c r="B6916" t="s">
        <v>398</v>
      </c>
      <c r="C6916" t="s">
        <v>81</v>
      </c>
      <c r="D6916" t="s">
        <v>86</v>
      </c>
      <c r="E6916" t="s">
        <v>92</v>
      </c>
      <c r="F6916">
        <v>1400</v>
      </c>
      <c r="G6916" t="s">
        <v>331</v>
      </c>
      <c r="H6916" s="15">
        <v>45627</v>
      </c>
      <c r="I6916">
        <v>1400</v>
      </c>
      <c r="J6916">
        <v>0</v>
      </c>
    </row>
    <row r="6917" spans="1:10" x14ac:dyDescent="0.3">
      <c r="A6917" s="15">
        <v>46054</v>
      </c>
      <c r="B6917" t="s">
        <v>399</v>
      </c>
      <c r="C6917" t="s">
        <v>110</v>
      </c>
      <c r="D6917" t="s">
        <v>82</v>
      </c>
      <c r="E6917" t="s">
        <v>101</v>
      </c>
      <c r="F6917">
        <v>17400</v>
      </c>
      <c r="G6917" t="s">
        <v>331</v>
      </c>
      <c r="H6917" s="15">
        <v>45627</v>
      </c>
      <c r="I6917">
        <v>17400</v>
      </c>
      <c r="J6917">
        <v>0</v>
      </c>
    </row>
    <row r="6918" spans="1:10" x14ac:dyDescent="0.3">
      <c r="A6918" s="15">
        <v>46054</v>
      </c>
      <c r="B6918" t="s">
        <v>400</v>
      </c>
      <c r="C6918" t="s">
        <v>91</v>
      </c>
      <c r="D6918" t="s">
        <v>82</v>
      </c>
      <c r="E6918" t="s">
        <v>103</v>
      </c>
      <c r="F6918">
        <v>4400</v>
      </c>
      <c r="G6918" t="s">
        <v>331</v>
      </c>
      <c r="H6918" s="15">
        <v>45627</v>
      </c>
      <c r="I6918">
        <v>4400</v>
      </c>
      <c r="J6918">
        <v>0</v>
      </c>
    </row>
    <row r="6919" spans="1:10" x14ac:dyDescent="0.3">
      <c r="A6919" s="15">
        <v>46054</v>
      </c>
      <c r="B6919" t="s">
        <v>403</v>
      </c>
      <c r="C6919" t="s">
        <v>81</v>
      </c>
      <c r="D6919" t="s">
        <v>82</v>
      </c>
      <c r="E6919" t="s">
        <v>101</v>
      </c>
      <c r="F6919">
        <v>1900</v>
      </c>
      <c r="G6919" t="s">
        <v>331</v>
      </c>
      <c r="H6919" s="15">
        <v>45658</v>
      </c>
      <c r="I6919">
        <v>1900</v>
      </c>
      <c r="J6919">
        <v>0</v>
      </c>
    </row>
    <row r="6920" spans="1:10" x14ac:dyDescent="0.3">
      <c r="A6920" s="15">
        <v>46054</v>
      </c>
      <c r="B6920" t="s">
        <v>404</v>
      </c>
      <c r="C6920" t="s">
        <v>81</v>
      </c>
      <c r="D6920" t="s">
        <v>86</v>
      </c>
      <c r="E6920" t="s">
        <v>83</v>
      </c>
      <c r="F6920">
        <v>2100</v>
      </c>
      <c r="G6920" t="s">
        <v>331</v>
      </c>
      <c r="H6920" s="15">
        <v>45658</v>
      </c>
      <c r="I6920">
        <v>2100</v>
      </c>
      <c r="J6920">
        <v>0</v>
      </c>
    </row>
    <row r="6921" spans="1:10" x14ac:dyDescent="0.3">
      <c r="A6921" s="15">
        <v>46054</v>
      </c>
      <c r="B6921" t="s">
        <v>405</v>
      </c>
      <c r="C6921" t="s">
        <v>81</v>
      </c>
      <c r="D6921" t="s">
        <v>82</v>
      </c>
      <c r="E6921" t="s">
        <v>92</v>
      </c>
      <c r="F6921">
        <v>1600</v>
      </c>
      <c r="G6921" t="s">
        <v>331</v>
      </c>
      <c r="H6921" s="15">
        <v>45658</v>
      </c>
      <c r="I6921">
        <v>1600</v>
      </c>
      <c r="J6921">
        <v>0</v>
      </c>
    </row>
    <row r="6922" spans="1:10" x14ac:dyDescent="0.3">
      <c r="A6922" s="15">
        <v>46054</v>
      </c>
      <c r="B6922" t="s">
        <v>406</v>
      </c>
      <c r="C6922" t="s">
        <v>91</v>
      </c>
      <c r="D6922" t="s">
        <v>86</v>
      </c>
      <c r="E6922" t="s">
        <v>87</v>
      </c>
      <c r="F6922">
        <v>4700</v>
      </c>
      <c r="G6922" t="s">
        <v>331</v>
      </c>
      <c r="H6922" s="15">
        <v>45658</v>
      </c>
      <c r="I6922">
        <v>4700</v>
      </c>
      <c r="J6922">
        <v>0</v>
      </c>
    </row>
    <row r="6923" spans="1:10" x14ac:dyDescent="0.3">
      <c r="A6923" s="15">
        <v>46054</v>
      </c>
      <c r="B6923" t="s">
        <v>407</v>
      </c>
      <c r="C6923" t="s">
        <v>81</v>
      </c>
      <c r="D6923" t="s">
        <v>82</v>
      </c>
      <c r="E6923" t="s">
        <v>92</v>
      </c>
      <c r="F6923">
        <v>2400</v>
      </c>
      <c r="G6923" t="s">
        <v>331</v>
      </c>
      <c r="H6923" s="15">
        <v>45689</v>
      </c>
      <c r="I6923">
        <v>2400</v>
      </c>
      <c r="J6923">
        <v>0</v>
      </c>
    </row>
    <row r="6924" spans="1:10" x14ac:dyDescent="0.3">
      <c r="A6924" s="15">
        <v>46054</v>
      </c>
      <c r="B6924" t="s">
        <v>409</v>
      </c>
      <c r="C6924" t="s">
        <v>81</v>
      </c>
      <c r="D6924" t="s">
        <v>82</v>
      </c>
      <c r="E6924" t="s">
        <v>83</v>
      </c>
      <c r="F6924">
        <v>1700</v>
      </c>
      <c r="G6924" t="s">
        <v>331</v>
      </c>
      <c r="H6924" s="15">
        <v>45689</v>
      </c>
      <c r="I6924">
        <v>1700</v>
      </c>
      <c r="J6924">
        <v>0</v>
      </c>
    </row>
    <row r="6925" spans="1:10" x14ac:dyDescent="0.3">
      <c r="A6925" s="15">
        <v>46054</v>
      </c>
      <c r="B6925" t="s">
        <v>410</v>
      </c>
      <c r="C6925" t="s">
        <v>125</v>
      </c>
      <c r="D6925" t="s">
        <v>82</v>
      </c>
      <c r="E6925" t="s">
        <v>103</v>
      </c>
      <c r="F6925">
        <v>56400</v>
      </c>
      <c r="G6925" t="s">
        <v>331</v>
      </c>
      <c r="H6925" s="15">
        <v>45689</v>
      </c>
      <c r="I6925">
        <v>56400</v>
      </c>
      <c r="J6925">
        <v>0</v>
      </c>
    </row>
    <row r="6926" spans="1:10" x14ac:dyDescent="0.3">
      <c r="A6926" s="15">
        <v>46054</v>
      </c>
      <c r="B6926" t="s">
        <v>411</v>
      </c>
      <c r="C6926" t="s">
        <v>91</v>
      </c>
      <c r="D6926" t="s">
        <v>86</v>
      </c>
      <c r="E6926" t="s">
        <v>92</v>
      </c>
      <c r="F6926">
        <v>7700</v>
      </c>
      <c r="G6926" t="s">
        <v>331</v>
      </c>
      <c r="H6926" s="15">
        <v>45689</v>
      </c>
      <c r="I6926">
        <v>7700</v>
      </c>
      <c r="J6926">
        <v>0</v>
      </c>
    </row>
    <row r="6927" spans="1:10" x14ac:dyDescent="0.3">
      <c r="A6927" s="15">
        <v>46054</v>
      </c>
      <c r="B6927" t="s">
        <v>413</v>
      </c>
      <c r="C6927" t="s">
        <v>81</v>
      </c>
      <c r="D6927" t="s">
        <v>99</v>
      </c>
      <c r="E6927" t="s">
        <v>101</v>
      </c>
      <c r="F6927">
        <v>2300</v>
      </c>
      <c r="G6927" t="s">
        <v>331</v>
      </c>
      <c r="H6927" s="15">
        <v>45717</v>
      </c>
      <c r="I6927">
        <v>2300</v>
      </c>
      <c r="J6927">
        <v>0</v>
      </c>
    </row>
    <row r="6928" spans="1:10" x14ac:dyDescent="0.3">
      <c r="A6928" s="15">
        <v>46054</v>
      </c>
      <c r="B6928" t="s">
        <v>414</v>
      </c>
      <c r="C6928" t="s">
        <v>110</v>
      </c>
      <c r="D6928" t="s">
        <v>99</v>
      </c>
      <c r="E6928" t="s">
        <v>89</v>
      </c>
      <c r="F6928">
        <v>30900</v>
      </c>
      <c r="G6928" t="s">
        <v>331</v>
      </c>
      <c r="H6928" s="15">
        <v>45717</v>
      </c>
      <c r="I6928">
        <v>30900</v>
      </c>
      <c r="J6928">
        <v>0</v>
      </c>
    </row>
    <row r="6929" spans="1:10" x14ac:dyDescent="0.3">
      <c r="A6929" s="15">
        <v>46054</v>
      </c>
      <c r="B6929" t="s">
        <v>417</v>
      </c>
      <c r="C6929" t="s">
        <v>110</v>
      </c>
      <c r="D6929" t="s">
        <v>86</v>
      </c>
      <c r="E6929" t="s">
        <v>92</v>
      </c>
      <c r="F6929">
        <v>35600</v>
      </c>
      <c r="G6929" t="s">
        <v>331</v>
      </c>
      <c r="H6929" s="15">
        <v>45717</v>
      </c>
      <c r="I6929">
        <v>35600</v>
      </c>
      <c r="J6929">
        <v>0</v>
      </c>
    </row>
    <row r="6930" spans="1:10" x14ac:dyDescent="0.3">
      <c r="A6930" s="15">
        <v>46054</v>
      </c>
      <c r="B6930" t="s">
        <v>418</v>
      </c>
      <c r="C6930" t="s">
        <v>81</v>
      </c>
      <c r="D6930" t="s">
        <v>86</v>
      </c>
      <c r="E6930" t="s">
        <v>92</v>
      </c>
      <c r="F6930">
        <v>1800</v>
      </c>
      <c r="G6930" t="s">
        <v>331</v>
      </c>
      <c r="H6930" s="15">
        <v>45748</v>
      </c>
      <c r="I6930">
        <v>1800</v>
      </c>
      <c r="J6930">
        <v>0</v>
      </c>
    </row>
    <row r="6931" spans="1:10" x14ac:dyDescent="0.3">
      <c r="A6931" s="15">
        <v>46054</v>
      </c>
      <c r="B6931" t="s">
        <v>419</v>
      </c>
      <c r="C6931" t="s">
        <v>125</v>
      </c>
      <c r="D6931" t="s">
        <v>96</v>
      </c>
      <c r="E6931" t="s">
        <v>103</v>
      </c>
      <c r="F6931">
        <v>73300</v>
      </c>
      <c r="G6931" t="s">
        <v>331</v>
      </c>
      <c r="H6931" s="15">
        <v>45748</v>
      </c>
      <c r="I6931">
        <v>73300</v>
      </c>
      <c r="J6931">
        <v>0</v>
      </c>
    </row>
    <row r="6932" spans="1:10" x14ac:dyDescent="0.3">
      <c r="A6932" s="15">
        <v>46054</v>
      </c>
      <c r="B6932" t="s">
        <v>420</v>
      </c>
      <c r="C6932" t="s">
        <v>110</v>
      </c>
      <c r="D6932" t="s">
        <v>96</v>
      </c>
      <c r="E6932" t="s">
        <v>103</v>
      </c>
      <c r="F6932">
        <v>22900</v>
      </c>
      <c r="G6932" t="s">
        <v>331</v>
      </c>
      <c r="H6932" s="15">
        <v>45748</v>
      </c>
      <c r="I6932">
        <v>22900</v>
      </c>
      <c r="J6932">
        <v>0</v>
      </c>
    </row>
    <row r="6933" spans="1:10" x14ac:dyDescent="0.3">
      <c r="A6933" s="15">
        <v>46054</v>
      </c>
      <c r="B6933" t="s">
        <v>421</v>
      </c>
      <c r="C6933" t="s">
        <v>110</v>
      </c>
      <c r="D6933" t="s">
        <v>82</v>
      </c>
      <c r="E6933" t="s">
        <v>103</v>
      </c>
      <c r="F6933">
        <v>18800</v>
      </c>
      <c r="G6933" t="s">
        <v>331</v>
      </c>
      <c r="H6933" s="15">
        <v>45748</v>
      </c>
      <c r="I6933">
        <v>18800</v>
      </c>
      <c r="J6933">
        <v>0</v>
      </c>
    </row>
    <row r="6934" spans="1:10" x14ac:dyDescent="0.3">
      <c r="A6934" s="15">
        <v>46054</v>
      </c>
      <c r="B6934" t="s">
        <v>422</v>
      </c>
      <c r="C6934" t="s">
        <v>81</v>
      </c>
      <c r="D6934" t="s">
        <v>82</v>
      </c>
      <c r="E6934" t="s">
        <v>97</v>
      </c>
      <c r="F6934">
        <v>2300</v>
      </c>
      <c r="G6934" t="s">
        <v>331</v>
      </c>
      <c r="H6934" s="15">
        <v>45748</v>
      </c>
      <c r="I6934">
        <v>2300</v>
      </c>
      <c r="J6934">
        <v>0</v>
      </c>
    </row>
    <row r="6935" spans="1:10" x14ac:dyDescent="0.3">
      <c r="A6935" s="15">
        <v>46054</v>
      </c>
      <c r="B6935" t="s">
        <v>423</v>
      </c>
      <c r="C6935" t="s">
        <v>125</v>
      </c>
      <c r="D6935" t="s">
        <v>86</v>
      </c>
      <c r="E6935" t="s">
        <v>97</v>
      </c>
      <c r="F6935">
        <v>52800</v>
      </c>
      <c r="G6935" t="s">
        <v>331</v>
      </c>
      <c r="H6935" s="15">
        <v>45748</v>
      </c>
      <c r="I6935">
        <v>52800</v>
      </c>
      <c r="J6935">
        <v>0</v>
      </c>
    </row>
    <row r="6936" spans="1:10" x14ac:dyDescent="0.3">
      <c r="A6936" s="15">
        <v>46054</v>
      </c>
      <c r="B6936" t="s">
        <v>425</v>
      </c>
      <c r="C6936" t="s">
        <v>110</v>
      </c>
      <c r="D6936" t="s">
        <v>82</v>
      </c>
      <c r="E6936" t="s">
        <v>97</v>
      </c>
      <c r="F6936">
        <v>22700</v>
      </c>
      <c r="G6936" t="s">
        <v>331</v>
      </c>
      <c r="H6936" s="15">
        <v>45778</v>
      </c>
      <c r="I6936">
        <v>22700</v>
      </c>
      <c r="J6936">
        <v>0</v>
      </c>
    </row>
    <row r="6937" spans="1:10" x14ac:dyDescent="0.3">
      <c r="A6937" s="15">
        <v>46054</v>
      </c>
      <c r="B6937" t="s">
        <v>426</v>
      </c>
      <c r="C6937" t="s">
        <v>81</v>
      </c>
      <c r="D6937" t="s">
        <v>82</v>
      </c>
      <c r="E6937" t="s">
        <v>89</v>
      </c>
      <c r="F6937">
        <v>1900</v>
      </c>
      <c r="G6937" t="s">
        <v>331</v>
      </c>
      <c r="H6937" s="15">
        <v>45778</v>
      </c>
      <c r="I6937">
        <v>1900</v>
      </c>
      <c r="J6937">
        <v>0</v>
      </c>
    </row>
    <row r="6938" spans="1:10" x14ac:dyDescent="0.3">
      <c r="A6938" s="15">
        <v>46054</v>
      </c>
      <c r="B6938" t="s">
        <v>427</v>
      </c>
      <c r="C6938" t="s">
        <v>110</v>
      </c>
      <c r="D6938" t="s">
        <v>82</v>
      </c>
      <c r="E6938" t="s">
        <v>83</v>
      </c>
      <c r="F6938">
        <v>25300</v>
      </c>
      <c r="G6938" t="s">
        <v>331</v>
      </c>
      <c r="H6938" s="15">
        <v>45778</v>
      </c>
      <c r="I6938">
        <v>25300</v>
      </c>
      <c r="J6938">
        <v>0</v>
      </c>
    </row>
    <row r="6939" spans="1:10" x14ac:dyDescent="0.3">
      <c r="A6939" s="15">
        <v>46054</v>
      </c>
      <c r="B6939" t="s">
        <v>428</v>
      </c>
      <c r="C6939" t="s">
        <v>81</v>
      </c>
      <c r="D6939" t="s">
        <v>86</v>
      </c>
      <c r="E6939" t="s">
        <v>89</v>
      </c>
      <c r="F6939">
        <v>2300</v>
      </c>
      <c r="G6939" t="s">
        <v>331</v>
      </c>
      <c r="H6939" s="15">
        <v>45778</v>
      </c>
      <c r="I6939">
        <v>2300</v>
      </c>
      <c r="J6939">
        <v>0</v>
      </c>
    </row>
    <row r="6940" spans="1:10" x14ac:dyDescent="0.3">
      <c r="A6940" s="15">
        <v>46054</v>
      </c>
      <c r="B6940" t="s">
        <v>430</v>
      </c>
      <c r="C6940" t="s">
        <v>110</v>
      </c>
      <c r="D6940" t="s">
        <v>82</v>
      </c>
      <c r="E6940" t="s">
        <v>87</v>
      </c>
      <c r="F6940">
        <v>24300</v>
      </c>
      <c r="G6940" t="s">
        <v>331</v>
      </c>
      <c r="H6940" s="15">
        <v>45809</v>
      </c>
      <c r="I6940">
        <v>24300</v>
      </c>
      <c r="J6940">
        <v>0</v>
      </c>
    </row>
    <row r="6941" spans="1:10" x14ac:dyDescent="0.3">
      <c r="A6941" s="15">
        <v>46054</v>
      </c>
      <c r="B6941" t="s">
        <v>431</v>
      </c>
      <c r="C6941" t="s">
        <v>110</v>
      </c>
      <c r="D6941" t="s">
        <v>82</v>
      </c>
      <c r="E6941" t="s">
        <v>101</v>
      </c>
      <c r="F6941">
        <v>19800</v>
      </c>
      <c r="G6941" t="s">
        <v>331</v>
      </c>
      <c r="H6941" s="15">
        <v>45809</v>
      </c>
      <c r="I6941">
        <v>19800</v>
      </c>
      <c r="J6941">
        <v>0</v>
      </c>
    </row>
    <row r="6942" spans="1:10" x14ac:dyDescent="0.3">
      <c r="A6942" s="15">
        <v>46054</v>
      </c>
      <c r="B6942" t="s">
        <v>435</v>
      </c>
      <c r="C6942" t="s">
        <v>81</v>
      </c>
      <c r="D6942" t="s">
        <v>82</v>
      </c>
      <c r="E6942" t="s">
        <v>92</v>
      </c>
      <c r="F6942">
        <v>1400</v>
      </c>
      <c r="G6942" t="s">
        <v>331</v>
      </c>
      <c r="H6942" s="15">
        <v>45809</v>
      </c>
      <c r="I6942">
        <v>1400</v>
      </c>
      <c r="J6942">
        <v>0</v>
      </c>
    </row>
    <row r="6943" spans="1:10" x14ac:dyDescent="0.3">
      <c r="A6943" s="15">
        <v>46054</v>
      </c>
      <c r="B6943" t="s">
        <v>436</v>
      </c>
      <c r="C6943" t="s">
        <v>81</v>
      </c>
      <c r="D6943" t="s">
        <v>82</v>
      </c>
      <c r="E6943" t="s">
        <v>97</v>
      </c>
      <c r="F6943">
        <v>2100</v>
      </c>
      <c r="G6943" t="s">
        <v>331</v>
      </c>
      <c r="H6943" s="15">
        <v>45839</v>
      </c>
      <c r="I6943">
        <v>2100</v>
      </c>
      <c r="J6943">
        <v>0</v>
      </c>
    </row>
    <row r="6944" spans="1:10" x14ac:dyDescent="0.3">
      <c r="A6944" s="15">
        <v>46054</v>
      </c>
      <c r="B6944" t="s">
        <v>437</v>
      </c>
      <c r="C6944" t="s">
        <v>81</v>
      </c>
      <c r="D6944" t="s">
        <v>99</v>
      </c>
      <c r="E6944" t="s">
        <v>92</v>
      </c>
      <c r="F6944">
        <v>1600</v>
      </c>
      <c r="G6944" t="s">
        <v>331</v>
      </c>
      <c r="H6944" s="15">
        <v>45839</v>
      </c>
      <c r="I6944">
        <v>1600</v>
      </c>
      <c r="J6944">
        <v>0</v>
      </c>
    </row>
    <row r="6945" spans="1:10" x14ac:dyDescent="0.3">
      <c r="A6945" s="15">
        <v>46054</v>
      </c>
      <c r="B6945" t="s">
        <v>438</v>
      </c>
      <c r="C6945" t="s">
        <v>91</v>
      </c>
      <c r="D6945" t="s">
        <v>96</v>
      </c>
      <c r="E6945" t="s">
        <v>101</v>
      </c>
      <c r="F6945">
        <v>8600</v>
      </c>
      <c r="G6945" t="s">
        <v>331</v>
      </c>
      <c r="H6945" s="15">
        <v>45839</v>
      </c>
      <c r="I6945">
        <v>8600</v>
      </c>
      <c r="J6945">
        <v>0</v>
      </c>
    </row>
    <row r="6946" spans="1:10" x14ac:dyDescent="0.3">
      <c r="A6946" s="15">
        <v>46054</v>
      </c>
      <c r="B6946" t="s">
        <v>439</v>
      </c>
      <c r="C6946" t="s">
        <v>81</v>
      </c>
      <c r="D6946" t="s">
        <v>99</v>
      </c>
      <c r="E6946" t="s">
        <v>87</v>
      </c>
      <c r="F6946">
        <v>1700</v>
      </c>
      <c r="G6946" t="s">
        <v>331</v>
      </c>
      <c r="H6946" s="15">
        <v>45839</v>
      </c>
      <c r="I6946">
        <v>1700</v>
      </c>
      <c r="J6946">
        <v>0</v>
      </c>
    </row>
    <row r="6947" spans="1:10" x14ac:dyDescent="0.3">
      <c r="A6947" s="15">
        <v>46054</v>
      </c>
      <c r="B6947" t="s">
        <v>440</v>
      </c>
      <c r="C6947" t="s">
        <v>81</v>
      </c>
      <c r="D6947" t="s">
        <v>82</v>
      </c>
      <c r="E6947" t="s">
        <v>97</v>
      </c>
      <c r="F6947">
        <v>2200</v>
      </c>
      <c r="G6947" t="s">
        <v>331</v>
      </c>
      <c r="H6947" s="15">
        <v>45839</v>
      </c>
      <c r="I6947">
        <v>2200</v>
      </c>
      <c r="J6947">
        <v>0</v>
      </c>
    </row>
    <row r="6948" spans="1:10" x14ac:dyDescent="0.3">
      <c r="A6948" s="15">
        <v>46054</v>
      </c>
      <c r="B6948" t="s">
        <v>441</v>
      </c>
      <c r="C6948" t="s">
        <v>110</v>
      </c>
      <c r="D6948" t="s">
        <v>86</v>
      </c>
      <c r="E6948" t="s">
        <v>97</v>
      </c>
      <c r="F6948">
        <v>35800</v>
      </c>
      <c r="G6948" t="s">
        <v>331</v>
      </c>
      <c r="H6948" s="15">
        <v>45839</v>
      </c>
      <c r="I6948">
        <v>35800</v>
      </c>
      <c r="J6948">
        <v>0</v>
      </c>
    </row>
    <row r="6949" spans="1:10" x14ac:dyDescent="0.3">
      <c r="A6949" s="15">
        <v>46054</v>
      </c>
      <c r="B6949" t="s">
        <v>442</v>
      </c>
      <c r="C6949" t="s">
        <v>110</v>
      </c>
      <c r="D6949" t="s">
        <v>86</v>
      </c>
      <c r="E6949" t="s">
        <v>83</v>
      </c>
      <c r="F6949">
        <v>23900</v>
      </c>
      <c r="G6949" t="s">
        <v>331</v>
      </c>
      <c r="H6949" s="15">
        <v>45870</v>
      </c>
      <c r="I6949">
        <v>23900</v>
      </c>
      <c r="J6949">
        <v>0</v>
      </c>
    </row>
    <row r="6950" spans="1:10" x14ac:dyDescent="0.3">
      <c r="A6950" s="15">
        <v>46054</v>
      </c>
      <c r="B6950" t="s">
        <v>443</v>
      </c>
      <c r="C6950" t="s">
        <v>81</v>
      </c>
      <c r="D6950" t="s">
        <v>86</v>
      </c>
      <c r="E6950" t="s">
        <v>101</v>
      </c>
      <c r="F6950">
        <v>1800</v>
      </c>
      <c r="G6950" t="s">
        <v>331</v>
      </c>
      <c r="H6950" s="15">
        <v>45870</v>
      </c>
      <c r="I6950">
        <v>1800</v>
      </c>
      <c r="J6950">
        <v>0</v>
      </c>
    </row>
    <row r="6951" spans="1:10" x14ac:dyDescent="0.3">
      <c r="A6951" s="15">
        <v>46054</v>
      </c>
      <c r="B6951" t="s">
        <v>444</v>
      </c>
      <c r="C6951" t="s">
        <v>125</v>
      </c>
      <c r="D6951" t="s">
        <v>82</v>
      </c>
      <c r="E6951" t="s">
        <v>92</v>
      </c>
      <c r="F6951">
        <v>71600</v>
      </c>
      <c r="G6951" t="s">
        <v>331</v>
      </c>
      <c r="H6951" s="15">
        <v>45870</v>
      </c>
      <c r="I6951">
        <v>71600</v>
      </c>
      <c r="J6951">
        <v>0</v>
      </c>
    </row>
    <row r="6952" spans="1:10" x14ac:dyDescent="0.3">
      <c r="A6952" s="15">
        <v>46054</v>
      </c>
      <c r="B6952" t="s">
        <v>445</v>
      </c>
      <c r="C6952" t="s">
        <v>91</v>
      </c>
      <c r="D6952" t="s">
        <v>82</v>
      </c>
      <c r="E6952" t="s">
        <v>89</v>
      </c>
      <c r="F6952">
        <v>4700</v>
      </c>
      <c r="G6952" t="s">
        <v>331</v>
      </c>
      <c r="H6952" s="15">
        <v>45870</v>
      </c>
      <c r="I6952">
        <v>4700</v>
      </c>
      <c r="J6952">
        <v>0</v>
      </c>
    </row>
    <row r="6953" spans="1:10" x14ac:dyDescent="0.3">
      <c r="A6953" s="15">
        <v>46054</v>
      </c>
      <c r="B6953" t="s">
        <v>446</v>
      </c>
      <c r="C6953" t="s">
        <v>81</v>
      </c>
      <c r="D6953" t="s">
        <v>86</v>
      </c>
      <c r="E6953" t="s">
        <v>97</v>
      </c>
      <c r="F6953">
        <v>1600</v>
      </c>
      <c r="G6953" t="s">
        <v>331</v>
      </c>
      <c r="H6953" s="15">
        <v>45870</v>
      </c>
      <c r="I6953">
        <v>1600</v>
      </c>
      <c r="J6953">
        <v>0</v>
      </c>
    </row>
    <row r="6954" spans="1:10" x14ac:dyDescent="0.3">
      <c r="A6954" s="15">
        <v>46054</v>
      </c>
      <c r="B6954" t="s">
        <v>447</v>
      </c>
      <c r="C6954" t="s">
        <v>81</v>
      </c>
      <c r="D6954" t="s">
        <v>86</v>
      </c>
      <c r="E6954" t="s">
        <v>103</v>
      </c>
      <c r="F6954">
        <v>2300</v>
      </c>
      <c r="G6954" t="s">
        <v>331</v>
      </c>
      <c r="H6954" s="15">
        <v>45870</v>
      </c>
      <c r="I6954">
        <v>2300</v>
      </c>
      <c r="J6954">
        <v>0</v>
      </c>
    </row>
    <row r="6955" spans="1:10" x14ac:dyDescent="0.3">
      <c r="A6955" s="15">
        <v>46054</v>
      </c>
      <c r="B6955" t="s">
        <v>448</v>
      </c>
      <c r="C6955" t="s">
        <v>125</v>
      </c>
      <c r="D6955" t="s">
        <v>86</v>
      </c>
      <c r="E6955" t="s">
        <v>89</v>
      </c>
      <c r="F6955">
        <v>64000</v>
      </c>
      <c r="G6955" t="s">
        <v>331</v>
      </c>
      <c r="H6955" s="15">
        <v>45870</v>
      </c>
      <c r="I6955">
        <v>64000</v>
      </c>
      <c r="J6955">
        <v>0</v>
      </c>
    </row>
    <row r="6956" spans="1:10" x14ac:dyDescent="0.3">
      <c r="A6956" s="15">
        <v>46054</v>
      </c>
      <c r="B6956" t="s">
        <v>449</v>
      </c>
      <c r="C6956" t="s">
        <v>81</v>
      </c>
      <c r="D6956" t="s">
        <v>82</v>
      </c>
      <c r="E6956" t="s">
        <v>92</v>
      </c>
      <c r="F6956">
        <v>1600</v>
      </c>
      <c r="G6956" t="s">
        <v>331</v>
      </c>
      <c r="H6956" s="15">
        <v>45870</v>
      </c>
      <c r="I6956">
        <v>1600</v>
      </c>
      <c r="J6956">
        <v>0</v>
      </c>
    </row>
    <row r="6957" spans="1:10" x14ac:dyDescent="0.3">
      <c r="A6957" s="15">
        <v>46054</v>
      </c>
      <c r="B6957" t="s">
        <v>450</v>
      </c>
      <c r="C6957" t="s">
        <v>81</v>
      </c>
      <c r="D6957" t="s">
        <v>86</v>
      </c>
      <c r="E6957" t="s">
        <v>89</v>
      </c>
      <c r="F6957">
        <v>1900</v>
      </c>
      <c r="G6957" t="s">
        <v>331</v>
      </c>
      <c r="H6957" s="15">
        <v>45901</v>
      </c>
      <c r="I6957">
        <v>1900</v>
      </c>
      <c r="J6957">
        <v>0</v>
      </c>
    </row>
    <row r="6958" spans="1:10" x14ac:dyDescent="0.3">
      <c r="A6958" s="15">
        <v>46054</v>
      </c>
      <c r="B6958" t="s">
        <v>451</v>
      </c>
      <c r="C6958" t="s">
        <v>110</v>
      </c>
      <c r="D6958" t="s">
        <v>82</v>
      </c>
      <c r="E6958" t="s">
        <v>92</v>
      </c>
      <c r="F6958">
        <v>26100</v>
      </c>
      <c r="G6958" t="s">
        <v>331</v>
      </c>
      <c r="H6958" s="15">
        <v>45901</v>
      </c>
      <c r="I6958">
        <v>26100</v>
      </c>
      <c r="J6958">
        <v>0</v>
      </c>
    </row>
    <row r="6959" spans="1:10" x14ac:dyDescent="0.3">
      <c r="A6959" s="15">
        <v>46054</v>
      </c>
      <c r="B6959" t="s">
        <v>452</v>
      </c>
      <c r="C6959" t="s">
        <v>91</v>
      </c>
      <c r="D6959" t="s">
        <v>86</v>
      </c>
      <c r="E6959" t="s">
        <v>92</v>
      </c>
      <c r="F6959">
        <v>8600</v>
      </c>
      <c r="G6959" t="s">
        <v>331</v>
      </c>
      <c r="H6959" s="15">
        <v>45901</v>
      </c>
      <c r="I6959">
        <v>8600</v>
      </c>
      <c r="J6959">
        <v>0</v>
      </c>
    </row>
    <row r="6960" spans="1:10" x14ac:dyDescent="0.3">
      <c r="A6960" s="15">
        <v>46054</v>
      </c>
      <c r="B6960" t="s">
        <v>454</v>
      </c>
      <c r="C6960" t="s">
        <v>91</v>
      </c>
      <c r="D6960" t="s">
        <v>82</v>
      </c>
      <c r="E6960" t="s">
        <v>89</v>
      </c>
      <c r="F6960">
        <v>6200</v>
      </c>
      <c r="G6960" t="s">
        <v>331</v>
      </c>
      <c r="H6960" s="15">
        <v>45901</v>
      </c>
      <c r="I6960">
        <v>6200</v>
      </c>
      <c r="J6960">
        <v>0</v>
      </c>
    </row>
    <row r="6961" spans="1:10" x14ac:dyDescent="0.3">
      <c r="A6961" s="15">
        <v>46054</v>
      </c>
      <c r="B6961" t="s">
        <v>455</v>
      </c>
      <c r="C6961" t="s">
        <v>125</v>
      </c>
      <c r="D6961" t="s">
        <v>99</v>
      </c>
      <c r="E6961" t="s">
        <v>103</v>
      </c>
      <c r="F6961">
        <v>75900</v>
      </c>
      <c r="G6961" t="s">
        <v>331</v>
      </c>
      <c r="H6961" s="15">
        <v>45901</v>
      </c>
      <c r="I6961">
        <v>75900</v>
      </c>
      <c r="J6961">
        <v>0</v>
      </c>
    </row>
    <row r="6962" spans="1:10" x14ac:dyDescent="0.3">
      <c r="A6962" s="15">
        <v>46054</v>
      </c>
      <c r="B6962" t="s">
        <v>457</v>
      </c>
      <c r="C6962" t="s">
        <v>81</v>
      </c>
      <c r="D6962" t="s">
        <v>86</v>
      </c>
      <c r="E6962" t="s">
        <v>89</v>
      </c>
      <c r="F6962">
        <v>2200</v>
      </c>
      <c r="G6962" t="s">
        <v>331</v>
      </c>
      <c r="H6962" s="15">
        <v>45931</v>
      </c>
      <c r="I6962">
        <v>2200</v>
      </c>
      <c r="J6962">
        <v>0</v>
      </c>
    </row>
    <row r="6963" spans="1:10" x14ac:dyDescent="0.3">
      <c r="A6963" s="15">
        <v>46054</v>
      </c>
      <c r="B6963" t="s">
        <v>458</v>
      </c>
      <c r="C6963" t="s">
        <v>91</v>
      </c>
      <c r="D6963" t="s">
        <v>86</v>
      </c>
      <c r="E6963" t="s">
        <v>83</v>
      </c>
      <c r="F6963">
        <v>8300</v>
      </c>
      <c r="G6963" t="s">
        <v>331</v>
      </c>
      <c r="H6963" s="15">
        <v>45931</v>
      </c>
      <c r="I6963">
        <v>8300</v>
      </c>
      <c r="J6963">
        <v>0</v>
      </c>
    </row>
    <row r="6964" spans="1:10" x14ac:dyDescent="0.3">
      <c r="A6964" s="15">
        <v>46054</v>
      </c>
      <c r="B6964" t="s">
        <v>459</v>
      </c>
      <c r="C6964" t="s">
        <v>91</v>
      </c>
      <c r="D6964" t="s">
        <v>99</v>
      </c>
      <c r="E6964" t="s">
        <v>87</v>
      </c>
      <c r="F6964">
        <v>5800</v>
      </c>
      <c r="G6964" t="s">
        <v>331</v>
      </c>
      <c r="H6964" s="15">
        <v>45931</v>
      </c>
      <c r="I6964">
        <v>5800</v>
      </c>
      <c r="J6964">
        <v>0</v>
      </c>
    </row>
    <row r="6965" spans="1:10" x14ac:dyDescent="0.3">
      <c r="A6965" s="15">
        <v>46054</v>
      </c>
      <c r="B6965" t="s">
        <v>460</v>
      </c>
      <c r="C6965" t="s">
        <v>91</v>
      </c>
      <c r="D6965" t="s">
        <v>86</v>
      </c>
      <c r="E6965" t="s">
        <v>101</v>
      </c>
      <c r="F6965">
        <v>5300</v>
      </c>
      <c r="G6965" t="s">
        <v>331</v>
      </c>
      <c r="H6965" s="15">
        <v>45931</v>
      </c>
      <c r="I6965">
        <v>5300</v>
      </c>
      <c r="J6965">
        <v>0</v>
      </c>
    </row>
    <row r="6966" spans="1:10" x14ac:dyDescent="0.3">
      <c r="A6966" s="15">
        <v>46054</v>
      </c>
      <c r="B6966" t="s">
        <v>461</v>
      </c>
      <c r="C6966" t="s">
        <v>81</v>
      </c>
      <c r="D6966" t="s">
        <v>86</v>
      </c>
      <c r="E6966" t="s">
        <v>92</v>
      </c>
      <c r="F6966">
        <v>1500</v>
      </c>
      <c r="G6966" t="s">
        <v>331</v>
      </c>
      <c r="H6966" s="15">
        <v>45931</v>
      </c>
      <c r="I6966">
        <v>1500</v>
      </c>
      <c r="J6966">
        <v>0</v>
      </c>
    </row>
    <row r="6967" spans="1:10" x14ac:dyDescent="0.3">
      <c r="A6967" s="15">
        <v>46054</v>
      </c>
      <c r="B6967" t="s">
        <v>462</v>
      </c>
      <c r="C6967" t="s">
        <v>81</v>
      </c>
      <c r="D6967" t="s">
        <v>86</v>
      </c>
      <c r="E6967" t="s">
        <v>92</v>
      </c>
      <c r="F6967">
        <v>2200</v>
      </c>
      <c r="G6967" t="s">
        <v>331</v>
      </c>
      <c r="H6967" s="15">
        <v>45931</v>
      </c>
      <c r="I6967">
        <v>2200</v>
      </c>
      <c r="J6967">
        <v>0</v>
      </c>
    </row>
    <row r="6968" spans="1:10" x14ac:dyDescent="0.3">
      <c r="A6968" s="15">
        <v>46054</v>
      </c>
      <c r="B6968" t="s">
        <v>463</v>
      </c>
      <c r="C6968" t="s">
        <v>91</v>
      </c>
      <c r="D6968" t="s">
        <v>86</v>
      </c>
      <c r="E6968" t="s">
        <v>89</v>
      </c>
      <c r="F6968">
        <v>0</v>
      </c>
      <c r="G6968" t="s">
        <v>333</v>
      </c>
      <c r="H6968" s="15">
        <v>45962</v>
      </c>
      <c r="I6968">
        <v>8800</v>
      </c>
      <c r="J6968">
        <v>-8800</v>
      </c>
    </row>
    <row r="6969" spans="1:10" x14ac:dyDescent="0.3">
      <c r="A6969" s="15">
        <v>46054</v>
      </c>
      <c r="B6969" t="s">
        <v>464</v>
      </c>
      <c r="C6969" t="s">
        <v>91</v>
      </c>
      <c r="D6969" t="s">
        <v>99</v>
      </c>
      <c r="E6969" t="s">
        <v>87</v>
      </c>
      <c r="F6969">
        <v>6000</v>
      </c>
      <c r="G6969" t="s">
        <v>331</v>
      </c>
      <c r="H6969" s="15">
        <v>45962</v>
      </c>
      <c r="I6969">
        <v>6000</v>
      </c>
      <c r="J6969">
        <v>0</v>
      </c>
    </row>
    <row r="6970" spans="1:10" x14ac:dyDescent="0.3">
      <c r="A6970" s="15">
        <v>46054</v>
      </c>
      <c r="B6970" t="s">
        <v>465</v>
      </c>
      <c r="C6970" t="s">
        <v>81</v>
      </c>
      <c r="D6970" t="s">
        <v>86</v>
      </c>
      <c r="E6970" t="s">
        <v>87</v>
      </c>
      <c r="F6970">
        <v>2000</v>
      </c>
      <c r="G6970" t="s">
        <v>331</v>
      </c>
      <c r="H6970" s="15">
        <v>45962</v>
      </c>
      <c r="I6970">
        <v>2000</v>
      </c>
      <c r="J6970">
        <v>0</v>
      </c>
    </row>
    <row r="6971" spans="1:10" x14ac:dyDescent="0.3">
      <c r="A6971" s="15">
        <v>46054</v>
      </c>
      <c r="B6971" t="s">
        <v>466</v>
      </c>
      <c r="C6971" t="s">
        <v>81</v>
      </c>
      <c r="D6971" t="s">
        <v>99</v>
      </c>
      <c r="E6971" t="s">
        <v>92</v>
      </c>
      <c r="F6971">
        <v>1400</v>
      </c>
      <c r="G6971" t="s">
        <v>331</v>
      </c>
      <c r="H6971" s="15">
        <v>45962</v>
      </c>
      <c r="I6971">
        <v>1400</v>
      </c>
      <c r="J6971">
        <v>0</v>
      </c>
    </row>
    <row r="6972" spans="1:10" x14ac:dyDescent="0.3">
      <c r="A6972" s="15">
        <v>46054</v>
      </c>
      <c r="B6972" t="s">
        <v>467</v>
      </c>
      <c r="C6972" t="s">
        <v>91</v>
      </c>
      <c r="D6972" t="s">
        <v>86</v>
      </c>
      <c r="E6972" t="s">
        <v>89</v>
      </c>
      <c r="F6972">
        <v>8200</v>
      </c>
      <c r="G6972" t="s">
        <v>331</v>
      </c>
      <c r="H6972" s="15">
        <v>45962</v>
      </c>
      <c r="I6972">
        <v>8200</v>
      </c>
      <c r="J6972">
        <v>0</v>
      </c>
    </row>
    <row r="6973" spans="1:10" x14ac:dyDescent="0.3">
      <c r="A6973" s="15">
        <v>46054</v>
      </c>
      <c r="B6973" t="s">
        <v>468</v>
      </c>
      <c r="C6973" t="s">
        <v>81</v>
      </c>
      <c r="D6973" t="s">
        <v>86</v>
      </c>
      <c r="E6973" t="s">
        <v>92</v>
      </c>
      <c r="F6973">
        <v>1900</v>
      </c>
      <c r="G6973" t="s">
        <v>331</v>
      </c>
      <c r="H6973" s="15">
        <v>45992</v>
      </c>
      <c r="I6973">
        <v>1900</v>
      </c>
      <c r="J6973">
        <v>0</v>
      </c>
    </row>
    <row r="6974" spans="1:10" x14ac:dyDescent="0.3">
      <c r="A6974" s="15">
        <v>46054</v>
      </c>
      <c r="B6974" t="s">
        <v>469</v>
      </c>
      <c r="C6974" t="s">
        <v>81</v>
      </c>
      <c r="D6974" t="s">
        <v>86</v>
      </c>
      <c r="E6974" t="s">
        <v>87</v>
      </c>
      <c r="F6974">
        <v>2500</v>
      </c>
      <c r="G6974" t="s">
        <v>331</v>
      </c>
      <c r="H6974" s="15">
        <v>45992</v>
      </c>
      <c r="I6974">
        <v>2500</v>
      </c>
      <c r="J6974">
        <v>0</v>
      </c>
    </row>
    <row r="6975" spans="1:10" x14ac:dyDescent="0.3">
      <c r="A6975" s="15">
        <v>46054</v>
      </c>
      <c r="B6975" t="s">
        <v>470</v>
      </c>
      <c r="C6975" t="s">
        <v>81</v>
      </c>
      <c r="D6975" t="s">
        <v>86</v>
      </c>
      <c r="E6975" t="s">
        <v>103</v>
      </c>
      <c r="F6975">
        <v>1600</v>
      </c>
      <c r="G6975" t="s">
        <v>331</v>
      </c>
      <c r="H6975" s="15">
        <v>45992</v>
      </c>
      <c r="I6975">
        <v>1600</v>
      </c>
      <c r="J6975">
        <v>0</v>
      </c>
    </row>
    <row r="6976" spans="1:10" x14ac:dyDescent="0.3">
      <c r="A6976" s="15">
        <v>46054</v>
      </c>
      <c r="B6976" t="s">
        <v>471</v>
      </c>
      <c r="C6976" t="s">
        <v>110</v>
      </c>
      <c r="D6976" t="s">
        <v>86</v>
      </c>
      <c r="E6976" t="s">
        <v>103</v>
      </c>
      <c r="F6976">
        <v>31000</v>
      </c>
      <c r="G6976" t="s">
        <v>331</v>
      </c>
      <c r="H6976" s="15">
        <v>45992</v>
      </c>
      <c r="I6976">
        <v>31000</v>
      </c>
      <c r="J6976">
        <v>0</v>
      </c>
    </row>
    <row r="6977" spans="1:10" x14ac:dyDescent="0.3">
      <c r="A6977" s="15">
        <v>46054</v>
      </c>
      <c r="B6977" t="s">
        <v>472</v>
      </c>
      <c r="C6977" t="s">
        <v>91</v>
      </c>
      <c r="D6977" t="s">
        <v>86</v>
      </c>
      <c r="E6977" t="s">
        <v>97</v>
      </c>
      <c r="F6977">
        <v>5100</v>
      </c>
      <c r="G6977" t="s">
        <v>331</v>
      </c>
      <c r="H6977" s="15">
        <v>45992</v>
      </c>
      <c r="I6977">
        <v>5100</v>
      </c>
      <c r="J6977">
        <v>0</v>
      </c>
    </row>
    <row r="6978" spans="1:10" x14ac:dyDescent="0.3">
      <c r="A6978" s="15">
        <v>46054</v>
      </c>
      <c r="B6978" t="s">
        <v>473</v>
      </c>
      <c r="C6978" t="s">
        <v>110</v>
      </c>
      <c r="D6978" t="s">
        <v>86</v>
      </c>
      <c r="E6978" t="s">
        <v>97</v>
      </c>
      <c r="F6978">
        <v>0</v>
      </c>
      <c r="G6978" t="s">
        <v>333</v>
      </c>
      <c r="H6978" s="15">
        <v>45992</v>
      </c>
      <c r="I6978">
        <v>20000</v>
      </c>
      <c r="J6978">
        <v>-20000</v>
      </c>
    </row>
    <row r="6979" spans="1:10" x14ac:dyDescent="0.3">
      <c r="A6979" s="15">
        <v>46054</v>
      </c>
      <c r="B6979" t="s">
        <v>474</v>
      </c>
      <c r="C6979" t="s">
        <v>81</v>
      </c>
      <c r="D6979" t="s">
        <v>99</v>
      </c>
      <c r="E6979" t="s">
        <v>92</v>
      </c>
      <c r="F6979">
        <v>1400</v>
      </c>
      <c r="G6979" t="s">
        <v>331</v>
      </c>
      <c r="H6979" s="15">
        <v>45992</v>
      </c>
      <c r="I6979">
        <v>1400</v>
      </c>
      <c r="J6979">
        <v>0</v>
      </c>
    </row>
    <row r="6980" spans="1:10" x14ac:dyDescent="0.3">
      <c r="A6980" s="15">
        <v>46054</v>
      </c>
      <c r="B6980" t="s">
        <v>475</v>
      </c>
      <c r="C6980" t="s">
        <v>110</v>
      </c>
      <c r="D6980" t="s">
        <v>82</v>
      </c>
      <c r="E6980" t="s">
        <v>101</v>
      </c>
      <c r="F6980">
        <v>35000</v>
      </c>
      <c r="G6980" t="s">
        <v>331</v>
      </c>
      <c r="H6980" s="15">
        <v>45992</v>
      </c>
      <c r="I6980">
        <v>35000</v>
      </c>
      <c r="J6980">
        <v>0</v>
      </c>
    </row>
    <row r="6981" spans="1:10" x14ac:dyDescent="0.3">
      <c r="A6981" s="15">
        <v>46054</v>
      </c>
      <c r="B6981" t="s">
        <v>476</v>
      </c>
      <c r="C6981" t="s">
        <v>81</v>
      </c>
      <c r="D6981" t="s">
        <v>82</v>
      </c>
      <c r="E6981" t="s">
        <v>89</v>
      </c>
      <c r="F6981">
        <v>2600</v>
      </c>
      <c r="G6981" t="s">
        <v>331</v>
      </c>
      <c r="H6981" s="15">
        <v>45992</v>
      </c>
      <c r="I6981">
        <v>2600</v>
      </c>
      <c r="J6981">
        <v>0</v>
      </c>
    </row>
    <row r="6982" spans="1:10" x14ac:dyDescent="0.3">
      <c r="A6982" s="15">
        <v>46054</v>
      </c>
      <c r="B6982" t="s">
        <v>477</v>
      </c>
      <c r="C6982" t="s">
        <v>81</v>
      </c>
      <c r="D6982" t="s">
        <v>82</v>
      </c>
      <c r="E6982" t="s">
        <v>92</v>
      </c>
      <c r="F6982">
        <v>2100</v>
      </c>
      <c r="G6982" t="s">
        <v>331</v>
      </c>
      <c r="H6982" s="15">
        <v>46023</v>
      </c>
      <c r="I6982">
        <v>2100</v>
      </c>
      <c r="J6982">
        <v>0</v>
      </c>
    </row>
    <row r="6983" spans="1:10" x14ac:dyDescent="0.3">
      <c r="A6983" s="15">
        <v>46054</v>
      </c>
      <c r="B6983" t="s">
        <v>478</v>
      </c>
      <c r="C6983" t="s">
        <v>91</v>
      </c>
      <c r="D6983" t="s">
        <v>82</v>
      </c>
      <c r="E6983" t="s">
        <v>97</v>
      </c>
      <c r="F6983">
        <v>6500</v>
      </c>
      <c r="G6983" t="s">
        <v>331</v>
      </c>
      <c r="H6983" s="15">
        <v>46023</v>
      </c>
      <c r="I6983">
        <v>6500</v>
      </c>
      <c r="J6983">
        <v>0</v>
      </c>
    </row>
    <row r="6984" spans="1:10" x14ac:dyDescent="0.3">
      <c r="A6984" s="15">
        <v>46054</v>
      </c>
      <c r="B6984" t="s">
        <v>479</v>
      </c>
      <c r="C6984" t="s">
        <v>81</v>
      </c>
      <c r="D6984" t="s">
        <v>82</v>
      </c>
      <c r="E6984" t="s">
        <v>87</v>
      </c>
      <c r="F6984">
        <v>1600</v>
      </c>
      <c r="G6984" t="s">
        <v>331</v>
      </c>
      <c r="H6984" s="15">
        <v>46023</v>
      </c>
      <c r="I6984">
        <v>1600</v>
      </c>
      <c r="J6984">
        <v>0</v>
      </c>
    </row>
    <row r="6985" spans="1:10" x14ac:dyDescent="0.3">
      <c r="A6985" s="15">
        <v>46054</v>
      </c>
      <c r="B6985" t="s">
        <v>480</v>
      </c>
      <c r="C6985" t="s">
        <v>81</v>
      </c>
      <c r="D6985" t="s">
        <v>86</v>
      </c>
      <c r="E6985" t="s">
        <v>103</v>
      </c>
      <c r="F6985">
        <v>1600</v>
      </c>
      <c r="G6985" t="s">
        <v>331</v>
      </c>
      <c r="H6985" s="15">
        <v>46023</v>
      </c>
      <c r="I6985">
        <v>1600</v>
      </c>
      <c r="J6985">
        <v>0</v>
      </c>
    </row>
    <row r="6986" spans="1:10" x14ac:dyDescent="0.3">
      <c r="A6986" s="15">
        <v>46054</v>
      </c>
      <c r="B6986" t="s">
        <v>481</v>
      </c>
      <c r="C6986" t="s">
        <v>81</v>
      </c>
      <c r="D6986" t="s">
        <v>82</v>
      </c>
      <c r="E6986" t="s">
        <v>103</v>
      </c>
      <c r="F6986">
        <v>1800</v>
      </c>
      <c r="G6986" t="s">
        <v>331</v>
      </c>
      <c r="H6986" s="15">
        <v>46023</v>
      </c>
      <c r="I6986">
        <v>1800</v>
      </c>
      <c r="J6986">
        <v>0</v>
      </c>
    </row>
    <row r="6987" spans="1:10" x14ac:dyDescent="0.3">
      <c r="A6987" s="15">
        <v>46054</v>
      </c>
      <c r="B6987" t="s">
        <v>482</v>
      </c>
      <c r="C6987" t="s">
        <v>110</v>
      </c>
      <c r="D6987" t="s">
        <v>82</v>
      </c>
      <c r="E6987" t="s">
        <v>83</v>
      </c>
      <c r="F6987">
        <v>18100</v>
      </c>
      <c r="G6987" t="s">
        <v>331</v>
      </c>
      <c r="H6987" s="15">
        <v>46023</v>
      </c>
      <c r="I6987">
        <v>18100</v>
      </c>
      <c r="J6987">
        <v>0</v>
      </c>
    </row>
    <row r="6988" spans="1:10" x14ac:dyDescent="0.3">
      <c r="A6988" s="15">
        <v>46054</v>
      </c>
      <c r="B6988" t="s">
        <v>483</v>
      </c>
      <c r="C6988" t="s">
        <v>81</v>
      </c>
      <c r="D6988" t="s">
        <v>82</v>
      </c>
      <c r="E6988" t="s">
        <v>89</v>
      </c>
      <c r="F6988">
        <v>2000</v>
      </c>
      <c r="G6988" t="s">
        <v>332</v>
      </c>
      <c r="H6988" s="15">
        <v>46023</v>
      </c>
      <c r="I6988">
        <v>1900</v>
      </c>
      <c r="J6988">
        <v>100</v>
      </c>
    </row>
    <row r="6989" spans="1:10" x14ac:dyDescent="0.3">
      <c r="A6989" s="15">
        <v>46054</v>
      </c>
      <c r="B6989" t="s">
        <v>484</v>
      </c>
      <c r="C6989" t="s">
        <v>110</v>
      </c>
      <c r="D6989" t="s">
        <v>99</v>
      </c>
      <c r="E6989" t="s">
        <v>101</v>
      </c>
      <c r="F6989">
        <v>21400</v>
      </c>
      <c r="G6989" t="s">
        <v>84</v>
      </c>
      <c r="H6989" s="15">
        <v>46054</v>
      </c>
      <c r="I6989">
        <v>0</v>
      </c>
      <c r="J6989">
        <v>21400</v>
      </c>
    </row>
    <row r="6990" spans="1:10" x14ac:dyDescent="0.3">
      <c r="A6990" s="15">
        <v>46054</v>
      </c>
      <c r="B6990" t="s">
        <v>485</v>
      </c>
      <c r="C6990" t="s">
        <v>125</v>
      </c>
      <c r="D6990" t="s">
        <v>82</v>
      </c>
      <c r="E6990" t="s">
        <v>89</v>
      </c>
      <c r="F6990">
        <v>65800</v>
      </c>
      <c r="G6990" t="s">
        <v>84</v>
      </c>
      <c r="H6990" s="15">
        <v>46054</v>
      </c>
      <c r="I6990">
        <v>0</v>
      </c>
      <c r="J6990">
        <v>65800</v>
      </c>
    </row>
    <row r="6991" spans="1:10" x14ac:dyDescent="0.3">
      <c r="A6991" s="15">
        <v>46054</v>
      </c>
      <c r="B6991" t="s">
        <v>486</v>
      </c>
      <c r="C6991" t="s">
        <v>81</v>
      </c>
      <c r="D6991" t="s">
        <v>82</v>
      </c>
      <c r="E6991" t="s">
        <v>87</v>
      </c>
      <c r="F6991">
        <v>1500</v>
      </c>
      <c r="G6991" t="s">
        <v>84</v>
      </c>
      <c r="H6991" s="15">
        <v>46054</v>
      </c>
      <c r="I6991">
        <v>0</v>
      </c>
      <c r="J6991">
        <v>1500</v>
      </c>
    </row>
    <row r="6992" spans="1:10" x14ac:dyDescent="0.3">
      <c r="A6992" s="15">
        <v>46054</v>
      </c>
      <c r="B6992" t="s">
        <v>487</v>
      </c>
      <c r="C6992" t="s">
        <v>81</v>
      </c>
      <c r="D6992" t="s">
        <v>86</v>
      </c>
      <c r="E6992" t="s">
        <v>83</v>
      </c>
      <c r="F6992">
        <v>1800</v>
      </c>
      <c r="G6992" t="s">
        <v>84</v>
      </c>
      <c r="H6992" s="15">
        <v>46054</v>
      </c>
      <c r="I6992">
        <v>0</v>
      </c>
      <c r="J6992">
        <v>1800</v>
      </c>
    </row>
    <row r="6993" spans="1:10" x14ac:dyDescent="0.3">
      <c r="A6993" s="15">
        <v>46054</v>
      </c>
      <c r="B6993" t="s">
        <v>488</v>
      </c>
      <c r="C6993" t="s">
        <v>91</v>
      </c>
      <c r="D6993" t="s">
        <v>86</v>
      </c>
      <c r="E6993" t="s">
        <v>89</v>
      </c>
      <c r="F6993">
        <v>6800</v>
      </c>
      <c r="G6993" t="s">
        <v>84</v>
      </c>
      <c r="H6993" s="15">
        <v>46054</v>
      </c>
      <c r="I6993">
        <v>0</v>
      </c>
      <c r="J6993">
        <v>6800</v>
      </c>
    </row>
    <row r="6994" spans="1:10" x14ac:dyDescent="0.3">
      <c r="A6994" s="15">
        <v>46054</v>
      </c>
      <c r="B6994" t="s">
        <v>489</v>
      </c>
      <c r="C6994" t="s">
        <v>81</v>
      </c>
      <c r="D6994" t="s">
        <v>96</v>
      </c>
      <c r="E6994" t="s">
        <v>97</v>
      </c>
      <c r="F6994">
        <v>1400</v>
      </c>
      <c r="G6994" t="s">
        <v>84</v>
      </c>
      <c r="H6994" s="15">
        <v>46054</v>
      </c>
      <c r="I6994">
        <v>0</v>
      </c>
      <c r="J6994">
        <v>1400</v>
      </c>
    </row>
    <row r="6995" spans="1:10" x14ac:dyDescent="0.3">
      <c r="A6995" s="15">
        <v>46054</v>
      </c>
      <c r="B6995" t="s">
        <v>490</v>
      </c>
      <c r="C6995" t="s">
        <v>81</v>
      </c>
      <c r="D6995" t="s">
        <v>86</v>
      </c>
      <c r="E6995" t="s">
        <v>103</v>
      </c>
      <c r="F6995">
        <v>1800</v>
      </c>
      <c r="G6995" t="s">
        <v>84</v>
      </c>
      <c r="H6995" s="15">
        <v>46054</v>
      </c>
      <c r="I6995">
        <v>0</v>
      </c>
      <c r="J6995">
        <v>1800</v>
      </c>
    </row>
    <row r="6996" spans="1:10" x14ac:dyDescent="0.3">
      <c r="A6996" s="15">
        <v>46054</v>
      </c>
      <c r="B6996" t="s">
        <v>491</v>
      </c>
      <c r="C6996" t="s">
        <v>81</v>
      </c>
      <c r="D6996" t="s">
        <v>96</v>
      </c>
      <c r="E6996" t="s">
        <v>92</v>
      </c>
      <c r="F6996">
        <v>1600</v>
      </c>
      <c r="G6996" t="s">
        <v>84</v>
      </c>
      <c r="H6996" s="15">
        <v>46054</v>
      </c>
      <c r="I6996">
        <v>0</v>
      </c>
      <c r="J6996">
        <v>1600</v>
      </c>
    </row>
    <row r="6997" spans="1:10" x14ac:dyDescent="0.3">
      <c r="A6997" s="15">
        <v>46082</v>
      </c>
      <c r="B6997" t="s">
        <v>80</v>
      </c>
      <c r="C6997" t="s">
        <v>81</v>
      </c>
      <c r="D6997" t="s">
        <v>82</v>
      </c>
      <c r="E6997" t="s">
        <v>83</v>
      </c>
      <c r="F6997">
        <v>1900</v>
      </c>
      <c r="G6997" t="s">
        <v>331</v>
      </c>
      <c r="H6997" s="15">
        <v>45292</v>
      </c>
      <c r="I6997">
        <v>1900</v>
      </c>
      <c r="J6997">
        <v>0</v>
      </c>
    </row>
    <row r="6998" spans="1:10" x14ac:dyDescent="0.3">
      <c r="A6998" s="15">
        <v>46082</v>
      </c>
      <c r="B6998" t="s">
        <v>85</v>
      </c>
      <c r="C6998" t="s">
        <v>81</v>
      </c>
      <c r="D6998" t="s">
        <v>86</v>
      </c>
      <c r="E6998" t="s">
        <v>87</v>
      </c>
      <c r="F6998">
        <v>2200</v>
      </c>
      <c r="G6998" t="s">
        <v>334</v>
      </c>
      <c r="H6998" s="15">
        <v>45292</v>
      </c>
      <c r="I6998">
        <v>2400</v>
      </c>
      <c r="J6998">
        <v>-200</v>
      </c>
    </row>
    <row r="6999" spans="1:10" x14ac:dyDescent="0.3">
      <c r="A6999" s="15">
        <v>46082</v>
      </c>
      <c r="B6999" t="s">
        <v>88</v>
      </c>
      <c r="C6999" t="s">
        <v>81</v>
      </c>
      <c r="D6999" t="s">
        <v>86</v>
      </c>
      <c r="E6999" t="s">
        <v>89</v>
      </c>
      <c r="F6999">
        <v>2400</v>
      </c>
      <c r="G6999" t="s">
        <v>331</v>
      </c>
      <c r="H6999" s="15">
        <v>45292</v>
      </c>
      <c r="I6999">
        <v>2400</v>
      </c>
      <c r="J6999">
        <v>0</v>
      </c>
    </row>
    <row r="7000" spans="1:10" x14ac:dyDescent="0.3">
      <c r="A7000" s="15">
        <v>46082</v>
      </c>
      <c r="B7000" t="s">
        <v>90</v>
      </c>
      <c r="C7000" t="s">
        <v>91</v>
      </c>
      <c r="D7000" t="s">
        <v>82</v>
      </c>
      <c r="E7000" t="s">
        <v>92</v>
      </c>
      <c r="F7000">
        <v>9200</v>
      </c>
      <c r="G7000" t="s">
        <v>331</v>
      </c>
      <c r="H7000" s="15">
        <v>45292</v>
      </c>
      <c r="I7000">
        <v>9200</v>
      </c>
      <c r="J7000">
        <v>0</v>
      </c>
    </row>
    <row r="7001" spans="1:10" x14ac:dyDescent="0.3">
      <c r="A7001" s="15">
        <v>46082</v>
      </c>
      <c r="B7001" t="s">
        <v>93</v>
      </c>
      <c r="C7001" t="s">
        <v>81</v>
      </c>
      <c r="D7001" t="s">
        <v>86</v>
      </c>
      <c r="E7001" t="s">
        <v>83</v>
      </c>
      <c r="F7001">
        <v>2600</v>
      </c>
      <c r="G7001" t="s">
        <v>331</v>
      </c>
      <c r="H7001" s="15">
        <v>45292</v>
      </c>
      <c r="I7001">
        <v>2600</v>
      </c>
      <c r="J7001">
        <v>0</v>
      </c>
    </row>
    <row r="7002" spans="1:10" x14ac:dyDescent="0.3">
      <c r="A7002" s="15">
        <v>46082</v>
      </c>
      <c r="B7002" t="s">
        <v>94</v>
      </c>
      <c r="C7002" t="s">
        <v>91</v>
      </c>
      <c r="D7002" t="s">
        <v>86</v>
      </c>
      <c r="E7002" t="s">
        <v>83</v>
      </c>
      <c r="F7002">
        <v>8500</v>
      </c>
      <c r="G7002" t="s">
        <v>331</v>
      </c>
      <c r="H7002" s="15">
        <v>45292</v>
      </c>
      <c r="I7002">
        <v>8500</v>
      </c>
      <c r="J7002">
        <v>0</v>
      </c>
    </row>
    <row r="7003" spans="1:10" x14ac:dyDescent="0.3">
      <c r="A7003" s="15">
        <v>46082</v>
      </c>
      <c r="B7003" t="s">
        <v>95</v>
      </c>
      <c r="C7003" t="s">
        <v>81</v>
      </c>
      <c r="D7003" t="s">
        <v>96</v>
      </c>
      <c r="E7003" t="s">
        <v>97</v>
      </c>
      <c r="F7003">
        <v>3100</v>
      </c>
      <c r="G7003" t="s">
        <v>331</v>
      </c>
      <c r="H7003" s="15">
        <v>45292</v>
      </c>
      <c r="I7003">
        <v>3100</v>
      </c>
      <c r="J7003">
        <v>0</v>
      </c>
    </row>
    <row r="7004" spans="1:10" x14ac:dyDescent="0.3">
      <c r="A7004" s="15">
        <v>46082</v>
      </c>
      <c r="B7004" t="s">
        <v>98</v>
      </c>
      <c r="C7004" t="s">
        <v>81</v>
      </c>
      <c r="D7004" t="s">
        <v>99</v>
      </c>
      <c r="E7004" t="s">
        <v>92</v>
      </c>
      <c r="F7004">
        <v>2000</v>
      </c>
      <c r="G7004" t="s">
        <v>331</v>
      </c>
      <c r="H7004" s="15">
        <v>45292</v>
      </c>
      <c r="I7004">
        <v>2000</v>
      </c>
      <c r="J7004">
        <v>0</v>
      </c>
    </row>
    <row r="7005" spans="1:10" x14ac:dyDescent="0.3">
      <c r="A7005" s="15">
        <v>46082</v>
      </c>
      <c r="B7005" t="s">
        <v>102</v>
      </c>
      <c r="C7005" t="s">
        <v>81</v>
      </c>
      <c r="D7005" t="s">
        <v>99</v>
      </c>
      <c r="E7005" t="s">
        <v>103</v>
      </c>
      <c r="F7005">
        <v>2900</v>
      </c>
      <c r="G7005" t="s">
        <v>331</v>
      </c>
      <c r="H7005" s="15">
        <v>45292</v>
      </c>
      <c r="I7005">
        <v>2900</v>
      </c>
      <c r="J7005">
        <v>0</v>
      </c>
    </row>
    <row r="7006" spans="1:10" x14ac:dyDescent="0.3">
      <c r="A7006" s="15">
        <v>46082</v>
      </c>
      <c r="B7006" t="s">
        <v>104</v>
      </c>
      <c r="C7006" t="s">
        <v>91</v>
      </c>
      <c r="D7006" t="s">
        <v>99</v>
      </c>
      <c r="E7006" t="s">
        <v>87</v>
      </c>
      <c r="F7006">
        <v>7000</v>
      </c>
      <c r="G7006" t="s">
        <v>331</v>
      </c>
      <c r="H7006" s="15">
        <v>45292</v>
      </c>
      <c r="I7006">
        <v>7000</v>
      </c>
      <c r="J7006">
        <v>0</v>
      </c>
    </row>
    <row r="7007" spans="1:10" x14ac:dyDescent="0.3">
      <c r="A7007" s="15">
        <v>46082</v>
      </c>
      <c r="B7007" t="s">
        <v>105</v>
      </c>
      <c r="C7007" t="s">
        <v>91</v>
      </c>
      <c r="D7007" t="s">
        <v>86</v>
      </c>
      <c r="E7007" t="s">
        <v>89</v>
      </c>
      <c r="F7007">
        <v>12900</v>
      </c>
      <c r="G7007" t="s">
        <v>331</v>
      </c>
      <c r="H7007" s="15">
        <v>45292</v>
      </c>
      <c r="I7007">
        <v>12900</v>
      </c>
      <c r="J7007">
        <v>0</v>
      </c>
    </row>
    <row r="7008" spans="1:10" x14ac:dyDescent="0.3">
      <c r="A7008" s="15">
        <v>46082</v>
      </c>
      <c r="B7008" t="s">
        <v>106</v>
      </c>
      <c r="C7008" t="s">
        <v>81</v>
      </c>
      <c r="D7008" t="s">
        <v>99</v>
      </c>
      <c r="E7008" t="s">
        <v>92</v>
      </c>
      <c r="F7008">
        <v>2700</v>
      </c>
      <c r="G7008" t="s">
        <v>331</v>
      </c>
      <c r="H7008" s="15">
        <v>45292</v>
      </c>
      <c r="I7008">
        <v>2700</v>
      </c>
      <c r="J7008">
        <v>0</v>
      </c>
    </row>
    <row r="7009" spans="1:10" x14ac:dyDescent="0.3">
      <c r="A7009" s="15">
        <v>46082</v>
      </c>
      <c r="B7009" t="s">
        <v>109</v>
      </c>
      <c r="C7009" t="s">
        <v>110</v>
      </c>
      <c r="D7009" t="s">
        <v>82</v>
      </c>
      <c r="E7009" t="s">
        <v>103</v>
      </c>
      <c r="F7009">
        <v>37500</v>
      </c>
      <c r="G7009" t="s">
        <v>331</v>
      </c>
      <c r="H7009" s="15">
        <v>45292</v>
      </c>
      <c r="I7009">
        <v>37500</v>
      </c>
      <c r="J7009">
        <v>0</v>
      </c>
    </row>
    <row r="7010" spans="1:10" x14ac:dyDescent="0.3">
      <c r="A7010" s="15">
        <v>46082</v>
      </c>
      <c r="B7010" t="s">
        <v>111</v>
      </c>
      <c r="C7010" t="s">
        <v>91</v>
      </c>
      <c r="D7010" t="s">
        <v>82</v>
      </c>
      <c r="E7010" t="s">
        <v>83</v>
      </c>
      <c r="F7010">
        <v>8800</v>
      </c>
      <c r="G7010" t="s">
        <v>331</v>
      </c>
      <c r="H7010" s="15">
        <v>45292</v>
      </c>
      <c r="I7010">
        <v>8800</v>
      </c>
      <c r="J7010">
        <v>0</v>
      </c>
    </row>
    <row r="7011" spans="1:10" x14ac:dyDescent="0.3">
      <c r="A7011" s="15">
        <v>46082</v>
      </c>
      <c r="B7011" t="s">
        <v>112</v>
      </c>
      <c r="C7011" t="s">
        <v>91</v>
      </c>
      <c r="D7011" t="s">
        <v>82</v>
      </c>
      <c r="E7011" t="s">
        <v>92</v>
      </c>
      <c r="F7011">
        <v>8600</v>
      </c>
      <c r="G7011" t="s">
        <v>331</v>
      </c>
      <c r="H7011" s="15">
        <v>45292</v>
      </c>
      <c r="I7011">
        <v>8600</v>
      </c>
      <c r="J7011">
        <v>0</v>
      </c>
    </row>
    <row r="7012" spans="1:10" x14ac:dyDescent="0.3">
      <c r="A7012" s="15">
        <v>46082</v>
      </c>
      <c r="B7012" t="s">
        <v>113</v>
      </c>
      <c r="C7012" t="s">
        <v>81</v>
      </c>
      <c r="D7012" t="s">
        <v>96</v>
      </c>
      <c r="E7012" t="s">
        <v>89</v>
      </c>
      <c r="F7012">
        <v>2300</v>
      </c>
      <c r="G7012" t="s">
        <v>331</v>
      </c>
      <c r="H7012" s="15">
        <v>45292</v>
      </c>
      <c r="I7012">
        <v>2300</v>
      </c>
      <c r="J7012">
        <v>0</v>
      </c>
    </row>
    <row r="7013" spans="1:10" x14ac:dyDescent="0.3">
      <c r="A7013" s="15">
        <v>46082</v>
      </c>
      <c r="B7013" t="s">
        <v>114</v>
      </c>
      <c r="C7013" t="s">
        <v>110</v>
      </c>
      <c r="D7013" t="s">
        <v>99</v>
      </c>
      <c r="E7013" t="s">
        <v>97</v>
      </c>
      <c r="F7013">
        <v>46200</v>
      </c>
      <c r="G7013" t="s">
        <v>331</v>
      </c>
      <c r="H7013" s="15">
        <v>45292</v>
      </c>
      <c r="I7013">
        <v>46200</v>
      </c>
      <c r="J7013">
        <v>0</v>
      </c>
    </row>
    <row r="7014" spans="1:10" x14ac:dyDescent="0.3">
      <c r="A7014" s="15">
        <v>46082</v>
      </c>
      <c r="B7014" t="s">
        <v>115</v>
      </c>
      <c r="C7014" t="s">
        <v>81</v>
      </c>
      <c r="D7014" t="s">
        <v>82</v>
      </c>
      <c r="E7014" t="s">
        <v>101</v>
      </c>
      <c r="F7014">
        <v>2600</v>
      </c>
      <c r="G7014" t="s">
        <v>331</v>
      </c>
      <c r="H7014" s="15">
        <v>45292</v>
      </c>
      <c r="I7014">
        <v>2600</v>
      </c>
      <c r="J7014">
        <v>0</v>
      </c>
    </row>
    <row r="7015" spans="1:10" x14ac:dyDescent="0.3">
      <c r="A7015" s="15">
        <v>46082</v>
      </c>
      <c r="B7015" t="s">
        <v>116</v>
      </c>
      <c r="C7015" t="s">
        <v>81</v>
      </c>
      <c r="D7015" t="s">
        <v>86</v>
      </c>
      <c r="E7015" t="s">
        <v>87</v>
      </c>
      <c r="F7015">
        <v>2900</v>
      </c>
      <c r="G7015" t="s">
        <v>331</v>
      </c>
      <c r="H7015" s="15">
        <v>45292</v>
      </c>
      <c r="I7015">
        <v>2900</v>
      </c>
      <c r="J7015">
        <v>0</v>
      </c>
    </row>
    <row r="7016" spans="1:10" x14ac:dyDescent="0.3">
      <c r="A7016" s="15">
        <v>46082</v>
      </c>
      <c r="B7016" t="s">
        <v>117</v>
      </c>
      <c r="C7016" t="s">
        <v>81</v>
      </c>
      <c r="D7016" t="s">
        <v>86</v>
      </c>
      <c r="E7016" t="s">
        <v>103</v>
      </c>
      <c r="F7016">
        <v>2500</v>
      </c>
      <c r="G7016" t="s">
        <v>331</v>
      </c>
      <c r="H7016" s="15">
        <v>45292</v>
      </c>
      <c r="I7016">
        <v>2500</v>
      </c>
      <c r="J7016">
        <v>0</v>
      </c>
    </row>
    <row r="7017" spans="1:10" x14ac:dyDescent="0.3">
      <c r="A7017" s="15">
        <v>46082</v>
      </c>
      <c r="B7017" t="s">
        <v>120</v>
      </c>
      <c r="C7017" t="s">
        <v>81</v>
      </c>
      <c r="D7017" t="s">
        <v>86</v>
      </c>
      <c r="E7017" t="s">
        <v>101</v>
      </c>
      <c r="F7017">
        <v>2200</v>
      </c>
      <c r="G7017" t="s">
        <v>331</v>
      </c>
      <c r="H7017" s="15">
        <v>45292</v>
      </c>
      <c r="I7017">
        <v>2200</v>
      </c>
      <c r="J7017">
        <v>0</v>
      </c>
    </row>
    <row r="7018" spans="1:10" x14ac:dyDescent="0.3">
      <c r="A7018" s="15">
        <v>46082</v>
      </c>
      <c r="B7018" t="s">
        <v>123</v>
      </c>
      <c r="C7018" t="s">
        <v>81</v>
      </c>
      <c r="D7018" t="s">
        <v>82</v>
      </c>
      <c r="E7018" t="s">
        <v>92</v>
      </c>
      <c r="F7018">
        <v>1900</v>
      </c>
      <c r="G7018" t="s">
        <v>331</v>
      </c>
      <c r="H7018" s="15">
        <v>45292</v>
      </c>
      <c r="I7018">
        <v>1900</v>
      </c>
      <c r="J7018">
        <v>0</v>
      </c>
    </row>
    <row r="7019" spans="1:10" x14ac:dyDescent="0.3">
      <c r="A7019" s="15">
        <v>46082</v>
      </c>
      <c r="B7019" t="s">
        <v>124</v>
      </c>
      <c r="C7019" t="s">
        <v>125</v>
      </c>
      <c r="D7019" t="s">
        <v>82</v>
      </c>
      <c r="E7019" t="s">
        <v>97</v>
      </c>
      <c r="F7019">
        <v>67900</v>
      </c>
      <c r="G7019" t="s">
        <v>331</v>
      </c>
      <c r="H7019" s="15">
        <v>45292</v>
      </c>
      <c r="I7019">
        <v>67900</v>
      </c>
      <c r="J7019">
        <v>0</v>
      </c>
    </row>
    <row r="7020" spans="1:10" x14ac:dyDescent="0.3">
      <c r="A7020" s="15">
        <v>46082</v>
      </c>
      <c r="B7020" t="s">
        <v>126</v>
      </c>
      <c r="C7020" t="s">
        <v>91</v>
      </c>
      <c r="D7020" t="s">
        <v>82</v>
      </c>
      <c r="E7020" t="s">
        <v>83</v>
      </c>
      <c r="F7020">
        <v>8800</v>
      </c>
      <c r="G7020" t="s">
        <v>331</v>
      </c>
      <c r="H7020" s="15">
        <v>45292</v>
      </c>
      <c r="I7020">
        <v>8800</v>
      </c>
      <c r="J7020">
        <v>0</v>
      </c>
    </row>
    <row r="7021" spans="1:10" x14ac:dyDescent="0.3">
      <c r="A7021" s="15">
        <v>46082</v>
      </c>
      <c r="B7021" t="s">
        <v>127</v>
      </c>
      <c r="C7021" t="s">
        <v>81</v>
      </c>
      <c r="D7021" t="s">
        <v>82</v>
      </c>
      <c r="E7021" t="s">
        <v>101</v>
      </c>
      <c r="F7021">
        <v>2400</v>
      </c>
      <c r="G7021" t="s">
        <v>331</v>
      </c>
      <c r="H7021" s="15">
        <v>45292</v>
      </c>
      <c r="I7021">
        <v>2400</v>
      </c>
      <c r="J7021">
        <v>0</v>
      </c>
    </row>
    <row r="7022" spans="1:10" x14ac:dyDescent="0.3">
      <c r="A7022" s="15">
        <v>46082</v>
      </c>
      <c r="B7022" t="s">
        <v>128</v>
      </c>
      <c r="C7022" t="s">
        <v>81</v>
      </c>
      <c r="D7022" t="s">
        <v>82</v>
      </c>
      <c r="E7022" t="s">
        <v>92</v>
      </c>
      <c r="F7022">
        <v>1700</v>
      </c>
      <c r="G7022" t="s">
        <v>331</v>
      </c>
      <c r="H7022" s="15">
        <v>45292</v>
      </c>
      <c r="I7022">
        <v>1700</v>
      </c>
      <c r="J7022">
        <v>0</v>
      </c>
    </row>
    <row r="7023" spans="1:10" x14ac:dyDescent="0.3">
      <c r="A7023" s="15">
        <v>46082</v>
      </c>
      <c r="B7023" t="s">
        <v>129</v>
      </c>
      <c r="C7023" t="s">
        <v>110</v>
      </c>
      <c r="D7023" t="s">
        <v>86</v>
      </c>
      <c r="E7023" t="s">
        <v>92</v>
      </c>
      <c r="F7023">
        <v>36900</v>
      </c>
      <c r="G7023" t="s">
        <v>331</v>
      </c>
      <c r="H7023" s="15">
        <v>45292</v>
      </c>
      <c r="I7023">
        <v>36900</v>
      </c>
      <c r="J7023">
        <v>0</v>
      </c>
    </row>
    <row r="7024" spans="1:10" x14ac:dyDescent="0.3">
      <c r="A7024" s="15">
        <v>46082</v>
      </c>
      <c r="B7024" t="s">
        <v>133</v>
      </c>
      <c r="C7024" t="s">
        <v>81</v>
      </c>
      <c r="D7024" t="s">
        <v>96</v>
      </c>
      <c r="E7024" t="s">
        <v>87</v>
      </c>
      <c r="F7024">
        <v>2700</v>
      </c>
      <c r="G7024" t="s">
        <v>331</v>
      </c>
      <c r="H7024" s="15">
        <v>45292</v>
      </c>
      <c r="I7024">
        <v>2700</v>
      </c>
      <c r="J7024">
        <v>0</v>
      </c>
    </row>
    <row r="7025" spans="1:10" x14ac:dyDescent="0.3">
      <c r="A7025" s="15">
        <v>46082</v>
      </c>
      <c r="B7025" t="s">
        <v>134</v>
      </c>
      <c r="C7025" t="s">
        <v>81</v>
      </c>
      <c r="D7025" t="s">
        <v>82</v>
      </c>
      <c r="E7025" t="s">
        <v>92</v>
      </c>
      <c r="F7025">
        <v>2400</v>
      </c>
      <c r="G7025" t="s">
        <v>331</v>
      </c>
      <c r="H7025" s="15">
        <v>45292</v>
      </c>
      <c r="I7025">
        <v>2400</v>
      </c>
      <c r="J7025">
        <v>0</v>
      </c>
    </row>
    <row r="7026" spans="1:10" x14ac:dyDescent="0.3">
      <c r="A7026" s="15">
        <v>46082</v>
      </c>
      <c r="B7026" t="s">
        <v>135</v>
      </c>
      <c r="C7026" t="s">
        <v>81</v>
      </c>
      <c r="D7026" t="s">
        <v>82</v>
      </c>
      <c r="E7026" t="s">
        <v>103</v>
      </c>
      <c r="F7026">
        <v>2400</v>
      </c>
      <c r="G7026" t="s">
        <v>331</v>
      </c>
      <c r="H7026" s="15">
        <v>45292</v>
      </c>
      <c r="I7026">
        <v>2400</v>
      </c>
      <c r="J7026">
        <v>0</v>
      </c>
    </row>
    <row r="7027" spans="1:10" x14ac:dyDescent="0.3">
      <c r="A7027" s="15">
        <v>46082</v>
      </c>
      <c r="B7027" t="s">
        <v>136</v>
      </c>
      <c r="C7027" t="s">
        <v>81</v>
      </c>
      <c r="D7027" t="s">
        <v>82</v>
      </c>
      <c r="E7027" t="s">
        <v>101</v>
      </c>
      <c r="F7027">
        <v>2900</v>
      </c>
      <c r="G7027" t="s">
        <v>331</v>
      </c>
      <c r="H7027" s="15">
        <v>45292</v>
      </c>
      <c r="I7027">
        <v>2900</v>
      </c>
      <c r="J7027">
        <v>0</v>
      </c>
    </row>
    <row r="7028" spans="1:10" x14ac:dyDescent="0.3">
      <c r="A7028" s="15">
        <v>46082</v>
      </c>
      <c r="B7028" t="s">
        <v>138</v>
      </c>
      <c r="C7028" t="s">
        <v>81</v>
      </c>
      <c r="D7028" t="s">
        <v>86</v>
      </c>
      <c r="E7028" t="s">
        <v>97</v>
      </c>
      <c r="F7028">
        <v>3300</v>
      </c>
      <c r="G7028" t="s">
        <v>331</v>
      </c>
      <c r="H7028" s="15">
        <v>45292</v>
      </c>
      <c r="I7028">
        <v>3300</v>
      </c>
      <c r="J7028">
        <v>0</v>
      </c>
    </row>
    <row r="7029" spans="1:10" x14ac:dyDescent="0.3">
      <c r="A7029" s="15">
        <v>46082</v>
      </c>
      <c r="B7029" t="s">
        <v>139</v>
      </c>
      <c r="C7029" t="s">
        <v>91</v>
      </c>
      <c r="D7029" t="s">
        <v>82</v>
      </c>
      <c r="E7029" t="s">
        <v>103</v>
      </c>
      <c r="F7029">
        <v>6800</v>
      </c>
      <c r="G7029" t="s">
        <v>331</v>
      </c>
      <c r="H7029" s="15">
        <v>45292</v>
      </c>
      <c r="I7029">
        <v>6800</v>
      </c>
      <c r="J7029">
        <v>0</v>
      </c>
    </row>
    <row r="7030" spans="1:10" x14ac:dyDescent="0.3">
      <c r="A7030" s="15">
        <v>46082</v>
      </c>
      <c r="B7030" t="s">
        <v>141</v>
      </c>
      <c r="C7030" t="s">
        <v>125</v>
      </c>
      <c r="D7030" t="s">
        <v>99</v>
      </c>
      <c r="E7030" t="s">
        <v>103</v>
      </c>
      <c r="F7030">
        <v>127400</v>
      </c>
      <c r="G7030" t="s">
        <v>331</v>
      </c>
      <c r="H7030" s="15">
        <v>45292</v>
      </c>
      <c r="I7030">
        <v>127400</v>
      </c>
      <c r="J7030">
        <v>0</v>
      </c>
    </row>
    <row r="7031" spans="1:10" x14ac:dyDescent="0.3">
      <c r="A7031" s="15">
        <v>46082</v>
      </c>
      <c r="B7031" t="s">
        <v>142</v>
      </c>
      <c r="C7031" t="s">
        <v>125</v>
      </c>
      <c r="D7031" t="s">
        <v>82</v>
      </c>
      <c r="E7031" t="s">
        <v>92</v>
      </c>
      <c r="F7031">
        <v>103800</v>
      </c>
      <c r="G7031" t="s">
        <v>331</v>
      </c>
      <c r="H7031" s="15">
        <v>45292</v>
      </c>
      <c r="I7031">
        <v>103800</v>
      </c>
      <c r="J7031">
        <v>0</v>
      </c>
    </row>
    <row r="7032" spans="1:10" x14ac:dyDescent="0.3">
      <c r="A7032" s="15">
        <v>46082</v>
      </c>
      <c r="B7032" t="s">
        <v>143</v>
      </c>
      <c r="C7032" t="s">
        <v>91</v>
      </c>
      <c r="D7032" t="s">
        <v>99</v>
      </c>
      <c r="E7032" t="s">
        <v>103</v>
      </c>
      <c r="F7032">
        <v>8000</v>
      </c>
      <c r="G7032" t="s">
        <v>331</v>
      </c>
      <c r="H7032" s="15">
        <v>45292</v>
      </c>
      <c r="I7032">
        <v>8000</v>
      </c>
      <c r="J7032">
        <v>0</v>
      </c>
    </row>
    <row r="7033" spans="1:10" x14ac:dyDescent="0.3">
      <c r="A7033" s="15">
        <v>46082</v>
      </c>
      <c r="B7033" t="s">
        <v>144</v>
      </c>
      <c r="C7033" t="s">
        <v>81</v>
      </c>
      <c r="D7033" t="s">
        <v>82</v>
      </c>
      <c r="E7033" t="s">
        <v>92</v>
      </c>
      <c r="F7033">
        <v>2400</v>
      </c>
      <c r="G7033" t="s">
        <v>331</v>
      </c>
      <c r="H7033" s="15">
        <v>45292</v>
      </c>
      <c r="I7033">
        <v>2400</v>
      </c>
      <c r="J7033">
        <v>0</v>
      </c>
    </row>
    <row r="7034" spans="1:10" x14ac:dyDescent="0.3">
      <c r="A7034" s="15">
        <v>46082</v>
      </c>
      <c r="B7034" t="s">
        <v>145</v>
      </c>
      <c r="C7034" t="s">
        <v>91</v>
      </c>
      <c r="D7034" t="s">
        <v>82</v>
      </c>
      <c r="E7034" t="s">
        <v>87</v>
      </c>
      <c r="F7034">
        <v>8200</v>
      </c>
      <c r="G7034" t="s">
        <v>331</v>
      </c>
      <c r="H7034" s="15">
        <v>45292</v>
      </c>
      <c r="I7034">
        <v>8200</v>
      </c>
      <c r="J7034">
        <v>0</v>
      </c>
    </row>
    <row r="7035" spans="1:10" x14ac:dyDescent="0.3">
      <c r="A7035" s="15">
        <v>46082</v>
      </c>
      <c r="B7035" t="s">
        <v>146</v>
      </c>
      <c r="C7035" t="s">
        <v>91</v>
      </c>
      <c r="D7035" t="s">
        <v>86</v>
      </c>
      <c r="E7035" t="s">
        <v>87</v>
      </c>
      <c r="F7035">
        <v>10100</v>
      </c>
      <c r="G7035" t="s">
        <v>331</v>
      </c>
      <c r="H7035" s="15">
        <v>45292</v>
      </c>
      <c r="I7035">
        <v>10100</v>
      </c>
      <c r="J7035">
        <v>0</v>
      </c>
    </row>
    <row r="7036" spans="1:10" x14ac:dyDescent="0.3">
      <c r="A7036" s="15">
        <v>46082</v>
      </c>
      <c r="B7036" t="s">
        <v>149</v>
      </c>
      <c r="C7036" t="s">
        <v>110</v>
      </c>
      <c r="D7036" t="s">
        <v>82</v>
      </c>
      <c r="E7036" t="s">
        <v>103</v>
      </c>
      <c r="F7036">
        <v>25500</v>
      </c>
      <c r="G7036" t="s">
        <v>331</v>
      </c>
      <c r="H7036" s="15">
        <v>45292</v>
      </c>
      <c r="I7036">
        <v>25500</v>
      </c>
      <c r="J7036">
        <v>0</v>
      </c>
    </row>
    <row r="7037" spans="1:10" x14ac:dyDescent="0.3">
      <c r="A7037" s="15">
        <v>46082</v>
      </c>
      <c r="B7037" t="s">
        <v>151</v>
      </c>
      <c r="C7037" t="s">
        <v>91</v>
      </c>
      <c r="D7037" t="s">
        <v>82</v>
      </c>
      <c r="E7037" t="s">
        <v>97</v>
      </c>
      <c r="F7037">
        <v>5600</v>
      </c>
      <c r="G7037" t="s">
        <v>331</v>
      </c>
      <c r="H7037" s="15">
        <v>45292</v>
      </c>
      <c r="I7037">
        <v>5600</v>
      </c>
      <c r="J7037">
        <v>0</v>
      </c>
    </row>
    <row r="7038" spans="1:10" x14ac:dyDescent="0.3">
      <c r="A7038" s="15">
        <v>46082</v>
      </c>
      <c r="B7038" t="s">
        <v>154</v>
      </c>
      <c r="C7038" t="s">
        <v>91</v>
      </c>
      <c r="D7038" t="s">
        <v>86</v>
      </c>
      <c r="E7038" t="s">
        <v>103</v>
      </c>
      <c r="F7038">
        <v>9700</v>
      </c>
      <c r="G7038" t="s">
        <v>331</v>
      </c>
      <c r="H7038" s="15">
        <v>45292</v>
      </c>
      <c r="I7038">
        <v>9700</v>
      </c>
      <c r="J7038">
        <v>0</v>
      </c>
    </row>
    <row r="7039" spans="1:10" x14ac:dyDescent="0.3">
      <c r="A7039" s="15">
        <v>46082</v>
      </c>
      <c r="B7039" t="s">
        <v>155</v>
      </c>
      <c r="C7039" t="s">
        <v>91</v>
      </c>
      <c r="D7039" t="s">
        <v>82</v>
      </c>
      <c r="E7039" t="s">
        <v>92</v>
      </c>
      <c r="F7039">
        <v>6600</v>
      </c>
      <c r="G7039" t="s">
        <v>331</v>
      </c>
      <c r="H7039" s="15">
        <v>45292</v>
      </c>
      <c r="I7039">
        <v>6600</v>
      </c>
      <c r="J7039">
        <v>0</v>
      </c>
    </row>
    <row r="7040" spans="1:10" x14ac:dyDescent="0.3">
      <c r="A7040" s="15">
        <v>46082</v>
      </c>
      <c r="B7040" t="s">
        <v>156</v>
      </c>
      <c r="C7040" t="s">
        <v>81</v>
      </c>
      <c r="D7040" t="s">
        <v>86</v>
      </c>
      <c r="E7040" t="s">
        <v>101</v>
      </c>
      <c r="F7040">
        <v>2300</v>
      </c>
      <c r="G7040" t="s">
        <v>331</v>
      </c>
      <c r="H7040" s="15">
        <v>45292</v>
      </c>
      <c r="I7040">
        <v>2300</v>
      </c>
      <c r="J7040">
        <v>0</v>
      </c>
    </row>
    <row r="7041" spans="1:10" x14ac:dyDescent="0.3">
      <c r="A7041" s="15">
        <v>46082</v>
      </c>
      <c r="B7041" t="s">
        <v>157</v>
      </c>
      <c r="C7041" t="s">
        <v>81</v>
      </c>
      <c r="D7041" t="s">
        <v>82</v>
      </c>
      <c r="E7041" t="s">
        <v>92</v>
      </c>
      <c r="F7041">
        <v>1800</v>
      </c>
      <c r="G7041" t="s">
        <v>331</v>
      </c>
      <c r="H7041" s="15">
        <v>45292</v>
      </c>
      <c r="I7041">
        <v>1800</v>
      </c>
      <c r="J7041">
        <v>0</v>
      </c>
    </row>
    <row r="7042" spans="1:10" x14ac:dyDescent="0.3">
      <c r="A7042" s="15">
        <v>46082</v>
      </c>
      <c r="B7042" t="s">
        <v>158</v>
      </c>
      <c r="C7042" t="s">
        <v>91</v>
      </c>
      <c r="D7042" t="s">
        <v>96</v>
      </c>
      <c r="E7042" t="s">
        <v>83</v>
      </c>
      <c r="F7042">
        <v>12600</v>
      </c>
      <c r="G7042" t="s">
        <v>331</v>
      </c>
      <c r="H7042" s="15">
        <v>45292</v>
      </c>
      <c r="I7042">
        <v>12600</v>
      </c>
      <c r="J7042">
        <v>0</v>
      </c>
    </row>
    <row r="7043" spans="1:10" x14ac:dyDescent="0.3">
      <c r="A7043" s="15">
        <v>46082</v>
      </c>
      <c r="B7043" t="s">
        <v>159</v>
      </c>
      <c r="C7043" t="s">
        <v>81</v>
      </c>
      <c r="D7043" t="s">
        <v>86</v>
      </c>
      <c r="E7043" t="s">
        <v>87</v>
      </c>
      <c r="F7043">
        <v>2400</v>
      </c>
      <c r="G7043" t="s">
        <v>331</v>
      </c>
      <c r="H7043" s="15">
        <v>45292</v>
      </c>
      <c r="I7043">
        <v>2400</v>
      </c>
      <c r="J7043">
        <v>0</v>
      </c>
    </row>
    <row r="7044" spans="1:10" x14ac:dyDescent="0.3">
      <c r="A7044" s="15">
        <v>46082</v>
      </c>
      <c r="B7044" t="s">
        <v>161</v>
      </c>
      <c r="C7044" t="s">
        <v>91</v>
      </c>
      <c r="D7044" t="s">
        <v>99</v>
      </c>
      <c r="E7044" t="s">
        <v>83</v>
      </c>
      <c r="F7044">
        <v>11700</v>
      </c>
      <c r="G7044" t="s">
        <v>331</v>
      </c>
      <c r="H7044" s="15">
        <v>45292</v>
      </c>
      <c r="I7044">
        <v>11700</v>
      </c>
      <c r="J7044">
        <v>0</v>
      </c>
    </row>
    <row r="7045" spans="1:10" x14ac:dyDescent="0.3">
      <c r="A7045" s="15">
        <v>46082</v>
      </c>
      <c r="B7045" t="s">
        <v>164</v>
      </c>
      <c r="C7045" t="s">
        <v>81</v>
      </c>
      <c r="D7045" t="s">
        <v>99</v>
      </c>
      <c r="E7045" t="s">
        <v>89</v>
      </c>
      <c r="F7045">
        <v>2800</v>
      </c>
      <c r="G7045" t="s">
        <v>331</v>
      </c>
      <c r="H7045" s="15">
        <v>45292</v>
      </c>
      <c r="I7045">
        <v>2800</v>
      </c>
      <c r="J7045">
        <v>0</v>
      </c>
    </row>
    <row r="7046" spans="1:10" x14ac:dyDescent="0.3">
      <c r="A7046" s="15">
        <v>46082</v>
      </c>
      <c r="B7046" t="s">
        <v>165</v>
      </c>
      <c r="C7046" t="s">
        <v>81</v>
      </c>
      <c r="D7046" t="s">
        <v>82</v>
      </c>
      <c r="E7046" t="s">
        <v>97</v>
      </c>
      <c r="F7046">
        <v>0</v>
      </c>
      <c r="G7046" t="s">
        <v>333</v>
      </c>
      <c r="H7046" s="15">
        <v>45292</v>
      </c>
      <c r="I7046">
        <v>2700</v>
      </c>
      <c r="J7046">
        <v>-2700</v>
      </c>
    </row>
    <row r="7047" spans="1:10" x14ac:dyDescent="0.3">
      <c r="A7047" s="15">
        <v>46082</v>
      </c>
      <c r="B7047" t="s">
        <v>166</v>
      </c>
      <c r="C7047" t="s">
        <v>81</v>
      </c>
      <c r="D7047" t="s">
        <v>99</v>
      </c>
      <c r="E7047" t="s">
        <v>103</v>
      </c>
      <c r="F7047">
        <v>2600</v>
      </c>
      <c r="G7047" t="s">
        <v>331</v>
      </c>
      <c r="H7047" s="15">
        <v>45292</v>
      </c>
      <c r="I7047">
        <v>2600</v>
      </c>
      <c r="J7047">
        <v>0</v>
      </c>
    </row>
    <row r="7048" spans="1:10" x14ac:dyDescent="0.3">
      <c r="A7048" s="15">
        <v>46082</v>
      </c>
      <c r="B7048" t="s">
        <v>167</v>
      </c>
      <c r="C7048" t="s">
        <v>81</v>
      </c>
      <c r="D7048" t="s">
        <v>82</v>
      </c>
      <c r="E7048" t="s">
        <v>97</v>
      </c>
      <c r="F7048">
        <v>2000</v>
      </c>
      <c r="G7048" t="s">
        <v>331</v>
      </c>
      <c r="H7048" s="15">
        <v>45292</v>
      </c>
      <c r="I7048">
        <v>2000</v>
      </c>
      <c r="J7048">
        <v>0</v>
      </c>
    </row>
    <row r="7049" spans="1:10" x14ac:dyDescent="0.3">
      <c r="A7049" s="15">
        <v>46082</v>
      </c>
      <c r="B7049" t="s">
        <v>168</v>
      </c>
      <c r="C7049" t="s">
        <v>91</v>
      </c>
      <c r="D7049" t="s">
        <v>86</v>
      </c>
      <c r="E7049" t="s">
        <v>103</v>
      </c>
      <c r="F7049">
        <v>12200</v>
      </c>
      <c r="G7049" t="s">
        <v>331</v>
      </c>
      <c r="H7049" s="15">
        <v>45292</v>
      </c>
      <c r="I7049">
        <v>12200</v>
      </c>
      <c r="J7049">
        <v>0</v>
      </c>
    </row>
    <row r="7050" spans="1:10" x14ac:dyDescent="0.3">
      <c r="A7050" s="15">
        <v>46082</v>
      </c>
      <c r="B7050" t="s">
        <v>170</v>
      </c>
      <c r="C7050" t="s">
        <v>91</v>
      </c>
      <c r="D7050" t="s">
        <v>99</v>
      </c>
      <c r="E7050" t="s">
        <v>83</v>
      </c>
      <c r="F7050">
        <v>6500</v>
      </c>
      <c r="G7050" t="s">
        <v>331</v>
      </c>
      <c r="H7050" s="15">
        <v>45292</v>
      </c>
      <c r="I7050">
        <v>6500</v>
      </c>
      <c r="J7050">
        <v>0</v>
      </c>
    </row>
    <row r="7051" spans="1:10" x14ac:dyDescent="0.3">
      <c r="A7051" s="15">
        <v>46082</v>
      </c>
      <c r="B7051" t="s">
        <v>171</v>
      </c>
      <c r="C7051" t="s">
        <v>81</v>
      </c>
      <c r="D7051" t="s">
        <v>99</v>
      </c>
      <c r="E7051" t="s">
        <v>97</v>
      </c>
      <c r="F7051">
        <v>1700</v>
      </c>
      <c r="G7051" t="s">
        <v>331</v>
      </c>
      <c r="H7051" s="15">
        <v>45292</v>
      </c>
      <c r="I7051">
        <v>1700</v>
      </c>
      <c r="J7051">
        <v>0</v>
      </c>
    </row>
    <row r="7052" spans="1:10" x14ac:dyDescent="0.3">
      <c r="A7052" s="15">
        <v>46082</v>
      </c>
      <c r="B7052" t="s">
        <v>174</v>
      </c>
      <c r="C7052" t="s">
        <v>81</v>
      </c>
      <c r="D7052" t="s">
        <v>82</v>
      </c>
      <c r="E7052" t="s">
        <v>92</v>
      </c>
      <c r="F7052">
        <v>2400</v>
      </c>
      <c r="G7052" t="s">
        <v>331</v>
      </c>
      <c r="H7052" s="15">
        <v>45292</v>
      </c>
      <c r="I7052">
        <v>2400</v>
      </c>
      <c r="J7052">
        <v>0</v>
      </c>
    </row>
    <row r="7053" spans="1:10" x14ac:dyDescent="0.3">
      <c r="A7053" s="15">
        <v>46082</v>
      </c>
      <c r="B7053" t="s">
        <v>175</v>
      </c>
      <c r="C7053" t="s">
        <v>91</v>
      </c>
      <c r="D7053" t="s">
        <v>96</v>
      </c>
      <c r="E7053" t="s">
        <v>83</v>
      </c>
      <c r="F7053">
        <v>8800</v>
      </c>
      <c r="G7053" t="s">
        <v>331</v>
      </c>
      <c r="H7053" s="15">
        <v>45292</v>
      </c>
      <c r="I7053">
        <v>8800</v>
      </c>
      <c r="J7053">
        <v>0</v>
      </c>
    </row>
    <row r="7054" spans="1:10" x14ac:dyDescent="0.3">
      <c r="A7054" s="15">
        <v>46082</v>
      </c>
      <c r="B7054" t="s">
        <v>176</v>
      </c>
      <c r="C7054" t="s">
        <v>81</v>
      </c>
      <c r="D7054" t="s">
        <v>99</v>
      </c>
      <c r="E7054" t="s">
        <v>92</v>
      </c>
      <c r="F7054">
        <v>2900</v>
      </c>
      <c r="G7054" t="s">
        <v>331</v>
      </c>
      <c r="H7054" s="15">
        <v>45292</v>
      </c>
      <c r="I7054">
        <v>2900</v>
      </c>
      <c r="J7054">
        <v>0</v>
      </c>
    </row>
    <row r="7055" spans="1:10" x14ac:dyDescent="0.3">
      <c r="A7055" s="15">
        <v>46082</v>
      </c>
      <c r="B7055" t="s">
        <v>177</v>
      </c>
      <c r="C7055" t="s">
        <v>81</v>
      </c>
      <c r="D7055" t="s">
        <v>96</v>
      </c>
      <c r="E7055" t="s">
        <v>83</v>
      </c>
      <c r="F7055">
        <v>2900</v>
      </c>
      <c r="G7055" t="s">
        <v>331</v>
      </c>
      <c r="H7055" s="15">
        <v>45292</v>
      </c>
      <c r="I7055">
        <v>2900</v>
      </c>
      <c r="J7055">
        <v>0</v>
      </c>
    </row>
    <row r="7056" spans="1:10" x14ac:dyDescent="0.3">
      <c r="A7056" s="15">
        <v>46082</v>
      </c>
      <c r="B7056" t="s">
        <v>178</v>
      </c>
      <c r="C7056" t="s">
        <v>91</v>
      </c>
      <c r="D7056" t="s">
        <v>82</v>
      </c>
      <c r="E7056" t="s">
        <v>89</v>
      </c>
      <c r="F7056">
        <v>8400</v>
      </c>
      <c r="G7056" t="s">
        <v>331</v>
      </c>
      <c r="H7056" s="15">
        <v>45292</v>
      </c>
      <c r="I7056">
        <v>8400</v>
      </c>
      <c r="J7056">
        <v>0</v>
      </c>
    </row>
    <row r="7057" spans="1:10" x14ac:dyDescent="0.3">
      <c r="A7057" s="15">
        <v>46082</v>
      </c>
      <c r="B7057" t="s">
        <v>179</v>
      </c>
      <c r="C7057" t="s">
        <v>110</v>
      </c>
      <c r="D7057" t="s">
        <v>86</v>
      </c>
      <c r="E7057" t="s">
        <v>87</v>
      </c>
      <c r="F7057">
        <v>30000</v>
      </c>
      <c r="G7057" t="s">
        <v>331</v>
      </c>
      <c r="H7057" s="15">
        <v>45292</v>
      </c>
      <c r="I7057">
        <v>30000</v>
      </c>
      <c r="J7057">
        <v>0</v>
      </c>
    </row>
    <row r="7058" spans="1:10" x14ac:dyDescent="0.3">
      <c r="A7058" s="15">
        <v>46082</v>
      </c>
      <c r="B7058" t="s">
        <v>180</v>
      </c>
      <c r="C7058" t="s">
        <v>91</v>
      </c>
      <c r="D7058" t="s">
        <v>86</v>
      </c>
      <c r="E7058" t="s">
        <v>83</v>
      </c>
      <c r="F7058">
        <v>8500</v>
      </c>
      <c r="G7058" t="s">
        <v>331</v>
      </c>
      <c r="H7058" s="15">
        <v>45292</v>
      </c>
      <c r="I7058">
        <v>8500</v>
      </c>
      <c r="J7058">
        <v>0</v>
      </c>
    </row>
    <row r="7059" spans="1:10" x14ac:dyDescent="0.3">
      <c r="A7059" s="15">
        <v>46082</v>
      </c>
      <c r="B7059" t="s">
        <v>181</v>
      </c>
      <c r="C7059" t="s">
        <v>91</v>
      </c>
      <c r="D7059" t="s">
        <v>82</v>
      </c>
      <c r="E7059" t="s">
        <v>97</v>
      </c>
      <c r="F7059">
        <v>10100</v>
      </c>
      <c r="G7059" t="s">
        <v>331</v>
      </c>
      <c r="H7059" s="15">
        <v>45292</v>
      </c>
      <c r="I7059">
        <v>10100</v>
      </c>
      <c r="J7059">
        <v>0</v>
      </c>
    </row>
    <row r="7060" spans="1:10" x14ac:dyDescent="0.3">
      <c r="A7060" s="15">
        <v>46082</v>
      </c>
      <c r="B7060" t="s">
        <v>182</v>
      </c>
      <c r="C7060" t="s">
        <v>125</v>
      </c>
      <c r="D7060" t="s">
        <v>82</v>
      </c>
      <c r="E7060" t="s">
        <v>92</v>
      </c>
      <c r="F7060">
        <v>93100</v>
      </c>
      <c r="G7060" t="s">
        <v>331</v>
      </c>
      <c r="H7060" s="15">
        <v>45292</v>
      </c>
      <c r="I7060">
        <v>93100</v>
      </c>
      <c r="J7060">
        <v>0</v>
      </c>
    </row>
    <row r="7061" spans="1:10" x14ac:dyDescent="0.3">
      <c r="A7061" s="15">
        <v>46082</v>
      </c>
      <c r="B7061" t="s">
        <v>183</v>
      </c>
      <c r="C7061" t="s">
        <v>91</v>
      </c>
      <c r="D7061" t="s">
        <v>96</v>
      </c>
      <c r="E7061" t="s">
        <v>92</v>
      </c>
      <c r="F7061">
        <v>9500</v>
      </c>
      <c r="G7061" t="s">
        <v>331</v>
      </c>
      <c r="H7061" s="15">
        <v>45292</v>
      </c>
      <c r="I7061">
        <v>9500</v>
      </c>
      <c r="J7061">
        <v>0</v>
      </c>
    </row>
    <row r="7062" spans="1:10" x14ac:dyDescent="0.3">
      <c r="A7062" s="15">
        <v>46082</v>
      </c>
      <c r="B7062" t="s">
        <v>184</v>
      </c>
      <c r="C7062" t="s">
        <v>81</v>
      </c>
      <c r="D7062" t="s">
        <v>82</v>
      </c>
      <c r="E7062" t="s">
        <v>83</v>
      </c>
      <c r="F7062">
        <v>2600</v>
      </c>
      <c r="G7062" t="s">
        <v>331</v>
      </c>
      <c r="H7062" s="15">
        <v>45292</v>
      </c>
      <c r="I7062">
        <v>2600</v>
      </c>
      <c r="J7062">
        <v>0</v>
      </c>
    </row>
    <row r="7063" spans="1:10" x14ac:dyDescent="0.3">
      <c r="A7063" s="15">
        <v>46082</v>
      </c>
      <c r="B7063" t="s">
        <v>185</v>
      </c>
      <c r="C7063" t="s">
        <v>81</v>
      </c>
      <c r="D7063" t="s">
        <v>96</v>
      </c>
      <c r="E7063" t="s">
        <v>97</v>
      </c>
      <c r="F7063">
        <v>1900</v>
      </c>
      <c r="G7063" t="s">
        <v>331</v>
      </c>
      <c r="H7063" s="15">
        <v>45292</v>
      </c>
      <c r="I7063">
        <v>1900</v>
      </c>
      <c r="J7063">
        <v>0</v>
      </c>
    </row>
    <row r="7064" spans="1:10" x14ac:dyDescent="0.3">
      <c r="A7064" s="15">
        <v>46082</v>
      </c>
      <c r="B7064" t="s">
        <v>186</v>
      </c>
      <c r="C7064" t="s">
        <v>91</v>
      </c>
      <c r="D7064" t="s">
        <v>82</v>
      </c>
      <c r="E7064" t="s">
        <v>103</v>
      </c>
      <c r="F7064">
        <v>13900</v>
      </c>
      <c r="G7064" t="s">
        <v>331</v>
      </c>
      <c r="H7064" s="15">
        <v>45292</v>
      </c>
      <c r="I7064">
        <v>13900</v>
      </c>
      <c r="J7064">
        <v>0</v>
      </c>
    </row>
    <row r="7065" spans="1:10" x14ac:dyDescent="0.3">
      <c r="A7065" s="15">
        <v>46082</v>
      </c>
      <c r="B7065" t="s">
        <v>187</v>
      </c>
      <c r="C7065" t="s">
        <v>110</v>
      </c>
      <c r="D7065" t="s">
        <v>86</v>
      </c>
      <c r="E7065" t="s">
        <v>97</v>
      </c>
      <c r="F7065">
        <v>30100</v>
      </c>
      <c r="G7065" t="s">
        <v>331</v>
      </c>
      <c r="H7065" s="15">
        <v>45292</v>
      </c>
      <c r="I7065">
        <v>30100</v>
      </c>
      <c r="J7065">
        <v>0</v>
      </c>
    </row>
    <row r="7066" spans="1:10" x14ac:dyDescent="0.3">
      <c r="A7066" s="15">
        <v>46082</v>
      </c>
      <c r="B7066" t="s">
        <v>188</v>
      </c>
      <c r="C7066" t="s">
        <v>91</v>
      </c>
      <c r="D7066" t="s">
        <v>82</v>
      </c>
      <c r="E7066" t="s">
        <v>92</v>
      </c>
      <c r="F7066">
        <v>12800</v>
      </c>
      <c r="G7066" t="s">
        <v>332</v>
      </c>
      <c r="H7066" s="15">
        <v>45292</v>
      </c>
      <c r="I7066">
        <v>11200</v>
      </c>
      <c r="J7066">
        <v>1600</v>
      </c>
    </row>
    <row r="7067" spans="1:10" x14ac:dyDescent="0.3">
      <c r="A7067" s="15">
        <v>46082</v>
      </c>
      <c r="B7067" t="s">
        <v>189</v>
      </c>
      <c r="C7067" t="s">
        <v>81</v>
      </c>
      <c r="D7067" t="s">
        <v>86</v>
      </c>
      <c r="E7067" t="s">
        <v>103</v>
      </c>
      <c r="F7067">
        <v>2000</v>
      </c>
      <c r="G7067" t="s">
        <v>331</v>
      </c>
      <c r="H7067" s="15">
        <v>45292</v>
      </c>
      <c r="I7067">
        <v>2000</v>
      </c>
      <c r="J7067">
        <v>0</v>
      </c>
    </row>
    <row r="7068" spans="1:10" x14ac:dyDescent="0.3">
      <c r="A7068" s="15">
        <v>46082</v>
      </c>
      <c r="B7068" t="s">
        <v>190</v>
      </c>
      <c r="C7068" t="s">
        <v>81</v>
      </c>
      <c r="D7068" t="s">
        <v>99</v>
      </c>
      <c r="E7068" t="s">
        <v>89</v>
      </c>
      <c r="F7068">
        <v>1900</v>
      </c>
      <c r="G7068" t="s">
        <v>331</v>
      </c>
      <c r="H7068" s="15">
        <v>45292</v>
      </c>
      <c r="I7068">
        <v>1900</v>
      </c>
      <c r="J7068">
        <v>0</v>
      </c>
    </row>
    <row r="7069" spans="1:10" x14ac:dyDescent="0.3">
      <c r="A7069" s="15">
        <v>46082</v>
      </c>
      <c r="B7069" t="s">
        <v>191</v>
      </c>
      <c r="C7069" t="s">
        <v>91</v>
      </c>
      <c r="D7069" t="s">
        <v>86</v>
      </c>
      <c r="E7069" t="s">
        <v>87</v>
      </c>
      <c r="F7069">
        <v>6900</v>
      </c>
      <c r="G7069" t="s">
        <v>331</v>
      </c>
      <c r="H7069" s="15">
        <v>45292</v>
      </c>
      <c r="I7069">
        <v>6900</v>
      </c>
      <c r="J7069">
        <v>0</v>
      </c>
    </row>
    <row r="7070" spans="1:10" x14ac:dyDescent="0.3">
      <c r="A7070" s="15">
        <v>46082</v>
      </c>
      <c r="B7070" t="s">
        <v>192</v>
      </c>
      <c r="C7070" t="s">
        <v>81</v>
      </c>
      <c r="D7070" t="s">
        <v>82</v>
      </c>
      <c r="E7070" t="s">
        <v>97</v>
      </c>
      <c r="F7070">
        <v>2300</v>
      </c>
      <c r="G7070" t="s">
        <v>331</v>
      </c>
      <c r="H7070" s="15">
        <v>45292</v>
      </c>
      <c r="I7070">
        <v>2300</v>
      </c>
      <c r="J7070">
        <v>0</v>
      </c>
    </row>
    <row r="7071" spans="1:10" x14ac:dyDescent="0.3">
      <c r="A7071" s="15">
        <v>46082</v>
      </c>
      <c r="B7071" t="s">
        <v>193</v>
      </c>
      <c r="C7071" t="s">
        <v>81</v>
      </c>
      <c r="D7071" t="s">
        <v>82</v>
      </c>
      <c r="E7071" t="s">
        <v>87</v>
      </c>
      <c r="F7071">
        <v>3200</v>
      </c>
      <c r="G7071" t="s">
        <v>331</v>
      </c>
      <c r="H7071" s="15">
        <v>45292</v>
      </c>
      <c r="I7071">
        <v>3200</v>
      </c>
      <c r="J7071">
        <v>0</v>
      </c>
    </row>
    <row r="7072" spans="1:10" x14ac:dyDescent="0.3">
      <c r="A7072" s="15">
        <v>46082</v>
      </c>
      <c r="B7072" t="s">
        <v>194</v>
      </c>
      <c r="C7072" t="s">
        <v>91</v>
      </c>
      <c r="D7072" t="s">
        <v>82</v>
      </c>
      <c r="E7072" t="s">
        <v>101</v>
      </c>
      <c r="F7072">
        <v>11200</v>
      </c>
      <c r="G7072" t="s">
        <v>331</v>
      </c>
      <c r="H7072" s="15">
        <v>45292</v>
      </c>
      <c r="I7072">
        <v>11200</v>
      </c>
      <c r="J7072">
        <v>0</v>
      </c>
    </row>
    <row r="7073" spans="1:10" x14ac:dyDescent="0.3">
      <c r="A7073" s="15">
        <v>46082</v>
      </c>
      <c r="B7073" t="s">
        <v>195</v>
      </c>
      <c r="C7073" t="s">
        <v>91</v>
      </c>
      <c r="D7073" t="s">
        <v>86</v>
      </c>
      <c r="E7073" t="s">
        <v>97</v>
      </c>
      <c r="F7073">
        <v>6800</v>
      </c>
      <c r="G7073" t="s">
        <v>331</v>
      </c>
      <c r="H7073" s="15">
        <v>45292</v>
      </c>
      <c r="I7073">
        <v>6800</v>
      </c>
      <c r="J7073">
        <v>0</v>
      </c>
    </row>
    <row r="7074" spans="1:10" x14ac:dyDescent="0.3">
      <c r="A7074" s="15">
        <v>46082</v>
      </c>
      <c r="B7074" t="s">
        <v>197</v>
      </c>
      <c r="C7074" t="s">
        <v>91</v>
      </c>
      <c r="D7074" t="s">
        <v>82</v>
      </c>
      <c r="E7074" t="s">
        <v>89</v>
      </c>
      <c r="F7074">
        <v>12000</v>
      </c>
      <c r="G7074" t="s">
        <v>331</v>
      </c>
      <c r="H7074" s="15">
        <v>45292</v>
      </c>
      <c r="I7074">
        <v>12000</v>
      </c>
      <c r="J7074">
        <v>0</v>
      </c>
    </row>
    <row r="7075" spans="1:10" x14ac:dyDescent="0.3">
      <c r="A7075" s="15">
        <v>46082</v>
      </c>
      <c r="B7075" t="s">
        <v>198</v>
      </c>
      <c r="C7075" t="s">
        <v>81</v>
      </c>
      <c r="D7075" t="s">
        <v>82</v>
      </c>
      <c r="E7075" t="s">
        <v>89</v>
      </c>
      <c r="F7075">
        <v>2900</v>
      </c>
      <c r="G7075" t="s">
        <v>331</v>
      </c>
      <c r="H7075" s="15">
        <v>45292</v>
      </c>
      <c r="I7075">
        <v>2900</v>
      </c>
      <c r="J7075">
        <v>0</v>
      </c>
    </row>
    <row r="7076" spans="1:10" x14ac:dyDescent="0.3">
      <c r="A7076" s="15">
        <v>46082</v>
      </c>
      <c r="B7076" t="s">
        <v>199</v>
      </c>
      <c r="C7076" t="s">
        <v>81</v>
      </c>
      <c r="D7076" t="s">
        <v>86</v>
      </c>
      <c r="E7076" t="s">
        <v>89</v>
      </c>
      <c r="F7076">
        <v>2200</v>
      </c>
      <c r="G7076" t="s">
        <v>331</v>
      </c>
      <c r="H7076" s="15">
        <v>45292</v>
      </c>
      <c r="I7076">
        <v>2200</v>
      </c>
      <c r="J7076">
        <v>0</v>
      </c>
    </row>
    <row r="7077" spans="1:10" x14ac:dyDescent="0.3">
      <c r="A7077" s="15">
        <v>46082</v>
      </c>
      <c r="B7077" t="s">
        <v>200</v>
      </c>
      <c r="C7077" t="s">
        <v>91</v>
      </c>
      <c r="D7077" t="s">
        <v>86</v>
      </c>
      <c r="E7077" t="s">
        <v>92</v>
      </c>
      <c r="F7077">
        <v>8800</v>
      </c>
      <c r="G7077" t="s">
        <v>331</v>
      </c>
      <c r="H7077" s="15">
        <v>45292</v>
      </c>
      <c r="I7077">
        <v>8800</v>
      </c>
      <c r="J7077">
        <v>0</v>
      </c>
    </row>
    <row r="7078" spans="1:10" x14ac:dyDescent="0.3">
      <c r="A7078" s="15">
        <v>46082</v>
      </c>
      <c r="B7078" t="s">
        <v>201</v>
      </c>
      <c r="C7078" t="s">
        <v>81</v>
      </c>
      <c r="D7078" t="s">
        <v>86</v>
      </c>
      <c r="E7078" t="s">
        <v>83</v>
      </c>
      <c r="F7078">
        <v>1500</v>
      </c>
      <c r="G7078" t="s">
        <v>331</v>
      </c>
      <c r="H7078" s="15">
        <v>45292</v>
      </c>
      <c r="I7078">
        <v>1500</v>
      </c>
      <c r="J7078">
        <v>0</v>
      </c>
    </row>
    <row r="7079" spans="1:10" x14ac:dyDescent="0.3">
      <c r="A7079" s="15">
        <v>46082</v>
      </c>
      <c r="B7079" t="s">
        <v>202</v>
      </c>
      <c r="C7079" t="s">
        <v>91</v>
      </c>
      <c r="D7079" t="s">
        <v>82</v>
      </c>
      <c r="E7079" t="s">
        <v>92</v>
      </c>
      <c r="F7079">
        <v>12700</v>
      </c>
      <c r="G7079" t="s">
        <v>332</v>
      </c>
      <c r="H7079" s="15">
        <v>45292</v>
      </c>
      <c r="I7079">
        <v>11000</v>
      </c>
      <c r="J7079">
        <v>1700</v>
      </c>
    </row>
    <row r="7080" spans="1:10" x14ac:dyDescent="0.3">
      <c r="A7080" s="15">
        <v>46082</v>
      </c>
      <c r="B7080" t="s">
        <v>204</v>
      </c>
      <c r="C7080" t="s">
        <v>81</v>
      </c>
      <c r="D7080" t="s">
        <v>82</v>
      </c>
      <c r="E7080" t="s">
        <v>87</v>
      </c>
      <c r="F7080">
        <v>1900</v>
      </c>
      <c r="G7080" t="s">
        <v>331</v>
      </c>
      <c r="H7080" s="15">
        <v>45292</v>
      </c>
      <c r="I7080">
        <v>1900</v>
      </c>
      <c r="J7080">
        <v>0</v>
      </c>
    </row>
    <row r="7081" spans="1:10" x14ac:dyDescent="0.3">
      <c r="A7081" s="15">
        <v>46082</v>
      </c>
      <c r="B7081" t="s">
        <v>205</v>
      </c>
      <c r="C7081" t="s">
        <v>91</v>
      </c>
      <c r="D7081" t="s">
        <v>86</v>
      </c>
      <c r="E7081" t="s">
        <v>103</v>
      </c>
      <c r="F7081">
        <v>9800</v>
      </c>
      <c r="G7081" t="s">
        <v>331</v>
      </c>
      <c r="H7081" s="15">
        <v>45292</v>
      </c>
      <c r="I7081">
        <v>9800</v>
      </c>
      <c r="J7081">
        <v>0</v>
      </c>
    </row>
    <row r="7082" spans="1:10" x14ac:dyDescent="0.3">
      <c r="A7082" s="15">
        <v>46082</v>
      </c>
      <c r="B7082" t="s">
        <v>206</v>
      </c>
      <c r="C7082" t="s">
        <v>81</v>
      </c>
      <c r="D7082" t="s">
        <v>86</v>
      </c>
      <c r="E7082" t="s">
        <v>89</v>
      </c>
      <c r="F7082">
        <v>3000</v>
      </c>
      <c r="G7082" t="s">
        <v>331</v>
      </c>
      <c r="H7082" s="15">
        <v>45292</v>
      </c>
      <c r="I7082">
        <v>3000</v>
      </c>
      <c r="J7082">
        <v>0</v>
      </c>
    </row>
    <row r="7083" spans="1:10" x14ac:dyDescent="0.3">
      <c r="A7083" s="15">
        <v>46082</v>
      </c>
      <c r="B7083" t="s">
        <v>207</v>
      </c>
      <c r="C7083" t="s">
        <v>81</v>
      </c>
      <c r="D7083" t="s">
        <v>82</v>
      </c>
      <c r="E7083" t="s">
        <v>89</v>
      </c>
      <c r="F7083">
        <v>3500</v>
      </c>
      <c r="G7083" t="s">
        <v>331</v>
      </c>
      <c r="H7083" s="15">
        <v>45292</v>
      </c>
      <c r="I7083">
        <v>3500</v>
      </c>
      <c r="J7083">
        <v>0</v>
      </c>
    </row>
    <row r="7084" spans="1:10" x14ac:dyDescent="0.3">
      <c r="A7084" s="15">
        <v>46082</v>
      </c>
      <c r="B7084" t="s">
        <v>208</v>
      </c>
      <c r="C7084" t="s">
        <v>91</v>
      </c>
      <c r="D7084" t="s">
        <v>99</v>
      </c>
      <c r="E7084" t="s">
        <v>89</v>
      </c>
      <c r="F7084">
        <v>7700</v>
      </c>
      <c r="G7084" t="s">
        <v>331</v>
      </c>
      <c r="H7084" s="15">
        <v>45292</v>
      </c>
      <c r="I7084">
        <v>7700</v>
      </c>
      <c r="J7084">
        <v>0</v>
      </c>
    </row>
    <row r="7085" spans="1:10" x14ac:dyDescent="0.3">
      <c r="A7085" s="15">
        <v>46082</v>
      </c>
      <c r="B7085" t="s">
        <v>209</v>
      </c>
      <c r="C7085" t="s">
        <v>81</v>
      </c>
      <c r="D7085" t="s">
        <v>86</v>
      </c>
      <c r="E7085" t="s">
        <v>83</v>
      </c>
      <c r="F7085">
        <v>3300</v>
      </c>
      <c r="G7085" t="s">
        <v>331</v>
      </c>
      <c r="H7085" s="15">
        <v>45292</v>
      </c>
      <c r="I7085">
        <v>3300</v>
      </c>
      <c r="J7085">
        <v>0</v>
      </c>
    </row>
    <row r="7086" spans="1:10" x14ac:dyDescent="0.3">
      <c r="A7086" s="15">
        <v>46082</v>
      </c>
      <c r="B7086" t="s">
        <v>210</v>
      </c>
      <c r="C7086" t="s">
        <v>125</v>
      </c>
      <c r="D7086" t="s">
        <v>96</v>
      </c>
      <c r="E7086" t="s">
        <v>89</v>
      </c>
      <c r="F7086">
        <v>90300</v>
      </c>
      <c r="G7086" t="s">
        <v>331</v>
      </c>
      <c r="H7086" s="15">
        <v>45292</v>
      </c>
      <c r="I7086">
        <v>90300</v>
      </c>
      <c r="J7086">
        <v>0</v>
      </c>
    </row>
    <row r="7087" spans="1:10" x14ac:dyDescent="0.3">
      <c r="A7087" s="15">
        <v>46082</v>
      </c>
      <c r="B7087" t="s">
        <v>213</v>
      </c>
      <c r="C7087" t="s">
        <v>81</v>
      </c>
      <c r="D7087" t="s">
        <v>82</v>
      </c>
      <c r="E7087" t="s">
        <v>97</v>
      </c>
      <c r="F7087">
        <v>3300</v>
      </c>
      <c r="G7087" t="s">
        <v>331</v>
      </c>
      <c r="H7087" s="15">
        <v>45292</v>
      </c>
      <c r="I7087">
        <v>3300</v>
      </c>
      <c r="J7087">
        <v>0</v>
      </c>
    </row>
    <row r="7088" spans="1:10" x14ac:dyDescent="0.3">
      <c r="A7088" s="15">
        <v>46082</v>
      </c>
      <c r="B7088" t="s">
        <v>214</v>
      </c>
      <c r="C7088" t="s">
        <v>91</v>
      </c>
      <c r="D7088" t="s">
        <v>82</v>
      </c>
      <c r="E7088" t="s">
        <v>89</v>
      </c>
      <c r="F7088">
        <v>8700</v>
      </c>
      <c r="G7088" t="s">
        <v>331</v>
      </c>
      <c r="H7088" s="15">
        <v>45292</v>
      </c>
      <c r="I7088">
        <v>8700</v>
      </c>
      <c r="J7088">
        <v>0</v>
      </c>
    </row>
    <row r="7089" spans="1:10" x14ac:dyDescent="0.3">
      <c r="A7089" s="15">
        <v>46082</v>
      </c>
      <c r="B7089" t="s">
        <v>216</v>
      </c>
      <c r="C7089" t="s">
        <v>81</v>
      </c>
      <c r="D7089" t="s">
        <v>82</v>
      </c>
      <c r="E7089" t="s">
        <v>97</v>
      </c>
      <c r="F7089">
        <v>3500</v>
      </c>
      <c r="G7089" t="s">
        <v>331</v>
      </c>
      <c r="H7089" s="15">
        <v>45292</v>
      </c>
      <c r="I7089">
        <v>3500</v>
      </c>
      <c r="J7089">
        <v>0</v>
      </c>
    </row>
    <row r="7090" spans="1:10" x14ac:dyDescent="0.3">
      <c r="A7090" s="15">
        <v>46082</v>
      </c>
      <c r="B7090" t="s">
        <v>218</v>
      </c>
      <c r="C7090" t="s">
        <v>110</v>
      </c>
      <c r="D7090" t="s">
        <v>99</v>
      </c>
      <c r="E7090" t="s">
        <v>92</v>
      </c>
      <c r="F7090">
        <v>32200</v>
      </c>
      <c r="G7090" t="s">
        <v>331</v>
      </c>
      <c r="H7090" s="15">
        <v>45292</v>
      </c>
      <c r="I7090">
        <v>32200</v>
      </c>
      <c r="J7090">
        <v>0</v>
      </c>
    </row>
    <row r="7091" spans="1:10" x14ac:dyDescent="0.3">
      <c r="A7091" s="15">
        <v>46082</v>
      </c>
      <c r="B7091" t="s">
        <v>219</v>
      </c>
      <c r="C7091" t="s">
        <v>81</v>
      </c>
      <c r="D7091" t="s">
        <v>99</v>
      </c>
      <c r="E7091" t="s">
        <v>89</v>
      </c>
      <c r="F7091">
        <v>0</v>
      </c>
      <c r="G7091" t="s">
        <v>333</v>
      </c>
      <c r="H7091" s="15">
        <v>45292</v>
      </c>
      <c r="I7091">
        <v>2500</v>
      </c>
      <c r="J7091">
        <v>-2500</v>
      </c>
    </row>
    <row r="7092" spans="1:10" x14ac:dyDescent="0.3">
      <c r="A7092" s="15">
        <v>46082</v>
      </c>
      <c r="B7092" t="s">
        <v>220</v>
      </c>
      <c r="C7092" t="s">
        <v>110</v>
      </c>
      <c r="D7092" t="s">
        <v>82</v>
      </c>
      <c r="E7092" t="s">
        <v>89</v>
      </c>
      <c r="F7092">
        <v>30800</v>
      </c>
      <c r="G7092" t="s">
        <v>331</v>
      </c>
      <c r="H7092" s="15">
        <v>45292</v>
      </c>
      <c r="I7092">
        <v>30800</v>
      </c>
      <c r="J7092">
        <v>0</v>
      </c>
    </row>
    <row r="7093" spans="1:10" x14ac:dyDescent="0.3">
      <c r="A7093" s="15">
        <v>46082</v>
      </c>
      <c r="B7093" t="s">
        <v>224</v>
      </c>
      <c r="C7093" t="s">
        <v>91</v>
      </c>
      <c r="D7093" t="s">
        <v>82</v>
      </c>
      <c r="E7093" t="s">
        <v>101</v>
      </c>
      <c r="F7093">
        <v>10600</v>
      </c>
      <c r="G7093" t="s">
        <v>331</v>
      </c>
      <c r="H7093" s="15">
        <v>45292</v>
      </c>
      <c r="I7093">
        <v>10600</v>
      </c>
      <c r="J7093">
        <v>0</v>
      </c>
    </row>
    <row r="7094" spans="1:10" x14ac:dyDescent="0.3">
      <c r="A7094" s="15">
        <v>46082</v>
      </c>
      <c r="B7094" t="s">
        <v>225</v>
      </c>
      <c r="C7094" t="s">
        <v>110</v>
      </c>
      <c r="D7094" t="s">
        <v>99</v>
      </c>
      <c r="E7094" t="s">
        <v>103</v>
      </c>
      <c r="F7094">
        <v>42200</v>
      </c>
      <c r="G7094" t="s">
        <v>331</v>
      </c>
      <c r="H7094" s="15">
        <v>45292</v>
      </c>
      <c r="I7094">
        <v>42200</v>
      </c>
      <c r="J7094">
        <v>0</v>
      </c>
    </row>
    <row r="7095" spans="1:10" x14ac:dyDescent="0.3">
      <c r="A7095" s="15">
        <v>46082</v>
      </c>
      <c r="B7095" t="s">
        <v>226</v>
      </c>
      <c r="C7095" t="s">
        <v>91</v>
      </c>
      <c r="D7095" t="s">
        <v>82</v>
      </c>
      <c r="E7095" t="s">
        <v>103</v>
      </c>
      <c r="F7095">
        <v>5300</v>
      </c>
      <c r="G7095" t="s">
        <v>331</v>
      </c>
      <c r="H7095" s="15">
        <v>45292</v>
      </c>
      <c r="I7095">
        <v>5300</v>
      </c>
      <c r="J7095">
        <v>0</v>
      </c>
    </row>
    <row r="7096" spans="1:10" x14ac:dyDescent="0.3">
      <c r="A7096" s="15">
        <v>46082</v>
      </c>
      <c r="B7096" t="s">
        <v>227</v>
      </c>
      <c r="C7096" t="s">
        <v>110</v>
      </c>
      <c r="D7096" t="s">
        <v>86</v>
      </c>
      <c r="E7096" t="s">
        <v>87</v>
      </c>
      <c r="F7096">
        <v>27900</v>
      </c>
      <c r="G7096" t="s">
        <v>331</v>
      </c>
      <c r="H7096" s="15">
        <v>45292</v>
      </c>
      <c r="I7096">
        <v>27900</v>
      </c>
      <c r="J7096">
        <v>0</v>
      </c>
    </row>
    <row r="7097" spans="1:10" x14ac:dyDescent="0.3">
      <c r="A7097" s="15">
        <v>46082</v>
      </c>
      <c r="B7097" t="s">
        <v>228</v>
      </c>
      <c r="C7097" t="s">
        <v>91</v>
      </c>
      <c r="D7097" t="s">
        <v>96</v>
      </c>
      <c r="E7097" t="s">
        <v>89</v>
      </c>
      <c r="F7097">
        <v>12000</v>
      </c>
      <c r="G7097" t="s">
        <v>331</v>
      </c>
      <c r="H7097" s="15">
        <v>45292</v>
      </c>
      <c r="I7097">
        <v>12000</v>
      </c>
      <c r="J7097">
        <v>0</v>
      </c>
    </row>
    <row r="7098" spans="1:10" x14ac:dyDescent="0.3">
      <c r="A7098" s="15">
        <v>46082</v>
      </c>
      <c r="B7098" t="s">
        <v>229</v>
      </c>
      <c r="C7098" t="s">
        <v>81</v>
      </c>
      <c r="D7098" t="s">
        <v>82</v>
      </c>
      <c r="E7098" t="s">
        <v>83</v>
      </c>
      <c r="F7098">
        <v>3700</v>
      </c>
      <c r="G7098" t="s">
        <v>331</v>
      </c>
      <c r="H7098" s="15">
        <v>45292</v>
      </c>
      <c r="I7098">
        <v>3700</v>
      </c>
      <c r="J7098">
        <v>0</v>
      </c>
    </row>
    <row r="7099" spans="1:10" x14ac:dyDescent="0.3">
      <c r="A7099" s="15">
        <v>46082</v>
      </c>
      <c r="B7099" t="s">
        <v>230</v>
      </c>
      <c r="C7099" t="s">
        <v>81</v>
      </c>
      <c r="D7099" t="s">
        <v>86</v>
      </c>
      <c r="E7099" t="s">
        <v>101</v>
      </c>
      <c r="F7099">
        <v>3400</v>
      </c>
      <c r="G7099" t="s">
        <v>331</v>
      </c>
      <c r="H7099" s="15">
        <v>45292</v>
      </c>
      <c r="I7099">
        <v>3400</v>
      </c>
      <c r="J7099">
        <v>0</v>
      </c>
    </row>
    <row r="7100" spans="1:10" x14ac:dyDescent="0.3">
      <c r="A7100" s="15">
        <v>46082</v>
      </c>
      <c r="B7100" t="s">
        <v>231</v>
      </c>
      <c r="C7100" t="s">
        <v>91</v>
      </c>
      <c r="D7100" t="s">
        <v>82</v>
      </c>
      <c r="E7100" t="s">
        <v>92</v>
      </c>
      <c r="F7100">
        <v>6900</v>
      </c>
      <c r="G7100" t="s">
        <v>331</v>
      </c>
      <c r="H7100" s="15">
        <v>45292</v>
      </c>
      <c r="I7100">
        <v>6900</v>
      </c>
      <c r="J7100">
        <v>0</v>
      </c>
    </row>
    <row r="7101" spans="1:10" x14ac:dyDescent="0.3">
      <c r="A7101" s="15">
        <v>46082</v>
      </c>
      <c r="B7101" t="s">
        <v>232</v>
      </c>
      <c r="C7101" t="s">
        <v>125</v>
      </c>
      <c r="D7101" t="s">
        <v>86</v>
      </c>
      <c r="E7101" t="s">
        <v>83</v>
      </c>
      <c r="F7101">
        <v>121100</v>
      </c>
      <c r="G7101" t="s">
        <v>331</v>
      </c>
      <c r="H7101" s="15">
        <v>45292</v>
      </c>
      <c r="I7101">
        <v>121100</v>
      </c>
      <c r="J7101">
        <v>0</v>
      </c>
    </row>
    <row r="7102" spans="1:10" x14ac:dyDescent="0.3">
      <c r="A7102" s="15">
        <v>46082</v>
      </c>
      <c r="B7102" t="s">
        <v>233</v>
      </c>
      <c r="C7102" t="s">
        <v>81</v>
      </c>
      <c r="D7102" t="s">
        <v>82</v>
      </c>
      <c r="E7102" t="s">
        <v>87</v>
      </c>
      <c r="F7102">
        <v>3300</v>
      </c>
      <c r="G7102" t="s">
        <v>331</v>
      </c>
      <c r="H7102" s="15">
        <v>45292</v>
      </c>
      <c r="I7102">
        <v>3300</v>
      </c>
      <c r="J7102">
        <v>0</v>
      </c>
    </row>
    <row r="7103" spans="1:10" x14ac:dyDescent="0.3">
      <c r="A7103" s="15">
        <v>46082</v>
      </c>
      <c r="B7103" t="s">
        <v>235</v>
      </c>
      <c r="C7103" t="s">
        <v>91</v>
      </c>
      <c r="D7103" t="s">
        <v>96</v>
      </c>
      <c r="E7103" t="s">
        <v>103</v>
      </c>
      <c r="F7103">
        <v>11100</v>
      </c>
      <c r="G7103" t="s">
        <v>331</v>
      </c>
      <c r="H7103" s="15">
        <v>45292</v>
      </c>
      <c r="I7103">
        <v>11100</v>
      </c>
      <c r="J7103">
        <v>0</v>
      </c>
    </row>
    <row r="7104" spans="1:10" x14ac:dyDescent="0.3">
      <c r="A7104" s="15">
        <v>46082</v>
      </c>
      <c r="B7104" t="s">
        <v>237</v>
      </c>
      <c r="C7104" t="s">
        <v>91</v>
      </c>
      <c r="D7104" t="s">
        <v>82</v>
      </c>
      <c r="E7104" t="s">
        <v>83</v>
      </c>
      <c r="F7104">
        <v>6900</v>
      </c>
      <c r="G7104" t="s">
        <v>331</v>
      </c>
      <c r="H7104" s="15">
        <v>45292</v>
      </c>
      <c r="I7104">
        <v>6900</v>
      </c>
      <c r="J7104">
        <v>0</v>
      </c>
    </row>
    <row r="7105" spans="1:10" x14ac:dyDescent="0.3">
      <c r="A7105" s="15">
        <v>46082</v>
      </c>
      <c r="B7105" t="s">
        <v>238</v>
      </c>
      <c r="C7105" t="s">
        <v>81</v>
      </c>
      <c r="D7105" t="s">
        <v>99</v>
      </c>
      <c r="E7105" t="s">
        <v>97</v>
      </c>
      <c r="F7105">
        <v>2300</v>
      </c>
      <c r="G7105" t="s">
        <v>331</v>
      </c>
      <c r="H7105" s="15">
        <v>45292</v>
      </c>
      <c r="I7105">
        <v>2300</v>
      </c>
      <c r="J7105">
        <v>0</v>
      </c>
    </row>
    <row r="7106" spans="1:10" x14ac:dyDescent="0.3">
      <c r="A7106" s="15">
        <v>46082</v>
      </c>
      <c r="B7106" t="s">
        <v>239</v>
      </c>
      <c r="C7106" t="s">
        <v>81</v>
      </c>
      <c r="D7106" t="s">
        <v>82</v>
      </c>
      <c r="E7106" t="s">
        <v>103</v>
      </c>
      <c r="F7106">
        <v>2500</v>
      </c>
      <c r="G7106" t="s">
        <v>331</v>
      </c>
      <c r="H7106" s="15">
        <v>45292</v>
      </c>
      <c r="I7106">
        <v>2500</v>
      </c>
      <c r="J7106">
        <v>0</v>
      </c>
    </row>
    <row r="7107" spans="1:10" x14ac:dyDescent="0.3">
      <c r="A7107" s="15">
        <v>46082</v>
      </c>
      <c r="B7107" t="s">
        <v>240</v>
      </c>
      <c r="C7107" t="s">
        <v>81</v>
      </c>
      <c r="D7107" t="s">
        <v>99</v>
      </c>
      <c r="E7107" t="s">
        <v>103</v>
      </c>
      <c r="F7107">
        <v>2300</v>
      </c>
      <c r="G7107" t="s">
        <v>331</v>
      </c>
      <c r="H7107" s="15">
        <v>45292</v>
      </c>
      <c r="I7107">
        <v>2300</v>
      </c>
      <c r="J7107">
        <v>0</v>
      </c>
    </row>
    <row r="7108" spans="1:10" x14ac:dyDescent="0.3">
      <c r="A7108" s="15">
        <v>46082</v>
      </c>
      <c r="B7108" t="s">
        <v>241</v>
      </c>
      <c r="C7108" t="s">
        <v>91</v>
      </c>
      <c r="D7108" t="s">
        <v>96</v>
      </c>
      <c r="E7108" t="s">
        <v>87</v>
      </c>
      <c r="F7108">
        <v>12100</v>
      </c>
      <c r="G7108" t="s">
        <v>331</v>
      </c>
      <c r="H7108" s="15">
        <v>45292</v>
      </c>
      <c r="I7108">
        <v>12100</v>
      </c>
      <c r="J7108">
        <v>0</v>
      </c>
    </row>
    <row r="7109" spans="1:10" x14ac:dyDescent="0.3">
      <c r="A7109" s="15">
        <v>46082</v>
      </c>
      <c r="B7109" t="s">
        <v>242</v>
      </c>
      <c r="C7109" t="s">
        <v>110</v>
      </c>
      <c r="D7109" t="s">
        <v>99</v>
      </c>
      <c r="E7109" t="s">
        <v>101</v>
      </c>
      <c r="F7109">
        <v>34800</v>
      </c>
      <c r="G7109" t="s">
        <v>331</v>
      </c>
      <c r="H7109" s="15">
        <v>45292</v>
      </c>
      <c r="I7109">
        <v>34800</v>
      </c>
      <c r="J7109">
        <v>0</v>
      </c>
    </row>
    <row r="7110" spans="1:10" x14ac:dyDescent="0.3">
      <c r="A7110" s="15">
        <v>46082</v>
      </c>
      <c r="B7110" t="s">
        <v>244</v>
      </c>
      <c r="C7110" t="s">
        <v>91</v>
      </c>
      <c r="D7110" t="s">
        <v>82</v>
      </c>
      <c r="E7110" t="s">
        <v>92</v>
      </c>
      <c r="F7110">
        <v>7800</v>
      </c>
      <c r="G7110" t="s">
        <v>331</v>
      </c>
      <c r="H7110" s="15">
        <v>45292</v>
      </c>
      <c r="I7110">
        <v>7800</v>
      </c>
      <c r="J7110">
        <v>0</v>
      </c>
    </row>
    <row r="7111" spans="1:10" x14ac:dyDescent="0.3">
      <c r="A7111" s="15">
        <v>46082</v>
      </c>
      <c r="B7111" t="s">
        <v>245</v>
      </c>
      <c r="C7111" t="s">
        <v>81</v>
      </c>
      <c r="D7111" t="s">
        <v>99</v>
      </c>
      <c r="E7111" t="s">
        <v>97</v>
      </c>
      <c r="F7111">
        <v>2900</v>
      </c>
      <c r="G7111" t="s">
        <v>331</v>
      </c>
      <c r="H7111" s="15">
        <v>45292</v>
      </c>
      <c r="I7111">
        <v>2900</v>
      </c>
      <c r="J7111">
        <v>0</v>
      </c>
    </row>
    <row r="7112" spans="1:10" x14ac:dyDescent="0.3">
      <c r="A7112" s="15">
        <v>46082</v>
      </c>
      <c r="B7112" t="s">
        <v>246</v>
      </c>
      <c r="C7112" t="s">
        <v>91</v>
      </c>
      <c r="D7112" t="s">
        <v>86</v>
      </c>
      <c r="E7112" t="s">
        <v>103</v>
      </c>
      <c r="F7112">
        <v>10100</v>
      </c>
      <c r="G7112" t="s">
        <v>331</v>
      </c>
      <c r="H7112" s="15">
        <v>45292</v>
      </c>
      <c r="I7112">
        <v>10100</v>
      </c>
      <c r="J7112">
        <v>0</v>
      </c>
    </row>
    <row r="7113" spans="1:10" x14ac:dyDescent="0.3">
      <c r="A7113" s="15">
        <v>46082</v>
      </c>
      <c r="B7113" t="s">
        <v>247</v>
      </c>
      <c r="C7113" t="s">
        <v>91</v>
      </c>
      <c r="D7113" t="s">
        <v>86</v>
      </c>
      <c r="E7113" t="s">
        <v>89</v>
      </c>
      <c r="F7113">
        <v>7800</v>
      </c>
      <c r="G7113" t="s">
        <v>331</v>
      </c>
      <c r="H7113" s="15">
        <v>45292</v>
      </c>
      <c r="I7113">
        <v>7800</v>
      </c>
      <c r="J7113">
        <v>0</v>
      </c>
    </row>
    <row r="7114" spans="1:10" x14ac:dyDescent="0.3">
      <c r="A7114" s="15">
        <v>46082</v>
      </c>
      <c r="B7114" t="s">
        <v>248</v>
      </c>
      <c r="C7114" t="s">
        <v>81</v>
      </c>
      <c r="D7114" t="s">
        <v>82</v>
      </c>
      <c r="E7114" t="s">
        <v>103</v>
      </c>
      <c r="F7114">
        <v>2100</v>
      </c>
      <c r="G7114" t="s">
        <v>331</v>
      </c>
      <c r="H7114" s="15">
        <v>45292</v>
      </c>
      <c r="I7114">
        <v>2100</v>
      </c>
      <c r="J7114">
        <v>0</v>
      </c>
    </row>
    <row r="7115" spans="1:10" x14ac:dyDescent="0.3">
      <c r="A7115" s="15">
        <v>46082</v>
      </c>
      <c r="B7115" t="s">
        <v>250</v>
      </c>
      <c r="C7115" t="s">
        <v>81</v>
      </c>
      <c r="D7115" t="s">
        <v>86</v>
      </c>
      <c r="E7115" t="s">
        <v>87</v>
      </c>
      <c r="F7115">
        <v>2800</v>
      </c>
      <c r="G7115" t="s">
        <v>331</v>
      </c>
      <c r="H7115" s="15">
        <v>45292</v>
      </c>
      <c r="I7115">
        <v>2800</v>
      </c>
      <c r="J7115">
        <v>0</v>
      </c>
    </row>
    <row r="7116" spans="1:10" x14ac:dyDescent="0.3">
      <c r="A7116" s="15">
        <v>46082</v>
      </c>
      <c r="B7116" t="s">
        <v>251</v>
      </c>
      <c r="C7116" t="s">
        <v>91</v>
      </c>
      <c r="D7116" t="s">
        <v>99</v>
      </c>
      <c r="E7116" t="s">
        <v>103</v>
      </c>
      <c r="F7116">
        <v>8800</v>
      </c>
      <c r="G7116" t="s">
        <v>331</v>
      </c>
      <c r="H7116" s="15">
        <v>45292</v>
      </c>
      <c r="I7116">
        <v>8800</v>
      </c>
      <c r="J7116">
        <v>0</v>
      </c>
    </row>
    <row r="7117" spans="1:10" x14ac:dyDescent="0.3">
      <c r="A7117" s="15">
        <v>46082</v>
      </c>
      <c r="B7117" t="s">
        <v>252</v>
      </c>
      <c r="C7117" t="s">
        <v>81</v>
      </c>
      <c r="D7117" t="s">
        <v>99</v>
      </c>
      <c r="E7117" t="s">
        <v>92</v>
      </c>
      <c r="F7117">
        <v>3400</v>
      </c>
      <c r="G7117" t="s">
        <v>331</v>
      </c>
      <c r="H7117" s="15">
        <v>45292</v>
      </c>
      <c r="I7117">
        <v>3400</v>
      </c>
      <c r="J7117">
        <v>0</v>
      </c>
    </row>
    <row r="7118" spans="1:10" x14ac:dyDescent="0.3">
      <c r="A7118" s="15">
        <v>46082</v>
      </c>
      <c r="B7118" t="s">
        <v>253</v>
      </c>
      <c r="C7118" t="s">
        <v>81</v>
      </c>
      <c r="D7118" t="s">
        <v>96</v>
      </c>
      <c r="E7118" t="s">
        <v>89</v>
      </c>
      <c r="F7118">
        <v>2400</v>
      </c>
      <c r="G7118" t="s">
        <v>331</v>
      </c>
      <c r="H7118" s="15">
        <v>45292</v>
      </c>
      <c r="I7118">
        <v>2400</v>
      </c>
      <c r="J7118">
        <v>0</v>
      </c>
    </row>
    <row r="7119" spans="1:10" x14ac:dyDescent="0.3">
      <c r="A7119" s="15">
        <v>46082</v>
      </c>
      <c r="B7119" t="s">
        <v>255</v>
      </c>
      <c r="C7119" t="s">
        <v>91</v>
      </c>
      <c r="D7119" t="s">
        <v>86</v>
      </c>
      <c r="E7119" t="s">
        <v>89</v>
      </c>
      <c r="F7119">
        <v>8600</v>
      </c>
      <c r="G7119" t="s">
        <v>334</v>
      </c>
      <c r="H7119" s="15">
        <v>45292</v>
      </c>
      <c r="I7119">
        <v>9900</v>
      </c>
      <c r="J7119">
        <v>-1300</v>
      </c>
    </row>
    <row r="7120" spans="1:10" x14ac:dyDescent="0.3">
      <c r="A7120" s="15">
        <v>46082</v>
      </c>
      <c r="B7120" t="s">
        <v>256</v>
      </c>
      <c r="C7120" t="s">
        <v>81</v>
      </c>
      <c r="D7120" t="s">
        <v>82</v>
      </c>
      <c r="E7120" t="s">
        <v>103</v>
      </c>
      <c r="F7120">
        <v>1800</v>
      </c>
      <c r="G7120" t="s">
        <v>331</v>
      </c>
      <c r="H7120" s="15">
        <v>45292</v>
      </c>
      <c r="I7120">
        <v>1800</v>
      </c>
      <c r="J7120">
        <v>0</v>
      </c>
    </row>
    <row r="7121" spans="1:10" x14ac:dyDescent="0.3">
      <c r="A7121" s="15">
        <v>46082</v>
      </c>
      <c r="B7121" t="s">
        <v>258</v>
      </c>
      <c r="C7121" t="s">
        <v>125</v>
      </c>
      <c r="D7121" t="s">
        <v>86</v>
      </c>
      <c r="E7121" t="s">
        <v>83</v>
      </c>
      <c r="F7121">
        <v>96300</v>
      </c>
      <c r="G7121" t="s">
        <v>331</v>
      </c>
      <c r="H7121" s="15">
        <v>45292</v>
      </c>
      <c r="I7121">
        <v>96300</v>
      </c>
      <c r="J7121">
        <v>0</v>
      </c>
    </row>
    <row r="7122" spans="1:10" x14ac:dyDescent="0.3">
      <c r="A7122" s="15">
        <v>46082</v>
      </c>
      <c r="B7122" t="s">
        <v>259</v>
      </c>
      <c r="C7122" t="s">
        <v>81</v>
      </c>
      <c r="D7122" t="s">
        <v>86</v>
      </c>
      <c r="E7122" t="s">
        <v>89</v>
      </c>
      <c r="F7122">
        <v>1900</v>
      </c>
      <c r="G7122" t="s">
        <v>331</v>
      </c>
      <c r="H7122" s="15">
        <v>45292</v>
      </c>
      <c r="I7122">
        <v>1900</v>
      </c>
      <c r="J7122">
        <v>0</v>
      </c>
    </row>
    <row r="7123" spans="1:10" x14ac:dyDescent="0.3">
      <c r="A7123" s="15">
        <v>46082</v>
      </c>
      <c r="B7123" t="s">
        <v>260</v>
      </c>
      <c r="C7123" t="s">
        <v>81</v>
      </c>
      <c r="D7123" t="s">
        <v>86</v>
      </c>
      <c r="E7123" t="s">
        <v>97</v>
      </c>
      <c r="F7123">
        <v>2000</v>
      </c>
      <c r="G7123" t="s">
        <v>331</v>
      </c>
      <c r="H7123" s="15">
        <v>45292</v>
      </c>
      <c r="I7123">
        <v>2000</v>
      </c>
      <c r="J7123">
        <v>0</v>
      </c>
    </row>
    <row r="7124" spans="1:10" x14ac:dyDescent="0.3">
      <c r="A7124" s="15">
        <v>46082</v>
      </c>
      <c r="B7124" t="s">
        <v>262</v>
      </c>
      <c r="C7124" t="s">
        <v>91</v>
      </c>
      <c r="D7124" t="s">
        <v>82</v>
      </c>
      <c r="E7124" t="s">
        <v>92</v>
      </c>
      <c r="F7124">
        <v>10800</v>
      </c>
      <c r="G7124" t="s">
        <v>331</v>
      </c>
      <c r="H7124" s="15">
        <v>45292</v>
      </c>
      <c r="I7124">
        <v>10800</v>
      </c>
      <c r="J7124">
        <v>0</v>
      </c>
    </row>
    <row r="7125" spans="1:10" x14ac:dyDescent="0.3">
      <c r="A7125" s="15">
        <v>46082</v>
      </c>
      <c r="B7125" t="s">
        <v>264</v>
      </c>
      <c r="C7125" t="s">
        <v>110</v>
      </c>
      <c r="D7125" t="s">
        <v>86</v>
      </c>
      <c r="E7125" t="s">
        <v>97</v>
      </c>
      <c r="F7125">
        <v>31500</v>
      </c>
      <c r="G7125" t="s">
        <v>331</v>
      </c>
      <c r="H7125" s="15">
        <v>45292</v>
      </c>
      <c r="I7125">
        <v>31500</v>
      </c>
      <c r="J7125">
        <v>0</v>
      </c>
    </row>
    <row r="7126" spans="1:10" x14ac:dyDescent="0.3">
      <c r="A7126" s="15">
        <v>46082</v>
      </c>
      <c r="B7126" t="s">
        <v>265</v>
      </c>
      <c r="C7126" t="s">
        <v>125</v>
      </c>
      <c r="D7126" t="s">
        <v>86</v>
      </c>
      <c r="E7126" t="s">
        <v>101</v>
      </c>
      <c r="F7126">
        <v>76700</v>
      </c>
      <c r="G7126" t="s">
        <v>331</v>
      </c>
      <c r="H7126" s="15">
        <v>45292</v>
      </c>
      <c r="I7126">
        <v>76700</v>
      </c>
      <c r="J7126">
        <v>0</v>
      </c>
    </row>
    <row r="7127" spans="1:10" x14ac:dyDescent="0.3">
      <c r="A7127" s="15">
        <v>46082</v>
      </c>
      <c r="B7127" t="s">
        <v>266</v>
      </c>
      <c r="C7127" t="s">
        <v>81</v>
      </c>
      <c r="D7127" t="s">
        <v>82</v>
      </c>
      <c r="E7127" t="s">
        <v>83</v>
      </c>
      <c r="F7127">
        <v>2200</v>
      </c>
      <c r="G7127" t="s">
        <v>331</v>
      </c>
      <c r="H7127" s="15">
        <v>45292</v>
      </c>
      <c r="I7127">
        <v>2200</v>
      </c>
      <c r="J7127">
        <v>0</v>
      </c>
    </row>
    <row r="7128" spans="1:10" x14ac:dyDescent="0.3">
      <c r="A7128" s="15">
        <v>46082</v>
      </c>
      <c r="B7128" t="s">
        <v>267</v>
      </c>
      <c r="C7128" t="s">
        <v>91</v>
      </c>
      <c r="D7128" t="s">
        <v>82</v>
      </c>
      <c r="E7128" t="s">
        <v>97</v>
      </c>
      <c r="F7128">
        <v>7300</v>
      </c>
      <c r="G7128" t="s">
        <v>331</v>
      </c>
      <c r="H7128" s="15">
        <v>45292</v>
      </c>
      <c r="I7128">
        <v>7300</v>
      </c>
      <c r="J7128">
        <v>0</v>
      </c>
    </row>
    <row r="7129" spans="1:10" x14ac:dyDescent="0.3">
      <c r="A7129" s="15">
        <v>46082</v>
      </c>
      <c r="B7129" t="s">
        <v>272</v>
      </c>
      <c r="C7129" t="s">
        <v>125</v>
      </c>
      <c r="D7129" t="s">
        <v>96</v>
      </c>
      <c r="E7129" t="s">
        <v>103</v>
      </c>
      <c r="F7129">
        <v>101100</v>
      </c>
      <c r="G7129" t="s">
        <v>331</v>
      </c>
      <c r="H7129" s="15">
        <v>45292</v>
      </c>
      <c r="I7129">
        <v>101100</v>
      </c>
      <c r="J7129">
        <v>0</v>
      </c>
    </row>
    <row r="7130" spans="1:10" x14ac:dyDescent="0.3">
      <c r="A7130" s="15">
        <v>46082</v>
      </c>
      <c r="B7130" t="s">
        <v>273</v>
      </c>
      <c r="C7130" t="s">
        <v>81</v>
      </c>
      <c r="D7130" t="s">
        <v>82</v>
      </c>
      <c r="E7130" t="s">
        <v>101</v>
      </c>
      <c r="F7130">
        <v>3300</v>
      </c>
      <c r="G7130" t="s">
        <v>331</v>
      </c>
      <c r="H7130" s="15">
        <v>45292</v>
      </c>
      <c r="I7130">
        <v>3300</v>
      </c>
      <c r="J7130">
        <v>0</v>
      </c>
    </row>
    <row r="7131" spans="1:10" x14ac:dyDescent="0.3">
      <c r="A7131" s="15">
        <v>46082</v>
      </c>
      <c r="B7131" t="s">
        <v>274</v>
      </c>
      <c r="C7131" t="s">
        <v>91</v>
      </c>
      <c r="D7131" t="s">
        <v>99</v>
      </c>
      <c r="E7131" t="s">
        <v>87</v>
      </c>
      <c r="F7131">
        <v>11400</v>
      </c>
      <c r="G7131" t="s">
        <v>331</v>
      </c>
      <c r="H7131" s="15">
        <v>45292</v>
      </c>
      <c r="I7131">
        <v>11400</v>
      </c>
      <c r="J7131">
        <v>0</v>
      </c>
    </row>
    <row r="7132" spans="1:10" x14ac:dyDescent="0.3">
      <c r="A7132" s="15">
        <v>46082</v>
      </c>
      <c r="B7132" t="s">
        <v>276</v>
      </c>
      <c r="C7132" t="s">
        <v>81</v>
      </c>
      <c r="D7132" t="s">
        <v>82</v>
      </c>
      <c r="E7132" t="s">
        <v>103</v>
      </c>
      <c r="F7132">
        <v>3300</v>
      </c>
      <c r="G7132" t="s">
        <v>331</v>
      </c>
      <c r="H7132" s="15">
        <v>45292</v>
      </c>
      <c r="I7132">
        <v>3300</v>
      </c>
      <c r="J7132">
        <v>0</v>
      </c>
    </row>
    <row r="7133" spans="1:10" x14ac:dyDescent="0.3">
      <c r="A7133" s="15">
        <v>46082</v>
      </c>
      <c r="B7133" t="s">
        <v>277</v>
      </c>
      <c r="C7133" t="s">
        <v>91</v>
      </c>
      <c r="D7133" t="s">
        <v>86</v>
      </c>
      <c r="E7133" t="s">
        <v>97</v>
      </c>
      <c r="F7133">
        <v>9200</v>
      </c>
      <c r="G7133" t="s">
        <v>331</v>
      </c>
      <c r="H7133" s="15">
        <v>45292</v>
      </c>
      <c r="I7133">
        <v>9200</v>
      </c>
      <c r="J7133">
        <v>0</v>
      </c>
    </row>
    <row r="7134" spans="1:10" x14ac:dyDescent="0.3">
      <c r="A7134" s="15">
        <v>46082</v>
      </c>
      <c r="B7134" t="s">
        <v>279</v>
      </c>
      <c r="C7134" t="s">
        <v>91</v>
      </c>
      <c r="D7134" t="s">
        <v>99</v>
      </c>
      <c r="E7134" t="s">
        <v>89</v>
      </c>
      <c r="F7134">
        <v>9800</v>
      </c>
      <c r="G7134" t="s">
        <v>331</v>
      </c>
      <c r="H7134" s="15">
        <v>45292</v>
      </c>
      <c r="I7134">
        <v>9800</v>
      </c>
      <c r="J7134">
        <v>0</v>
      </c>
    </row>
    <row r="7135" spans="1:10" x14ac:dyDescent="0.3">
      <c r="A7135" s="15">
        <v>46082</v>
      </c>
      <c r="B7135" t="s">
        <v>280</v>
      </c>
      <c r="C7135" t="s">
        <v>91</v>
      </c>
      <c r="D7135" t="s">
        <v>96</v>
      </c>
      <c r="E7135" t="s">
        <v>83</v>
      </c>
      <c r="F7135">
        <v>6300</v>
      </c>
      <c r="G7135" t="s">
        <v>331</v>
      </c>
      <c r="H7135" s="15">
        <v>45292</v>
      </c>
      <c r="I7135">
        <v>6300</v>
      </c>
      <c r="J7135">
        <v>0</v>
      </c>
    </row>
    <row r="7136" spans="1:10" x14ac:dyDescent="0.3">
      <c r="A7136" s="15">
        <v>46082</v>
      </c>
      <c r="B7136" t="s">
        <v>282</v>
      </c>
      <c r="C7136" t="s">
        <v>91</v>
      </c>
      <c r="D7136" t="s">
        <v>86</v>
      </c>
      <c r="E7136" t="s">
        <v>92</v>
      </c>
      <c r="F7136">
        <v>5800</v>
      </c>
      <c r="G7136" t="s">
        <v>331</v>
      </c>
      <c r="H7136" s="15">
        <v>45292</v>
      </c>
      <c r="I7136">
        <v>5800</v>
      </c>
      <c r="J7136">
        <v>0</v>
      </c>
    </row>
    <row r="7137" spans="1:10" x14ac:dyDescent="0.3">
      <c r="A7137" s="15">
        <v>46082</v>
      </c>
      <c r="B7137" t="s">
        <v>283</v>
      </c>
      <c r="C7137" t="s">
        <v>110</v>
      </c>
      <c r="D7137" t="s">
        <v>82</v>
      </c>
      <c r="E7137" t="s">
        <v>87</v>
      </c>
      <c r="F7137">
        <v>34200</v>
      </c>
      <c r="G7137" t="s">
        <v>331</v>
      </c>
      <c r="H7137" s="15">
        <v>45292</v>
      </c>
      <c r="I7137">
        <v>34200</v>
      </c>
      <c r="J7137">
        <v>0</v>
      </c>
    </row>
    <row r="7138" spans="1:10" x14ac:dyDescent="0.3">
      <c r="A7138" s="15">
        <v>46082</v>
      </c>
      <c r="B7138" t="s">
        <v>284</v>
      </c>
      <c r="C7138" t="s">
        <v>81</v>
      </c>
      <c r="D7138" t="s">
        <v>82</v>
      </c>
      <c r="E7138" t="s">
        <v>101</v>
      </c>
      <c r="F7138">
        <v>0</v>
      </c>
      <c r="G7138" t="s">
        <v>333</v>
      </c>
      <c r="H7138" s="15">
        <v>45292</v>
      </c>
      <c r="I7138">
        <v>2200</v>
      </c>
      <c r="J7138">
        <v>-2200</v>
      </c>
    </row>
    <row r="7139" spans="1:10" x14ac:dyDescent="0.3">
      <c r="A7139" s="15">
        <v>46082</v>
      </c>
      <c r="B7139" t="s">
        <v>285</v>
      </c>
      <c r="C7139" t="s">
        <v>91</v>
      </c>
      <c r="D7139" t="s">
        <v>82</v>
      </c>
      <c r="E7139" t="s">
        <v>83</v>
      </c>
      <c r="F7139">
        <v>10900</v>
      </c>
      <c r="G7139" t="s">
        <v>331</v>
      </c>
      <c r="H7139" s="15">
        <v>45292</v>
      </c>
      <c r="I7139">
        <v>10900</v>
      </c>
      <c r="J7139">
        <v>0</v>
      </c>
    </row>
    <row r="7140" spans="1:10" x14ac:dyDescent="0.3">
      <c r="A7140" s="15">
        <v>46082</v>
      </c>
      <c r="B7140" t="s">
        <v>286</v>
      </c>
      <c r="C7140" t="s">
        <v>125</v>
      </c>
      <c r="D7140" t="s">
        <v>86</v>
      </c>
      <c r="E7140" t="s">
        <v>92</v>
      </c>
      <c r="F7140">
        <v>92400</v>
      </c>
      <c r="G7140" t="s">
        <v>331</v>
      </c>
      <c r="H7140" s="15">
        <v>45292</v>
      </c>
      <c r="I7140">
        <v>92400</v>
      </c>
      <c r="J7140">
        <v>0</v>
      </c>
    </row>
    <row r="7141" spans="1:10" x14ac:dyDescent="0.3">
      <c r="A7141" s="15">
        <v>46082</v>
      </c>
      <c r="B7141" t="s">
        <v>287</v>
      </c>
      <c r="C7141" t="s">
        <v>81</v>
      </c>
      <c r="D7141" t="s">
        <v>99</v>
      </c>
      <c r="E7141" t="s">
        <v>87</v>
      </c>
      <c r="F7141">
        <v>2300</v>
      </c>
      <c r="G7141" t="s">
        <v>331</v>
      </c>
      <c r="H7141" s="15">
        <v>45292</v>
      </c>
      <c r="I7141">
        <v>2300</v>
      </c>
      <c r="J7141">
        <v>0</v>
      </c>
    </row>
    <row r="7142" spans="1:10" x14ac:dyDescent="0.3">
      <c r="A7142" s="15">
        <v>46082</v>
      </c>
      <c r="B7142" t="s">
        <v>288</v>
      </c>
      <c r="C7142" t="s">
        <v>81</v>
      </c>
      <c r="D7142" t="s">
        <v>99</v>
      </c>
      <c r="E7142" t="s">
        <v>97</v>
      </c>
      <c r="F7142">
        <v>2900</v>
      </c>
      <c r="G7142" t="s">
        <v>331</v>
      </c>
      <c r="H7142" s="15">
        <v>45292</v>
      </c>
      <c r="I7142">
        <v>2900</v>
      </c>
      <c r="J7142">
        <v>0</v>
      </c>
    </row>
    <row r="7143" spans="1:10" x14ac:dyDescent="0.3">
      <c r="A7143" s="15">
        <v>46082</v>
      </c>
      <c r="B7143" t="s">
        <v>289</v>
      </c>
      <c r="C7143" t="s">
        <v>91</v>
      </c>
      <c r="D7143" t="s">
        <v>86</v>
      </c>
      <c r="E7143" t="s">
        <v>101</v>
      </c>
      <c r="F7143">
        <v>9400</v>
      </c>
      <c r="G7143" t="s">
        <v>331</v>
      </c>
      <c r="H7143" s="15">
        <v>45292</v>
      </c>
      <c r="I7143">
        <v>9400</v>
      </c>
      <c r="J7143">
        <v>0</v>
      </c>
    </row>
    <row r="7144" spans="1:10" x14ac:dyDescent="0.3">
      <c r="A7144" s="15">
        <v>46082</v>
      </c>
      <c r="B7144" t="s">
        <v>290</v>
      </c>
      <c r="C7144" t="s">
        <v>81</v>
      </c>
      <c r="D7144" t="s">
        <v>82</v>
      </c>
      <c r="E7144" t="s">
        <v>103</v>
      </c>
      <c r="F7144">
        <v>2500</v>
      </c>
      <c r="G7144" t="s">
        <v>331</v>
      </c>
      <c r="H7144" s="15">
        <v>45292</v>
      </c>
      <c r="I7144">
        <v>2500</v>
      </c>
      <c r="J7144">
        <v>0</v>
      </c>
    </row>
    <row r="7145" spans="1:10" x14ac:dyDescent="0.3">
      <c r="A7145" s="15">
        <v>46082</v>
      </c>
      <c r="B7145" t="s">
        <v>291</v>
      </c>
      <c r="C7145" t="s">
        <v>81</v>
      </c>
      <c r="D7145" t="s">
        <v>82</v>
      </c>
      <c r="E7145" t="s">
        <v>83</v>
      </c>
      <c r="F7145">
        <v>3100</v>
      </c>
      <c r="G7145" t="s">
        <v>331</v>
      </c>
      <c r="H7145" s="15">
        <v>45292</v>
      </c>
      <c r="I7145">
        <v>3100</v>
      </c>
      <c r="J7145">
        <v>0</v>
      </c>
    </row>
    <row r="7146" spans="1:10" x14ac:dyDescent="0.3">
      <c r="A7146" s="15">
        <v>46082</v>
      </c>
      <c r="B7146" t="s">
        <v>292</v>
      </c>
      <c r="C7146" t="s">
        <v>91</v>
      </c>
      <c r="D7146" t="s">
        <v>86</v>
      </c>
      <c r="E7146" t="s">
        <v>89</v>
      </c>
      <c r="F7146">
        <v>9900</v>
      </c>
      <c r="G7146" t="s">
        <v>331</v>
      </c>
      <c r="H7146" s="15">
        <v>45292</v>
      </c>
      <c r="I7146">
        <v>9900</v>
      </c>
      <c r="J7146">
        <v>0</v>
      </c>
    </row>
    <row r="7147" spans="1:10" x14ac:dyDescent="0.3">
      <c r="A7147" s="15">
        <v>46082</v>
      </c>
      <c r="B7147" t="s">
        <v>293</v>
      </c>
      <c r="C7147" t="s">
        <v>81</v>
      </c>
      <c r="D7147" t="s">
        <v>86</v>
      </c>
      <c r="E7147" t="s">
        <v>103</v>
      </c>
      <c r="F7147">
        <v>2200</v>
      </c>
      <c r="G7147" t="s">
        <v>331</v>
      </c>
      <c r="H7147" s="15">
        <v>45292</v>
      </c>
      <c r="I7147">
        <v>2200</v>
      </c>
      <c r="J7147">
        <v>0</v>
      </c>
    </row>
    <row r="7148" spans="1:10" x14ac:dyDescent="0.3">
      <c r="A7148" s="15">
        <v>46082</v>
      </c>
      <c r="B7148" t="s">
        <v>294</v>
      </c>
      <c r="C7148" t="s">
        <v>91</v>
      </c>
      <c r="D7148" t="s">
        <v>82</v>
      </c>
      <c r="E7148" t="s">
        <v>97</v>
      </c>
      <c r="F7148">
        <v>9100</v>
      </c>
      <c r="G7148" t="s">
        <v>331</v>
      </c>
      <c r="H7148" s="15">
        <v>45292</v>
      </c>
      <c r="I7148">
        <v>9100</v>
      </c>
      <c r="J7148">
        <v>0</v>
      </c>
    </row>
    <row r="7149" spans="1:10" x14ac:dyDescent="0.3">
      <c r="A7149" s="15">
        <v>46082</v>
      </c>
      <c r="B7149" t="s">
        <v>295</v>
      </c>
      <c r="C7149" t="s">
        <v>81</v>
      </c>
      <c r="D7149" t="s">
        <v>82</v>
      </c>
      <c r="E7149" t="s">
        <v>103</v>
      </c>
      <c r="F7149">
        <v>2000</v>
      </c>
      <c r="G7149" t="s">
        <v>331</v>
      </c>
      <c r="H7149" s="15">
        <v>45292</v>
      </c>
      <c r="I7149">
        <v>2000</v>
      </c>
      <c r="J7149">
        <v>0</v>
      </c>
    </row>
    <row r="7150" spans="1:10" x14ac:dyDescent="0.3">
      <c r="A7150" s="15">
        <v>46082</v>
      </c>
      <c r="B7150" t="s">
        <v>298</v>
      </c>
      <c r="C7150" t="s">
        <v>81</v>
      </c>
      <c r="D7150" t="s">
        <v>86</v>
      </c>
      <c r="E7150" t="s">
        <v>89</v>
      </c>
      <c r="F7150">
        <v>2700</v>
      </c>
      <c r="G7150" t="s">
        <v>331</v>
      </c>
      <c r="H7150" s="15">
        <v>45292</v>
      </c>
      <c r="I7150">
        <v>2700</v>
      </c>
      <c r="J7150">
        <v>0</v>
      </c>
    </row>
    <row r="7151" spans="1:10" x14ac:dyDescent="0.3">
      <c r="A7151" s="15">
        <v>46082</v>
      </c>
      <c r="B7151" t="s">
        <v>299</v>
      </c>
      <c r="C7151" t="s">
        <v>81</v>
      </c>
      <c r="D7151" t="s">
        <v>99</v>
      </c>
      <c r="E7151" t="s">
        <v>103</v>
      </c>
      <c r="F7151">
        <v>2900</v>
      </c>
      <c r="G7151" t="s">
        <v>331</v>
      </c>
      <c r="H7151" s="15">
        <v>45292</v>
      </c>
      <c r="I7151">
        <v>2900</v>
      </c>
      <c r="J7151">
        <v>0</v>
      </c>
    </row>
    <row r="7152" spans="1:10" x14ac:dyDescent="0.3">
      <c r="A7152" s="15">
        <v>46082</v>
      </c>
      <c r="B7152" t="s">
        <v>300</v>
      </c>
      <c r="C7152" t="s">
        <v>91</v>
      </c>
      <c r="D7152" t="s">
        <v>82</v>
      </c>
      <c r="E7152" t="s">
        <v>89</v>
      </c>
      <c r="F7152">
        <v>11500</v>
      </c>
      <c r="G7152" t="s">
        <v>331</v>
      </c>
      <c r="H7152" s="15">
        <v>45292</v>
      </c>
      <c r="I7152">
        <v>11500</v>
      </c>
      <c r="J7152">
        <v>0</v>
      </c>
    </row>
    <row r="7153" spans="1:10" x14ac:dyDescent="0.3">
      <c r="A7153" s="15">
        <v>46082</v>
      </c>
      <c r="B7153" t="s">
        <v>303</v>
      </c>
      <c r="C7153" t="s">
        <v>81</v>
      </c>
      <c r="D7153" t="s">
        <v>82</v>
      </c>
      <c r="E7153" t="s">
        <v>83</v>
      </c>
      <c r="F7153">
        <v>1500</v>
      </c>
      <c r="G7153" t="s">
        <v>331</v>
      </c>
      <c r="H7153" s="15">
        <v>45292</v>
      </c>
      <c r="I7153">
        <v>1500</v>
      </c>
      <c r="J7153">
        <v>0</v>
      </c>
    </row>
    <row r="7154" spans="1:10" x14ac:dyDescent="0.3">
      <c r="A7154" s="15">
        <v>46082</v>
      </c>
      <c r="B7154" t="s">
        <v>304</v>
      </c>
      <c r="C7154" t="s">
        <v>81</v>
      </c>
      <c r="D7154" t="s">
        <v>86</v>
      </c>
      <c r="E7154" t="s">
        <v>92</v>
      </c>
      <c r="F7154">
        <v>2100</v>
      </c>
      <c r="G7154" t="s">
        <v>331</v>
      </c>
      <c r="H7154" s="15">
        <v>45292</v>
      </c>
      <c r="I7154">
        <v>2100</v>
      </c>
      <c r="J7154">
        <v>0</v>
      </c>
    </row>
    <row r="7155" spans="1:10" x14ac:dyDescent="0.3">
      <c r="A7155" s="15">
        <v>46082</v>
      </c>
      <c r="B7155" t="s">
        <v>306</v>
      </c>
      <c r="C7155" t="s">
        <v>91</v>
      </c>
      <c r="D7155" t="s">
        <v>82</v>
      </c>
      <c r="E7155" t="s">
        <v>87</v>
      </c>
      <c r="F7155">
        <v>11700</v>
      </c>
      <c r="G7155" t="s">
        <v>331</v>
      </c>
      <c r="H7155" s="15">
        <v>45292</v>
      </c>
      <c r="I7155">
        <v>11700</v>
      </c>
      <c r="J7155">
        <v>0</v>
      </c>
    </row>
    <row r="7156" spans="1:10" x14ac:dyDescent="0.3">
      <c r="A7156" s="15">
        <v>46082</v>
      </c>
      <c r="B7156" t="s">
        <v>307</v>
      </c>
      <c r="C7156" t="s">
        <v>81</v>
      </c>
      <c r="D7156" t="s">
        <v>86</v>
      </c>
      <c r="E7156" t="s">
        <v>97</v>
      </c>
      <c r="F7156">
        <v>2600</v>
      </c>
      <c r="G7156" t="s">
        <v>331</v>
      </c>
      <c r="H7156" s="15">
        <v>45292</v>
      </c>
      <c r="I7156">
        <v>2600</v>
      </c>
      <c r="J7156">
        <v>0</v>
      </c>
    </row>
    <row r="7157" spans="1:10" x14ac:dyDescent="0.3">
      <c r="A7157" s="15">
        <v>46082</v>
      </c>
      <c r="B7157" t="s">
        <v>309</v>
      </c>
      <c r="C7157" t="s">
        <v>91</v>
      </c>
      <c r="D7157" t="s">
        <v>82</v>
      </c>
      <c r="E7157" t="s">
        <v>87</v>
      </c>
      <c r="F7157">
        <v>11800</v>
      </c>
      <c r="G7157" t="s">
        <v>331</v>
      </c>
      <c r="H7157" s="15">
        <v>45292</v>
      </c>
      <c r="I7157">
        <v>11800</v>
      </c>
      <c r="J7157">
        <v>0</v>
      </c>
    </row>
    <row r="7158" spans="1:10" x14ac:dyDescent="0.3">
      <c r="A7158" s="15">
        <v>46082</v>
      </c>
      <c r="B7158" t="s">
        <v>310</v>
      </c>
      <c r="C7158" t="s">
        <v>91</v>
      </c>
      <c r="D7158" t="s">
        <v>99</v>
      </c>
      <c r="E7158" t="s">
        <v>87</v>
      </c>
      <c r="F7158">
        <v>10000</v>
      </c>
      <c r="G7158" t="s">
        <v>331</v>
      </c>
      <c r="H7158" s="15">
        <v>45292</v>
      </c>
      <c r="I7158">
        <v>10000</v>
      </c>
      <c r="J7158">
        <v>0</v>
      </c>
    </row>
    <row r="7159" spans="1:10" x14ac:dyDescent="0.3">
      <c r="A7159" s="15">
        <v>46082</v>
      </c>
      <c r="B7159" t="s">
        <v>313</v>
      </c>
      <c r="C7159" t="s">
        <v>91</v>
      </c>
      <c r="D7159" t="s">
        <v>82</v>
      </c>
      <c r="E7159" t="s">
        <v>101</v>
      </c>
      <c r="F7159">
        <v>0</v>
      </c>
      <c r="G7159" t="s">
        <v>333</v>
      </c>
      <c r="H7159" s="15">
        <v>45292</v>
      </c>
      <c r="I7159">
        <v>12700</v>
      </c>
      <c r="J7159">
        <v>-12700</v>
      </c>
    </row>
    <row r="7160" spans="1:10" x14ac:dyDescent="0.3">
      <c r="A7160" s="15">
        <v>46082</v>
      </c>
      <c r="B7160" t="s">
        <v>315</v>
      </c>
      <c r="C7160" t="s">
        <v>125</v>
      </c>
      <c r="D7160" t="s">
        <v>86</v>
      </c>
      <c r="E7160" t="s">
        <v>92</v>
      </c>
      <c r="F7160">
        <v>76200</v>
      </c>
      <c r="G7160" t="s">
        <v>331</v>
      </c>
      <c r="H7160" s="15">
        <v>45292</v>
      </c>
      <c r="I7160">
        <v>76200</v>
      </c>
      <c r="J7160">
        <v>0</v>
      </c>
    </row>
    <row r="7161" spans="1:10" x14ac:dyDescent="0.3">
      <c r="A7161" s="15">
        <v>46082</v>
      </c>
      <c r="B7161" t="s">
        <v>316</v>
      </c>
      <c r="C7161" t="s">
        <v>81</v>
      </c>
      <c r="D7161" t="s">
        <v>96</v>
      </c>
      <c r="E7161" t="s">
        <v>92</v>
      </c>
      <c r="F7161">
        <v>2000</v>
      </c>
      <c r="G7161" t="s">
        <v>331</v>
      </c>
      <c r="H7161" s="15">
        <v>45292</v>
      </c>
      <c r="I7161">
        <v>2000</v>
      </c>
      <c r="J7161">
        <v>0</v>
      </c>
    </row>
    <row r="7162" spans="1:10" x14ac:dyDescent="0.3">
      <c r="A7162" s="15">
        <v>46082</v>
      </c>
      <c r="B7162" t="s">
        <v>318</v>
      </c>
      <c r="C7162" t="s">
        <v>110</v>
      </c>
      <c r="D7162" t="s">
        <v>82</v>
      </c>
      <c r="E7162" t="s">
        <v>97</v>
      </c>
      <c r="F7162">
        <v>29600</v>
      </c>
      <c r="G7162" t="s">
        <v>331</v>
      </c>
      <c r="H7162" s="15">
        <v>45292</v>
      </c>
      <c r="I7162">
        <v>29600</v>
      </c>
      <c r="J7162">
        <v>0</v>
      </c>
    </row>
    <row r="7163" spans="1:10" x14ac:dyDescent="0.3">
      <c r="A7163" s="15">
        <v>46082</v>
      </c>
      <c r="B7163" t="s">
        <v>320</v>
      </c>
      <c r="C7163" t="s">
        <v>91</v>
      </c>
      <c r="D7163" t="s">
        <v>86</v>
      </c>
      <c r="E7163" t="s">
        <v>97</v>
      </c>
      <c r="F7163">
        <v>7700</v>
      </c>
      <c r="G7163" t="s">
        <v>331</v>
      </c>
      <c r="H7163" s="15">
        <v>45292</v>
      </c>
      <c r="I7163">
        <v>7700</v>
      </c>
      <c r="J7163">
        <v>0</v>
      </c>
    </row>
    <row r="7164" spans="1:10" x14ac:dyDescent="0.3">
      <c r="A7164" s="15">
        <v>46082</v>
      </c>
      <c r="B7164" t="s">
        <v>321</v>
      </c>
      <c r="C7164" t="s">
        <v>81</v>
      </c>
      <c r="D7164" t="s">
        <v>99</v>
      </c>
      <c r="E7164" t="s">
        <v>101</v>
      </c>
      <c r="F7164">
        <v>3500</v>
      </c>
      <c r="G7164" t="s">
        <v>331</v>
      </c>
      <c r="H7164" s="15">
        <v>45292</v>
      </c>
      <c r="I7164">
        <v>3500</v>
      </c>
      <c r="J7164">
        <v>0</v>
      </c>
    </row>
    <row r="7165" spans="1:10" x14ac:dyDescent="0.3">
      <c r="A7165" s="15">
        <v>46082</v>
      </c>
      <c r="B7165" t="s">
        <v>322</v>
      </c>
      <c r="C7165" t="s">
        <v>81</v>
      </c>
      <c r="D7165" t="s">
        <v>82</v>
      </c>
      <c r="E7165" t="s">
        <v>103</v>
      </c>
      <c r="F7165">
        <v>2000</v>
      </c>
      <c r="G7165" t="s">
        <v>331</v>
      </c>
      <c r="H7165" s="15">
        <v>45292</v>
      </c>
      <c r="I7165">
        <v>2000</v>
      </c>
      <c r="J7165">
        <v>0</v>
      </c>
    </row>
    <row r="7166" spans="1:10" x14ac:dyDescent="0.3">
      <c r="A7166" s="15">
        <v>46082</v>
      </c>
      <c r="B7166" t="s">
        <v>323</v>
      </c>
      <c r="C7166" t="s">
        <v>110</v>
      </c>
      <c r="D7166" t="s">
        <v>82</v>
      </c>
      <c r="E7166" t="s">
        <v>89</v>
      </c>
      <c r="F7166">
        <v>19600</v>
      </c>
      <c r="G7166" t="s">
        <v>334</v>
      </c>
      <c r="H7166" s="15">
        <v>45292</v>
      </c>
      <c r="I7166">
        <v>23400</v>
      </c>
      <c r="J7166">
        <v>-3800</v>
      </c>
    </row>
    <row r="7167" spans="1:10" x14ac:dyDescent="0.3">
      <c r="A7167" s="15">
        <v>46082</v>
      </c>
      <c r="B7167" t="s">
        <v>324</v>
      </c>
      <c r="C7167" t="s">
        <v>81</v>
      </c>
      <c r="D7167" t="s">
        <v>86</v>
      </c>
      <c r="E7167" t="s">
        <v>87</v>
      </c>
      <c r="F7167">
        <v>2400</v>
      </c>
      <c r="G7167" t="s">
        <v>334</v>
      </c>
      <c r="H7167" s="15">
        <v>45292</v>
      </c>
      <c r="I7167">
        <v>2700</v>
      </c>
      <c r="J7167">
        <v>-300</v>
      </c>
    </row>
    <row r="7168" spans="1:10" x14ac:dyDescent="0.3">
      <c r="A7168" s="15">
        <v>46082</v>
      </c>
      <c r="B7168" t="s">
        <v>325</v>
      </c>
      <c r="C7168" t="s">
        <v>91</v>
      </c>
      <c r="D7168" t="s">
        <v>86</v>
      </c>
      <c r="E7168" t="s">
        <v>87</v>
      </c>
      <c r="F7168">
        <v>9400</v>
      </c>
      <c r="G7168" t="s">
        <v>331</v>
      </c>
      <c r="H7168" s="15">
        <v>45292</v>
      </c>
      <c r="I7168">
        <v>9400</v>
      </c>
      <c r="J7168">
        <v>0</v>
      </c>
    </row>
    <row r="7169" spans="1:10" x14ac:dyDescent="0.3">
      <c r="A7169" s="15">
        <v>46082</v>
      </c>
      <c r="B7169" t="s">
        <v>327</v>
      </c>
      <c r="C7169" t="s">
        <v>125</v>
      </c>
      <c r="D7169" t="s">
        <v>99</v>
      </c>
      <c r="E7169" t="s">
        <v>97</v>
      </c>
      <c r="F7169">
        <v>77500</v>
      </c>
      <c r="G7169" t="s">
        <v>331</v>
      </c>
      <c r="H7169" s="15">
        <v>45292</v>
      </c>
      <c r="I7169">
        <v>77500</v>
      </c>
      <c r="J7169">
        <v>0</v>
      </c>
    </row>
    <row r="7170" spans="1:10" x14ac:dyDescent="0.3">
      <c r="A7170" s="15">
        <v>46082</v>
      </c>
      <c r="B7170" t="s">
        <v>329</v>
      </c>
      <c r="C7170" t="s">
        <v>81</v>
      </c>
      <c r="D7170" t="s">
        <v>86</v>
      </c>
      <c r="E7170" t="s">
        <v>101</v>
      </c>
      <c r="F7170">
        <v>2200</v>
      </c>
      <c r="G7170" t="s">
        <v>331</v>
      </c>
      <c r="H7170" s="15">
        <v>45292</v>
      </c>
      <c r="I7170">
        <v>2200</v>
      </c>
      <c r="J7170">
        <v>0</v>
      </c>
    </row>
    <row r="7171" spans="1:10" x14ac:dyDescent="0.3">
      <c r="A7171" s="15">
        <v>46082</v>
      </c>
      <c r="B7171" t="s">
        <v>330</v>
      </c>
      <c r="C7171" t="s">
        <v>125</v>
      </c>
      <c r="D7171" t="s">
        <v>86</v>
      </c>
      <c r="E7171" t="s">
        <v>87</v>
      </c>
      <c r="F7171">
        <v>105400</v>
      </c>
      <c r="G7171" t="s">
        <v>331</v>
      </c>
      <c r="H7171" s="15">
        <v>45292</v>
      </c>
      <c r="I7171">
        <v>105400</v>
      </c>
      <c r="J7171">
        <v>0</v>
      </c>
    </row>
    <row r="7172" spans="1:10" x14ac:dyDescent="0.3">
      <c r="A7172" s="15">
        <v>46082</v>
      </c>
      <c r="B7172" t="s">
        <v>335</v>
      </c>
      <c r="C7172" t="s">
        <v>91</v>
      </c>
      <c r="D7172" t="s">
        <v>86</v>
      </c>
      <c r="E7172" t="s">
        <v>89</v>
      </c>
      <c r="F7172">
        <v>6500</v>
      </c>
      <c r="G7172" t="s">
        <v>331</v>
      </c>
      <c r="H7172" s="15">
        <v>45323</v>
      </c>
      <c r="I7172">
        <v>6500</v>
      </c>
      <c r="J7172">
        <v>0</v>
      </c>
    </row>
    <row r="7173" spans="1:10" x14ac:dyDescent="0.3">
      <c r="A7173" s="15">
        <v>46082</v>
      </c>
      <c r="B7173" t="s">
        <v>336</v>
      </c>
      <c r="C7173" t="s">
        <v>81</v>
      </c>
      <c r="D7173" t="s">
        <v>82</v>
      </c>
      <c r="E7173" t="s">
        <v>103</v>
      </c>
      <c r="F7173">
        <v>1500</v>
      </c>
      <c r="G7173" t="s">
        <v>331</v>
      </c>
      <c r="H7173" s="15">
        <v>45323</v>
      </c>
      <c r="I7173">
        <v>1500</v>
      </c>
      <c r="J7173">
        <v>0</v>
      </c>
    </row>
    <row r="7174" spans="1:10" x14ac:dyDescent="0.3">
      <c r="A7174" s="15">
        <v>46082</v>
      </c>
      <c r="B7174" t="s">
        <v>339</v>
      </c>
      <c r="C7174" t="s">
        <v>81</v>
      </c>
      <c r="D7174" t="s">
        <v>82</v>
      </c>
      <c r="E7174" t="s">
        <v>103</v>
      </c>
      <c r="F7174">
        <v>1400</v>
      </c>
      <c r="G7174" t="s">
        <v>334</v>
      </c>
      <c r="H7174" s="15">
        <v>45323</v>
      </c>
      <c r="I7174">
        <v>1600</v>
      </c>
      <c r="J7174">
        <v>-200</v>
      </c>
    </row>
    <row r="7175" spans="1:10" x14ac:dyDescent="0.3">
      <c r="A7175" s="15">
        <v>46082</v>
      </c>
      <c r="B7175" t="s">
        <v>341</v>
      </c>
      <c r="C7175" t="s">
        <v>110</v>
      </c>
      <c r="D7175" t="s">
        <v>82</v>
      </c>
      <c r="E7175" t="s">
        <v>92</v>
      </c>
      <c r="F7175">
        <v>18800</v>
      </c>
      <c r="G7175" t="s">
        <v>331</v>
      </c>
      <c r="H7175" s="15">
        <v>45323</v>
      </c>
      <c r="I7175">
        <v>18800</v>
      </c>
      <c r="J7175">
        <v>0</v>
      </c>
    </row>
    <row r="7176" spans="1:10" x14ac:dyDescent="0.3">
      <c r="A7176" s="15">
        <v>46082</v>
      </c>
      <c r="B7176" t="s">
        <v>342</v>
      </c>
      <c r="C7176" t="s">
        <v>91</v>
      </c>
      <c r="D7176" t="s">
        <v>82</v>
      </c>
      <c r="E7176" t="s">
        <v>83</v>
      </c>
      <c r="F7176">
        <v>6300</v>
      </c>
      <c r="G7176" t="s">
        <v>331</v>
      </c>
      <c r="H7176" s="15">
        <v>45352</v>
      </c>
      <c r="I7176">
        <v>6300</v>
      </c>
      <c r="J7176">
        <v>0</v>
      </c>
    </row>
    <row r="7177" spans="1:10" x14ac:dyDescent="0.3">
      <c r="A7177" s="15">
        <v>46082</v>
      </c>
      <c r="B7177" t="s">
        <v>343</v>
      </c>
      <c r="C7177" t="s">
        <v>81</v>
      </c>
      <c r="D7177" t="s">
        <v>82</v>
      </c>
      <c r="E7177" t="s">
        <v>89</v>
      </c>
      <c r="F7177">
        <v>2500</v>
      </c>
      <c r="G7177" t="s">
        <v>331</v>
      </c>
      <c r="H7177" s="15">
        <v>45352</v>
      </c>
      <c r="I7177">
        <v>2500</v>
      </c>
      <c r="J7177">
        <v>0</v>
      </c>
    </row>
    <row r="7178" spans="1:10" x14ac:dyDescent="0.3">
      <c r="A7178" s="15">
        <v>46082</v>
      </c>
      <c r="B7178" t="s">
        <v>344</v>
      </c>
      <c r="C7178" t="s">
        <v>110</v>
      </c>
      <c r="D7178" t="s">
        <v>86</v>
      </c>
      <c r="E7178" t="s">
        <v>89</v>
      </c>
      <c r="F7178">
        <v>25800</v>
      </c>
      <c r="G7178" t="s">
        <v>331</v>
      </c>
      <c r="H7178" s="15">
        <v>45352</v>
      </c>
      <c r="I7178">
        <v>25800</v>
      </c>
      <c r="J7178">
        <v>0</v>
      </c>
    </row>
    <row r="7179" spans="1:10" x14ac:dyDescent="0.3">
      <c r="A7179" s="15">
        <v>46082</v>
      </c>
      <c r="B7179" t="s">
        <v>345</v>
      </c>
      <c r="C7179" t="s">
        <v>91</v>
      </c>
      <c r="D7179" t="s">
        <v>86</v>
      </c>
      <c r="E7179" t="s">
        <v>83</v>
      </c>
      <c r="F7179">
        <v>7900</v>
      </c>
      <c r="G7179" t="s">
        <v>331</v>
      </c>
      <c r="H7179" s="15">
        <v>45352</v>
      </c>
      <c r="I7179">
        <v>7900</v>
      </c>
      <c r="J7179">
        <v>0</v>
      </c>
    </row>
    <row r="7180" spans="1:10" x14ac:dyDescent="0.3">
      <c r="A7180" s="15">
        <v>46082</v>
      </c>
      <c r="B7180" t="s">
        <v>346</v>
      </c>
      <c r="C7180" t="s">
        <v>81</v>
      </c>
      <c r="D7180" t="s">
        <v>86</v>
      </c>
      <c r="E7180" t="s">
        <v>97</v>
      </c>
      <c r="F7180">
        <v>1700</v>
      </c>
      <c r="G7180" t="s">
        <v>331</v>
      </c>
      <c r="H7180" s="15">
        <v>45352</v>
      </c>
      <c r="I7180">
        <v>1700</v>
      </c>
      <c r="J7180">
        <v>0</v>
      </c>
    </row>
    <row r="7181" spans="1:10" x14ac:dyDescent="0.3">
      <c r="A7181" s="15">
        <v>46082</v>
      </c>
      <c r="B7181" t="s">
        <v>347</v>
      </c>
      <c r="C7181" t="s">
        <v>91</v>
      </c>
      <c r="D7181" t="s">
        <v>82</v>
      </c>
      <c r="E7181" t="s">
        <v>83</v>
      </c>
      <c r="F7181">
        <v>4700</v>
      </c>
      <c r="G7181" t="s">
        <v>331</v>
      </c>
      <c r="H7181" s="15">
        <v>45383</v>
      </c>
      <c r="I7181">
        <v>4700</v>
      </c>
      <c r="J7181">
        <v>0</v>
      </c>
    </row>
    <row r="7182" spans="1:10" x14ac:dyDescent="0.3">
      <c r="A7182" s="15">
        <v>46082</v>
      </c>
      <c r="B7182" t="s">
        <v>350</v>
      </c>
      <c r="C7182" t="s">
        <v>91</v>
      </c>
      <c r="D7182" t="s">
        <v>82</v>
      </c>
      <c r="E7182" t="s">
        <v>83</v>
      </c>
      <c r="F7182">
        <v>4400</v>
      </c>
      <c r="G7182" t="s">
        <v>331</v>
      </c>
      <c r="H7182" s="15">
        <v>45383</v>
      </c>
      <c r="I7182">
        <v>4400</v>
      </c>
      <c r="J7182">
        <v>0</v>
      </c>
    </row>
    <row r="7183" spans="1:10" x14ac:dyDescent="0.3">
      <c r="A7183" s="15">
        <v>46082</v>
      </c>
      <c r="B7183" t="s">
        <v>351</v>
      </c>
      <c r="C7183" t="s">
        <v>81</v>
      </c>
      <c r="D7183" t="s">
        <v>86</v>
      </c>
      <c r="E7183" t="s">
        <v>83</v>
      </c>
      <c r="F7183">
        <v>2700</v>
      </c>
      <c r="G7183" t="s">
        <v>331</v>
      </c>
      <c r="H7183" s="15">
        <v>45383</v>
      </c>
      <c r="I7183">
        <v>2700</v>
      </c>
      <c r="J7183">
        <v>0</v>
      </c>
    </row>
    <row r="7184" spans="1:10" x14ac:dyDescent="0.3">
      <c r="A7184" s="15">
        <v>46082</v>
      </c>
      <c r="B7184" t="s">
        <v>352</v>
      </c>
      <c r="C7184" t="s">
        <v>91</v>
      </c>
      <c r="D7184" t="s">
        <v>82</v>
      </c>
      <c r="E7184" t="s">
        <v>89</v>
      </c>
      <c r="F7184">
        <v>8800</v>
      </c>
      <c r="G7184" t="s">
        <v>331</v>
      </c>
      <c r="H7184" s="15">
        <v>45383</v>
      </c>
      <c r="I7184">
        <v>8800</v>
      </c>
      <c r="J7184">
        <v>0</v>
      </c>
    </row>
    <row r="7185" spans="1:10" x14ac:dyDescent="0.3">
      <c r="A7185" s="15">
        <v>46082</v>
      </c>
      <c r="B7185" t="s">
        <v>353</v>
      </c>
      <c r="C7185" t="s">
        <v>81</v>
      </c>
      <c r="D7185" t="s">
        <v>99</v>
      </c>
      <c r="E7185" t="s">
        <v>103</v>
      </c>
      <c r="F7185">
        <v>1200</v>
      </c>
      <c r="G7185" t="s">
        <v>331</v>
      </c>
      <c r="H7185" s="15">
        <v>45383</v>
      </c>
      <c r="I7185">
        <v>1200</v>
      </c>
      <c r="J7185">
        <v>0</v>
      </c>
    </row>
    <row r="7186" spans="1:10" x14ac:dyDescent="0.3">
      <c r="A7186" s="15">
        <v>46082</v>
      </c>
      <c r="B7186" t="s">
        <v>354</v>
      </c>
      <c r="C7186" t="s">
        <v>81</v>
      </c>
      <c r="D7186" t="s">
        <v>82</v>
      </c>
      <c r="E7186" t="s">
        <v>92</v>
      </c>
      <c r="F7186">
        <v>1700</v>
      </c>
      <c r="G7186" t="s">
        <v>331</v>
      </c>
      <c r="H7186" s="15">
        <v>45413</v>
      </c>
      <c r="I7186">
        <v>1700</v>
      </c>
      <c r="J7186">
        <v>0</v>
      </c>
    </row>
    <row r="7187" spans="1:10" x14ac:dyDescent="0.3">
      <c r="A7187" s="15">
        <v>46082</v>
      </c>
      <c r="B7187" t="s">
        <v>355</v>
      </c>
      <c r="C7187" t="s">
        <v>81</v>
      </c>
      <c r="D7187" t="s">
        <v>86</v>
      </c>
      <c r="E7187" t="s">
        <v>97</v>
      </c>
      <c r="F7187">
        <v>2000</v>
      </c>
      <c r="G7187" t="s">
        <v>331</v>
      </c>
      <c r="H7187" s="15">
        <v>45413</v>
      </c>
      <c r="I7187">
        <v>2000</v>
      </c>
      <c r="J7187">
        <v>0</v>
      </c>
    </row>
    <row r="7188" spans="1:10" x14ac:dyDescent="0.3">
      <c r="A7188" s="15">
        <v>46082</v>
      </c>
      <c r="B7188" t="s">
        <v>356</v>
      </c>
      <c r="C7188" t="s">
        <v>110</v>
      </c>
      <c r="D7188" t="s">
        <v>82</v>
      </c>
      <c r="E7188" t="s">
        <v>97</v>
      </c>
      <c r="F7188">
        <v>33000</v>
      </c>
      <c r="G7188" t="s">
        <v>331</v>
      </c>
      <c r="H7188" s="15">
        <v>45413</v>
      </c>
      <c r="I7188">
        <v>33000</v>
      </c>
      <c r="J7188">
        <v>0</v>
      </c>
    </row>
    <row r="7189" spans="1:10" x14ac:dyDescent="0.3">
      <c r="A7189" s="15">
        <v>46082</v>
      </c>
      <c r="B7189" t="s">
        <v>357</v>
      </c>
      <c r="C7189" t="s">
        <v>125</v>
      </c>
      <c r="D7189" t="s">
        <v>86</v>
      </c>
      <c r="E7189" t="s">
        <v>97</v>
      </c>
      <c r="F7189">
        <v>83400</v>
      </c>
      <c r="G7189" t="s">
        <v>331</v>
      </c>
      <c r="H7189" s="15">
        <v>45413</v>
      </c>
      <c r="I7189">
        <v>83400</v>
      </c>
      <c r="J7189">
        <v>0</v>
      </c>
    </row>
    <row r="7190" spans="1:10" x14ac:dyDescent="0.3">
      <c r="A7190" s="15">
        <v>46082</v>
      </c>
      <c r="B7190" t="s">
        <v>358</v>
      </c>
      <c r="C7190" t="s">
        <v>110</v>
      </c>
      <c r="D7190" t="s">
        <v>86</v>
      </c>
      <c r="E7190" t="s">
        <v>83</v>
      </c>
      <c r="F7190">
        <v>0</v>
      </c>
      <c r="G7190" t="s">
        <v>333</v>
      </c>
      <c r="H7190" s="15">
        <v>45413</v>
      </c>
      <c r="I7190">
        <v>24100</v>
      </c>
      <c r="J7190">
        <v>-24100</v>
      </c>
    </row>
    <row r="7191" spans="1:10" x14ac:dyDescent="0.3">
      <c r="A7191" s="15">
        <v>46082</v>
      </c>
      <c r="B7191" t="s">
        <v>359</v>
      </c>
      <c r="C7191" t="s">
        <v>110</v>
      </c>
      <c r="D7191" t="s">
        <v>86</v>
      </c>
      <c r="E7191" t="s">
        <v>101</v>
      </c>
      <c r="F7191">
        <v>28900</v>
      </c>
      <c r="G7191" t="s">
        <v>331</v>
      </c>
      <c r="H7191" s="15">
        <v>45413</v>
      </c>
      <c r="I7191">
        <v>28900</v>
      </c>
      <c r="J7191">
        <v>0</v>
      </c>
    </row>
    <row r="7192" spans="1:10" x14ac:dyDescent="0.3">
      <c r="A7192" s="15">
        <v>46082</v>
      </c>
      <c r="B7192" t="s">
        <v>361</v>
      </c>
      <c r="C7192" t="s">
        <v>91</v>
      </c>
      <c r="D7192" t="s">
        <v>86</v>
      </c>
      <c r="E7192" t="s">
        <v>83</v>
      </c>
      <c r="F7192">
        <v>5700</v>
      </c>
      <c r="G7192" t="s">
        <v>331</v>
      </c>
      <c r="H7192" s="15">
        <v>45444</v>
      </c>
      <c r="I7192">
        <v>5700</v>
      </c>
      <c r="J7192">
        <v>0</v>
      </c>
    </row>
    <row r="7193" spans="1:10" x14ac:dyDescent="0.3">
      <c r="A7193" s="15">
        <v>46082</v>
      </c>
      <c r="B7193" t="s">
        <v>362</v>
      </c>
      <c r="C7193" t="s">
        <v>91</v>
      </c>
      <c r="D7193" t="s">
        <v>82</v>
      </c>
      <c r="E7193" t="s">
        <v>101</v>
      </c>
      <c r="F7193">
        <v>5700</v>
      </c>
      <c r="G7193" t="s">
        <v>331</v>
      </c>
      <c r="H7193" s="15">
        <v>45444</v>
      </c>
      <c r="I7193">
        <v>5700</v>
      </c>
      <c r="J7193">
        <v>0</v>
      </c>
    </row>
    <row r="7194" spans="1:10" x14ac:dyDescent="0.3">
      <c r="A7194" s="15">
        <v>46082</v>
      </c>
      <c r="B7194" t="s">
        <v>363</v>
      </c>
      <c r="C7194" t="s">
        <v>91</v>
      </c>
      <c r="D7194" t="s">
        <v>86</v>
      </c>
      <c r="E7194" t="s">
        <v>83</v>
      </c>
      <c r="F7194">
        <v>4400</v>
      </c>
      <c r="G7194" t="s">
        <v>331</v>
      </c>
      <c r="H7194" s="15">
        <v>45444</v>
      </c>
      <c r="I7194">
        <v>4400</v>
      </c>
      <c r="J7194">
        <v>0</v>
      </c>
    </row>
    <row r="7195" spans="1:10" x14ac:dyDescent="0.3">
      <c r="A7195" s="15">
        <v>46082</v>
      </c>
      <c r="B7195" t="s">
        <v>364</v>
      </c>
      <c r="C7195" t="s">
        <v>91</v>
      </c>
      <c r="D7195" t="s">
        <v>82</v>
      </c>
      <c r="E7195" t="s">
        <v>101</v>
      </c>
      <c r="F7195">
        <v>7600</v>
      </c>
      <c r="G7195" t="s">
        <v>331</v>
      </c>
      <c r="H7195" s="15">
        <v>45444</v>
      </c>
      <c r="I7195">
        <v>7600</v>
      </c>
      <c r="J7195">
        <v>0</v>
      </c>
    </row>
    <row r="7196" spans="1:10" x14ac:dyDescent="0.3">
      <c r="A7196" s="15">
        <v>46082</v>
      </c>
      <c r="B7196" t="s">
        <v>366</v>
      </c>
      <c r="C7196" t="s">
        <v>81</v>
      </c>
      <c r="D7196" t="s">
        <v>99</v>
      </c>
      <c r="E7196" t="s">
        <v>92</v>
      </c>
      <c r="F7196">
        <v>1600</v>
      </c>
      <c r="G7196" t="s">
        <v>331</v>
      </c>
      <c r="H7196" s="15">
        <v>45474</v>
      </c>
      <c r="I7196">
        <v>1600</v>
      </c>
      <c r="J7196">
        <v>0</v>
      </c>
    </row>
    <row r="7197" spans="1:10" x14ac:dyDescent="0.3">
      <c r="A7197" s="15">
        <v>46082</v>
      </c>
      <c r="B7197" t="s">
        <v>368</v>
      </c>
      <c r="C7197" t="s">
        <v>81</v>
      </c>
      <c r="D7197" t="s">
        <v>86</v>
      </c>
      <c r="E7197" t="s">
        <v>89</v>
      </c>
      <c r="F7197">
        <v>1400</v>
      </c>
      <c r="G7197" t="s">
        <v>331</v>
      </c>
      <c r="H7197" s="15">
        <v>45474</v>
      </c>
      <c r="I7197">
        <v>1400</v>
      </c>
      <c r="J7197">
        <v>0</v>
      </c>
    </row>
    <row r="7198" spans="1:10" x14ac:dyDescent="0.3">
      <c r="A7198" s="15">
        <v>46082</v>
      </c>
      <c r="B7198" t="s">
        <v>369</v>
      </c>
      <c r="C7198" t="s">
        <v>81</v>
      </c>
      <c r="D7198" t="s">
        <v>86</v>
      </c>
      <c r="E7198" t="s">
        <v>83</v>
      </c>
      <c r="F7198">
        <v>2300</v>
      </c>
      <c r="G7198" t="s">
        <v>331</v>
      </c>
      <c r="H7198" s="15">
        <v>45474</v>
      </c>
      <c r="I7198">
        <v>2300</v>
      </c>
      <c r="J7198">
        <v>0</v>
      </c>
    </row>
    <row r="7199" spans="1:10" x14ac:dyDescent="0.3">
      <c r="A7199" s="15">
        <v>46082</v>
      </c>
      <c r="B7199" t="s">
        <v>370</v>
      </c>
      <c r="C7199" t="s">
        <v>81</v>
      </c>
      <c r="D7199" t="s">
        <v>99</v>
      </c>
      <c r="E7199" t="s">
        <v>87</v>
      </c>
      <c r="F7199">
        <v>2300</v>
      </c>
      <c r="G7199" t="s">
        <v>331</v>
      </c>
      <c r="H7199" s="15">
        <v>45474</v>
      </c>
      <c r="I7199">
        <v>2300</v>
      </c>
      <c r="J7199">
        <v>0</v>
      </c>
    </row>
    <row r="7200" spans="1:10" x14ac:dyDescent="0.3">
      <c r="A7200" s="15">
        <v>46082</v>
      </c>
      <c r="B7200" t="s">
        <v>373</v>
      </c>
      <c r="C7200" t="s">
        <v>91</v>
      </c>
      <c r="D7200" t="s">
        <v>99</v>
      </c>
      <c r="E7200" t="s">
        <v>101</v>
      </c>
      <c r="F7200">
        <v>0</v>
      </c>
      <c r="G7200" t="s">
        <v>333</v>
      </c>
      <c r="H7200" s="15">
        <v>45505</v>
      </c>
      <c r="I7200">
        <v>5200</v>
      </c>
      <c r="J7200">
        <v>-5200</v>
      </c>
    </row>
    <row r="7201" spans="1:10" x14ac:dyDescent="0.3">
      <c r="A7201" s="15">
        <v>46082</v>
      </c>
      <c r="B7201" t="s">
        <v>376</v>
      </c>
      <c r="C7201" t="s">
        <v>110</v>
      </c>
      <c r="D7201" t="s">
        <v>86</v>
      </c>
      <c r="E7201" t="s">
        <v>103</v>
      </c>
      <c r="F7201">
        <v>22900</v>
      </c>
      <c r="G7201" t="s">
        <v>331</v>
      </c>
      <c r="H7201" s="15">
        <v>45505</v>
      </c>
      <c r="I7201">
        <v>22900</v>
      </c>
      <c r="J7201">
        <v>0</v>
      </c>
    </row>
    <row r="7202" spans="1:10" x14ac:dyDescent="0.3">
      <c r="A7202" s="15">
        <v>46082</v>
      </c>
      <c r="B7202" t="s">
        <v>377</v>
      </c>
      <c r="C7202" t="s">
        <v>81</v>
      </c>
      <c r="D7202" t="s">
        <v>99</v>
      </c>
      <c r="E7202" t="s">
        <v>92</v>
      </c>
      <c r="F7202">
        <v>2300</v>
      </c>
      <c r="G7202" t="s">
        <v>331</v>
      </c>
      <c r="H7202" s="15">
        <v>45536</v>
      </c>
      <c r="I7202">
        <v>2300</v>
      </c>
      <c r="J7202">
        <v>0</v>
      </c>
    </row>
    <row r="7203" spans="1:10" x14ac:dyDescent="0.3">
      <c r="A7203" s="15">
        <v>46082</v>
      </c>
      <c r="B7203" t="s">
        <v>379</v>
      </c>
      <c r="C7203" t="s">
        <v>81</v>
      </c>
      <c r="D7203" t="s">
        <v>99</v>
      </c>
      <c r="E7203" t="s">
        <v>101</v>
      </c>
      <c r="F7203">
        <v>2200</v>
      </c>
      <c r="G7203" t="s">
        <v>331</v>
      </c>
      <c r="H7203" s="15">
        <v>45536</v>
      </c>
      <c r="I7203">
        <v>2200</v>
      </c>
      <c r="J7203">
        <v>0</v>
      </c>
    </row>
    <row r="7204" spans="1:10" x14ac:dyDescent="0.3">
      <c r="A7204" s="15">
        <v>46082</v>
      </c>
      <c r="B7204" t="s">
        <v>381</v>
      </c>
      <c r="C7204" t="s">
        <v>91</v>
      </c>
      <c r="D7204" t="s">
        <v>86</v>
      </c>
      <c r="E7204" t="s">
        <v>92</v>
      </c>
      <c r="F7204">
        <v>4600</v>
      </c>
      <c r="G7204" t="s">
        <v>331</v>
      </c>
      <c r="H7204" s="15">
        <v>45536</v>
      </c>
      <c r="I7204">
        <v>4600</v>
      </c>
      <c r="J7204">
        <v>0</v>
      </c>
    </row>
    <row r="7205" spans="1:10" x14ac:dyDescent="0.3">
      <c r="A7205" s="15">
        <v>46082</v>
      </c>
      <c r="B7205" t="s">
        <v>382</v>
      </c>
      <c r="C7205" t="s">
        <v>81</v>
      </c>
      <c r="D7205" t="s">
        <v>96</v>
      </c>
      <c r="E7205" t="s">
        <v>101</v>
      </c>
      <c r="F7205">
        <v>2100</v>
      </c>
      <c r="G7205" t="s">
        <v>331</v>
      </c>
      <c r="H7205" s="15">
        <v>45536</v>
      </c>
      <c r="I7205">
        <v>2100</v>
      </c>
      <c r="J7205">
        <v>0</v>
      </c>
    </row>
    <row r="7206" spans="1:10" x14ac:dyDescent="0.3">
      <c r="A7206" s="15">
        <v>46082</v>
      </c>
      <c r="B7206" t="s">
        <v>383</v>
      </c>
      <c r="C7206" t="s">
        <v>81</v>
      </c>
      <c r="D7206" t="s">
        <v>82</v>
      </c>
      <c r="E7206" t="s">
        <v>87</v>
      </c>
      <c r="F7206">
        <v>1600</v>
      </c>
      <c r="G7206" t="s">
        <v>331</v>
      </c>
      <c r="H7206" s="15">
        <v>45536</v>
      </c>
      <c r="I7206">
        <v>1600</v>
      </c>
      <c r="J7206">
        <v>0</v>
      </c>
    </row>
    <row r="7207" spans="1:10" x14ac:dyDescent="0.3">
      <c r="A7207" s="15">
        <v>46082</v>
      </c>
      <c r="B7207" t="s">
        <v>385</v>
      </c>
      <c r="C7207" t="s">
        <v>91</v>
      </c>
      <c r="D7207" t="s">
        <v>99</v>
      </c>
      <c r="E7207" t="s">
        <v>83</v>
      </c>
      <c r="F7207">
        <v>8300</v>
      </c>
      <c r="G7207" t="s">
        <v>331</v>
      </c>
      <c r="H7207" s="15">
        <v>45566</v>
      </c>
      <c r="I7207">
        <v>8300</v>
      </c>
      <c r="J7207">
        <v>0</v>
      </c>
    </row>
    <row r="7208" spans="1:10" x14ac:dyDescent="0.3">
      <c r="A7208" s="15">
        <v>46082</v>
      </c>
      <c r="B7208" t="s">
        <v>386</v>
      </c>
      <c r="C7208" t="s">
        <v>81</v>
      </c>
      <c r="D7208" t="s">
        <v>82</v>
      </c>
      <c r="E7208" t="s">
        <v>103</v>
      </c>
      <c r="F7208">
        <v>2200</v>
      </c>
      <c r="G7208" t="s">
        <v>331</v>
      </c>
      <c r="H7208" s="15">
        <v>45566</v>
      </c>
      <c r="I7208">
        <v>2200</v>
      </c>
      <c r="J7208">
        <v>0</v>
      </c>
    </row>
    <row r="7209" spans="1:10" x14ac:dyDescent="0.3">
      <c r="A7209" s="15">
        <v>46082</v>
      </c>
      <c r="B7209" t="s">
        <v>387</v>
      </c>
      <c r="C7209" t="s">
        <v>81</v>
      </c>
      <c r="D7209" t="s">
        <v>86</v>
      </c>
      <c r="E7209" t="s">
        <v>92</v>
      </c>
      <c r="F7209">
        <v>1500</v>
      </c>
      <c r="G7209" t="s">
        <v>331</v>
      </c>
      <c r="H7209" s="15">
        <v>45566</v>
      </c>
      <c r="I7209">
        <v>1500</v>
      </c>
      <c r="J7209">
        <v>0</v>
      </c>
    </row>
    <row r="7210" spans="1:10" x14ac:dyDescent="0.3">
      <c r="A7210" s="15">
        <v>46082</v>
      </c>
      <c r="B7210" t="s">
        <v>388</v>
      </c>
      <c r="C7210" t="s">
        <v>81</v>
      </c>
      <c r="D7210" t="s">
        <v>99</v>
      </c>
      <c r="E7210" t="s">
        <v>103</v>
      </c>
      <c r="F7210">
        <v>1700</v>
      </c>
      <c r="G7210" t="s">
        <v>331</v>
      </c>
      <c r="H7210" s="15">
        <v>45566</v>
      </c>
      <c r="I7210">
        <v>1700</v>
      </c>
      <c r="J7210">
        <v>0</v>
      </c>
    </row>
    <row r="7211" spans="1:10" x14ac:dyDescent="0.3">
      <c r="A7211" s="15">
        <v>46082</v>
      </c>
      <c r="B7211" t="s">
        <v>390</v>
      </c>
      <c r="C7211" t="s">
        <v>91</v>
      </c>
      <c r="D7211" t="s">
        <v>82</v>
      </c>
      <c r="E7211" t="s">
        <v>89</v>
      </c>
      <c r="F7211">
        <v>6200</v>
      </c>
      <c r="G7211" t="s">
        <v>331</v>
      </c>
      <c r="H7211" s="15">
        <v>45566</v>
      </c>
      <c r="I7211">
        <v>6200</v>
      </c>
      <c r="J7211">
        <v>0</v>
      </c>
    </row>
    <row r="7212" spans="1:10" x14ac:dyDescent="0.3">
      <c r="A7212" s="15">
        <v>46082</v>
      </c>
      <c r="B7212" t="s">
        <v>392</v>
      </c>
      <c r="C7212" t="s">
        <v>91</v>
      </c>
      <c r="D7212" t="s">
        <v>86</v>
      </c>
      <c r="E7212" t="s">
        <v>97</v>
      </c>
      <c r="F7212">
        <v>10000</v>
      </c>
      <c r="G7212" t="s">
        <v>331</v>
      </c>
      <c r="H7212" s="15">
        <v>45597</v>
      </c>
      <c r="I7212">
        <v>10000</v>
      </c>
      <c r="J7212">
        <v>0</v>
      </c>
    </row>
    <row r="7213" spans="1:10" x14ac:dyDescent="0.3">
      <c r="A7213" s="15">
        <v>46082</v>
      </c>
      <c r="B7213" t="s">
        <v>393</v>
      </c>
      <c r="C7213" t="s">
        <v>81</v>
      </c>
      <c r="D7213" t="s">
        <v>82</v>
      </c>
      <c r="E7213" t="s">
        <v>92</v>
      </c>
      <c r="F7213">
        <v>2100</v>
      </c>
      <c r="G7213" t="s">
        <v>331</v>
      </c>
      <c r="H7213" s="15">
        <v>45597</v>
      </c>
      <c r="I7213">
        <v>2100</v>
      </c>
      <c r="J7213">
        <v>0</v>
      </c>
    </row>
    <row r="7214" spans="1:10" x14ac:dyDescent="0.3">
      <c r="A7214" s="15">
        <v>46082</v>
      </c>
      <c r="B7214" t="s">
        <v>394</v>
      </c>
      <c r="C7214" t="s">
        <v>81</v>
      </c>
      <c r="D7214" t="s">
        <v>99</v>
      </c>
      <c r="E7214" t="s">
        <v>87</v>
      </c>
      <c r="F7214">
        <v>1300</v>
      </c>
      <c r="G7214" t="s">
        <v>331</v>
      </c>
      <c r="H7214" s="15">
        <v>45597</v>
      </c>
      <c r="I7214">
        <v>1300</v>
      </c>
      <c r="J7214">
        <v>0</v>
      </c>
    </row>
    <row r="7215" spans="1:10" x14ac:dyDescent="0.3">
      <c r="A7215" s="15">
        <v>46082</v>
      </c>
      <c r="B7215" t="s">
        <v>395</v>
      </c>
      <c r="C7215" t="s">
        <v>81</v>
      </c>
      <c r="D7215" t="s">
        <v>82</v>
      </c>
      <c r="E7215" t="s">
        <v>97</v>
      </c>
      <c r="F7215">
        <v>2200</v>
      </c>
      <c r="G7215" t="s">
        <v>331</v>
      </c>
      <c r="H7215" s="15">
        <v>45627</v>
      </c>
      <c r="I7215">
        <v>2200</v>
      </c>
      <c r="J7215">
        <v>0</v>
      </c>
    </row>
    <row r="7216" spans="1:10" x14ac:dyDescent="0.3">
      <c r="A7216" s="15">
        <v>46082</v>
      </c>
      <c r="B7216" t="s">
        <v>396</v>
      </c>
      <c r="C7216" t="s">
        <v>91</v>
      </c>
      <c r="D7216" t="s">
        <v>82</v>
      </c>
      <c r="E7216" t="s">
        <v>92</v>
      </c>
      <c r="F7216">
        <v>8800</v>
      </c>
      <c r="G7216" t="s">
        <v>331</v>
      </c>
      <c r="H7216" s="15">
        <v>45627</v>
      </c>
      <c r="I7216">
        <v>8800</v>
      </c>
      <c r="J7216">
        <v>0</v>
      </c>
    </row>
    <row r="7217" spans="1:10" x14ac:dyDescent="0.3">
      <c r="A7217" s="15">
        <v>46082</v>
      </c>
      <c r="B7217" t="s">
        <v>398</v>
      </c>
      <c r="C7217" t="s">
        <v>81</v>
      </c>
      <c r="D7217" t="s">
        <v>86</v>
      </c>
      <c r="E7217" t="s">
        <v>92</v>
      </c>
      <c r="F7217">
        <v>1400</v>
      </c>
      <c r="G7217" t="s">
        <v>331</v>
      </c>
      <c r="H7217" s="15">
        <v>45627</v>
      </c>
      <c r="I7217">
        <v>1400</v>
      </c>
      <c r="J7217">
        <v>0</v>
      </c>
    </row>
    <row r="7218" spans="1:10" x14ac:dyDescent="0.3">
      <c r="A7218" s="15">
        <v>46082</v>
      </c>
      <c r="B7218" t="s">
        <v>399</v>
      </c>
      <c r="C7218" t="s">
        <v>110</v>
      </c>
      <c r="D7218" t="s">
        <v>82</v>
      </c>
      <c r="E7218" t="s">
        <v>101</v>
      </c>
      <c r="F7218">
        <v>17400</v>
      </c>
      <c r="G7218" t="s">
        <v>331</v>
      </c>
      <c r="H7218" s="15">
        <v>45627</v>
      </c>
      <c r="I7218">
        <v>17400</v>
      </c>
      <c r="J7218">
        <v>0</v>
      </c>
    </row>
    <row r="7219" spans="1:10" x14ac:dyDescent="0.3">
      <c r="A7219" s="15">
        <v>46082</v>
      </c>
      <c r="B7219" t="s">
        <v>400</v>
      </c>
      <c r="C7219" t="s">
        <v>91</v>
      </c>
      <c r="D7219" t="s">
        <v>82</v>
      </c>
      <c r="E7219" t="s">
        <v>103</v>
      </c>
      <c r="F7219">
        <v>4400</v>
      </c>
      <c r="G7219" t="s">
        <v>331</v>
      </c>
      <c r="H7219" s="15">
        <v>45627</v>
      </c>
      <c r="I7219">
        <v>4400</v>
      </c>
      <c r="J7219">
        <v>0</v>
      </c>
    </row>
    <row r="7220" spans="1:10" x14ac:dyDescent="0.3">
      <c r="A7220" s="15">
        <v>46082</v>
      </c>
      <c r="B7220" t="s">
        <v>403</v>
      </c>
      <c r="C7220" t="s">
        <v>81</v>
      </c>
      <c r="D7220" t="s">
        <v>82</v>
      </c>
      <c r="E7220" t="s">
        <v>101</v>
      </c>
      <c r="F7220">
        <v>1900</v>
      </c>
      <c r="G7220" t="s">
        <v>331</v>
      </c>
      <c r="H7220" s="15">
        <v>45658</v>
      </c>
      <c r="I7220">
        <v>1900</v>
      </c>
      <c r="J7220">
        <v>0</v>
      </c>
    </row>
    <row r="7221" spans="1:10" x14ac:dyDescent="0.3">
      <c r="A7221" s="15">
        <v>46082</v>
      </c>
      <c r="B7221" t="s">
        <v>404</v>
      </c>
      <c r="C7221" t="s">
        <v>81</v>
      </c>
      <c r="D7221" t="s">
        <v>86</v>
      </c>
      <c r="E7221" t="s">
        <v>83</v>
      </c>
      <c r="F7221">
        <v>2100</v>
      </c>
      <c r="G7221" t="s">
        <v>331</v>
      </c>
      <c r="H7221" s="15">
        <v>45658</v>
      </c>
      <c r="I7221">
        <v>2100</v>
      </c>
      <c r="J7221">
        <v>0</v>
      </c>
    </row>
    <row r="7222" spans="1:10" x14ac:dyDescent="0.3">
      <c r="A7222" s="15">
        <v>46082</v>
      </c>
      <c r="B7222" t="s">
        <v>405</v>
      </c>
      <c r="C7222" t="s">
        <v>81</v>
      </c>
      <c r="D7222" t="s">
        <v>82</v>
      </c>
      <c r="E7222" t="s">
        <v>92</v>
      </c>
      <c r="F7222">
        <v>1600</v>
      </c>
      <c r="G7222" t="s">
        <v>331</v>
      </c>
      <c r="H7222" s="15">
        <v>45658</v>
      </c>
      <c r="I7222">
        <v>1600</v>
      </c>
      <c r="J7222">
        <v>0</v>
      </c>
    </row>
    <row r="7223" spans="1:10" x14ac:dyDescent="0.3">
      <c r="A7223" s="15">
        <v>46082</v>
      </c>
      <c r="B7223" t="s">
        <v>406</v>
      </c>
      <c r="C7223" t="s">
        <v>91</v>
      </c>
      <c r="D7223" t="s">
        <v>86</v>
      </c>
      <c r="E7223" t="s">
        <v>87</v>
      </c>
      <c r="F7223">
        <v>4700</v>
      </c>
      <c r="G7223" t="s">
        <v>331</v>
      </c>
      <c r="H7223" s="15">
        <v>45658</v>
      </c>
      <c r="I7223">
        <v>4700</v>
      </c>
      <c r="J7223">
        <v>0</v>
      </c>
    </row>
    <row r="7224" spans="1:10" x14ac:dyDescent="0.3">
      <c r="A7224" s="15">
        <v>46082</v>
      </c>
      <c r="B7224" t="s">
        <v>407</v>
      </c>
      <c r="C7224" t="s">
        <v>81</v>
      </c>
      <c r="D7224" t="s">
        <v>82</v>
      </c>
      <c r="E7224" t="s">
        <v>92</v>
      </c>
      <c r="F7224">
        <v>2400</v>
      </c>
      <c r="G7224" t="s">
        <v>331</v>
      </c>
      <c r="H7224" s="15">
        <v>45689</v>
      </c>
      <c r="I7224">
        <v>2400</v>
      </c>
      <c r="J7224">
        <v>0</v>
      </c>
    </row>
    <row r="7225" spans="1:10" x14ac:dyDescent="0.3">
      <c r="A7225" s="15">
        <v>46082</v>
      </c>
      <c r="B7225" t="s">
        <v>409</v>
      </c>
      <c r="C7225" t="s">
        <v>81</v>
      </c>
      <c r="D7225" t="s">
        <v>82</v>
      </c>
      <c r="E7225" t="s">
        <v>83</v>
      </c>
      <c r="F7225">
        <v>1700</v>
      </c>
      <c r="G7225" t="s">
        <v>331</v>
      </c>
      <c r="H7225" s="15">
        <v>45689</v>
      </c>
      <c r="I7225">
        <v>1700</v>
      </c>
      <c r="J7225">
        <v>0</v>
      </c>
    </row>
    <row r="7226" spans="1:10" x14ac:dyDescent="0.3">
      <c r="A7226" s="15">
        <v>46082</v>
      </c>
      <c r="B7226" t="s">
        <v>410</v>
      </c>
      <c r="C7226" t="s">
        <v>125</v>
      </c>
      <c r="D7226" t="s">
        <v>82</v>
      </c>
      <c r="E7226" t="s">
        <v>103</v>
      </c>
      <c r="F7226">
        <v>56400</v>
      </c>
      <c r="G7226" t="s">
        <v>331</v>
      </c>
      <c r="H7226" s="15">
        <v>45689</v>
      </c>
      <c r="I7226">
        <v>56400</v>
      </c>
      <c r="J7226">
        <v>0</v>
      </c>
    </row>
    <row r="7227" spans="1:10" x14ac:dyDescent="0.3">
      <c r="A7227" s="15">
        <v>46082</v>
      </c>
      <c r="B7227" t="s">
        <v>411</v>
      </c>
      <c r="C7227" t="s">
        <v>91</v>
      </c>
      <c r="D7227" t="s">
        <v>86</v>
      </c>
      <c r="E7227" t="s">
        <v>92</v>
      </c>
      <c r="F7227">
        <v>7700</v>
      </c>
      <c r="G7227" t="s">
        <v>331</v>
      </c>
      <c r="H7227" s="15">
        <v>45689</v>
      </c>
      <c r="I7227">
        <v>7700</v>
      </c>
      <c r="J7227">
        <v>0</v>
      </c>
    </row>
    <row r="7228" spans="1:10" x14ac:dyDescent="0.3">
      <c r="A7228" s="15">
        <v>46082</v>
      </c>
      <c r="B7228" t="s">
        <v>413</v>
      </c>
      <c r="C7228" t="s">
        <v>81</v>
      </c>
      <c r="D7228" t="s">
        <v>99</v>
      </c>
      <c r="E7228" t="s">
        <v>101</v>
      </c>
      <c r="F7228">
        <v>2300</v>
      </c>
      <c r="G7228" t="s">
        <v>331</v>
      </c>
      <c r="H7228" s="15">
        <v>45717</v>
      </c>
      <c r="I7228">
        <v>2300</v>
      </c>
      <c r="J7228">
        <v>0</v>
      </c>
    </row>
    <row r="7229" spans="1:10" x14ac:dyDescent="0.3">
      <c r="A7229" s="15">
        <v>46082</v>
      </c>
      <c r="B7229" t="s">
        <v>414</v>
      </c>
      <c r="C7229" t="s">
        <v>110</v>
      </c>
      <c r="D7229" t="s">
        <v>99</v>
      </c>
      <c r="E7229" t="s">
        <v>89</v>
      </c>
      <c r="F7229">
        <v>30900</v>
      </c>
      <c r="G7229" t="s">
        <v>331</v>
      </c>
      <c r="H7229" s="15">
        <v>45717</v>
      </c>
      <c r="I7229">
        <v>30900</v>
      </c>
      <c r="J7229">
        <v>0</v>
      </c>
    </row>
    <row r="7230" spans="1:10" x14ac:dyDescent="0.3">
      <c r="A7230" s="15">
        <v>46082</v>
      </c>
      <c r="B7230" t="s">
        <v>417</v>
      </c>
      <c r="C7230" t="s">
        <v>110</v>
      </c>
      <c r="D7230" t="s">
        <v>86</v>
      </c>
      <c r="E7230" t="s">
        <v>92</v>
      </c>
      <c r="F7230">
        <v>35600</v>
      </c>
      <c r="G7230" t="s">
        <v>331</v>
      </c>
      <c r="H7230" s="15">
        <v>45717</v>
      </c>
      <c r="I7230">
        <v>35600</v>
      </c>
      <c r="J7230">
        <v>0</v>
      </c>
    </row>
    <row r="7231" spans="1:10" x14ac:dyDescent="0.3">
      <c r="A7231" s="15">
        <v>46082</v>
      </c>
      <c r="B7231" t="s">
        <v>418</v>
      </c>
      <c r="C7231" t="s">
        <v>81</v>
      </c>
      <c r="D7231" t="s">
        <v>86</v>
      </c>
      <c r="E7231" t="s">
        <v>92</v>
      </c>
      <c r="F7231">
        <v>1800</v>
      </c>
      <c r="G7231" t="s">
        <v>331</v>
      </c>
      <c r="H7231" s="15">
        <v>45748</v>
      </c>
      <c r="I7231">
        <v>1800</v>
      </c>
      <c r="J7231">
        <v>0</v>
      </c>
    </row>
    <row r="7232" spans="1:10" x14ac:dyDescent="0.3">
      <c r="A7232" s="15">
        <v>46082</v>
      </c>
      <c r="B7232" t="s">
        <v>419</v>
      </c>
      <c r="C7232" t="s">
        <v>125</v>
      </c>
      <c r="D7232" t="s">
        <v>96</v>
      </c>
      <c r="E7232" t="s">
        <v>103</v>
      </c>
      <c r="F7232">
        <v>73300</v>
      </c>
      <c r="G7232" t="s">
        <v>331</v>
      </c>
      <c r="H7232" s="15">
        <v>45748</v>
      </c>
      <c r="I7232">
        <v>73300</v>
      </c>
      <c r="J7232">
        <v>0</v>
      </c>
    </row>
    <row r="7233" spans="1:10" x14ac:dyDescent="0.3">
      <c r="A7233" s="15">
        <v>46082</v>
      </c>
      <c r="B7233" t="s">
        <v>420</v>
      </c>
      <c r="C7233" t="s">
        <v>110</v>
      </c>
      <c r="D7233" t="s">
        <v>96</v>
      </c>
      <c r="E7233" t="s">
        <v>103</v>
      </c>
      <c r="F7233">
        <v>22900</v>
      </c>
      <c r="G7233" t="s">
        <v>331</v>
      </c>
      <c r="H7233" s="15">
        <v>45748</v>
      </c>
      <c r="I7233">
        <v>22900</v>
      </c>
      <c r="J7233">
        <v>0</v>
      </c>
    </row>
    <row r="7234" spans="1:10" x14ac:dyDescent="0.3">
      <c r="A7234" s="15">
        <v>46082</v>
      </c>
      <c r="B7234" t="s">
        <v>421</v>
      </c>
      <c r="C7234" t="s">
        <v>110</v>
      </c>
      <c r="D7234" t="s">
        <v>82</v>
      </c>
      <c r="E7234" t="s">
        <v>103</v>
      </c>
      <c r="F7234">
        <v>18800</v>
      </c>
      <c r="G7234" t="s">
        <v>331</v>
      </c>
      <c r="H7234" s="15">
        <v>45748</v>
      </c>
      <c r="I7234">
        <v>18800</v>
      </c>
      <c r="J7234">
        <v>0</v>
      </c>
    </row>
    <row r="7235" spans="1:10" x14ac:dyDescent="0.3">
      <c r="A7235" s="15">
        <v>46082</v>
      </c>
      <c r="B7235" t="s">
        <v>422</v>
      </c>
      <c r="C7235" t="s">
        <v>81</v>
      </c>
      <c r="D7235" t="s">
        <v>82</v>
      </c>
      <c r="E7235" t="s">
        <v>97</v>
      </c>
      <c r="F7235">
        <v>2300</v>
      </c>
      <c r="G7235" t="s">
        <v>331</v>
      </c>
      <c r="H7235" s="15">
        <v>45748</v>
      </c>
      <c r="I7235">
        <v>2300</v>
      </c>
      <c r="J7235">
        <v>0</v>
      </c>
    </row>
    <row r="7236" spans="1:10" x14ac:dyDescent="0.3">
      <c r="A7236" s="15">
        <v>46082</v>
      </c>
      <c r="B7236" t="s">
        <v>423</v>
      </c>
      <c r="C7236" t="s">
        <v>125</v>
      </c>
      <c r="D7236" t="s">
        <v>86</v>
      </c>
      <c r="E7236" t="s">
        <v>97</v>
      </c>
      <c r="F7236">
        <v>52800</v>
      </c>
      <c r="G7236" t="s">
        <v>331</v>
      </c>
      <c r="H7236" s="15">
        <v>45748</v>
      </c>
      <c r="I7236">
        <v>52800</v>
      </c>
      <c r="J7236">
        <v>0</v>
      </c>
    </row>
    <row r="7237" spans="1:10" x14ac:dyDescent="0.3">
      <c r="A7237" s="15">
        <v>46082</v>
      </c>
      <c r="B7237" t="s">
        <v>425</v>
      </c>
      <c r="C7237" t="s">
        <v>110</v>
      </c>
      <c r="D7237" t="s">
        <v>82</v>
      </c>
      <c r="E7237" t="s">
        <v>97</v>
      </c>
      <c r="F7237">
        <v>22700</v>
      </c>
      <c r="G7237" t="s">
        <v>331</v>
      </c>
      <c r="H7237" s="15">
        <v>45778</v>
      </c>
      <c r="I7237">
        <v>22700</v>
      </c>
      <c r="J7237">
        <v>0</v>
      </c>
    </row>
    <row r="7238" spans="1:10" x14ac:dyDescent="0.3">
      <c r="A7238" s="15">
        <v>46082</v>
      </c>
      <c r="B7238" t="s">
        <v>426</v>
      </c>
      <c r="C7238" t="s">
        <v>81</v>
      </c>
      <c r="D7238" t="s">
        <v>82</v>
      </c>
      <c r="E7238" t="s">
        <v>89</v>
      </c>
      <c r="F7238">
        <v>1900</v>
      </c>
      <c r="G7238" t="s">
        <v>331</v>
      </c>
      <c r="H7238" s="15">
        <v>45778</v>
      </c>
      <c r="I7238">
        <v>1900</v>
      </c>
      <c r="J7238">
        <v>0</v>
      </c>
    </row>
    <row r="7239" spans="1:10" x14ac:dyDescent="0.3">
      <c r="A7239" s="15">
        <v>46082</v>
      </c>
      <c r="B7239" t="s">
        <v>427</v>
      </c>
      <c r="C7239" t="s">
        <v>110</v>
      </c>
      <c r="D7239" t="s">
        <v>82</v>
      </c>
      <c r="E7239" t="s">
        <v>83</v>
      </c>
      <c r="F7239">
        <v>25300</v>
      </c>
      <c r="G7239" t="s">
        <v>331</v>
      </c>
      <c r="H7239" s="15">
        <v>45778</v>
      </c>
      <c r="I7239">
        <v>25300</v>
      </c>
      <c r="J7239">
        <v>0</v>
      </c>
    </row>
    <row r="7240" spans="1:10" x14ac:dyDescent="0.3">
      <c r="A7240" s="15">
        <v>46082</v>
      </c>
      <c r="B7240" t="s">
        <v>428</v>
      </c>
      <c r="C7240" t="s">
        <v>81</v>
      </c>
      <c r="D7240" t="s">
        <v>86</v>
      </c>
      <c r="E7240" t="s">
        <v>89</v>
      </c>
      <c r="F7240">
        <v>2300</v>
      </c>
      <c r="G7240" t="s">
        <v>331</v>
      </c>
      <c r="H7240" s="15">
        <v>45778</v>
      </c>
      <c r="I7240">
        <v>2300</v>
      </c>
      <c r="J7240">
        <v>0</v>
      </c>
    </row>
    <row r="7241" spans="1:10" x14ac:dyDescent="0.3">
      <c r="A7241" s="15">
        <v>46082</v>
      </c>
      <c r="B7241" t="s">
        <v>430</v>
      </c>
      <c r="C7241" t="s">
        <v>110</v>
      </c>
      <c r="D7241" t="s">
        <v>82</v>
      </c>
      <c r="E7241" t="s">
        <v>87</v>
      </c>
      <c r="F7241">
        <v>24300</v>
      </c>
      <c r="G7241" t="s">
        <v>331</v>
      </c>
      <c r="H7241" s="15">
        <v>45809</v>
      </c>
      <c r="I7241">
        <v>24300</v>
      </c>
      <c r="J7241">
        <v>0</v>
      </c>
    </row>
    <row r="7242" spans="1:10" x14ac:dyDescent="0.3">
      <c r="A7242" s="15">
        <v>46082</v>
      </c>
      <c r="B7242" t="s">
        <v>431</v>
      </c>
      <c r="C7242" t="s">
        <v>110</v>
      </c>
      <c r="D7242" t="s">
        <v>82</v>
      </c>
      <c r="E7242" t="s">
        <v>101</v>
      </c>
      <c r="F7242">
        <v>19800</v>
      </c>
      <c r="G7242" t="s">
        <v>331</v>
      </c>
      <c r="H7242" s="15">
        <v>45809</v>
      </c>
      <c r="I7242">
        <v>19800</v>
      </c>
      <c r="J7242">
        <v>0</v>
      </c>
    </row>
    <row r="7243" spans="1:10" x14ac:dyDescent="0.3">
      <c r="A7243" s="15">
        <v>46082</v>
      </c>
      <c r="B7243" t="s">
        <v>435</v>
      </c>
      <c r="C7243" t="s">
        <v>81</v>
      </c>
      <c r="D7243" t="s">
        <v>82</v>
      </c>
      <c r="E7243" t="s">
        <v>92</v>
      </c>
      <c r="F7243">
        <v>1400</v>
      </c>
      <c r="G7243" t="s">
        <v>331</v>
      </c>
      <c r="H7243" s="15">
        <v>45809</v>
      </c>
      <c r="I7243">
        <v>1400</v>
      </c>
      <c r="J7243">
        <v>0</v>
      </c>
    </row>
    <row r="7244" spans="1:10" x14ac:dyDescent="0.3">
      <c r="A7244" s="15">
        <v>46082</v>
      </c>
      <c r="B7244" t="s">
        <v>436</v>
      </c>
      <c r="C7244" t="s">
        <v>81</v>
      </c>
      <c r="D7244" t="s">
        <v>82</v>
      </c>
      <c r="E7244" t="s">
        <v>97</v>
      </c>
      <c r="F7244">
        <v>2100</v>
      </c>
      <c r="G7244" t="s">
        <v>331</v>
      </c>
      <c r="H7244" s="15">
        <v>45839</v>
      </c>
      <c r="I7244">
        <v>2100</v>
      </c>
      <c r="J7244">
        <v>0</v>
      </c>
    </row>
    <row r="7245" spans="1:10" x14ac:dyDescent="0.3">
      <c r="A7245" s="15">
        <v>46082</v>
      </c>
      <c r="B7245" t="s">
        <v>437</v>
      </c>
      <c r="C7245" t="s">
        <v>81</v>
      </c>
      <c r="D7245" t="s">
        <v>99</v>
      </c>
      <c r="E7245" t="s">
        <v>92</v>
      </c>
      <c r="F7245">
        <v>1600</v>
      </c>
      <c r="G7245" t="s">
        <v>331</v>
      </c>
      <c r="H7245" s="15">
        <v>45839</v>
      </c>
      <c r="I7245">
        <v>1600</v>
      </c>
      <c r="J7245">
        <v>0</v>
      </c>
    </row>
    <row r="7246" spans="1:10" x14ac:dyDescent="0.3">
      <c r="A7246" s="15">
        <v>46082</v>
      </c>
      <c r="B7246" t="s">
        <v>438</v>
      </c>
      <c r="C7246" t="s">
        <v>91</v>
      </c>
      <c r="D7246" t="s">
        <v>96</v>
      </c>
      <c r="E7246" t="s">
        <v>101</v>
      </c>
      <c r="F7246">
        <v>8600</v>
      </c>
      <c r="G7246" t="s">
        <v>331</v>
      </c>
      <c r="H7246" s="15">
        <v>45839</v>
      </c>
      <c r="I7246">
        <v>8600</v>
      </c>
      <c r="J7246">
        <v>0</v>
      </c>
    </row>
    <row r="7247" spans="1:10" x14ac:dyDescent="0.3">
      <c r="A7247" s="15">
        <v>46082</v>
      </c>
      <c r="B7247" t="s">
        <v>439</v>
      </c>
      <c r="C7247" t="s">
        <v>81</v>
      </c>
      <c r="D7247" t="s">
        <v>99</v>
      </c>
      <c r="E7247" t="s">
        <v>87</v>
      </c>
      <c r="F7247">
        <v>1700</v>
      </c>
      <c r="G7247" t="s">
        <v>331</v>
      </c>
      <c r="H7247" s="15">
        <v>45839</v>
      </c>
      <c r="I7247">
        <v>1700</v>
      </c>
      <c r="J7247">
        <v>0</v>
      </c>
    </row>
    <row r="7248" spans="1:10" x14ac:dyDescent="0.3">
      <c r="A7248" s="15">
        <v>46082</v>
      </c>
      <c r="B7248" t="s">
        <v>440</v>
      </c>
      <c r="C7248" t="s">
        <v>81</v>
      </c>
      <c r="D7248" t="s">
        <v>82</v>
      </c>
      <c r="E7248" t="s">
        <v>97</v>
      </c>
      <c r="F7248">
        <v>2200</v>
      </c>
      <c r="G7248" t="s">
        <v>331</v>
      </c>
      <c r="H7248" s="15">
        <v>45839</v>
      </c>
      <c r="I7248">
        <v>2200</v>
      </c>
      <c r="J7248">
        <v>0</v>
      </c>
    </row>
    <row r="7249" spans="1:10" x14ac:dyDescent="0.3">
      <c r="A7249" s="15">
        <v>46082</v>
      </c>
      <c r="B7249" t="s">
        <v>441</v>
      </c>
      <c r="C7249" t="s">
        <v>110</v>
      </c>
      <c r="D7249" t="s">
        <v>86</v>
      </c>
      <c r="E7249" t="s">
        <v>97</v>
      </c>
      <c r="F7249">
        <v>35800</v>
      </c>
      <c r="G7249" t="s">
        <v>331</v>
      </c>
      <c r="H7249" s="15">
        <v>45839</v>
      </c>
      <c r="I7249">
        <v>35800</v>
      </c>
      <c r="J7249">
        <v>0</v>
      </c>
    </row>
    <row r="7250" spans="1:10" x14ac:dyDescent="0.3">
      <c r="A7250" s="15">
        <v>46082</v>
      </c>
      <c r="B7250" t="s">
        <v>442</v>
      </c>
      <c r="C7250" t="s">
        <v>110</v>
      </c>
      <c r="D7250" t="s">
        <v>86</v>
      </c>
      <c r="E7250" t="s">
        <v>83</v>
      </c>
      <c r="F7250">
        <v>23900</v>
      </c>
      <c r="G7250" t="s">
        <v>331</v>
      </c>
      <c r="H7250" s="15">
        <v>45870</v>
      </c>
      <c r="I7250">
        <v>23900</v>
      </c>
      <c r="J7250">
        <v>0</v>
      </c>
    </row>
    <row r="7251" spans="1:10" x14ac:dyDescent="0.3">
      <c r="A7251" s="15">
        <v>46082</v>
      </c>
      <c r="B7251" t="s">
        <v>443</v>
      </c>
      <c r="C7251" t="s">
        <v>81</v>
      </c>
      <c r="D7251" t="s">
        <v>86</v>
      </c>
      <c r="E7251" t="s">
        <v>101</v>
      </c>
      <c r="F7251">
        <v>1800</v>
      </c>
      <c r="G7251" t="s">
        <v>331</v>
      </c>
      <c r="H7251" s="15">
        <v>45870</v>
      </c>
      <c r="I7251">
        <v>1800</v>
      </c>
      <c r="J7251">
        <v>0</v>
      </c>
    </row>
    <row r="7252" spans="1:10" x14ac:dyDescent="0.3">
      <c r="A7252" s="15">
        <v>46082</v>
      </c>
      <c r="B7252" t="s">
        <v>444</v>
      </c>
      <c r="C7252" t="s">
        <v>125</v>
      </c>
      <c r="D7252" t="s">
        <v>82</v>
      </c>
      <c r="E7252" t="s">
        <v>92</v>
      </c>
      <c r="F7252">
        <v>71600</v>
      </c>
      <c r="G7252" t="s">
        <v>331</v>
      </c>
      <c r="H7252" s="15">
        <v>45870</v>
      </c>
      <c r="I7252">
        <v>71600</v>
      </c>
      <c r="J7252">
        <v>0</v>
      </c>
    </row>
    <row r="7253" spans="1:10" x14ac:dyDescent="0.3">
      <c r="A7253" s="15">
        <v>46082</v>
      </c>
      <c r="B7253" t="s">
        <v>445</v>
      </c>
      <c r="C7253" t="s">
        <v>91</v>
      </c>
      <c r="D7253" t="s">
        <v>82</v>
      </c>
      <c r="E7253" t="s">
        <v>89</v>
      </c>
      <c r="F7253">
        <v>4700</v>
      </c>
      <c r="G7253" t="s">
        <v>331</v>
      </c>
      <c r="H7253" s="15">
        <v>45870</v>
      </c>
      <c r="I7253">
        <v>4700</v>
      </c>
      <c r="J7253">
        <v>0</v>
      </c>
    </row>
    <row r="7254" spans="1:10" x14ac:dyDescent="0.3">
      <c r="A7254" s="15">
        <v>46082</v>
      </c>
      <c r="B7254" t="s">
        <v>446</v>
      </c>
      <c r="C7254" t="s">
        <v>81</v>
      </c>
      <c r="D7254" t="s">
        <v>86</v>
      </c>
      <c r="E7254" t="s">
        <v>97</v>
      </c>
      <c r="F7254">
        <v>1600</v>
      </c>
      <c r="G7254" t="s">
        <v>331</v>
      </c>
      <c r="H7254" s="15">
        <v>45870</v>
      </c>
      <c r="I7254">
        <v>1600</v>
      </c>
      <c r="J7254">
        <v>0</v>
      </c>
    </row>
    <row r="7255" spans="1:10" x14ac:dyDescent="0.3">
      <c r="A7255" s="15">
        <v>46082</v>
      </c>
      <c r="B7255" t="s">
        <v>447</v>
      </c>
      <c r="C7255" t="s">
        <v>81</v>
      </c>
      <c r="D7255" t="s">
        <v>86</v>
      </c>
      <c r="E7255" t="s">
        <v>103</v>
      </c>
      <c r="F7255">
        <v>2300</v>
      </c>
      <c r="G7255" t="s">
        <v>331</v>
      </c>
      <c r="H7255" s="15">
        <v>45870</v>
      </c>
      <c r="I7255">
        <v>2300</v>
      </c>
      <c r="J7255">
        <v>0</v>
      </c>
    </row>
    <row r="7256" spans="1:10" x14ac:dyDescent="0.3">
      <c r="A7256" s="15">
        <v>46082</v>
      </c>
      <c r="B7256" t="s">
        <v>448</v>
      </c>
      <c r="C7256" t="s">
        <v>125</v>
      </c>
      <c r="D7256" t="s">
        <v>86</v>
      </c>
      <c r="E7256" t="s">
        <v>89</v>
      </c>
      <c r="F7256">
        <v>64000</v>
      </c>
      <c r="G7256" t="s">
        <v>331</v>
      </c>
      <c r="H7256" s="15">
        <v>45870</v>
      </c>
      <c r="I7256">
        <v>64000</v>
      </c>
      <c r="J7256">
        <v>0</v>
      </c>
    </row>
    <row r="7257" spans="1:10" x14ac:dyDescent="0.3">
      <c r="A7257" s="15">
        <v>46082</v>
      </c>
      <c r="B7257" t="s">
        <v>449</v>
      </c>
      <c r="C7257" t="s">
        <v>81</v>
      </c>
      <c r="D7257" t="s">
        <v>82</v>
      </c>
      <c r="E7257" t="s">
        <v>92</v>
      </c>
      <c r="F7257">
        <v>1600</v>
      </c>
      <c r="G7257" t="s">
        <v>331</v>
      </c>
      <c r="H7257" s="15">
        <v>45870</v>
      </c>
      <c r="I7257">
        <v>1600</v>
      </c>
      <c r="J7257">
        <v>0</v>
      </c>
    </row>
    <row r="7258" spans="1:10" x14ac:dyDescent="0.3">
      <c r="A7258" s="15">
        <v>46082</v>
      </c>
      <c r="B7258" t="s">
        <v>450</v>
      </c>
      <c r="C7258" t="s">
        <v>81</v>
      </c>
      <c r="D7258" t="s">
        <v>86</v>
      </c>
      <c r="E7258" t="s">
        <v>89</v>
      </c>
      <c r="F7258">
        <v>1900</v>
      </c>
      <c r="G7258" t="s">
        <v>331</v>
      </c>
      <c r="H7258" s="15">
        <v>45901</v>
      </c>
      <c r="I7258">
        <v>1900</v>
      </c>
      <c r="J7258">
        <v>0</v>
      </c>
    </row>
    <row r="7259" spans="1:10" x14ac:dyDescent="0.3">
      <c r="A7259" s="15">
        <v>46082</v>
      </c>
      <c r="B7259" t="s">
        <v>451</v>
      </c>
      <c r="C7259" t="s">
        <v>110</v>
      </c>
      <c r="D7259" t="s">
        <v>82</v>
      </c>
      <c r="E7259" t="s">
        <v>92</v>
      </c>
      <c r="F7259">
        <v>0</v>
      </c>
      <c r="G7259" t="s">
        <v>333</v>
      </c>
      <c r="H7259" s="15">
        <v>45901</v>
      </c>
      <c r="I7259">
        <v>26100</v>
      </c>
      <c r="J7259">
        <v>-26100</v>
      </c>
    </row>
    <row r="7260" spans="1:10" x14ac:dyDescent="0.3">
      <c r="A7260" s="15">
        <v>46082</v>
      </c>
      <c r="B7260" t="s">
        <v>452</v>
      </c>
      <c r="C7260" t="s">
        <v>91</v>
      </c>
      <c r="D7260" t="s">
        <v>86</v>
      </c>
      <c r="E7260" t="s">
        <v>92</v>
      </c>
      <c r="F7260">
        <v>8600</v>
      </c>
      <c r="G7260" t="s">
        <v>331</v>
      </c>
      <c r="H7260" s="15">
        <v>45901</v>
      </c>
      <c r="I7260">
        <v>8600</v>
      </c>
      <c r="J7260">
        <v>0</v>
      </c>
    </row>
    <row r="7261" spans="1:10" x14ac:dyDescent="0.3">
      <c r="A7261" s="15">
        <v>46082</v>
      </c>
      <c r="B7261" t="s">
        <v>454</v>
      </c>
      <c r="C7261" t="s">
        <v>91</v>
      </c>
      <c r="D7261" t="s">
        <v>82</v>
      </c>
      <c r="E7261" t="s">
        <v>89</v>
      </c>
      <c r="F7261">
        <v>5400</v>
      </c>
      <c r="G7261" t="s">
        <v>334</v>
      </c>
      <c r="H7261" s="15">
        <v>45901</v>
      </c>
      <c r="I7261">
        <v>6200</v>
      </c>
      <c r="J7261">
        <v>-800</v>
      </c>
    </row>
    <row r="7262" spans="1:10" x14ac:dyDescent="0.3">
      <c r="A7262" s="15">
        <v>46082</v>
      </c>
      <c r="B7262" t="s">
        <v>455</v>
      </c>
      <c r="C7262" t="s">
        <v>125</v>
      </c>
      <c r="D7262" t="s">
        <v>99</v>
      </c>
      <c r="E7262" t="s">
        <v>103</v>
      </c>
      <c r="F7262">
        <v>75900</v>
      </c>
      <c r="G7262" t="s">
        <v>331</v>
      </c>
      <c r="H7262" s="15">
        <v>45901</v>
      </c>
      <c r="I7262">
        <v>75900</v>
      </c>
      <c r="J7262">
        <v>0</v>
      </c>
    </row>
    <row r="7263" spans="1:10" x14ac:dyDescent="0.3">
      <c r="A7263" s="15">
        <v>46082</v>
      </c>
      <c r="B7263" t="s">
        <v>457</v>
      </c>
      <c r="C7263" t="s">
        <v>81</v>
      </c>
      <c r="D7263" t="s">
        <v>86</v>
      </c>
      <c r="E7263" t="s">
        <v>89</v>
      </c>
      <c r="F7263">
        <v>2200</v>
      </c>
      <c r="G7263" t="s">
        <v>331</v>
      </c>
      <c r="H7263" s="15">
        <v>45931</v>
      </c>
      <c r="I7263">
        <v>2200</v>
      </c>
      <c r="J7263">
        <v>0</v>
      </c>
    </row>
    <row r="7264" spans="1:10" x14ac:dyDescent="0.3">
      <c r="A7264" s="15">
        <v>46082</v>
      </c>
      <c r="B7264" t="s">
        <v>458</v>
      </c>
      <c r="C7264" t="s">
        <v>91</v>
      </c>
      <c r="D7264" t="s">
        <v>86</v>
      </c>
      <c r="E7264" t="s">
        <v>83</v>
      </c>
      <c r="F7264">
        <v>8300</v>
      </c>
      <c r="G7264" t="s">
        <v>331</v>
      </c>
      <c r="H7264" s="15">
        <v>45931</v>
      </c>
      <c r="I7264">
        <v>8300</v>
      </c>
      <c r="J7264">
        <v>0</v>
      </c>
    </row>
    <row r="7265" spans="1:10" x14ac:dyDescent="0.3">
      <c r="A7265" s="15">
        <v>46082</v>
      </c>
      <c r="B7265" t="s">
        <v>459</v>
      </c>
      <c r="C7265" t="s">
        <v>91</v>
      </c>
      <c r="D7265" t="s">
        <v>99</v>
      </c>
      <c r="E7265" t="s">
        <v>87</v>
      </c>
      <c r="F7265">
        <v>0</v>
      </c>
      <c r="G7265" t="s">
        <v>333</v>
      </c>
      <c r="H7265" s="15">
        <v>45931</v>
      </c>
      <c r="I7265">
        <v>5800</v>
      </c>
      <c r="J7265">
        <v>-5800</v>
      </c>
    </row>
    <row r="7266" spans="1:10" x14ac:dyDescent="0.3">
      <c r="A7266" s="15">
        <v>46082</v>
      </c>
      <c r="B7266" t="s">
        <v>460</v>
      </c>
      <c r="C7266" t="s">
        <v>91</v>
      </c>
      <c r="D7266" t="s">
        <v>86</v>
      </c>
      <c r="E7266" t="s">
        <v>101</v>
      </c>
      <c r="F7266">
        <v>5300</v>
      </c>
      <c r="G7266" t="s">
        <v>331</v>
      </c>
      <c r="H7266" s="15">
        <v>45931</v>
      </c>
      <c r="I7266">
        <v>5300</v>
      </c>
      <c r="J7266">
        <v>0</v>
      </c>
    </row>
    <row r="7267" spans="1:10" x14ac:dyDescent="0.3">
      <c r="A7267" s="15">
        <v>46082</v>
      </c>
      <c r="B7267" t="s">
        <v>461</v>
      </c>
      <c r="C7267" t="s">
        <v>81</v>
      </c>
      <c r="D7267" t="s">
        <v>86</v>
      </c>
      <c r="E7267" t="s">
        <v>92</v>
      </c>
      <c r="F7267">
        <v>1700</v>
      </c>
      <c r="G7267" t="s">
        <v>332</v>
      </c>
      <c r="H7267" s="15">
        <v>45931</v>
      </c>
      <c r="I7267">
        <v>1500</v>
      </c>
      <c r="J7267">
        <v>200</v>
      </c>
    </row>
    <row r="7268" spans="1:10" x14ac:dyDescent="0.3">
      <c r="A7268" s="15">
        <v>46082</v>
      </c>
      <c r="B7268" t="s">
        <v>462</v>
      </c>
      <c r="C7268" t="s">
        <v>81</v>
      </c>
      <c r="D7268" t="s">
        <v>86</v>
      </c>
      <c r="E7268" t="s">
        <v>92</v>
      </c>
      <c r="F7268">
        <v>2200</v>
      </c>
      <c r="G7268" t="s">
        <v>331</v>
      </c>
      <c r="H7268" s="15">
        <v>45931</v>
      </c>
      <c r="I7268">
        <v>2200</v>
      </c>
      <c r="J7268">
        <v>0</v>
      </c>
    </row>
    <row r="7269" spans="1:10" x14ac:dyDescent="0.3">
      <c r="A7269" s="15">
        <v>46082</v>
      </c>
      <c r="B7269" t="s">
        <v>464</v>
      </c>
      <c r="C7269" t="s">
        <v>91</v>
      </c>
      <c r="D7269" t="s">
        <v>99</v>
      </c>
      <c r="E7269" t="s">
        <v>87</v>
      </c>
      <c r="F7269">
        <v>6000</v>
      </c>
      <c r="G7269" t="s">
        <v>331</v>
      </c>
      <c r="H7269" s="15">
        <v>45962</v>
      </c>
      <c r="I7269">
        <v>6000</v>
      </c>
      <c r="J7269">
        <v>0</v>
      </c>
    </row>
    <row r="7270" spans="1:10" x14ac:dyDescent="0.3">
      <c r="A7270" s="15">
        <v>46082</v>
      </c>
      <c r="B7270" t="s">
        <v>465</v>
      </c>
      <c r="C7270" t="s">
        <v>81</v>
      </c>
      <c r="D7270" t="s">
        <v>86</v>
      </c>
      <c r="E7270" t="s">
        <v>87</v>
      </c>
      <c r="F7270">
        <v>2000</v>
      </c>
      <c r="G7270" t="s">
        <v>331</v>
      </c>
      <c r="H7270" s="15">
        <v>45962</v>
      </c>
      <c r="I7270">
        <v>2000</v>
      </c>
      <c r="J7270">
        <v>0</v>
      </c>
    </row>
    <row r="7271" spans="1:10" x14ac:dyDescent="0.3">
      <c r="A7271" s="15">
        <v>46082</v>
      </c>
      <c r="B7271" t="s">
        <v>466</v>
      </c>
      <c r="C7271" t="s">
        <v>81</v>
      </c>
      <c r="D7271" t="s">
        <v>99</v>
      </c>
      <c r="E7271" t="s">
        <v>92</v>
      </c>
      <c r="F7271">
        <v>1400</v>
      </c>
      <c r="G7271" t="s">
        <v>331</v>
      </c>
      <c r="H7271" s="15">
        <v>45962</v>
      </c>
      <c r="I7271">
        <v>1400</v>
      </c>
      <c r="J7271">
        <v>0</v>
      </c>
    </row>
    <row r="7272" spans="1:10" x14ac:dyDescent="0.3">
      <c r="A7272" s="15">
        <v>46082</v>
      </c>
      <c r="B7272" t="s">
        <v>467</v>
      </c>
      <c r="C7272" t="s">
        <v>91</v>
      </c>
      <c r="D7272" t="s">
        <v>86</v>
      </c>
      <c r="E7272" t="s">
        <v>89</v>
      </c>
      <c r="F7272">
        <v>8200</v>
      </c>
      <c r="G7272" t="s">
        <v>331</v>
      </c>
      <c r="H7272" s="15">
        <v>45962</v>
      </c>
      <c r="I7272">
        <v>8200</v>
      </c>
      <c r="J7272">
        <v>0</v>
      </c>
    </row>
    <row r="7273" spans="1:10" x14ac:dyDescent="0.3">
      <c r="A7273" s="15">
        <v>46082</v>
      </c>
      <c r="B7273" t="s">
        <v>468</v>
      </c>
      <c r="C7273" t="s">
        <v>81</v>
      </c>
      <c r="D7273" t="s">
        <v>86</v>
      </c>
      <c r="E7273" t="s">
        <v>92</v>
      </c>
      <c r="F7273">
        <v>1900</v>
      </c>
      <c r="G7273" t="s">
        <v>331</v>
      </c>
      <c r="H7273" s="15">
        <v>45992</v>
      </c>
      <c r="I7273">
        <v>1900</v>
      </c>
      <c r="J7273">
        <v>0</v>
      </c>
    </row>
    <row r="7274" spans="1:10" x14ac:dyDescent="0.3">
      <c r="A7274" s="15">
        <v>46082</v>
      </c>
      <c r="B7274" t="s">
        <v>469</v>
      </c>
      <c r="C7274" t="s">
        <v>81</v>
      </c>
      <c r="D7274" t="s">
        <v>86</v>
      </c>
      <c r="E7274" t="s">
        <v>87</v>
      </c>
      <c r="F7274">
        <v>2500</v>
      </c>
      <c r="G7274" t="s">
        <v>331</v>
      </c>
      <c r="H7274" s="15">
        <v>45992</v>
      </c>
      <c r="I7274">
        <v>2500</v>
      </c>
      <c r="J7274">
        <v>0</v>
      </c>
    </row>
    <row r="7275" spans="1:10" x14ac:dyDescent="0.3">
      <c r="A7275" s="15">
        <v>46082</v>
      </c>
      <c r="B7275" t="s">
        <v>470</v>
      </c>
      <c r="C7275" t="s">
        <v>81</v>
      </c>
      <c r="D7275" t="s">
        <v>86</v>
      </c>
      <c r="E7275" t="s">
        <v>103</v>
      </c>
      <c r="F7275">
        <v>1600</v>
      </c>
      <c r="G7275" t="s">
        <v>331</v>
      </c>
      <c r="H7275" s="15">
        <v>45992</v>
      </c>
      <c r="I7275">
        <v>1600</v>
      </c>
      <c r="J7275">
        <v>0</v>
      </c>
    </row>
    <row r="7276" spans="1:10" x14ac:dyDescent="0.3">
      <c r="A7276" s="15">
        <v>46082</v>
      </c>
      <c r="B7276" t="s">
        <v>471</v>
      </c>
      <c r="C7276" t="s">
        <v>110</v>
      </c>
      <c r="D7276" t="s">
        <v>86</v>
      </c>
      <c r="E7276" t="s">
        <v>103</v>
      </c>
      <c r="F7276">
        <v>31000</v>
      </c>
      <c r="G7276" t="s">
        <v>331</v>
      </c>
      <c r="H7276" s="15">
        <v>45992</v>
      </c>
      <c r="I7276">
        <v>31000</v>
      </c>
      <c r="J7276">
        <v>0</v>
      </c>
    </row>
    <row r="7277" spans="1:10" x14ac:dyDescent="0.3">
      <c r="A7277" s="15">
        <v>46082</v>
      </c>
      <c r="B7277" t="s">
        <v>472</v>
      </c>
      <c r="C7277" t="s">
        <v>91</v>
      </c>
      <c r="D7277" t="s">
        <v>86</v>
      </c>
      <c r="E7277" t="s">
        <v>97</v>
      </c>
      <c r="F7277">
        <v>5100</v>
      </c>
      <c r="G7277" t="s">
        <v>331</v>
      </c>
      <c r="H7277" s="15">
        <v>45992</v>
      </c>
      <c r="I7277">
        <v>5100</v>
      </c>
      <c r="J7277">
        <v>0</v>
      </c>
    </row>
    <row r="7278" spans="1:10" x14ac:dyDescent="0.3">
      <c r="A7278" s="15">
        <v>46082</v>
      </c>
      <c r="B7278" t="s">
        <v>474</v>
      </c>
      <c r="C7278" t="s">
        <v>81</v>
      </c>
      <c r="D7278" t="s">
        <v>99</v>
      </c>
      <c r="E7278" t="s">
        <v>92</v>
      </c>
      <c r="F7278">
        <v>1600</v>
      </c>
      <c r="G7278" t="s">
        <v>332</v>
      </c>
      <c r="H7278" s="15">
        <v>45992</v>
      </c>
      <c r="I7278">
        <v>1400</v>
      </c>
      <c r="J7278">
        <v>200</v>
      </c>
    </row>
    <row r="7279" spans="1:10" x14ac:dyDescent="0.3">
      <c r="A7279" s="15">
        <v>46082</v>
      </c>
      <c r="B7279" t="s">
        <v>475</v>
      </c>
      <c r="C7279" t="s">
        <v>110</v>
      </c>
      <c r="D7279" t="s">
        <v>82</v>
      </c>
      <c r="E7279" t="s">
        <v>101</v>
      </c>
      <c r="F7279">
        <v>35000</v>
      </c>
      <c r="G7279" t="s">
        <v>331</v>
      </c>
      <c r="H7279" s="15">
        <v>45992</v>
      </c>
      <c r="I7279">
        <v>35000</v>
      </c>
      <c r="J7279">
        <v>0</v>
      </c>
    </row>
    <row r="7280" spans="1:10" x14ac:dyDescent="0.3">
      <c r="A7280" s="15">
        <v>46082</v>
      </c>
      <c r="B7280" t="s">
        <v>476</v>
      </c>
      <c r="C7280" t="s">
        <v>81</v>
      </c>
      <c r="D7280" t="s">
        <v>82</v>
      </c>
      <c r="E7280" t="s">
        <v>89</v>
      </c>
      <c r="F7280">
        <v>2600</v>
      </c>
      <c r="G7280" t="s">
        <v>331</v>
      </c>
      <c r="H7280" s="15">
        <v>45992</v>
      </c>
      <c r="I7280">
        <v>2600</v>
      </c>
      <c r="J7280">
        <v>0</v>
      </c>
    </row>
    <row r="7281" spans="1:10" x14ac:dyDescent="0.3">
      <c r="A7281" s="15">
        <v>46082</v>
      </c>
      <c r="B7281" t="s">
        <v>477</v>
      </c>
      <c r="C7281" t="s">
        <v>81</v>
      </c>
      <c r="D7281" t="s">
        <v>82</v>
      </c>
      <c r="E7281" t="s">
        <v>92</v>
      </c>
      <c r="F7281">
        <v>2100</v>
      </c>
      <c r="G7281" t="s">
        <v>331</v>
      </c>
      <c r="H7281" s="15">
        <v>46023</v>
      </c>
      <c r="I7281">
        <v>2100</v>
      </c>
      <c r="J7281">
        <v>0</v>
      </c>
    </row>
    <row r="7282" spans="1:10" x14ac:dyDescent="0.3">
      <c r="A7282" s="15">
        <v>46082</v>
      </c>
      <c r="B7282" t="s">
        <v>478</v>
      </c>
      <c r="C7282" t="s">
        <v>91</v>
      </c>
      <c r="D7282" t="s">
        <v>82</v>
      </c>
      <c r="E7282" t="s">
        <v>97</v>
      </c>
      <c r="F7282">
        <v>6500</v>
      </c>
      <c r="G7282" t="s">
        <v>331</v>
      </c>
      <c r="H7282" s="15">
        <v>46023</v>
      </c>
      <c r="I7282">
        <v>6500</v>
      </c>
      <c r="J7282">
        <v>0</v>
      </c>
    </row>
    <row r="7283" spans="1:10" x14ac:dyDescent="0.3">
      <c r="A7283" s="15">
        <v>46082</v>
      </c>
      <c r="B7283" t="s">
        <v>479</v>
      </c>
      <c r="C7283" t="s">
        <v>81</v>
      </c>
      <c r="D7283" t="s">
        <v>82</v>
      </c>
      <c r="E7283" t="s">
        <v>87</v>
      </c>
      <c r="F7283">
        <v>1600</v>
      </c>
      <c r="G7283" t="s">
        <v>331</v>
      </c>
      <c r="H7283" s="15">
        <v>46023</v>
      </c>
      <c r="I7283">
        <v>1600</v>
      </c>
      <c r="J7283">
        <v>0</v>
      </c>
    </row>
    <row r="7284" spans="1:10" x14ac:dyDescent="0.3">
      <c r="A7284" s="15">
        <v>46082</v>
      </c>
      <c r="B7284" t="s">
        <v>480</v>
      </c>
      <c r="C7284" t="s">
        <v>81</v>
      </c>
      <c r="D7284" t="s">
        <v>86</v>
      </c>
      <c r="E7284" t="s">
        <v>103</v>
      </c>
      <c r="F7284">
        <v>1600</v>
      </c>
      <c r="G7284" t="s">
        <v>331</v>
      </c>
      <c r="H7284" s="15">
        <v>46023</v>
      </c>
      <c r="I7284">
        <v>1600</v>
      </c>
      <c r="J7284">
        <v>0</v>
      </c>
    </row>
    <row r="7285" spans="1:10" x14ac:dyDescent="0.3">
      <c r="A7285" s="15">
        <v>46082</v>
      </c>
      <c r="B7285" t="s">
        <v>481</v>
      </c>
      <c r="C7285" t="s">
        <v>81</v>
      </c>
      <c r="D7285" t="s">
        <v>82</v>
      </c>
      <c r="E7285" t="s">
        <v>103</v>
      </c>
      <c r="F7285">
        <v>1800</v>
      </c>
      <c r="G7285" t="s">
        <v>331</v>
      </c>
      <c r="H7285" s="15">
        <v>46023</v>
      </c>
      <c r="I7285">
        <v>1800</v>
      </c>
      <c r="J7285">
        <v>0</v>
      </c>
    </row>
    <row r="7286" spans="1:10" x14ac:dyDescent="0.3">
      <c r="A7286" s="15">
        <v>46082</v>
      </c>
      <c r="B7286" t="s">
        <v>482</v>
      </c>
      <c r="C7286" t="s">
        <v>110</v>
      </c>
      <c r="D7286" t="s">
        <v>82</v>
      </c>
      <c r="E7286" t="s">
        <v>83</v>
      </c>
      <c r="F7286">
        <v>18100</v>
      </c>
      <c r="G7286" t="s">
        <v>331</v>
      </c>
      <c r="H7286" s="15">
        <v>46023</v>
      </c>
      <c r="I7286">
        <v>18100</v>
      </c>
      <c r="J7286">
        <v>0</v>
      </c>
    </row>
    <row r="7287" spans="1:10" x14ac:dyDescent="0.3">
      <c r="A7287" s="15">
        <v>46082</v>
      </c>
      <c r="B7287" t="s">
        <v>483</v>
      </c>
      <c r="C7287" t="s">
        <v>81</v>
      </c>
      <c r="D7287" t="s">
        <v>82</v>
      </c>
      <c r="E7287" t="s">
        <v>89</v>
      </c>
      <c r="F7287">
        <v>2000</v>
      </c>
      <c r="G7287" t="s">
        <v>331</v>
      </c>
      <c r="H7287" s="15">
        <v>46023</v>
      </c>
      <c r="I7287">
        <v>2000</v>
      </c>
      <c r="J7287">
        <v>0</v>
      </c>
    </row>
    <row r="7288" spans="1:10" x14ac:dyDescent="0.3">
      <c r="A7288" s="15">
        <v>46082</v>
      </c>
      <c r="B7288" t="s">
        <v>484</v>
      </c>
      <c r="C7288" t="s">
        <v>110</v>
      </c>
      <c r="D7288" t="s">
        <v>99</v>
      </c>
      <c r="E7288" t="s">
        <v>101</v>
      </c>
      <c r="F7288">
        <v>21400</v>
      </c>
      <c r="G7288" t="s">
        <v>331</v>
      </c>
      <c r="H7288" s="15">
        <v>46054</v>
      </c>
      <c r="I7288">
        <v>21400</v>
      </c>
      <c r="J7288">
        <v>0</v>
      </c>
    </row>
    <row r="7289" spans="1:10" x14ac:dyDescent="0.3">
      <c r="A7289" s="15">
        <v>46082</v>
      </c>
      <c r="B7289" t="s">
        <v>485</v>
      </c>
      <c r="C7289" t="s">
        <v>125</v>
      </c>
      <c r="D7289" t="s">
        <v>82</v>
      </c>
      <c r="E7289" t="s">
        <v>89</v>
      </c>
      <c r="F7289">
        <v>65800</v>
      </c>
      <c r="G7289" t="s">
        <v>331</v>
      </c>
      <c r="H7289" s="15">
        <v>46054</v>
      </c>
      <c r="I7289">
        <v>65800</v>
      </c>
      <c r="J7289">
        <v>0</v>
      </c>
    </row>
    <row r="7290" spans="1:10" x14ac:dyDescent="0.3">
      <c r="A7290" s="15">
        <v>46082</v>
      </c>
      <c r="B7290" t="s">
        <v>486</v>
      </c>
      <c r="C7290" t="s">
        <v>81</v>
      </c>
      <c r="D7290" t="s">
        <v>82</v>
      </c>
      <c r="E7290" t="s">
        <v>87</v>
      </c>
      <c r="F7290">
        <v>1500</v>
      </c>
      <c r="G7290" t="s">
        <v>331</v>
      </c>
      <c r="H7290" s="15">
        <v>46054</v>
      </c>
      <c r="I7290">
        <v>1500</v>
      </c>
      <c r="J7290">
        <v>0</v>
      </c>
    </row>
    <row r="7291" spans="1:10" x14ac:dyDescent="0.3">
      <c r="A7291" s="15">
        <v>46082</v>
      </c>
      <c r="B7291" t="s">
        <v>487</v>
      </c>
      <c r="C7291" t="s">
        <v>81</v>
      </c>
      <c r="D7291" t="s">
        <v>86</v>
      </c>
      <c r="E7291" t="s">
        <v>83</v>
      </c>
      <c r="F7291">
        <v>1800</v>
      </c>
      <c r="G7291" t="s">
        <v>331</v>
      </c>
      <c r="H7291" s="15">
        <v>46054</v>
      </c>
      <c r="I7291">
        <v>1800</v>
      </c>
      <c r="J7291">
        <v>0</v>
      </c>
    </row>
    <row r="7292" spans="1:10" x14ac:dyDescent="0.3">
      <c r="A7292" s="15">
        <v>46082</v>
      </c>
      <c r="B7292" t="s">
        <v>488</v>
      </c>
      <c r="C7292" t="s">
        <v>91</v>
      </c>
      <c r="D7292" t="s">
        <v>86</v>
      </c>
      <c r="E7292" t="s">
        <v>89</v>
      </c>
      <c r="F7292">
        <v>6800</v>
      </c>
      <c r="G7292" t="s">
        <v>331</v>
      </c>
      <c r="H7292" s="15">
        <v>46054</v>
      </c>
      <c r="I7292">
        <v>6800</v>
      </c>
      <c r="J7292">
        <v>0</v>
      </c>
    </row>
    <row r="7293" spans="1:10" x14ac:dyDescent="0.3">
      <c r="A7293" s="15">
        <v>46082</v>
      </c>
      <c r="B7293" t="s">
        <v>489</v>
      </c>
      <c r="C7293" t="s">
        <v>81</v>
      </c>
      <c r="D7293" t="s">
        <v>96</v>
      </c>
      <c r="E7293" t="s">
        <v>97</v>
      </c>
      <c r="F7293">
        <v>1400</v>
      </c>
      <c r="G7293" t="s">
        <v>331</v>
      </c>
      <c r="H7293" s="15">
        <v>46054</v>
      </c>
      <c r="I7293">
        <v>1400</v>
      </c>
      <c r="J7293">
        <v>0</v>
      </c>
    </row>
    <row r="7294" spans="1:10" x14ac:dyDescent="0.3">
      <c r="A7294" s="15">
        <v>46082</v>
      </c>
      <c r="B7294" t="s">
        <v>490</v>
      </c>
      <c r="C7294" t="s">
        <v>81</v>
      </c>
      <c r="D7294" t="s">
        <v>86</v>
      </c>
      <c r="E7294" t="s">
        <v>103</v>
      </c>
      <c r="F7294">
        <v>1800</v>
      </c>
      <c r="G7294" t="s">
        <v>331</v>
      </c>
      <c r="H7294" s="15">
        <v>46054</v>
      </c>
      <c r="I7294">
        <v>1800</v>
      </c>
      <c r="J7294">
        <v>0</v>
      </c>
    </row>
    <row r="7295" spans="1:10" x14ac:dyDescent="0.3">
      <c r="A7295" s="15">
        <v>46082</v>
      </c>
      <c r="B7295" t="s">
        <v>491</v>
      </c>
      <c r="C7295" t="s">
        <v>81</v>
      </c>
      <c r="D7295" t="s">
        <v>96</v>
      </c>
      <c r="E7295" t="s">
        <v>92</v>
      </c>
      <c r="F7295">
        <v>1600</v>
      </c>
      <c r="G7295" t="s">
        <v>331</v>
      </c>
      <c r="H7295" s="15">
        <v>46054</v>
      </c>
      <c r="I7295">
        <v>1600</v>
      </c>
      <c r="J7295">
        <v>0</v>
      </c>
    </row>
    <row r="7296" spans="1:10" x14ac:dyDescent="0.3">
      <c r="A7296" s="15">
        <v>46082</v>
      </c>
      <c r="B7296" t="s">
        <v>492</v>
      </c>
      <c r="C7296" t="s">
        <v>81</v>
      </c>
      <c r="D7296" t="s">
        <v>99</v>
      </c>
      <c r="E7296" t="s">
        <v>92</v>
      </c>
      <c r="F7296">
        <v>1700</v>
      </c>
      <c r="G7296" t="s">
        <v>84</v>
      </c>
      <c r="H7296" s="15">
        <v>46082</v>
      </c>
      <c r="I7296">
        <v>0</v>
      </c>
      <c r="J7296">
        <v>1700</v>
      </c>
    </row>
    <row r="7297" spans="1:10" x14ac:dyDescent="0.3">
      <c r="A7297" s="15">
        <v>46082</v>
      </c>
      <c r="B7297" t="s">
        <v>493</v>
      </c>
      <c r="C7297" t="s">
        <v>81</v>
      </c>
      <c r="D7297" t="s">
        <v>96</v>
      </c>
      <c r="E7297" t="s">
        <v>101</v>
      </c>
      <c r="F7297">
        <v>1600</v>
      </c>
      <c r="G7297" t="s">
        <v>84</v>
      </c>
      <c r="H7297" s="15">
        <v>46082</v>
      </c>
      <c r="I7297">
        <v>0</v>
      </c>
      <c r="J7297">
        <v>1600</v>
      </c>
    </row>
    <row r="7298" spans="1:10" x14ac:dyDescent="0.3">
      <c r="A7298" s="15">
        <v>46082</v>
      </c>
      <c r="B7298" t="s">
        <v>494</v>
      </c>
      <c r="C7298" t="s">
        <v>110</v>
      </c>
      <c r="D7298" t="s">
        <v>82</v>
      </c>
      <c r="E7298" t="s">
        <v>103</v>
      </c>
      <c r="F7298">
        <v>21000</v>
      </c>
      <c r="G7298" t="s">
        <v>84</v>
      </c>
      <c r="H7298" s="15">
        <v>46082</v>
      </c>
      <c r="I7298">
        <v>0</v>
      </c>
      <c r="J7298">
        <v>21000</v>
      </c>
    </row>
    <row r="7299" spans="1:10" x14ac:dyDescent="0.3">
      <c r="A7299" s="15">
        <v>46082</v>
      </c>
      <c r="B7299" t="s">
        <v>495</v>
      </c>
      <c r="C7299" t="s">
        <v>81</v>
      </c>
      <c r="D7299" t="s">
        <v>86</v>
      </c>
      <c r="E7299" t="s">
        <v>87</v>
      </c>
      <c r="F7299">
        <v>1300</v>
      </c>
      <c r="G7299" t="s">
        <v>84</v>
      </c>
      <c r="H7299" s="15">
        <v>46082</v>
      </c>
      <c r="I7299">
        <v>0</v>
      </c>
      <c r="J7299">
        <v>1300</v>
      </c>
    </row>
    <row r="7300" spans="1:10" x14ac:dyDescent="0.3">
      <c r="A7300" s="15">
        <v>46082</v>
      </c>
      <c r="B7300" t="s">
        <v>496</v>
      </c>
      <c r="C7300" t="s">
        <v>110</v>
      </c>
      <c r="D7300" t="s">
        <v>99</v>
      </c>
      <c r="E7300" t="s">
        <v>97</v>
      </c>
      <c r="F7300">
        <v>16500</v>
      </c>
      <c r="G7300" t="s">
        <v>84</v>
      </c>
      <c r="H7300" s="15">
        <v>46082</v>
      </c>
      <c r="I7300">
        <v>0</v>
      </c>
      <c r="J7300">
        <v>16500</v>
      </c>
    </row>
    <row r="7301" spans="1:10" x14ac:dyDescent="0.3">
      <c r="A7301" s="15">
        <v>46082</v>
      </c>
      <c r="B7301" t="s">
        <v>497</v>
      </c>
      <c r="C7301" t="s">
        <v>91</v>
      </c>
      <c r="D7301" t="s">
        <v>86</v>
      </c>
      <c r="E7301" t="s">
        <v>97</v>
      </c>
      <c r="F7301">
        <v>4900</v>
      </c>
      <c r="G7301" t="s">
        <v>84</v>
      </c>
      <c r="H7301" s="15">
        <v>46082</v>
      </c>
      <c r="I7301">
        <v>0</v>
      </c>
      <c r="J7301">
        <v>4900</v>
      </c>
    </row>
    <row r="7302" spans="1:10" x14ac:dyDescent="0.3">
      <c r="A7302" s="15">
        <v>46113</v>
      </c>
      <c r="B7302" t="s">
        <v>80</v>
      </c>
      <c r="C7302" t="s">
        <v>81</v>
      </c>
      <c r="D7302" t="s">
        <v>82</v>
      </c>
      <c r="E7302" t="s">
        <v>83</v>
      </c>
      <c r="F7302">
        <v>1900</v>
      </c>
      <c r="G7302" t="s">
        <v>331</v>
      </c>
      <c r="H7302" s="15">
        <v>45292</v>
      </c>
      <c r="I7302">
        <v>1900</v>
      </c>
      <c r="J7302">
        <v>0</v>
      </c>
    </row>
    <row r="7303" spans="1:10" x14ac:dyDescent="0.3">
      <c r="A7303" s="15">
        <v>46113</v>
      </c>
      <c r="B7303" t="s">
        <v>85</v>
      </c>
      <c r="C7303" t="s">
        <v>81</v>
      </c>
      <c r="D7303" t="s">
        <v>86</v>
      </c>
      <c r="E7303" t="s">
        <v>87</v>
      </c>
      <c r="F7303">
        <v>2200</v>
      </c>
      <c r="G7303" t="s">
        <v>331</v>
      </c>
      <c r="H7303" s="15">
        <v>45292</v>
      </c>
      <c r="I7303">
        <v>2200</v>
      </c>
      <c r="J7303">
        <v>0</v>
      </c>
    </row>
    <row r="7304" spans="1:10" x14ac:dyDescent="0.3">
      <c r="A7304" s="15">
        <v>46113</v>
      </c>
      <c r="B7304" t="s">
        <v>88</v>
      </c>
      <c r="C7304" t="s">
        <v>81</v>
      </c>
      <c r="D7304" t="s">
        <v>86</v>
      </c>
      <c r="E7304" t="s">
        <v>89</v>
      </c>
      <c r="F7304">
        <v>2400</v>
      </c>
      <c r="G7304" t="s">
        <v>331</v>
      </c>
      <c r="H7304" s="15">
        <v>45292</v>
      </c>
      <c r="I7304">
        <v>2400</v>
      </c>
      <c r="J7304">
        <v>0</v>
      </c>
    </row>
    <row r="7305" spans="1:10" x14ac:dyDescent="0.3">
      <c r="A7305" s="15">
        <v>46113</v>
      </c>
      <c r="B7305" t="s">
        <v>90</v>
      </c>
      <c r="C7305" t="s">
        <v>91</v>
      </c>
      <c r="D7305" t="s">
        <v>82</v>
      </c>
      <c r="E7305" t="s">
        <v>92</v>
      </c>
      <c r="F7305">
        <v>9200</v>
      </c>
      <c r="G7305" t="s">
        <v>331</v>
      </c>
      <c r="H7305" s="15">
        <v>45292</v>
      </c>
      <c r="I7305">
        <v>9200</v>
      </c>
      <c r="J7305">
        <v>0</v>
      </c>
    </row>
    <row r="7306" spans="1:10" x14ac:dyDescent="0.3">
      <c r="A7306" s="15">
        <v>46113</v>
      </c>
      <c r="B7306" t="s">
        <v>93</v>
      </c>
      <c r="C7306" t="s">
        <v>81</v>
      </c>
      <c r="D7306" t="s">
        <v>86</v>
      </c>
      <c r="E7306" t="s">
        <v>83</v>
      </c>
      <c r="F7306">
        <v>2600</v>
      </c>
      <c r="G7306" t="s">
        <v>331</v>
      </c>
      <c r="H7306" s="15">
        <v>45292</v>
      </c>
      <c r="I7306">
        <v>2600</v>
      </c>
      <c r="J7306">
        <v>0</v>
      </c>
    </row>
    <row r="7307" spans="1:10" x14ac:dyDescent="0.3">
      <c r="A7307" s="15">
        <v>46113</v>
      </c>
      <c r="B7307" t="s">
        <v>94</v>
      </c>
      <c r="C7307" t="s">
        <v>91</v>
      </c>
      <c r="D7307" t="s">
        <v>86</v>
      </c>
      <c r="E7307" t="s">
        <v>83</v>
      </c>
      <c r="F7307">
        <v>8500</v>
      </c>
      <c r="G7307" t="s">
        <v>331</v>
      </c>
      <c r="H7307" s="15">
        <v>45292</v>
      </c>
      <c r="I7307">
        <v>8500</v>
      </c>
      <c r="J7307">
        <v>0</v>
      </c>
    </row>
    <row r="7308" spans="1:10" x14ac:dyDescent="0.3">
      <c r="A7308" s="15">
        <v>46113</v>
      </c>
      <c r="B7308" t="s">
        <v>95</v>
      </c>
      <c r="C7308" t="s">
        <v>81</v>
      </c>
      <c r="D7308" t="s">
        <v>96</v>
      </c>
      <c r="E7308" t="s">
        <v>97</v>
      </c>
      <c r="F7308">
        <v>3100</v>
      </c>
      <c r="G7308" t="s">
        <v>331</v>
      </c>
      <c r="H7308" s="15">
        <v>45292</v>
      </c>
      <c r="I7308">
        <v>3100</v>
      </c>
      <c r="J7308">
        <v>0</v>
      </c>
    </row>
    <row r="7309" spans="1:10" x14ac:dyDescent="0.3">
      <c r="A7309" s="15">
        <v>46113</v>
      </c>
      <c r="B7309" t="s">
        <v>98</v>
      </c>
      <c r="C7309" t="s">
        <v>81</v>
      </c>
      <c r="D7309" t="s">
        <v>99</v>
      </c>
      <c r="E7309" t="s">
        <v>92</v>
      </c>
      <c r="F7309">
        <v>2000</v>
      </c>
      <c r="G7309" t="s">
        <v>331</v>
      </c>
      <c r="H7309" s="15">
        <v>45292</v>
      </c>
      <c r="I7309">
        <v>2000</v>
      </c>
      <c r="J7309">
        <v>0</v>
      </c>
    </row>
    <row r="7310" spans="1:10" x14ac:dyDescent="0.3">
      <c r="A7310" s="15">
        <v>46113</v>
      </c>
      <c r="B7310" t="s">
        <v>102</v>
      </c>
      <c r="C7310" t="s">
        <v>81</v>
      </c>
      <c r="D7310" t="s">
        <v>99</v>
      </c>
      <c r="E7310" t="s">
        <v>103</v>
      </c>
      <c r="F7310">
        <v>2900</v>
      </c>
      <c r="G7310" t="s">
        <v>331</v>
      </c>
      <c r="H7310" s="15">
        <v>45292</v>
      </c>
      <c r="I7310">
        <v>2900</v>
      </c>
      <c r="J7310">
        <v>0</v>
      </c>
    </row>
    <row r="7311" spans="1:10" x14ac:dyDescent="0.3">
      <c r="A7311" s="15">
        <v>46113</v>
      </c>
      <c r="B7311" t="s">
        <v>104</v>
      </c>
      <c r="C7311" t="s">
        <v>91</v>
      </c>
      <c r="D7311" t="s">
        <v>99</v>
      </c>
      <c r="E7311" t="s">
        <v>87</v>
      </c>
      <c r="F7311">
        <v>7000</v>
      </c>
      <c r="G7311" t="s">
        <v>331</v>
      </c>
      <c r="H7311" s="15">
        <v>45292</v>
      </c>
      <c r="I7311">
        <v>7000</v>
      </c>
      <c r="J7311">
        <v>0</v>
      </c>
    </row>
    <row r="7312" spans="1:10" x14ac:dyDescent="0.3">
      <c r="A7312" s="15">
        <v>46113</v>
      </c>
      <c r="B7312" t="s">
        <v>105</v>
      </c>
      <c r="C7312" t="s">
        <v>91</v>
      </c>
      <c r="D7312" t="s">
        <v>86</v>
      </c>
      <c r="E7312" t="s">
        <v>89</v>
      </c>
      <c r="F7312">
        <v>12900</v>
      </c>
      <c r="G7312" t="s">
        <v>331</v>
      </c>
      <c r="H7312" s="15">
        <v>45292</v>
      </c>
      <c r="I7312">
        <v>12900</v>
      </c>
      <c r="J7312">
        <v>0</v>
      </c>
    </row>
    <row r="7313" spans="1:10" x14ac:dyDescent="0.3">
      <c r="A7313" s="15">
        <v>46113</v>
      </c>
      <c r="B7313" t="s">
        <v>106</v>
      </c>
      <c r="C7313" t="s">
        <v>81</v>
      </c>
      <c r="D7313" t="s">
        <v>99</v>
      </c>
      <c r="E7313" t="s">
        <v>92</v>
      </c>
      <c r="F7313">
        <v>2700</v>
      </c>
      <c r="G7313" t="s">
        <v>331</v>
      </c>
      <c r="H7313" s="15">
        <v>45292</v>
      </c>
      <c r="I7313">
        <v>2700</v>
      </c>
      <c r="J7313">
        <v>0</v>
      </c>
    </row>
    <row r="7314" spans="1:10" x14ac:dyDescent="0.3">
      <c r="A7314" s="15">
        <v>46113</v>
      </c>
      <c r="B7314" t="s">
        <v>109</v>
      </c>
      <c r="C7314" t="s">
        <v>110</v>
      </c>
      <c r="D7314" t="s">
        <v>82</v>
      </c>
      <c r="E7314" t="s">
        <v>103</v>
      </c>
      <c r="F7314">
        <v>37500</v>
      </c>
      <c r="G7314" t="s">
        <v>331</v>
      </c>
      <c r="H7314" s="15">
        <v>45292</v>
      </c>
      <c r="I7314">
        <v>37500</v>
      </c>
      <c r="J7314">
        <v>0</v>
      </c>
    </row>
    <row r="7315" spans="1:10" x14ac:dyDescent="0.3">
      <c r="A7315" s="15">
        <v>46113</v>
      </c>
      <c r="B7315" t="s">
        <v>111</v>
      </c>
      <c r="C7315" t="s">
        <v>91</v>
      </c>
      <c r="D7315" t="s">
        <v>82</v>
      </c>
      <c r="E7315" t="s">
        <v>83</v>
      </c>
      <c r="F7315">
        <v>8800</v>
      </c>
      <c r="G7315" t="s">
        <v>331</v>
      </c>
      <c r="H7315" s="15">
        <v>45292</v>
      </c>
      <c r="I7315">
        <v>8800</v>
      </c>
      <c r="J7315">
        <v>0</v>
      </c>
    </row>
    <row r="7316" spans="1:10" x14ac:dyDescent="0.3">
      <c r="A7316" s="15">
        <v>46113</v>
      </c>
      <c r="B7316" t="s">
        <v>112</v>
      </c>
      <c r="C7316" t="s">
        <v>91</v>
      </c>
      <c r="D7316" t="s">
        <v>82</v>
      </c>
      <c r="E7316" t="s">
        <v>92</v>
      </c>
      <c r="F7316">
        <v>8600</v>
      </c>
      <c r="G7316" t="s">
        <v>331</v>
      </c>
      <c r="H7316" s="15">
        <v>45292</v>
      </c>
      <c r="I7316">
        <v>8600</v>
      </c>
      <c r="J7316">
        <v>0</v>
      </c>
    </row>
    <row r="7317" spans="1:10" x14ac:dyDescent="0.3">
      <c r="A7317" s="15">
        <v>46113</v>
      </c>
      <c r="B7317" t="s">
        <v>113</v>
      </c>
      <c r="C7317" t="s">
        <v>81</v>
      </c>
      <c r="D7317" t="s">
        <v>96</v>
      </c>
      <c r="E7317" t="s">
        <v>89</v>
      </c>
      <c r="F7317">
        <v>2400</v>
      </c>
      <c r="G7317" t="s">
        <v>332</v>
      </c>
      <c r="H7317" s="15">
        <v>45292</v>
      </c>
      <c r="I7317">
        <v>2300</v>
      </c>
      <c r="J7317">
        <v>100</v>
      </c>
    </row>
    <row r="7318" spans="1:10" x14ac:dyDescent="0.3">
      <c r="A7318" s="15">
        <v>46113</v>
      </c>
      <c r="B7318" t="s">
        <v>114</v>
      </c>
      <c r="C7318" t="s">
        <v>110</v>
      </c>
      <c r="D7318" t="s">
        <v>99</v>
      </c>
      <c r="E7318" t="s">
        <v>97</v>
      </c>
      <c r="F7318">
        <v>39000</v>
      </c>
      <c r="G7318" t="s">
        <v>334</v>
      </c>
      <c r="H7318" s="15">
        <v>45292</v>
      </c>
      <c r="I7318">
        <v>46200</v>
      </c>
      <c r="J7318">
        <v>-7200</v>
      </c>
    </row>
    <row r="7319" spans="1:10" x14ac:dyDescent="0.3">
      <c r="A7319" s="15">
        <v>46113</v>
      </c>
      <c r="B7319" t="s">
        <v>115</v>
      </c>
      <c r="C7319" t="s">
        <v>81</v>
      </c>
      <c r="D7319" t="s">
        <v>82</v>
      </c>
      <c r="E7319" t="s">
        <v>101</v>
      </c>
      <c r="F7319">
        <v>2600</v>
      </c>
      <c r="G7319" t="s">
        <v>331</v>
      </c>
      <c r="H7319" s="15">
        <v>45292</v>
      </c>
      <c r="I7319">
        <v>2600</v>
      </c>
      <c r="J7319">
        <v>0</v>
      </c>
    </row>
    <row r="7320" spans="1:10" x14ac:dyDescent="0.3">
      <c r="A7320" s="15">
        <v>46113</v>
      </c>
      <c r="B7320" t="s">
        <v>116</v>
      </c>
      <c r="C7320" t="s">
        <v>81</v>
      </c>
      <c r="D7320" t="s">
        <v>86</v>
      </c>
      <c r="E7320" t="s">
        <v>87</v>
      </c>
      <c r="F7320">
        <v>2900</v>
      </c>
      <c r="G7320" t="s">
        <v>331</v>
      </c>
      <c r="H7320" s="15">
        <v>45292</v>
      </c>
      <c r="I7320">
        <v>2900</v>
      </c>
      <c r="J7320">
        <v>0</v>
      </c>
    </row>
    <row r="7321" spans="1:10" x14ac:dyDescent="0.3">
      <c r="A7321" s="15">
        <v>46113</v>
      </c>
      <c r="B7321" t="s">
        <v>117</v>
      </c>
      <c r="C7321" t="s">
        <v>81</v>
      </c>
      <c r="D7321" t="s">
        <v>86</v>
      </c>
      <c r="E7321" t="s">
        <v>103</v>
      </c>
      <c r="F7321">
        <v>2500</v>
      </c>
      <c r="G7321" t="s">
        <v>331</v>
      </c>
      <c r="H7321" s="15">
        <v>45292</v>
      </c>
      <c r="I7321">
        <v>2500</v>
      </c>
      <c r="J7321">
        <v>0</v>
      </c>
    </row>
    <row r="7322" spans="1:10" x14ac:dyDescent="0.3">
      <c r="A7322" s="15">
        <v>46113</v>
      </c>
      <c r="B7322" t="s">
        <v>120</v>
      </c>
      <c r="C7322" t="s">
        <v>81</v>
      </c>
      <c r="D7322" t="s">
        <v>86</v>
      </c>
      <c r="E7322" t="s">
        <v>101</v>
      </c>
      <c r="F7322">
        <v>2200</v>
      </c>
      <c r="G7322" t="s">
        <v>331</v>
      </c>
      <c r="H7322" s="15">
        <v>45292</v>
      </c>
      <c r="I7322">
        <v>2200</v>
      </c>
      <c r="J7322">
        <v>0</v>
      </c>
    </row>
    <row r="7323" spans="1:10" x14ac:dyDescent="0.3">
      <c r="A7323" s="15">
        <v>46113</v>
      </c>
      <c r="B7323" t="s">
        <v>123</v>
      </c>
      <c r="C7323" t="s">
        <v>81</v>
      </c>
      <c r="D7323" t="s">
        <v>82</v>
      </c>
      <c r="E7323" t="s">
        <v>92</v>
      </c>
      <c r="F7323">
        <v>1900</v>
      </c>
      <c r="G7323" t="s">
        <v>331</v>
      </c>
      <c r="H7323" s="15">
        <v>45292</v>
      </c>
      <c r="I7323">
        <v>1900</v>
      </c>
      <c r="J7323">
        <v>0</v>
      </c>
    </row>
    <row r="7324" spans="1:10" x14ac:dyDescent="0.3">
      <c r="A7324" s="15">
        <v>46113</v>
      </c>
      <c r="B7324" t="s">
        <v>124</v>
      </c>
      <c r="C7324" t="s">
        <v>125</v>
      </c>
      <c r="D7324" t="s">
        <v>82</v>
      </c>
      <c r="E7324" t="s">
        <v>97</v>
      </c>
      <c r="F7324">
        <v>67900</v>
      </c>
      <c r="G7324" t="s">
        <v>331</v>
      </c>
      <c r="H7324" s="15">
        <v>45292</v>
      </c>
      <c r="I7324">
        <v>67900</v>
      </c>
      <c r="J7324">
        <v>0</v>
      </c>
    </row>
    <row r="7325" spans="1:10" x14ac:dyDescent="0.3">
      <c r="A7325" s="15">
        <v>46113</v>
      </c>
      <c r="B7325" t="s">
        <v>126</v>
      </c>
      <c r="C7325" t="s">
        <v>91</v>
      </c>
      <c r="D7325" t="s">
        <v>82</v>
      </c>
      <c r="E7325" t="s">
        <v>83</v>
      </c>
      <c r="F7325">
        <v>8800</v>
      </c>
      <c r="G7325" t="s">
        <v>331</v>
      </c>
      <c r="H7325" s="15">
        <v>45292</v>
      </c>
      <c r="I7325">
        <v>8800</v>
      </c>
      <c r="J7325">
        <v>0</v>
      </c>
    </row>
    <row r="7326" spans="1:10" x14ac:dyDescent="0.3">
      <c r="A7326" s="15">
        <v>46113</v>
      </c>
      <c r="B7326" t="s">
        <v>127</v>
      </c>
      <c r="C7326" t="s">
        <v>81</v>
      </c>
      <c r="D7326" t="s">
        <v>82</v>
      </c>
      <c r="E7326" t="s">
        <v>101</v>
      </c>
      <c r="F7326">
        <v>2400</v>
      </c>
      <c r="G7326" t="s">
        <v>331</v>
      </c>
      <c r="H7326" s="15">
        <v>45292</v>
      </c>
      <c r="I7326">
        <v>2400</v>
      </c>
      <c r="J7326">
        <v>0</v>
      </c>
    </row>
    <row r="7327" spans="1:10" x14ac:dyDescent="0.3">
      <c r="A7327" s="15">
        <v>46113</v>
      </c>
      <c r="B7327" t="s">
        <v>128</v>
      </c>
      <c r="C7327" t="s">
        <v>81</v>
      </c>
      <c r="D7327" t="s">
        <v>82</v>
      </c>
      <c r="E7327" t="s">
        <v>92</v>
      </c>
      <c r="F7327">
        <v>1700</v>
      </c>
      <c r="G7327" t="s">
        <v>331</v>
      </c>
      <c r="H7327" s="15">
        <v>45292</v>
      </c>
      <c r="I7327">
        <v>1700</v>
      </c>
      <c r="J7327">
        <v>0</v>
      </c>
    </row>
    <row r="7328" spans="1:10" x14ac:dyDescent="0.3">
      <c r="A7328" s="15">
        <v>46113</v>
      </c>
      <c r="B7328" t="s">
        <v>129</v>
      </c>
      <c r="C7328" t="s">
        <v>110</v>
      </c>
      <c r="D7328" t="s">
        <v>86</v>
      </c>
      <c r="E7328" t="s">
        <v>92</v>
      </c>
      <c r="F7328">
        <v>40500</v>
      </c>
      <c r="G7328" t="s">
        <v>332</v>
      </c>
      <c r="H7328" s="15">
        <v>45292</v>
      </c>
      <c r="I7328">
        <v>36900</v>
      </c>
      <c r="J7328">
        <v>3600</v>
      </c>
    </row>
    <row r="7329" spans="1:10" x14ac:dyDescent="0.3">
      <c r="A7329" s="15">
        <v>46113</v>
      </c>
      <c r="B7329" t="s">
        <v>133</v>
      </c>
      <c r="C7329" t="s">
        <v>81</v>
      </c>
      <c r="D7329" t="s">
        <v>96</v>
      </c>
      <c r="E7329" t="s">
        <v>87</v>
      </c>
      <c r="F7329">
        <v>2700</v>
      </c>
      <c r="G7329" t="s">
        <v>331</v>
      </c>
      <c r="H7329" s="15">
        <v>45292</v>
      </c>
      <c r="I7329">
        <v>2700</v>
      </c>
      <c r="J7329">
        <v>0</v>
      </c>
    </row>
    <row r="7330" spans="1:10" x14ac:dyDescent="0.3">
      <c r="A7330" s="15">
        <v>46113</v>
      </c>
      <c r="B7330" t="s">
        <v>134</v>
      </c>
      <c r="C7330" t="s">
        <v>81</v>
      </c>
      <c r="D7330" t="s">
        <v>82</v>
      </c>
      <c r="E7330" t="s">
        <v>92</v>
      </c>
      <c r="F7330">
        <v>2400</v>
      </c>
      <c r="G7330" t="s">
        <v>331</v>
      </c>
      <c r="H7330" s="15">
        <v>45292</v>
      </c>
      <c r="I7330">
        <v>2400</v>
      </c>
      <c r="J7330">
        <v>0</v>
      </c>
    </row>
    <row r="7331" spans="1:10" x14ac:dyDescent="0.3">
      <c r="A7331" s="15">
        <v>46113</v>
      </c>
      <c r="B7331" t="s">
        <v>135</v>
      </c>
      <c r="C7331" t="s">
        <v>81</v>
      </c>
      <c r="D7331" t="s">
        <v>82</v>
      </c>
      <c r="E7331" t="s">
        <v>103</v>
      </c>
      <c r="F7331">
        <v>2400</v>
      </c>
      <c r="G7331" t="s">
        <v>331</v>
      </c>
      <c r="H7331" s="15">
        <v>45292</v>
      </c>
      <c r="I7331">
        <v>2400</v>
      </c>
      <c r="J7331">
        <v>0</v>
      </c>
    </row>
    <row r="7332" spans="1:10" x14ac:dyDescent="0.3">
      <c r="A7332" s="15">
        <v>46113</v>
      </c>
      <c r="B7332" t="s">
        <v>136</v>
      </c>
      <c r="C7332" t="s">
        <v>81</v>
      </c>
      <c r="D7332" t="s">
        <v>82</v>
      </c>
      <c r="E7332" t="s">
        <v>101</v>
      </c>
      <c r="F7332">
        <v>2900</v>
      </c>
      <c r="G7332" t="s">
        <v>331</v>
      </c>
      <c r="H7332" s="15">
        <v>45292</v>
      </c>
      <c r="I7332">
        <v>2900</v>
      </c>
      <c r="J7332">
        <v>0</v>
      </c>
    </row>
    <row r="7333" spans="1:10" x14ac:dyDescent="0.3">
      <c r="A7333" s="15">
        <v>46113</v>
      </c>
      <c r="B7333" t="s">
        <v>138</v>
      </c>
      <c r="C7333" t="s">
        <v>81</v>
      </c>
      <c r="D7333" t="s">
        <v>86</v>
      </c>
      <c r="E7333" t="s">
        <v>97</v>
      </c>
      <c r="F7333">
        <v>3300</v>
      </c>
      <c r="G7333" t="s">
        <v>331</v>
      </c>
      <c r="H7333" s="15">
        <v>45292</v>
      </c>
      <c r="I7333">
        <v>3300</v>
      </c>
      <c r="J7333">
        <v>0</v>
      </c>
    </row>
    <row r="7334" spans="1:10" x14ac:dyDescent="0.3">
      <c r="A7334" s="15">
        <v>46113</v>
      </c>
      <c r="B7334" t="s">
        <v>139</v>
      </c>
      <c r="C7334" t="s">
        <v>91</v>
      </c>
      <c r="D7334" t="s">
        <v>82</v>
      </c>
      <c r="E7334" t="s">
        <v>103</v>
      </c>
      <c r="F7334">
        <v>6800</v>
      </c>
      <c r="G7334" t="s">
        <v>331</v>
      </c>
      <c r="H7334" s="15">
        <v>45292</v>
      </c>
      <c r="I7334">
        <v>6800</v>
      </c>
      <c r="J7334">
        <v>0</v>
      </c>
    </row>
    <row r="7335" spans="1:10" x14ac:dyDescent="0.3">
      <c r="A7335" s="15">
        <v>46113</v>
      </c>
      <c r="B7335" t="s">
        <v>141</v>
      </c>
      <c r="C7335" t="s">
        <v>125</v>
      </c>
      <c r="D7335" t="s">
        <v>99</v>
      </c>
      <c r="E7335" t="s">
        <v>103</v>
      </c>
      <c r="F7335">
        <v>127400</v>
      </c>
      <c r="G7335" t="s">
        <v>331</v>
      </c>
      <c r="H7335" s="15">
        <v>45292</v>
      </c>
      <c r="I7335">
        <v>127400</v>
      </c>
      <c r="J7335">
        <v>0</v>
      </c>
    </row>
    <row r="7336" spans="1:10" x14ac:dyDescent="0.3">
      <c r="A7336" s="15">
        <v>46113</v>
      </c>
      <c r="B7336" t="s">
        <v>142</v>
      </c>
      <c r="C7336" t="s">
        <v>125</v>
      </c>
      <c r="D7336" t="s">
        <v>82</v>
      </c>
      <c r="E7336" t="s">
        <v>92</v>
      </c>
      <c r="F7336">
        <v>103800</v>
      </c>
      <c r="G7336" t="s">
        <v>331</v>
      </c>
      <c r="H7336" s="15">
        <v>45292</v>
      </c>
      <c r="I7336">
        <v>103800</v>
      </c>
      <c r="J7336">
        <v>0</v>
      </c>
    </row>
    <row r="7337" spans="1:10" x14ac:dyDescent="0.3">
      <c r="A7337" s="15">
        <v>46113</v>
      </c>
      <c r="B7337" t="s">
        <v>143</v>
      </c>
      <c r="C7337" t="s">
        <v>91</v>
      </c>
      <c r="D7337" t="s">
        <v>99</v>
      </c>
      <c r="E7337" t="s">
        <v>103</v>
      </c>
      <c r="F7337">
        <v>8000</v>
      </c>
      <c r="G7337" t="s">
        <v>331</v>
      </c>
      <c r="H7337" s="15">
        <v>45292</v>
      </c>
      <c r="I7337">
        <v>8000</v>
      </c>
      <c r="J7337">
        <v>0</v>
      </c>
    </row>
    <row r="7338" spans="1:10" x14ac:dyDescent="0.3">
      <c r="A7338" s="15">
        <v>46113</v>
      </c>
      <c r="B7338" t="s">
        <v>144</v>
      </c>
      <c r="C7338" t="s">
        <v>81</v>
      </c>
      <c r="D7338" t="s">
        <v>82</v>
      </c>
      <c r="E7338" t="s">
        <v>92</v>
      </c>
      <c r="F7338">
        <v>2700</v>
      </c>
      <c r="G7338" t="s">
        <v>332</v>
      </c>
      <c r="H7338" s="15">
        <v>45292</v>
      </c>
      <c r="I7338">
        <v>2400</v>
      </c>
      <c r="J7338">
        <v>300</v>
      </c>
    </row>
    <row r="7339" spans="1:10" x14ac:dyDescent="0.3">
      <c r="A7339" s="15">
        <v>46113</v>
      </c>
      <c r="B7339" t="s">
        <v>145</v>
      </c>
      <c r="C7339" t="s">
        <v>91</v>
      </c>
      <c r="D7339" t="s">
        <v>82</v>
      </c>
      <c r="E7339" t="s">
        <v>87</v>
      </c>
      <c r="F7339">
        <v>8200</v>
      </c>
      <c r="G7339" t="s">
        <v>331</v>
      </c>
      <c r="H7339" s="15">
        <v>45292</v>
      </c>
      <c r="I7339">
        <v>8200</v>
      </c>
      <c r="J7339">
        <v>0</v>
      </c>
    </row>
    <row r="7340" spans="1:10" x14ac:dyDescent="0.3">
      <c r="A7340" s="15">
        <v>46113</v>
      </c>
      <c r="B7340" t="s">
        <v>146</v>
      </c>
      <c r="C7340" t="s">
        <v>91</v>
      </c>
      <c r="D7340" t="s">
        <v>86</v>
      </c>
      <c r="E7340" t="s">
        <v>87</v>
      </c>
      <c r="F7340">
        <v>10100</v>
      </c>
      <c r="G7340" t="s">
        <v>331</v>
      </c>
      <c r="H7340" s="15">
        <v>45292</v>
      </c>
      <c r="I7340">
        <v>10100</v>
      </c>
      <c r="J7340">
        <v>0</v>
      </c>
    </row>
    <row r="7341" spans="1:10" x14ac:dyDescent="0.3">
      <c r="A7341" s="15">
        <v>46113</v>
      </c>
      <c r="B7341" t="s">
        <v>149</v>
      </c>
      <c r="C7341" t="s">
        <v>110</v>
      </c>
      <c r="D7341" t="s">
        <v>82</v>
      </c>
      <c r="E7341" t="s">
        <v>103</v>
      </c>
      <c r="F7341">
        <v>25500</v>
      </c>
      <c r="G7341" t="s">
        <v>331</v>
      </c>
      <c r="H7341" s="15">
        <v>45292</v>
      </c>
      <c r="I7341">
        <v>25500</v>
      </c>
      <c r="J7341">
        <v>0</v>
      </c>
    </row>
    <row r="7342" spans="1:10" x14ac:dyDescent="0.3">
      <c r="A7342" s="15">
        <v>46113</v>
      </c>
      <c r="B7342" t="s">
        <v>151</v>
      </c>
      <c r="C7342" t="s">
        <v>91</v>
      </c>
      <c r="D7342" t="s">
        <v>82</v>
      </c>
      <c r="E7342" t="s">
        <v>97</v>
      </c>
      <c r="F7342">
        <v>5600</v>
      </c>
      <c r="G7342" t="s">
        <v>331</v>
      </c>
      <c r="H7342" s="15">
        <v>45292</v>
      </c>
      <c r="I7342">
        <v>5600</v>
      </c>
      <c r="J7342">
        <v>0</v>
      </c>
    </row>
    <row r="7343" spans="1:10" x14ac:dyDescent="0.3">
      <c r="A7343" s="15">
        <v>46113</v>
      </c>
      <c r="B7343" t="s">
        <v>154</v>
      </c>
      <c r="C7343" t="s">
        <v>91</v>
      </c>
      <c r="D7343" t="s">
        <v>86</v>
      </c>
      <c r="E7343" t="s">
        <v>103</v>
      </c>
      <c r="F7343">
        <v>9700</v>
      </c>
      <c r="G7343" t="s">
        <v>331</v>
      </c>
      <c r="H7343" s="15">
        <v>45292</v>
      </c>
      <c r="I7343">
        <v>9700</v>
      </c>
      <c r="J7343">
        <v>0</v>
      </c>
    </row>
    <row r="7344" spans="1:10" x14ac:dyDescent="0.3">
      <c r="A7344" s="15">
        <v>46113</v>
      </c>
      <c r="B7344" t="s">
        <v>155</v>
      </c>
      <c r="C7344" t="s">
        <v>91</v>
      </c>
      <c r="D7344" t="s">
        <v>82</v>
      </c>
      <c r="E7344" t="s">
        <v>92</v>
      </c>
      <c r="F7344">
        <v>7300</v>
      </c>
      <c r="G7344" t="s">
        <v>332</v>
      </c>
      <c r="H7344" s="15">
        <v>45292</v>
      </c>
      <c r="I7344">
        <v>6600</v>
      </c>
      <c r="J7344">
        <v>700</v>
      </c>
    </row>
    <row r="7345" spans="1:10" x14ac:dyDescent="0.3">
      <c r="A7345" s="15">
        <v>46113</v>
      </c>
      <c r="B7345" t="s">
        <v>156</v>
      </c>
      <c r="C7345" t="s">
        <v>81</v>
      </c>
      <c r="D7345" t="s">
        <v>86</v>
      </c>
      <c r="E7345" t="s">
        <v>101</v>
      </c>
      <c r="F7345">
        <v>2300</v>
      </c>
      <c r="G7345" t="s">
        <v>331</v>
      </c>
      <c r="H7345" s="15">
        <v>45292</v>
      </c>
      <c r="I7345">
        <v>2300</v>
      </c>
      <c r="J7345">
        <v>0</v>
      </c>
    </row>
    <row r="7346" spans="1:10" x14ac:dyDescent="0.3">
      <c r="A7346" s="15">
        <v>46113</v>
      </c>
      <c r="B7346" t="s">
        <v>157</v>
      </c>
      <c r="C7346" t="s">
        <v>81</v>
      </c>
      <c r="D7346" t="s">
        <v>82</v>
      </c>
      <c r="E7346" t="s">
        <v>92</v>
      </c>
      <c r="F7346">
        <v>1800</v>
      </c>
      <c r="G7346" t="s">
        <v>331</v>
      </c>
      <c r="H7346" s="15">
        <v>45292</v>
      </c>
      <c r="I7346">
        <v>1800</v>
      </c>
      <c r="J7346">
        <v>0</v>
      </c>
    </row>
    <row r="7347" spans="1:10" x14ac:dyDescent="0.3">
      <c r="A7347" s="15">
        <v>46113</v>
      </c>
      <c r="B7347" t="s">
        <v>158</v>
      </c>
      <c r="C7347" t="s">
        <v>91</v>
      </c>
      <c r="D7347" t="s">
        <v>96</v>
      </c>
      <c r="E7347" t="s">
        <v>83</v>
      </c>
      <c r="F7347">
        <v>12600</v>
      </c>
      <c r="G7347" t="s">
        <v>331</v>
      </c>
      <c r="H7347" s="15">
        <v>45292</v>
      </c>
      <c r="I7347">
        <v>12600</v>
      </c>
      <c r="J7347">
        <v>0</v>
      </c>
    </row>
    <row r="7348" spans="1:10" x14ac:dyDescent="0.3">
      <c r="A7348" s="15">
        <v>46113</v>
      </c>
      <c r="B7348" t="s">
        <v>159</v>
      </c>
      <c r="C7348" t="s">
        <v>81</v>
      </c>
      <c r="D7348" t="s">
        <v>86</v>
      </c>
      <c r="E7348" t="s">
        <v>87</v>
      </c>
      <c r="F7348">
        <v>2400</v>
      </c>
      <c r="G7348" t="s">
        <v>331</v>
      </c>
      <c r="H7348" s="15">
        <v>45292</v>
      </c>
      <c r="I7348">
        <v>2400</v>
      </c>
      <c r="J7348">
        <v>0</v>
      </c>
    </row>
    <row r="7349" spans="1:10" x14ac:dyDescent="0.3">
      <c r="A7349" s="15">
        <v>46113</v>
      </c>
      <c r="B7349" t="s">
        <v>161</v>
      </c>
      <c r="C7349" t="s">
        <v>91</v>
      </c>
      <c r="D7349" t="s">
        <v>99</v>
      </c>
      <c r="E7349" t="s">
        <v>83</v>
      </c>
      <c r="F7349">
        <v>11700</v>
      </c>
      <c r="G7349" t="s">
        <v>331</v>
      </c>
      <c r="H7349" s="15">
        <v>45292</v>
      </c>
      <c r="I7349">
        <v>11700</v>
      </c>
      <c r="J7349">
        <v>0</v>
      </c>
    </row>
    <row r="7350" spans="1:10" x14ac:dyDescent="0.3">
      <c r="A7350" s="15">
        <v>46113</v>
      </c>
      <c r="B7350" t="s">
        <v>164</v>
      </c>
      <c r="C7350" t="s">
        <v>81</v>
      </c>
      <c r="D7350" t="s">
        <v>99</v>
      </c>
      <c r="E7350" t="s">
        <v>89</v>
      </c>
      <c r="F7350">
        <v>2800</v>
      </c>
      <c r="G7350" t="s">
        <v>331</v>
      </c>
      <c r="H7350" s="15">
        <v>45292</v>
      </c>
      <c r="I7350">
        <v>2800</v>
      </c>
      <c r="J7350">
        <v>0</v>
      </c>
    </row>
    <row r="7351" spans="1:10" x14ac:dyDescent="0.3">
      <c r="A7351" s="15">
        <v>46113</v>
      </c>
      <c r="B7351" t="s">
        <v>166</v>
      </c>
      <c r="C7351" t="s">
        <v>81</v>
      </c>
      <c r="D7351" t="s">
        <v>99</v>
      </c>
      <c r="E7351" t="s">
        <v>103</v>
      </c>
      <c r="F7351">
        <v>2600</v>
      </c>
      <c r="G7351" t="s">
        <v>331</v>
      </c>
      <c r="H7351" s="15">
        <v>45292</v>
      </c>
      <c r="I7351">
        <v>2600</v>
      </c>
      <c r="J7351">
        <v>0</v>
      </c>
    </row>
    <row r="7352" spans="1:10" x14ac:dyDescent="0.3">
      <c r="A7352" s="15">
        <v>46113</v>
      </c>
      <c r="B7352" t="s">
        <v>167</v>
      </c>
      <c r="C7352" t="s">
        <v>81</v>
      </c>
      <c r="D7352" t="s">
        <v>82</v>
      </c>
      <c r="E7352" t="s">
        <v>97</v>
      </c>
      <c r="F7352">
        <v>2000</v>
      </c>
      <c r="G7352" t="s">
        <v>331</v>
      </c>
      <c r="H7352" s="15">
        <v>45292</v>
      </c>
      <c r="I7352">
        <v>2000</v>
      </c>
      <c r="J7352">
        <v>0</v>
      </c>
    </row>
    <row r="7353" spans="1:10" x14ac:dyDescent="0.3">
      <c r="A7353" s="15">
        <v>46113</v>
      </c>
      <c r="B7353" t="s">
        <v>168</v>
      </c>
      <c r="C7353" t="s">
        <v>91</v>
      </c>
      <c r="D7353" t="s">
        <v>86</v>
      </c>
      <c r="E7353" t="s">
        <v>103</v>
      </c>
      <c r="F7353">
        <v>12200</v>
      </c>
      <c r="G7353" t="s">
        <v>331</v>
      </c>
      <c r="H7353" s="15">
        <v>45292</v>
      </c>
      <c r="I7353">
        <v>12200</v>
      </c>
      <c r="J7353">
        <v>0</v>
      </c>
    </row>
    <row r="7354" spans="1:10" x14ac:dyDescent="0.3">
      <c r="A7354" s="15">
        <v>46113</v>
      </c>
      <c r="B7354" t="s">
        <v>170</v>
      </c>
      <c r="C7354" t="s">
        <v>91</v>
      </c>
      <c r="D7354" t="s">
        <v>99</v>
      </c>
      <c r="E7354" t="s">
        <v>83</v>
      </c>
      <c r="F7354">
        <v>6500</v>
      </c>
      <c r="G7354" t="s">
        <v>331</v>
      </c>
      <c r="H7354" s="15">
        <v>45292</v>
      </c>
      <c r="I7354">
        <v>6500</v>
      </c>
      <c r="J7354">
        <v>0</v>
      </c>
    </row>
    <row r="7355" spans="1:10" x14ac:dyDescent="0.3">
      <c r="A7355" s="15">
        <v>46113</v>
      </c>
      <c r="B7355" t="s">
        <v>171</v>
      </c>
      <c r="C7355" t="s">
        <v>81</v>
      </c>
      <c r="D7355" t="s">
        <v>99</v>
      </c>
      <c r="E7355" t="s">
        <v>97</v>
      </c>
      <c r="F7355">
        <v>1700</v>
      </c>
      <c r="G7355" t="s">
        <v>331</v>
      </c>
      <c r="H7355" s="15">
        <v>45292</v>
      </c>
      <c r="I7355">
        <v>1700</v>
      </c>
      <c r="J7355">
        <v>0</v>
      </c>
    </row>
    <row r="7356" spans="1:10" x14ac:dyDescent="0.3">
      <c r="A7356" s="15">
        <v>46113</v>
      </c>
      <c r="B7356" t="s">
        <v>174</v>
      </c>
      <c r="C7356" t="s">
        <v>81</v>
      </c>
      <c r="D7356" t="s">
        <v>82</v>
      </c>
      <c r="E7356" t="s">
        <v>92</v>
      </c>
      <c r="F7356">
        <v>2400</v>
      </c>
      <c r="G7356" t="s">
        <v>331</v>
      </c>
      <c r="H7356" s="15">
        <v>45292</v>
      </c>
      <c r="I7356">
        <v>2400</v>
      </c>
      <c r="J7356">
        <v>0</v>
      </c>
    </row>
    <row r="7357" spans="1:10" x14ac:dyDescent="0.3">
      <c r="A7357" s="15">
        <v>46113</v>
      </c>
      <c r="B7357" t="s">
        <v>175</v>
      </c>
      <c r="C7357" t="s">
        <v>91</v>
      </c>
      <c r="D7357" t="s">
        <v>96</v>
      </c>
      <c r="E7357" t="s">
        <v>83</v>
      </c>
      <c r="F7357">
        <v>8800</v>
      </c>
      <c r="G7357" t="s">
        <v>331</v>
      </c>
      <c r="H7357" s="15">
        <v>45292</v>
      </c>
      <c r="I7357">
        <v>8800</v>
      </c>
      <c r="J7357">
        <v>0</v>
      </c>
    </row>
    <row r="7358" spans="1:10" x14ac:dyDescent="0.3">
      <c r="A7358" s="15">
        <v>46113</v>
      </c>
      <c r="B7358" t="s">
        <v>176</v>
      </c>
      <c r="C7358" t="s">
        <v>81</v>
      </c>
      <c r="D7358" t="s">
        <v>99</v>
      </c>
      <c r="E7358" t="s">
        <v>92</v>
      </c>
      <c r="F7358">
        <v>2900</v>
      </c>
      <c r="G7358" t="s">
        <v>331</v>
      </c>
      <c r="H7358" s="15">
        <v>45292</v>
      </c>
      <c r="I7358">
        <v>2900</v>
      </c>
      <c r="J7358">
        <v>0</v>
      </c>
    </row>
    <row r="7359" spans="1:10" x14ac:dyDescent="0.3">
      <c r="A7359" s="15">
        <v>46113</v>
      </c>
      <c r="B7359" t="s">
        <v>177</v>
      </c>
      <c r="C7359" t="s">
        <v>81</v>
      </c>
      <c r="D7359" t="s">
        <v>96</v>
      </c>
      <c r="E7359" t="s">
        <v>83</v>
      </c>
      <c r="F7359">
        <v>2900</v>
      </c>
      <c r="G7359" t="s">
        <v>331</v>
      </c>
      <c r="H7359" s="15">
        <v>45292</v>
      </c>
      <c r="I7359">
        <v>2900</v>
      </c>
      <c r="J7359">
        <v>0</v>
      </c>
    </row>
    <row r="7360" spans="1:10" x14ac:dyDescent="0.3">
      <c r="A7360" s="15">
        <v>46113</v>
      </c>
      <c r="B7360" t="s">
        <v>178</v>
      </c>
      <c r="C7360" t="s">
        <v>91</v>
      </c>
      <c r="D7360" t="s">
        <v>82</v>
      </c>
      <c r="E7360" t="s">
        <v>89</v>
      </c>
      <c r="F7360">
        <v>8400</v>
      </c>
      <c r="G7360" t="s">
        <v>331</v>
      </c>
      <c r="H7360" s="15">
        <v>45292</v>
      </c>
      <c r="I7360">
        <v>8400</v>
      </c>
      <c r="J7360">
        <v>0</v>
      </c>
    </row>
    <row r="7361" spans="1:10" x14ac:dyDescent="0.3">
      <c r="A7361" s="15">
        <v>46113</v>
      </c>
      <c r="B7361" t="s">
        <v>179</v>
      </c>
      <c r="C7361" t="s">
        <v>110</v>
      </c>
      <c r="D7361" t="s">
        <v>86</v>
      </c>
      <c r="E7361" t="s">
        <v>87</v>
      </c>
      <c r="F7361">
        <v>30000</v>
      </c>
      <c r="G7361" t="s">
        <v>331</v>
      </c>
      <c r="H7361" s="15">
        <v>45292</v>
      </c>
      <c r="I7361">
        <v>30000</v>
      </c>
      <c r="J7361">
        <v>0</v>
      </c>
    </row>
    <row r="7362" spans="1:10" x14ac:dyDescent="0.3">
      <c r="A7362" s="15">
        <v>46113</v>
      </c>
      <c r="B7362" t="s">
        <v>180</v>
      </c>
      <c r="C7362" t="s">
        <v>91</v>
      </c>
      <c r="D7362" t="s">
        <v>86</v>
      </c>
      <c r="E7362" t="s">
        <v>83</v>
      </c>
      <c r="F7362">
        <v>8500</v>
      </c>
      <c r="G7362" t="s">
        <v>331</v>
      </c>
      <c r="H7362" s="15">
        <v>45292</v>
      </c>
      <c r="I7362">
        <v>8500</v>
      </c>
      <c r="J7362">
        <v>0</v>
      </c>
    </row>
    <row r="7363" spans="1:10" x14ac:dyDescent="0.3">
      <c r="A7363" s="15">
        <v>46113</v>
      </c>
      <c r="B7363" t="s">
        <v>181</v>
      </c>
      <c r="C7363" t="s">
        <v>91</v>
      </c>
      <c r="D7363" t="s">
        <v>82</v>
      </c>
      <c r="E7363" t="s">
        <v>97</v>
      </c>
      <c r="F7363">
        <v>10100</v>
      </c>
      <c r="G7363" t="s">
        <v>331</v>
      </c>
      <c r="H7363" s="15">
        <v>45292</v>
      </c>
      <c r="I7363">
        <v>10100</v>
      </c>
      <c r="J7363">
        <v>0</v>
      </c>
    </row>
    <row r="7364" spans="1:10" x14ac:dyDescent="0.3">
      <c r="A7364" s="15">
        <v>46113</v>
      </c>
      <c r="B7364" t="s">
        <v>182</v>
      </c>
      <c r="C7364" t="s">
        <v>125</v>
      </c>
      <c r="D7364" t="s">
        <v>82</v>
      </c>
      <c r="E7364" t="s">
        <v>92</v>
      </c>
      <c r="F7364">
        <v>100200</v>
      </c>
      <c r="G7364" t="s">
        <v>332</v>
      </c>
      <c r="H7364" s="15">
        <v>45292</v>
      </c>
      <c r="I7364">
        <v>93100</v>
      </c>
      <c r="J7364">
        <v>7100</v>
      </c>
    </row>
    <row r="7365" spans="1:10" x14ac:dyDescent="0.3">
      <c r="A7365" s="15">
        <v>46113</v>
      </c>
      <c r="B7365" t="s">
        <v>183</v>
      </c>
      <c r="C7365" t="s">
        <v>91</v>
      </c>
      <c r="D7365" t="s">
        <v>96</v>
      </c>
      <c r="E7365" t="s">
        <v>92</v>
      </c>
      <c r="F7365">
        <v>9500</v>
      </c>
      <c r="G7365" t="s">
        <v>331</v>
      </c>
      <c r="H7365" s="15">
        <v>45292</v>
      </c>
      <c r="I7365">
        <v>9500</v>
      </c>
      <c r="J7365">
        <v>0</v>
      </c>
    </row>
    <row r="7366" spans="1:10" x14ac:dyDescent="0.3">
      <c r="A7366" s="15">
        <v>46113</v>
      </c>
      <c r="B7366" t="s">
        <v>184</v>
      </c>
      <c r="C7366" t="s">
        <v>81</v>
      </c>
      <c r="D7366" t="s">
        <v>82</v>
      </c>
      <c r="E7366" t="s">
        <v>83</v>
      </c>
      <c r="F7366">
        <v>2400</v>
      </c>
      <c r="G7366" t="s">
        <v>334</v>
      </c>
      <c r="H7366" s="15">
        <v>45292</v>
      </c>
      <c r="I7366">
        <v>2600</v>
      </c>
      <c r="J7366">
        <v>-200</v>
      </c>
    </row>
    <row r="7367" spans="1:10" x14ac:dyDescent="0.3">
      <c r="A7367" s="15">
        <v>46113</v>
      </c>
      <c r="B7367" t="s">
        <v>185</v>
      </c>
      <c r="C7367" t="s">
        <v>81</v>
      </c>
      <c r="D7367" t="s">
        <v>96</v>
      </c>
      <c r="E7367" t="s">
        <v>97</v>
      </c>
      <c r="F7367">
        <v>1900</v>
      </c>
      <c r="G7367" t="s">
        <v>331</v>
      </c>
      <c r="H7367" s="15">
        <v>45292</v>
      </c>
      <c r="I7367">
        <v>1900</v>
      </c>
      <c r="J7367">
        <v>0</v>
      </c>
    </row>
    <row r="7368" spans="1:10" x14ac:dyDescent="0.3">
      <c r="A7368" s="15">
        <v>46113</v>
      </c>
      <c r="B7368" t="s">
        <v>186</v>
      </c>
      <c r="C7368" t="s">
        <v>91</v>
      </c>
      <c r="D7368" t="s">
        <v>82</v>
      </c>
      <c r="E7368" t="s">
        <v>103</v>
      </c>
      <c r="F7368">
        <v>13900</v>
      </c>
      <c r="G7368" t="s">
        <v>331</v>
      </c>
      <c r="H7368" s="15">
        <v>45292</v>
      </c>
      <c r="I7368">
        <v>13900</v>
      </c>
      <c r="J7368">
        <v>0</v>
      </c>
    </row>
    <row r="7369" spans="1:10" x14ac:dyDescent="0.3">
      <c r="A7369" s="15">
        <v>46113</v>
      </c>
      <c r="B7369" t="s">
        <v>187</v>
      </c>
      <c r="C7369" t="s">
        <v>110</v>
      </c>
      <c r="D7369" t="s">
        <v>86</v>
      </c>
      <c r="E7369" t="s">
        <v>97</v>
      </c>
      <c r="F7369">
        <v>30100</v>
      </c>
      <c r="G7369" t="s">
        <v>331</v>
      </c>
      <c r="H7369" s="15">
        <v>45292</v>
      </c>
      <c r="I7369">
        <v>30100</v>
      </c>
      <c r="J7369">
        <v>0</v>
      </c>
    </row>
    <row r="7370" spans="1:10" x14ac:dyDescent="0.3">
      <c r="A7370" s="15">
        <v>46113</v>
      </c>
      <c r="B7370" t="s">
        <v>188</v>
      </c>
      <c r="C7370" t="s">
        <v>91</v>
      </c>
      <c r="D7370" t="s">
        <v>82</v>
      </c>
      <c r="E7370" t="s">
        <v>92</v>
      </c>
      <c r="F7370">
        <v>12800</v>
      </c>
      <c r="G7370" t="s">
        <v>331</v>
      </c>
      <c r="H7370" s="15">
        <v>45292</v>
      </c>
      <c r="I7370">
        <v>12800</v>
      </c>
      <c r="J7370">
        <v>0</v>
      </c>
    </row>
    <row r="7371" spans="1:10" x14ac:dyDescent="0.3">
      <c r="A7371" s="15">
        <v>46113</v>
      </c>
      <c r="B7371" t="s">
        <v>189</v>
      </c>
      <c r="C7371" t="s">
        <v>81</v>
      </c>
      <c r="D7371" t="s">
        <v>86</v>
      </c>
      <c r="E7371" t="s">
        <v>103</v>
      </c>
      <c r="F7371">
        <v>2000</v>
      </c>
      <c r="G7371" t="s">
        <v>331</v>
      </c>
      <c r="H7371" s="15">
        <v>45292</v>
      </c>
      <c r="I7371">
        <v>2000</v>
      </c>
      <c r="J7371">
        <v>0</v>
      </c>
    </row>
    <row r="7372" spans="1:10" x14ac:dyDescent="0.3">
      <c r="A7372" s="15">
        <v>46113</v>
      </c>
      <c r="B7372" t="s">
        <v>190</v>
      </c>
      <c r="C7372" t="s">
        <v>81</v>
      </c>
      <c r="D7372" t="s">
        <v>99</v>
      </c>
      <c r="E7372" t="s">
        <v>89</v>
      </c>
      <c r="F7372">
        <v>1900</v>
      </c>
      <c r="G7372" t="s">
        <v>331</v>
      </c>
      <c r="H7372" s="15">
        <v>45292</v>
      </c>
      <c r="I7372">
        <v>1900</v>
      </c>
      <c r="J7372">
        <v>0</v>
      </c>
    </row>
    <row r="7373" spans="1:10" x14ac:dyDescent="0.3">
      <c r="A7373" s="15">
        <v>46113</v>
      </c>
      <c r="B7373" t="s">
        <v>191</v>
      </c>
      <c r="C7373" t="s">
        <v>91</v>
      </c>
      <c r="D7373" t="s">
        <v>86</v>
      </c>
      <c r="E7373" t="s">
        <v>87</v>
      </c>
      <c r="F7373">
        <v>6900</v>
      </c>
      <c r="G7373" t="s">
        <v>331</v>
      </c>
      <c r="H7373" s="15">
        <v>45292</v>
      </c>
      <c r="I7373">
        <v>6900</v>
      </c>
      <c r="J7373">
        <v>0</v>
      </c>
    </row>
    <row r="7374" spans="1:10" x14ac:dyDescent="0.3">
      <c r="A7374" s="15">
        <v>46113</v>
      </c>
      <c r="B7374" t="s">
        <v>192</v>
      </c>
      <c r="C7374" t="s">
        <v>81</v>
      </c>
      <c r="D7374" t="s">
        <v>82</v>
      </c>
      <c r="E7374" t="s">
        <v>97</v>
      </c>
      <c r="F7374">
        <v>2300</v>
      </c>
      <c r="G7374" t="s">
        <v>331</v>
      </c>
      <c r="H7374" s="15">
        <v>45292</v>
      </c>
      <c r="I7374">
        <v>2300</v>
      </c>
      <c r="J7374">
        <v>0</v>
      </c>
    </row>
    <row r="7375" spans="1:10" x14ac:dyDescent="0.3">
      <c r="A7375" s="15">
        <v>46113</v>
      </c>
      <c r="B7375" t="s">
        <v>193</v>
      </c>
      <c r="C7375" t="s">
        <v>81</v>
      </c>
      <c r="D7375" t="s">
        <v>82</v>
      </c>
      <c r="E7375" t="s">
        <v>87</v>
      </c>
      <c r="F7375">
        <v>3200</v>
      </c>
      <c r="G7375" t="s">
        <v>331</v>
      </c>
      <c r="H7375" s="15">
        <v>45292</v>
      </c>
      <c r="I7375">
        <v>3200</v>
      </c>
      <c r="J7375">
        <v>0</v>
      </c>
    </row>
    <row r="7376" spans="1:10" x14ac:dyDescent="0.3">
      <c r="A7376" s="15">
        <v>46113</v>
      </c>
      <c r="B7376" t="s">
        <v>194</v>
      </c>
      <c r="C7376" t="s">
        <v>91</v>
      </c>
      <c r="D7376" t="s">
        <v>82</v>
      </c>
      <c r="E7376" t="s">
        <v>101</v>
      </c>
      <c r="F7376">
        <v>11200</v>
      </c>
      <c r="G7376" t="s">
        <v>331</v>
      </c>
      <c r="H7376" s="15">
        <v>45292</v>
      </c>
      <c r="I7376">
        <v>11200</v>
      </c>
      <c r="J7376">
        <v>0</v>
      </c>
    </row>
    <row r="7377" spans="1:10" x14ac:dyDescent="0.3">
      <c r="A7377" s="15">
        <v>46113</v>
      </c>
      <c r="B7377" t="s">
        <v>195</v>
      </c>
      <c r="C7377" t="s">
        <v>91</v>
      </c>
      <c r="D7377" t="s">
        <v>86</v>
      </c>
      <c r="E7377" t="s">
        <v>97</v>
      </c>
      <c r="F7377">
        <v>6800</v>
      </c>
      <c r="G7377" t="s">
        <v>331</v>
      </c>
      <c r="H7377" s="15">
        <v>45292</v>
      </c>
      <c r="I7377">
        <v>6800</v>
      </c>
      <c r="J7377">
        <v>0</v>
      </c>
    </row>
    <row r="7378" spans="1:10" x14ac:dyDescent="0.3">
      <c r="A7378" s="15">
        <v>46113</v>
      </c>
      <c r="B7378" t="s">
        <v>197</v>
      </c>
      <c r="C7378" t="s">
        <v>91</v>
      </c>
      <c r="D7378" t="s">
        <v>82</v>
      </c>
      <c r="E7378" t="s">
        <v>89</v>
      </c>
      <c r="F7378">
        <v>12000</v>
      </c>
      <c r="G7378" t="s">
        <v>331</v>
      </c>
      <c r="H7378" s="15">
        <v>45292</v>
      </c>
      <c r="I7378">
        <v>12000</v>
      </c>
      <c r="J7378">
        <v>0</v>
      </c>
    </row>
    <row r="7379" spans="1:10" x14ac:dyDescent="0.3">
      <c r="A7379" s="15">
        <v>46113</v>
      </c>
      <c r="B7379" t="s">
        <v>198</v>
      </c>
      <c r="C7379" t="s">
        <v>81</v>
      </c>
      <c r="D7379" t="s">
        <v>82</v>
      </c>
      <c r="E7379" t="s">
        <v>89</v>
      </c>
      <c r="F7379">
        <v>2900</v>
      </c>
      <c r="G7379" t="s">
        <v>331</v>
      </c>
      <c r="H7379" s="15">
        <v>45292</v>
      </c>
      <c r="I7379">
        <v>2900</v>
      </c>
      <c r="J7379">
        <v>0</v>
      </c>
    </row>
    <row r="7380" spans="1:10" x14ac:dyDescent="0.3">
      <c r="A7380" s="15">
        <v>46113</v>
      </c>
      <c r="B7380" t="s">
        <v>199</v>
      </c>
      <c r="C7380" t="s">
        <v>81</v>
      </c>
      <c r="D7380" t="s">
        <v>86</v>
      </c>
      <c r="E7380" t="s">
        <v>89</v>
      </c>
      <c r="F7380">
        <v>2200</v>
      </c>
      <c r="G7380" t="s">
        <v>331</v>
      </c>
      <c r="H7380" s="15">
        <v>45292</v>
      </c>
      <c r="I7380">
        <v>2200</v>
      </c>
      <c r="J7380">
        <v>0</v>
      </c>
    </row>
    <row r="7381" spans="1:10" x14ac:dyDescent="0.3">
      <c r="A7381" s="15">
        <v>46113</v>
      </c>
      <c r="B7381" t="s">
        <v>200</v>
      </c>
      <c r="C7381" t="s">
        <v>91</v>
      </c>
      <c r="D7381" t="s">
        <v>86</v>
      </c>
      <c r="E7381" t="s">
        <v>92</v>
      </c>
      <c r="F7381">
        <v>8800</v>
      </c>
      <c r="G7381" t="s">
        <v>331</v>
      </c>
      <c r="H7381" s="15">
        <v>45292</v>
      </c>
      <c r="I7381">
        <v>8800</v>
      </c>
      <c r="J7381">
        <v>0</v>
      </c>
    </row>
    <row r="7382" spans="1:10" x14ac:dyDescent="0.3">
      <c r="A7382" s="15">
        <v>46113</v>
      </c>
      <c r="B7382" t="s">
        <v>201</v>
      </c>
      <c r="C7382" t="s">
        <v>81</v>
      </c>
      <c r="D7382" t="s">
        <v>86</v>
      </c>
      <c r="E7382" t="s">
        <v>83</v>
      </c>
      <c r="F7382">
        <v>1500</v>
      </c>
      <c r="G7382" t="s">
        <v>331</v>
      </c>
      <c r="H7382" s="15">
        <v>45292</v>
      </c>
      <c r="I7382">
        <v>1500</v>
      </c>
      <c r="J7382">
        <v>0</v>
      </c>
    </row>
    <row r="7383" spans="1:10" x14ac:dyDescent="0.3">
      <c r="A7383" s="15">
        <v>46113</v>
      </c>
      <c r="B7383" t="s">
        <v>202</v>
      </c>
      <c r="C7383" t="s">
        <v>91</v>
      </c>
      <c r="D7383" t="s">
        <v>82</v>
      </c>
      <c r="E7383" t="s">
        <v>92</v>
      </c>
      <c r="F7383">
        <v>12700</v>
      </c>
      <c r="G7383" t="s">
        <v>331</v>
      </c>
      <c r="H7383" s="15">
        <v>45292</v>
      </c>
      <c r="I7383">
        <v>12700</v>
      </c>
      <c r="J7383">
        <v>0</v>
      </c>
    </row>
    <row r="7384" spans="1:10" x14ac:dyDescent="0.3">
      <c r="A7384" s="15">
        <v>46113</v>
      </c>
      <c r="B7384" t="s">
        <v>204</v>
      </c>
      <c r="C7384" t="s">
        <v>81</v>
      </c>
      <c r="D7384" t="s">
        <v>82</v>
      </c>
      <c r="E7384" t="s">
        <v>87</v>
      </c>
      <c r="F7384">
        <v>1900</v>
      </c>
      <c r="G7384" t="s">
        <v>331</v>
      </c>
      <c r="H7384" s="15">
        <v>45292</v>
      </c>
      <c r="I7384">
        <v>1900</v>
      </c>
      <c r="J7384">
        <v>0</v>
      </c>
    </row>
    <row r="7385" spans="1:10" x14ac:dyDescent="0.3">
      <c r="A7385" s="15">
        <v>46113</v>
      </c>
      <c r="B7385" t="s">
        <v>205</v>
      </c>
      <c r="C7385" t="s">
        <v>91</v>
      </c>
      <c r="D7385" t="s">
        <v>86</v>
      </c>
      <c r="E7385" t="s">
        <v>103</v>
      </c>
      <c r="F7385">
        <v>9800</v>
      </c>
      <c r="G7385" t="s">
        <v>331</v>
      </c>
      <c r="H7385" s="15">
        <v>45292</v>
      </c>
      <c r="I7385">
        <v>9800</v>
      </c>
      <c r="J7385">
        <v>0</v>
      </c>
    </row>
    <row r="7386" spans="1:10" x14ac:dyDescent="0.3">
      <c r="A7386" s="15">
        <v>46113</v>
      </c>
      <c r="B7386" t="s">
        <v>206</v>
      </c>
      <c r="C7386" t="s">
        <v>81</v>
      </c>
      <c r="D7386" t="s">
        <v>86</v>
      </c>
      <c r="E7386" t="s">
        <v>89</v>
      </c>
      <c r="F7386">
        <v>3000</v>
      </c>
      <c r="G7386" t="s">
        <v>331</v>
      </c>
      <c r="H7386" s="15">
        <v>45292</v>
      </c>
      <c r="I7386">
        <v>3000</v>
      </c>
      <c r="J7386">
        <v>0</v>
      </c>
    </row>
    <row r="7387" spans="1:10" x14ac:dyDescent="0.3">
      <c r="A7387" s="15">
        <v>46113</v>
      </c>
      <c r="B7387" t="s">
        <v>207</v>
      </c>
      <c r="C7387" t="s">
        <v>81</v>
      </c>
      <c r="D7387" t="s">
        <v>82</v>
      </c>
      <c r="E7387" t="s">
        <v>89</v>
      </c>
      <c r="F7387">
        <v>3500</v>
      </c>
      <c r="G7387" t="s">
        <v>331</v>
      </c>
      <c r="H7387" s="15">
        <v>45292</v>
      </c>
      <c r="I7387">
        <v>3500</v>
      </c>
      <c r="J7387">
        <v>0</v>
      </c>
    </row>
    <row r="7388" spans="1:10" x14ac:dyDescent="0.3">
      <c r="A7388" s="15">
        <v>46113</v>
      </c>
      <c r="B7388" t="s">
        <v>208</v>
      </c>
      <c r="C7388" t="s">
        <v>91</v>
      </c>
      <c r="D7388" t="s">
        <v>99</v>
      </c>
      <c r="E7388" t="s">
        <v>89</v>
      </c>
      <c r="F7388">
        <v>7700</v>
      </c>
      <c r="G7388" t="s">
        <v>331</v>
      </c>
      <c r="H7388" s="15">
        <v>45292</v>
      </c>
      <c r="I7388">
        <v>7700</v>
      </c>
      <c r="J7388">
        <v>0</v>
      </c>
    </row>
    <row r="7389" spans="1:10" x14ac:dyDescent="0.3">
      <c r="A7389" s="15">
        <v>46113</v>
      </c>
      <c r="B7389" t="s">
        <v>209</v>
      </c>
      <c r="C7389" t="s">
        <v>81</v>
      </c>
      <c r="D7389" t="s">
        <v>86</v>
      </c>
      <c r="E7389" t="s">
        <v>83</v>
      </c>
      <c r="F7389">
        <v>3300</v>
      </c>
      <c r="G7389" t="s">
        <v>331</v>
      </c>
      <c r="H7389" s="15">
        <v>45292</v>
      </c>
      <c r="I7389">
        <v>3300</v>
      </c>
      <c r="J7389">
        <v>0</v>
      </c>
    </row>
    <row r="7390" spans="1:10" x14ac:dyDescent="0.3">
      <c r="A7390" s="15">
        <v>46113</v>
      </c>
      <c r="B7390" t="s">
        <v>210</v>
      </c>
      <c r="C7390" t="s">
        <v>125</v>
      </c>
      <c r="D7390" t="s">
        <v>96</v>
      </c>
      <c r="E7390" t="s">
        <v>89</v>
      </c>
      <c r="F7390">
        <v>90300</v>
      </c>
      <c r="G7390" t="s">
        <v>331</v>
      </c>
      <c r="H7390" s="15">
        <v>45292</v>
      </c>
      <c r="I7390">
        <v>90300</v>
      </c>
      <c r="J7390">
        <v>0</v>
      </c>
    </row>
    <row r="7391" spans="1:10" x14ac:dyDescent="0.3">
      <c r="A7391" s="15">
        <v>46113</v>
      </c>
      <c r="B7391" t="s">
        <v>213</v>
      </c>
      <c r="C7391" t="s">
        <v>81</v>
      </c>
      <c r="D7391" t="s">
        <v>82</v>
      </c>
      <c r="E7391" t="s">
        <v>97</v>
      </c>
      <c r="F7391">
        <v>3300</v>
      </c>
      <c r="G7391" t="s">
        <v>331</v>
      </c>
      <c r="H7391" s="15">
        <v>45292</v>
      </c>
      <c r="I7391">
        <v>3300</v>
      </c>
      <c r="J7391">
        <v>0</v>
      </c>
    </row>
    <row r="7392" spans="1:10" x14ac:dyDescent="0.3">
      <c r="A7392" s="15">
        <v>46113</v>
      </c>
      <c r="B7392" t="s">
        <v>214</v>
      </c>
      <c r="C7392" t="s">
        <v>91</v>
      </c>
      <c r="D7392" t="s">
        <v>82</v>
      </c>
      <c r="E7392" t="s">
        <v>89</v>
      </c>
      <c r="F7392">
        <v>8700</v>
      </c>
      <c r="G7392" t="s">
        <v>331</v>
      </c>
      <c r="H7392" s="15">
        <v>45292</v>
      </c>
      <c r="I7392">
        <v>8700</v>
      </c>
      <c r="J7392">
        <v>0</v>
      </c>
    </row>
    <row r="7393" spans="1:10" x14ac:dyDescent="0.3">
      <c r="A7393" s="15">
        <v>46113</v>
      </c>
      <c r="B7393" t="s">
        <v>216</v>
      </c>
      <c r="C7393" t="s">
        <v>81</v>
      </c>
      <c r="D7393" t="s">
        <v>82</v>
      </c>
      <c r="E7393" t="s">
        <v>97</v>
      </c>
      <c r="F7393">
        <v>3500</v>
      </c>
      <c r="G7393" t="s">
        <v>331</v>
      </c>
      <c r="H7393" s="15">
        <v>45292</v>
      </c>
      <c r="I7393">
        <v>3500</v>
      </c>
      <c r="J7393">
        <v>0</v>
      </c>
    </row>
    <row r="7394" spans="1:10" x14ac:dyDescent="0.3">
      <c r="A7394" s="15">
        <v>46113</v>
      </c>
      <c r="B7394" t="s">
        <v>218</v>
      </c>
      <c r="C7394" t="s">
        <v>110</v>
      </c>
      <c r="D7394" t="s">
        <v>99</v>
      </c>
      <c r="E7394" t="s">
        <v>92</v>
      </c>
      <c r="F7394">
        <v>32200</v>
      </c>
      <c r="G7394" t="s">
        <v>331</v>
      </c>
      <c r="H7394" s="15">
        <v>45292</v>
      </c>
      <c r="I7394">
        <v>32200</v>
      </c>
      <c r="J7394">
        <v>0</v>
      </c>
    </row>
    <row r="7395" spans="1:10" x14ac:dyDescent="0.3">
      <c r="A7395" s="15">
        <v>46113</v>
      </c>
      <c r="B7395" t="s">
        <v>220</v>
      </c>
      <c r="C7395" t="s">
        <v>110</v>
      </c>
      <c r="D7395" t="s">
        <v>82</v>
      </c>
      <c r="E7395" t="s">
        <v>89</v>
      </c>
      <c r="F7395">
        <v>30800</v>
      </c>
      <c r="G7395" t="s">
        <v>331</v>
      </c>
      <c r="H7395" s="15">
        <v>45292</v>
      </c>
      <c r="I7395">
        <v>30800</v>
      </c>
      <c r="J7395">
        <v>0</v>
      </c>
    </row>
    <row r="7396" spans="1:10" x14ac:dyDescent="0.3">
      <c r="A7396" s="15">
        <v>46113</v>
      </c>
      <c r="B7396" t="s">
        <v>224</v>
      </c>
      <c r="C7396" t="s">
        <v>91</v>
      </c>
      <c r="D7396" t="s">
        <v>82</v>
      </c>
      <c r="E7396" t="s">
        <v>101</v>
      </c>
      <c r="F7396">
        <v>12000</v>
      </c>
      <c r="G7396" t="s">
        <v>332</v>
      </c>
      <c r="H7396" s="15">
        <v>45292</v>
      </c>
      <c r="I7396">
        <v>10600</v>
      </c>
      <c r="J7396">
        <v>1400</v>
      </c>
    </row>
    <row r="7397" spans="1:10" x14ac:dyDescent="0.3">
      <c r="A7397" s="15">
        <v>46113</v>
      </c>
      <c r="B7397" t="s">
        <v>225</v>
      </c>
      <c r="C7397" t="s">
        <v>110</v>
      </c>
      <c r="D7397" t="s">
        <v>99</v>
      </c>
      <c r="E7397" t="s">
        <v>103</v>
      </c>
      <c r="F7397">
        <v>42200</v>
      </c>
      <c r="G7397" t="s">
        <v>331</v>
      </c>
      <c r="H7397" s="15">
        <v>45292</v>
      </c>
      <c r="I7397">
        <v>42200</v>
      </c>
      <c r="J7397">
        <v>0</v>
      </c>
    </row>
    <row r="7398" spans="1:10" x14ac:dyDescent="0.3">
      <c r="A7398" s="15">
        <v>46113</v>
      </c>
      <c r="B7398" t="s">
        <v>226</v>
      </c>
      <c r="C7398" t="s">
        <v>91</v>
      </c>
      <c r="D7398" t="s">
        <v>82</v>
      </c>
      <c r="E7398" t="s">
        <v>103</v>
      </c>
      <c r="F7398">
        <v>5300</v>
      </c>
      <c r="G7398" t="s">
        <v>331</v>
      </c>
      <c r="H7398" s="15">
        <v>45292</v>
      </c>
      <c r="I7398">
        <v>5300</v>
      </c>
      <c r="J7398">
        <v>0</v>
      </c>
    </row>
    <row r="7399" spans="1:10" x14ac:dyDescent="0.3">
      <c r="A7399" s="15">
        <v>46113</v>
      </c>
      <c r="B7399" t="s">
        <v>227</v>
      </c>
      <c r="C7399" t="s">
        <v>110</v>
      </c>
      <c r="D7399" t="s">
        <v>86</v>
      </c>
      <c r="E7399" t="s">
        <v>87</v>
      </c>
      <c r="F7399">
        <v>27900</v>
      </c>
      <c r="G7399" t="s">
        <v>331</v>
      </c>
      <c r="H7399" s="15">
        <v>45292</v>
      </c>
      <c r="I7399">
        <v>27900</v>
      </c>
      <c r="J7399">
        <v>0</v>
      </c>
    </row>
    <row r="7400" spans="1:10" x14ac:dyDescent="0.3">
      <c r="A7400" s="15">
        <v>46113</v>
      </c>
      <c r="B7400" t="s">
        <v>228</v>
      </c>
      <c r="C7400" t="s">
        <v>91</v>
      </c>
      <c r="D7400" t="s">
        <v>96</v>
      </c>
      <c r="E7400" t="s">
        <v>89</v>
      </c>
      <c r="F7400">
        <v>12000</v>
      </c>
      <c r="G7400" t="s">
        <v>331</v>
      </c>
      <c r="H7400" s="15">
        <v>45292</v>
      </c>
      <c r="I7400">
        <v>12000</v>
      </c>
      <c r="J7400">
        <v>0</v>
      </c>
    </row>
    <row r="7401" spans="1:10" x14ac:dyDescent="0.3">
      <c r="A7401" s="15">
        <v>46113</v>
      </c>
      <c r="B7401" t="s">
        <v>229</v>
      </c>
      <c r="C7401" t="s">
        <v>81</v>
      </c>
      <c r="D7401" t="s">
        <v>82</v>
      </c>
      <c r="E7401" t="s">
        <v>83</v>
      </c>
      <c r="F7401">
        <v>3700</v>
      </c>
      <c r="G7401" t="s">
        <v>331</v>
      </c>
      <c r="H7401" s="15">
        <v>45292</v>
      </c>
      <c r="I7401">
        <v>3700</v>
      </c>
      <c r="J7401">
        <v>0</v>
      </c>
    </row>
    <row r="7402" spans="1:10" x14ac:dyDescent="0.3">
      <c r="A7402" s="15">
        <v>46113</v>
      </c>
      <c r="B7402" t="s">
        <v>230</v>
      </c>
      <c r="C7402" t="s">
        <v>81</v>
      </c>
      <c r="D7402" t="s">
        <v>86</v>
      </c>
      <c r="E7402" t="s">
        <v>101</v>
      </c>
      <c r="F7402">
        <v>3400</v>
      </c>
      <c r="G7402" t="s">
        <v>331</v>
      </c>
      <c r="H7402" s="15">
        <v>45292</v>
      </c>
      <c r="I7402">
        <v>3400</v>
      </c>
      <c r="J7402">
        <v>0</v>
      </c>
    </row>
    <row r="7403" spans="1:10" x14ac:dyDescent="0.3">
      <c r="A7403" s="15">
        <v>46113</v>
      </c>
      <c r="B7403" t="s">
        <v>231</v>
      </c>
      <c r="C7403" t="s">
        <v>91</v>
      </c>
      <c r="D7403" t="s">
        <v>82</v>
      </c>
      <c r="E7403" t="s">
        <v>92</v>
      </c>
      <c r="F7403">
        <v>6900</v>
      </c>
      <c r="G7403" t="s">
        <v>331</v>
      </c>
      <c r="H7403" s="15">
        <v>45292</v>
      </c>
      <c r="I7403">
        <v>6900</v>
      </c>
      <c r="J7403">
        <v>0</v>
      </c>
    </row>
    <row r="7404" spans="1:10" x14ac:dyDescent="0.3">
      <c r="A7404" s="15">
        <v>46113</v>
      </c>
      <c r="B7404" t="s">
        <v>232</v>
      </c>
      <c r="C7404" t="s">
        <v>125</v>
      </c>
      <c r="D7404" t="s">
        <v>86</v>
      </c>
      <c r="E7404" t="s">
        <v>83</v>
      </c>
      <c r="F7404">
        <v>121100</v>
      </c>
      <c r="G7404" t="s">
        <v>331</v>
      </c>
      <c r="H7404" s="15">
        <v>45292</v>
      </c>
      <c r="I7404">
        <v>121100</v>
      </c>
      <c r="J7404">
        <v>0</v>
      </c>
    </row>
    <row r="7405" spans="1:10" x14ac:dyDescent="0.3">
      <c r="A7405" s="15">
        <v>46113</v>
      </c>
      <c r="B7405" t="s">
        <v>233</v>
      </c>
      <c r="C7405" t="s">
        <v>81</v>
      </c>
      <c r="D7405" t="s">
        <v>82</v>
      </c>
      <c r="E7405" t="s">
        <v>87</v>
      </c>
      <c r="F7405">
        <v>3300</v>
      </c>
      <c r="G7405" t="s">
        <v>331</v>
      </c>
      <c r="H7405" s="15">
        <v>45292</v>
      </c>
      <c r="I7405">
        <v>3300</v>
      </c>
      <c r="J7405">
        <v>0</v>
      </c>
    </row>
    <row r="7406" spans="1:10" x14ac:dyDescent="0.3">
      <c r="A7406" s="15">
        <v>46113</v>
      </c>
      <c r="B7406" t="s">
        <v>235</v>
      </c>
      <c r="C7406" t="s">
        <v>91</v>
      </c>
      <c r="D7406" t="s">
        <v>96</v>
      </c>
      <c r="E7406" t="s">
        <v>103</v>
      </c>
      <c r="F7406">
        <v>11100</v>
      </c>
      <c r="G7406" t="s">
        <v>331</v>
      </c>
      <c r="H7406" s="15">
        <v>45292</v>
      </c>
      <c r="I7406">
        <v>11100</v>
      </c>
      <c r="J7406">
        <v>0</v>
      </c>
    </row>
    <row r="7407" spans="1:10" x14ac:dyDescent="0.3">
      <c r="A7407" s="15">
        <v>46113</v>
      </c>
      <c r="B7407" t="s">
        <v>237</v>
      </c>
      <c r="C7407" t="s">
        <v>91</v>
      </c>
      <c r="D7407" t="s">
        <v>82</v>
      </c>
      <c r="E7407" t="s">
        <v>83</v>
      </c>
      <c r="F7407">
        <v>6900</v>
      </c>
      <c r="G7407" t="s">
        <v>331</v>
      </c>
      <c r="H7407" s="15">
        <v>45292</v>
      </c>
      <c r="I7407">
        <v>6900</v>
      </c>
      <c r="J7407">
        <v>0</v>
      </c>
    </row>
    <row r="7408" spans="1:10" x14ac:dyDescent="0.3">
      <c r="A7408" s="15">
        <v>46113</v>
      </c>
      <c r="B7408" t="s">
        <v>238</v>
      </c>
      <c r="C7408" t="s">
        <v>81</v>
      </c>
      <c r="D7408" t="s">
        <v>99</v>
      </c>
      <c r="E7408" t="s">
        <v>97</v>
      </c>
      <c r="F7408">
        <v>2300</v>
      </c>
      <c r="G7408" t="s">
        <v>331</v>
      </c>
      <c r="H7408" s="15">
        <v>45292</v>
      </c>
      <c r="I7408">
        <v>2300</v>
      </c>
      <c r="J7408">
        <v>0</v>
      </c>
    </row>
    <row r="7409" spans="1:10" x14ac:dyDescent="0.3">
      <c r="A7409" s="15">
        <v>46113</v>
      </c>
      <c r="B7409" t="s">
        <v>239</v>
      </c>
      <c r="C7409" t="s">
        <v>81</v>
      </c>
      <c r="D7409" t="s">
        <v>82</v>
      </c>
      <c r="E7409" t="s">
        <v>103</v>
      </c>
      <c r="F7409">
        <v>2500</v>
      </c>
      <c r="G7409" t="s">
        <v>331</v>
      </c>
      <c r="H7409" s="15">
        <v>45292</v>
      </c>
      <c r="I7409">
        <v>2500</v>
      </c>
      <c r="J7409">
        <v>0</v>
      </c>
    </row>
    <row r="7410" spans="1:10" x14ac:dyDescent="0.3">
      <c r="A7410" s="15">
        <v>46113</v>
      </c>
      <c r="B7410" t="s">
        <v>240</v>
      </c>
      <c r="C7410" t="s">
        <v>81</v>
      </c>
      <c r="D7410" t="s">
        <v>99</v>
      </c>
      <c r="E7410" t="s">
        <v>103</v>
      </c>
      <c r="F7410">
        <v>2300</v>
      </c>
      <c r="G7410" t="s">
        <v>331</v>
      </c>
      <c r="H7410" s="15">
        <v>45292</v>
      </c>
      <c r="I7410">
        <v>2300</v>
      </c>
      <c r="J7410">
        <v>0</v>
      </c>
    </row>
    <row r="7411" spans="1:10" x14ac:dyDescent="0.3">
      <c r="A7411" s="15">
        <v>46113</v>
      </c>
      <c r="B7411" t="s">
        <v>241</v>
      </c>
      <c r="C7411" t="s">
        <v>91</v>
      </c>
      <c r="D7411" t="s">
        <v>96</v>
      </c>
      <c r="E7411" t="s">
        <v>87</v>
      </c>
      <c r="F7411">
        <v>12100</v>
      </c>
      <c r="G7411" t="s">
        <v>331</v>
      </c>
      <c r="H7411" s="15">
        <v>45292</v>
      </c>
      <c r="I7411">
        <v>12100</v>
      </c>
      <c r="J7411">
        <v>0</v>
      </c>
    </row>
    <row r="7412" spans="1:10" x14ac:dyDescent="0.3">
      <c r="A7412" s="15">
        <v>46113</v>
      </c>
      <c r="B7412" t="s">
        <v>242</v>
      </c>
      <c r="C7412" t="s">
        <v>110</v>
      </c>
      <c r="D7412" t="s">
        <v>99</v>
      </c>
      <c r="E7412" t="s">
        <v>101</v>
      </c>
      <c r="F7412">
        <v>34800</v>
      </c>
      <c r="G7412" t="s">
        <v>331</v>
      </c>
      <c r="H7412" s="15">
        <v>45292</v>
      </c>
      <c r="I7412">
        <v>34800</v>
      </c>
      <c r="J7412">
        <v>0</v>
      </c>
    </row>
    <row r="7413" spans="1:10" x14ac:dyDescent="0.3">
      <c r="A7413" s="15">
        <v>46113</v>
      </c>
      <c r="B7413" t="s">
        <v>244</v>
      </c>
      <c r="C7413" t="s">
        <v>91</v>
      </c>
      <c r="D7413" t="s">
        <v>82</v>
      </c>
      <c r="E7413" t="s">
        <v>92</v>
      </c>
      <c r="F7413">
        <v>7800</v>
      </c>
      <c r="G7413" t="s">
        <v>331</v>
      </c>
      <c r="H7413" s="15">
        <v>45292</v>
      </c>
      <c r="I7413">
        <v>7800</v>
      </c>
      <c r="J7413">
        <v>0</v>
      </c>
    </row>
    <row r="7414" spans="1:10" x14ac:dyDescent="0.3">
      <c r="A7414" s="15">
        <v>46113</v>
      </c>
      <c r="B7414" t="s">
        <v>245</v>
      </c>
      <c r="C7414" t="s">
        <v>81</v>
      </c>
      <c r="D7414" t="s">
        <v>99</v>
      </c>
      <c r="E7414" t="s">
        <v>97</v>
      </c>
      <c r="F7414">
        <v>2900</v>
      </c>
      <c r="G7414" t="s">
        <v>331</v>
      </c>
      <c r="H7414" s="15">
        <v>45292</v>
      </c>
      <c r="I7414">
        <v>2900</v>
      </c>
      <c r="J7414">
        <v>0</v>
      </c>
    </row>
    <row r="7415" spans="1:10" x14ac:dyDescent="0.3">
      <c r="A7415" s="15">
        <v>46113</v>
      </c>
      <c r="B7415" t="s">
        <v>246</v>
      </c>
      <c r="C7415" t="s">
        <v>91</v>
      </c>
      <c r="D7415" t="s">
        <v>86</v>
      </c>
      <c r="E7415" t="s">
        <v>103</v>
      </c>
      <c r="F7415">
        <v>10100</v>
      </c>
      <c r="G7415" t="s">
        <v>331</v>
      </c>
      <c r="H7415" s="15">
        <v>45292</v>
      </c>
      <c r="I7415">
        <v>10100</v>
      </c>
      <c r="J7415">
        <v>0</v>
      </c>
    </row>
    <row r="7416" spans="1:10" x14ac:dyDescent="0.3">
      <c r="A7416" s="15">
        <v>46113</v>
      </c>
      <c r="B7416" t="s">
        <v>247</v>
      </c>
      <c r="C7416" t="s">
        <v>91</v>
      </c>
      <c r="D7416" t="s">
        <v>86</v>
      </c>
      <c r="E7416" t="s">
        <v>89</v>
      </c>
      <c r="F7416">
        <v>7800</v>
      </c>
      <c r="G7416" t="s">
        <v>331</v>
      </c>
      <c r="H7416" s="15">
        <v>45292</v>
      </c>
      <c r="I7416">
        <v>7800</v>
      </c>
      <c r="J7416">
        <v>0</v>
      </c>
    </row>
    <row r="7417" spans="1:10" x14ac:dyDescent="0.3">
      <c r="A7417" s="15">
        <v>46113</v>
      </c>
      <c r="B7417" t="s">
        <v>248</v>
      </c>
      <c r="C7417" t="s">
        <v>81</v>
      </c>
      <c r="D7417" t="s">
        <v>82</v>
      </c>
      <c r="E7417" t="s">
        <v>103</v>
      </c>
      <c r="F7417">
        <v>2100</v>
      </c>
      <c r="G7417" t="s">
        <v>331</v>
      </c>
      <c r="H7417" s="15">
        <v>45292</v>
      </c>
      <c r="I7417">
        <v>2100</v>
      </c>
      <c r="J7417">
        <v>0</v>
      </c>
    </row>
    <row r="7418" spans="1:10" x14ac:dyDescent="0.3">
      <c r="A7418" s="15">
        <v>46113</v>
      </c>
      <c r="B7418" t="s">
        <v>250</v>
      </c>
      <c r="C7418" t="s">
        <v>81</v>
      </c>
      <c r="D7418" t="s">
        <v>86</v>
      </c>
      <c r="E7418" t="s">
        <v>87</v>
      </c>
      <c r="F7418">
        <v>2800</v>
      </c>
      <c r="G7418" t="s">
        <v>331</v>
      </c>
      <c r="H7418" s="15">
        <v>45292</v>
      </c>
      <c r="I7418">
        <v>2800</v>
      </c>
      <c r="J7418">
        <v>0</v>
      </c>
    </row>
    <row r="7419" spans="1:10" x14ac:dyDescent="0.3">
      <c r="A7419" s="15">
        <v>46113</v>
      </c>
      <c r="B7419" t="s">
        <v>251</v>
      </c>
      <c r="C7419" t="s">
        <v>91</v>
      </c>
      <c r="D7419" t="s">
        <v>99</v>
      </c>
      <c r="E7419" t="s">
        <v>103</v>
      </c>
      <c r="F7419">
        <v>8800</v>
      </c>
      <c r="G7419" t="s">
        <v>331</v>
      </c>
      <c r="H7419" s="15">
        <v>45292</v>
      </c>
      <c r="I7419">
        <v>8800</v>
      </c>
      <c r="J7419">
        <v>0</v>
      </c>
    </row>
    <row r="7420" spans="1:10" x14ac:dyDescent="0.3">
      <c r="A7420" s="15">
        <v>46113</v>
      </c>
      <c r="B7420" t="s">
        <v>252</v>
      </c>
      <c r="C7420" t="s">
        <v>81</v>
      </c>
      <c r="D7420" t="s">
        <v>99</v>
      </c>
      <c r="E7420" t="s">
        <v>92</v>
      </c>
      <c r="F7420">
        <v>3400</v>
      </c>
      <c r="G7420" t="s">
        <v>331</v>
      </c>
      <c r="H7420" s="15">
        <v>45292</v>
      </c>
      <c r="I7420">
        <v>3400</v>
      </c>
      <c r="J7420">
        <v>0</v>
      </c>
    </row>
    <row r="7421" spans="1:10" x14ac:dyDescent="0.3">
      <c r="A7421" s="15">
        <v>46113</v>
      </c>
      <c r="B7421" t="s">
        <v>253</v>
      </c>
      <c r="C7421" t="s">
        <v>81</v>
      </c>
      <c r="D7421" t="s">
        <v>96</v>
      </c>
      <c r="E7421" t="s">
        <v>89</v>
      </c>
      <c r="F7421">
        <v>2400</v>
      </c>
      <c r="G7421" t="s">
        <v>331</v>
      </c>
      <c r="H7421" s="15">
        <v>45292</v>
      </c>
      <c r="I7421">
        <v>2400</v>
      </c>
      <c r="J7421">
        <v>0</v>
      </c>
    </row>
    <row r="7422" spans="1:10" x14ac:dyDescent="0.3">
      <c r="A7422" s="15">
        <v>46113</v>
      </c>
      <c r="B7422" t="s">
        <v>255</v>
      </c>
      <c r="C7422" t="s">
        <v>91</v>
      </c>
      <c r="D7422" t="s">
        <v>86</v>
      </c>
      <c r="E7422" t="s">
        <v>89</v>
      </c>
      <c r="F7422">
        <v>8600</v>
      </c>
      <c r="G7422" t="s">
        <v>331</v>
      </c>
      <c r="H7422" s="15">
        <v>45292</v>
      </c>
      <c r="I7422">
        <v>8600</v>
      </c>
      <c r="J7422">
        <v>0</v>
      </c>
    </row>
    <row r="7423" spans="1:10" x14ac:dyDescent="0.3">
      <c r="A7423" s="15">
        <v>46113</v>
      </c>
      <c r="B7423" t="s">
        <v>256</v>
      </c>
      <c r="C7423" t="s">
        <v>81</v>
      </c>
      <c r="D7423" t="s">
        <v>82</v>
      </c>
      <c r="E7423" t="s">
        <v>103</v>
      </c>
      <c r="F7423">
        <v>1800</v>
      </c>
      <c r="G7423" t="s">
        <v>331</v>
      </c>
      <c r="H7423" s="15">
        <v>45292</v>
      </c>
      <c r="I7423">
        <v>1800</v>
      </c>
      <c r="J7423">
        <v>0</v>
      </c>
    </row>
    <row r="7424" spans="1:10" x14ac:dyDescent="0.3">
      <c r="A7424" s="15">
        <v>46113</v>
      </c>
      <c r="B7424" t="s">
        <v>258</v>
      </c>
      <c r="C7424" t="s">
        <v>125</v>
      </c>
      <c r="D7424" t="s">
        <v>86</v>
      </c>
      <c r="E7424" t="s">
        <v>83</v>
      </c>
      <c r="F7424">
        <v>96300</v>
      </c>
      <c r="G7424" t="s">
        <v>331</v>
      </c>
      <c r="H7424" s="15">
        <v>45292</v>
      </c>
      <c r="I7424">
        <v>96300</v>
      </c>
      <c r="J7424">
        <v>0</v>
      </c>
    </row>
    <row r="7425" spans="1:10" x14ac:dyDescent="0.3">
      <c r="A7425" s="15">
        <v>46113</v>
      </c>
      <c r="B7425" t="s">
        <v>259</v>
      </c>
      <c r="C7425" t="s">
        <v>81</v>
      </c>
      <c r="D7425" t="s">
        <v>86</v>
      </c>
      <c r="E7425" t="s">
        <v>89</v>
      </c>
      <c r="F7425">
        <v>1900</v>
      </c>
      <c r="G7425" t="s">
        <v>331</v>
      </c>
      <c r="H7425" s="15">
        <v>45292</v>
      </c>
      <c r="I7425">
        <v>1900</v>
      </c>
      <c r="J7425">
        <v>0</v>
      </c>
    </row>
    <row r="7426" spans="1:10" x14ac:dyDescent="0.3">
      <c r="A7426" s="15">
        <v>46113</v>
      </c>
      <c r="B7426" t="s">
        <v>260</v>
      </c>
      <c r="C7426" t="s">
        <v>81</v>
      </c>
      <c r="D7426" t="s">
        <v>86</v>
      </c>
      <c r="E7426" t="s">
        <v>97</v>
      </c>
      <c r="F7426">
        <v>2000</v>
      </c>
      <c r="G7426" t="s">
        <v>331</v>
      </c>
      <c r="H7426" s="15">
        <v>45292</v>
      </c>
      <c r="I7426">
        <v>2000</v>
      </c>
      <c r="J7426">
        <v>0</v>
      </c>
    </row>
    <row r="7427" spans="1:10" x14ac:dyDescent="0.3">
      <c r="A7427" s="15">
        <v>46113</v>
      </c>
      <c r="B7427" t="s">
        <v>262</v>
      </c>
      <c r="C7427" t="s">
        <v>91</v>
      </c>
      <c r="D7427" t="s">
        <v>82</v>
      </c>
      <c r="E7427" t="s">
        <v>92</v>
      </c>
      <c r="F7427">
        <v>10800</v>
      </c>
      <c r="G7427" t="s">
        <v>331</v>
      </c>
      <c r="H7427" s="15">
        <v>45292</v>
      </c>
      <c r="I7427">
        <v>10800</v>
      </c>
      <c r="J7427">
        <v>0</v>
      </c>
    </row>
    <row r="7428" spans="1:10" x14ac:dyDescent="0.3">
      <c r="A7428" s="15">
        <v>46113</v>
      </c>
      <c r="B7428" t="s">
        <v>264</v>
      </c>
      <c r="C7428" t="s">
        <v>110</v>
      </c>
      <c r="D7428" t="s">
        <v>86</v>
      </c>
      <c r="E7428" t="s">
        <v>97</v>
      </c>
      <c r="F7428">
        <v>31500</v>
      </c>
      <c r="G7428" t="s">
        <v>331</v>
      </c>
      <c r="H7428" s="15">
        <v>45292</v>
      </c>
      <c r="I7428">
        <v>31500</v>
      </c>
      <c r="J7428">
        <v>0</v>
      </c>
    </row>
    <row r="7429" spans="1:10" x14ac:dyDescent="0.3">
      <c r="A7429" s="15">
        <v>46113</v>
      </c>
      <c r="B7429" t="s">
        <v>265</v>
      </c>
      <c r="C7429" t="s">
        <v>125</v>
      </c>
      <c r="D7429" t="s">
        <v>86</v>
      </c>
      <c r="E7429" t="s">
        <v>101</v>
      </c>
      <c r="F7429">
        <v>76700</v>
      </c>
      <c r="G7429" t="s">
        <v>331</v>
      </c>
      <c r="H7429" s="15">
        <v>45292</v>
      </c>
      <c r="I7429">
        <v>76700</v>
      </c>
      <c r="J7429">
        <v>0</v>
      </c>
    </row>
    <row r="7430" spans="1:10" x14ac:dyDescent="0.3">
      <c r="A7430" s="15">
        <v>46113</v>
      </c>
      <c r="B7430" t="s">
        <v>266</v>
      </c>
      <c r="C7430" t="s">
        <v>81</v>
      </c>
      <c r="D7430" t="s">
        <v>82</v>
      </c>
      <c r="E7430" t="s">
        <v>83</v>
      </c>
      <c r="F7430">
        <v>2200</v>
      </c>
      <c r="G7430" t="s">
        <v>331</v>
      </c>
      <c r="H7430" s="15">
        <v>45292</v>
      </c>
      <c r="I7430">
        <v>2200</v>
      </c>
      <c r="J7430">
        <v>0</v>
      </c>
    </row>
    <row r="7431" spans="1:10" x14ac:dyDescent="0.3">
      <c r="A7431" s="15">
        <v>46113</v>
      </c>
      <c r="B7431" t="s">
        <v>267</v>
      </c>
      <c r="C7431" t="s">
        <v>91</v>
      </c>
      <c r="D7431" t="s">
        <v>82</v>
      </c>
      <c r="E7431" t="s">
        <v>97</v>
      </c>
      <c r="F7431">
        <v>7300</v>
      </c>
      <c r="G7431" t="s">
        <v>331</v>
      </c>
      <c r="H7431" s="15">
        <v>45292</v>
      </c>
      <c r="I7431">
        <v>7300</v>
      </c>
      <c r="J7431">
        <v>0</v>
      </c>
    </row>
    <row r="7432" spans="1:10" x14ac:dyDescent="0.3">
      <c r="A7432" s="15">
        <v>46113</v>
      </c>
      <c r="B7432" t="s">
        <v>272</v>
      </c>
      <c r="C7432" t="s">
        <v>125</v>
      </c>
      <c r="D7432" t="s">
        <v>96</v>
      </c>
      <c r="E7432" t="s">
        <v>103</v>
      </c>
      <c r="F7432">
        <v>101100</v>
      </c>
      <c r="G7432" t="s">
        <v>331</v>
      </c>
      <c r="H7432" s="15">
        <v>45292</v>
      </c>
      <c r="I7432">
        <v>101100</v>
      </c>
      <c r="J7432">
        <v>0</v>
      </c>
    </row>
    <row r="7433" spans="1:10" x14ac:dyDescent="0.3">
      <c r="A7433" s="15">
        <v>46113</v>
      </c>
      <c r="B7433" t="s">
        <v>273</v>
      </c>
      <c r="C7433" t="s">
        <v>81</v>
      </c>
      <c r="D7433" t="s">
        <v>82</v>
      </c>
      <c r="E7433" t="s">
        <v>101</v>
      </c>
      <c r="F7433">
        <v>3300</v>
      </c>
      <c r="G7433" t="s">
        <v>331</v>
      </c>
      <c r="H7433" s="15">
        <v>45292</v>
      </c>
      <c r="I7433">
        <v>3300</v>
      </c>
      <c r="J7433">
        <v>0</v>
      </c>
    </row>
    <row r="7434" spans="1:10" x14ac:dyDescent="0.3">
      <c r="A7434" s="15">
        <v>46113</v>
      </c>
      <c r="B7434" t="s">
        <v>274</v>
      </c>
      <c r="C7434" t="s">
        <v>91</v>
      </c>
      <c r="D7434" t="s">
        <v>99</v>
      </c>
      <c r="E7434" t="s">
        <v>87</v>
      </c>
      <c r="F7434">
        <v>11400</v>
      </c>
      <c r="G7434" t="s">
        <v>331</v>
      </c>
      <c r="H7434" s="15">
        <v>45292</v>
      </c>
      <c r="I7434">
        <v>11400</v>
      </c>
      <c r="J7434">
        <v>0</v>
      </c>
    </row>
    <row r="7435" spans="1:10" x14ac:dyDescent="0.3">
      <c r="A7435" s="15">
        <v>46113</v>
      </c>
      <c r="B7435" t="s">
        <v>276</v>
      </c>
      <c r="C7435" t="s">
        <v>81</v>
      </c>
      <c r="D7435" t="s">
        <v>82</v>
      </c>
      <c r="E7435" t="s">
        <v>103</v>
      </c>
      <c r="F7435">
        <v>3300</v>
      </c>
      <c r="G7435" t="s">
        <v>331</v>
      </c>
      <c r="H7435" s="15">
        <v>45292</v>
      </c>
      <c r="I7435">
        <v>3300</v>
      </c>
      <c r="J7435">
        <v>0</v>
      </c>
    </row>
    <row r="7436" spans="1:10" x14ac:dyDescent="0.3">
      <c r="A7436" s="15">
        <v>46113</v>
      </c>
      <c r="B7436" t="s">
        <v>277</v>
      </c>
      <c r="C7436" t="s">
        <v>91</v>
      </c>
      <c r="D7436" t="s">
        <v>86</v>
      </c>
      <c r="E7436" t="s">
        <v>97</v>
      </c>
      <c r="F7436">
        <v>9200</v>
      </c>
      <c r="G7436" t="s">
        <v>331</v>
      </c>
      <c r="H7436" s="15">
        <v>45292</v>
      </c>
      <c r="I7436">
        <v>9200</v>
      </c>
      <c r="J7436">
        <v>0</v>
      </c>
    </row>
    <row r="7437" spans="1:10" x14ac:dyDescent="0.3">
      <c r="A7437" s="15">
        <v>46113</v>
      </c>
      <c r="B7437" t="s">
        <v>279</v>
      </c>
      <c r="C7437" t="s">
        <v>91</v>
      </c>
      <c r="D7437" t="s">
        <v>99</v>
      </c>
      <c r="E7437" t="s">
        <v>89</v>
      </c>
      <c r="F7437">
        <v>9800</v>
      </c>
      <c r="G7437" t="s">
        <v>331</v>
      </c>
      <c r="H7437" s="15">
        <v>45292</v>
      </c>
      <c r="I7437">
        <v>9800</v>
      </c>
      <c r="J7437">
        <v>0</v>
      </c>
    </row>
    <row r="7438" spans="1:10" x14ac:dyDescent="0.3">
      <c r="A7438" s="15">
        <v>46113</v>
      </c>
      <c r="B7438" t="s">
        <v>280</v>
      </c>
      <c r="C7438" t="s">
        <v>91</v>
      </c>
      <c r="D7438" t="s">
        <v>96</v>
      </c>
      <c r="E7438" t="s">
        <v>83</v>
      </c>
      <c r="F7438">
        <v>0</v>
      </c>
      <c r="G7438" t="s">
        <v>333</v>
      </c>
      <c r="H7438" s="15">
        <v>45292</v>
      </c>
      <c r="I7438">
        <v>6300</v>
      </c>
      <c r="J7438">
        <v>-6300</v>
      </c>
    </row>
    <row r="7439" spans="1:10" x14ac:dyDescent="0.3">
      <c r="A7439" s="15">
        <v>46113</v>
      </c>
      <c r="B7439" t="s">
        <v>282</v>
      </c>
      <c r="C7439" t="s">
        <v>91</v>
      </c>
      <c r="D7439" t="s">
        <v>86</v>
      </c>
      <c r="E7439" t="s">
        <v>92</v>
      </c>
      <c r="F7439">
        <v>5800</v>
      </c>
      <c r="G7439" t="s">
        <v>331</v>
      </c>
      <c r="H7439" s="15">
        <v>45292</v>
      </c>
      <c r="I7439">
        <v>5800</v>
      </c>
      <c r="J7439">
        <v>0</v>
      </c>
    </row>
    <row r="7440" spans="1:10" x14ac:dyDescent="0.3">
      <c r="A7440" s="15">
        <v>46113</v>
      </c>
      <c r="B7440" t="s">
        <v>283</v>
      </c>
      <c r="C7440" t="s">
        <v>110</v>
      </c>
      <c r="D7440" t="s">
        <v>82</v>
      </c>
      <c r="E7440" t="s">
        <v>87</v>
      </c>
      <c r="F7440">
        <v>34200</v>
      </c>
      <c r="G7440" t="s">
        <v>331</v>
      </c>
      <c r="H7440" s="15">
        <v>45292</v>
      </c>
      <c r="I7440">
        <v>34200</v>
      </c>
      <c r="J7440">
        <v>0</v>
      </c>
    </row>
    <row r="7441" spans="1:10" x14ac:dyDescent="0.3">
      <c r="A7441" s="15">
        <v>46113</v>
      </c>
      <c r="B7441" t="s">
        <v>285</v>
      </c>
      <c r="C7441" t="s">
        <v>91</v>
      </c>
      <c r="D7441" t="s">
        <v>82</v>
      </c>
      <c r="E7441" t="s">
        <v>83</v>
      </c>
      <c r="F7441">
        <v>10900</v>
      </c>
      <c r="G7441" t="s">
        <v>331</v>
      </c>
      <c r="H7441" s="15">
        <v>45292</v>
      </c>
      <c r="I7441">
        <v>10900</v>
      </c>
      <c r="J7441">
        <v>0</v>
      </c>
    </row>
    <row r="7442" spans="1:10" x14ac:dyDescent="0.3">
      <c r="A7442" s="15">
        <v>46113</v>
      </c>
      <c r="B7442" t="s">
        <v>286</v>
      </c>
      <c r="C7442" t="s">
        <v>125</v>
      </c>
      <c r="D7442" t="s">
        <v>86</v>
      </c>
      <c r="E7442" t="s">
        <v>92</v>
      </c>
      <c r="F7442">
        <v>92400</v>
      </c>
      <c r="G7442" t="s">
        <v>331</v>
      </c>
      <c r="H7442" s="15">
        <v>45292</v>
      </c>
      <c r="I7442">
        <v>92400</v>
      </c>
      <c r="J7442">
        <v>0</v>
      </c>
    </row>
    <row r="7443" spans="1:10" x14ac:dyDescent="0.3">
      <c r="A7443" s="15">
        <v>46113</v>
      </c>
      <c r="B7443" t="s">
        <v>287</v>
      </c>
      <c r="C7443" t="s">
        <v>81</v>
      </c>
      <c r="D7443" t="s">
        <v>99</v>
      </c>
      <c r="E7443" t="s">
        <v>87</v>
      </c>
      <c r="F7443">
        <v>2300</v>
      </c>
      <c r="G7443" t="s">
        <v>331</v>
      </c>
      <c r="H7443" s="15">
        <v>45292</v>
      </c>
      <c r="I7443">
        <v>2300</v>
      </c>
      <c r="J7443">
        <v>0</v>
      </c>
    </row>
    <row r="7444" spans="1:10" x14ac:dyDescent="0.3">
      <c r="A7444" s="15">
        <v>46113</v>
      </c>
      <c r="B7444" t="s">
        <v>288</v>
      </c>
      <c r="C7444" t="s">
        <v>81</v>
      </c>
      <c r="D7444" t="s">
        <v>99</v>
      </c>
      <c r="E7444" t="s">
        <v>97</v>
      </c>
      <c r="F7444">
        <v>2900</v>
      </c>
      <c r="G7444" t="s">
        <v>331</v>
      </c>
      <c r="H7444" s="15">
        <v>45292</v>
      </c>
      <c r="I7444">
        <v>2900</v>
      </c>
      <c r="J7444">
        <v>0</v>
      </c>
    </row>
    <row r="7445" spans="1:10" x14ac:dyDescent="0.3">
      <c r="A7445" s="15">
        <v>46113</v>
      </c>
      <c r="B7445" t="s">
        <v>289</v>
      </c>
      <c r="C7445" t="s">
        <v>91</v>
      </c>
      <c r="D7445" t="s">
        <v>86</v>
      </c>
      <c r="E7445" t="s">
        <v>101</v>
      </c>
      <c r="F7445">
        <v>9400</v>
      </c>
      <c r="G7445" t="s">
        <v>331</v>
      </c>
      <c r="H7445" s="15">
        <v>45292</v>
      </c>
      <c r="I7445">
        <v>9400</v>
      </c>
      <c r="J7445">
        <v>0</v>
      </c>
    </row>
    <row r="7446" spans="1:10" x14ac:dyDescent="0.3">
      <c r="A7446" s="15">
        <v>46113</v>
      </c>
      <c r="B7446" t="s">
        <v>290</v>
      </c>
      <c r="C7446" t="s">
        <v>81</v>
      </c>
      <c r="D7446" t="s">
        <v>82</v>
      </c>
      <c r="E7446" t="s">
        <v>103</v>
      </c>
      <c r="F7446">
        <v>2800</v>
      </c>
      <c r="G7446" t="s">
        <v>332</v>
      </c>
      <c r="H7446" s="15">
        <v>45292</v>
      </c>
      <c r="I7446">
        <v>2500</v>
      </c>
      <c r="J7446">
        <v>300</v>
      </c>
    </row>
    <row r="7447" spans="1:10" x14ac:dyDescent="0.3">
      <c r="A7447" s="15">
        <v>46113</v>
      </c>
      <c r="B7447" t="s">
        <v>291</v>
      </c>
      <c r="C7447" t="s">
        <v>81</v>
      </c>
      <c r="D7447" t="s">
        <v>82</v>
      </c>
      <c r="E7447" t="s">
        <v>83</v>
      </c>
      <c r="F7447">
        <v>3100</v>
      </c>
      <c r="G7447" t="s">
        <v>331</v>
      </c>
      <c r="H7447" s="15">
        <v>45292</v>
      </c>
      <c r="I7447">
        <v>3100</v>
      </c>
      <c r="J7447">
        <v>0</v>
      </c>
    </row>
    <row r="7448" spans="1:10" x14ac:dyDescent="0.3">
      <c r="A7448" s="15">
        <v>46113</v>
      </c>
      <c r="B7448" t="s">
        <v>292</v>
      </c>
      <c r="C7448" t="s">
        <v>91</v>
      </c>
      <c r="D7448" t="s">
        <v>86</v>
      </c>
      <c r="E7448" t="s">
        <v>89</v>
      </c>
      <c r="F7448">
        <v>9900</v>
      </c>
      <c r="G7448" t="s">
        <v>331</v>
      </c>
      <c r="H7448" s="15">
        <v>45292</v>
      </c>
      <c r="I7448">
        <v>9900</v>
      </c>
      <c r="J7448">
        <v>0</v>
      </c>
    </row>
    <row r="7449" spans="1:10" x14ac:dyDescent="0.3">
      <c r="A7449" s="15">
        <v>46113</v>
      </c>
      <c r="B7449" t="s">
        <v>293</v>
      </c>
      <c r="C7449" t="s">
        <v>81</v>
      </c>
      <c r="D7449" t="s">
        <v>86</v>
      </c>
      <c r="E7449" t="s">
        <v>103</v>
      </c>
      <c r="F7449">
        <v>2200</v>
      </c>
      <c r="G7449" t="s">
        <v>331</v>
      </c>
      <c r="H7449" s="15">
        <v>45292</v>
      </c>
      <c r="I7449">
        <v>2200</v>
      </c>
      <c r="J7449">
        <v>0</v>
      </c>
    </row>
    <row r="7450" spans="1:10" x14ac:dyDescent="0.3">
      <c r="A7450" s="15">
        <v>46113</v>
      </c>
      <c r="B7450" t="s">
        <v>294</v>
      </c>
      <c r="C7450" t="s">
        <v>91</v>
      </c>
      <c r="D7450" t="s">
        <v>82</v>
      </c>
      <c r="E7450" t="s">
        <v>97</v>
      </c>
      <c r="F7450">
        <v>9100</v>
      </c>
      <c r="G7450" t="s">
        <v>331</v>
      </c>
      <c r="H7450" s="15">
        <v>45292</v>
      </c>
      <c r="I7450">
        <v>9100</v>
      </c>
      <c r="J7450">
        <v>0</v>
      </c>
    </row>
    <row r="7451" spans="1:10" x14ac:dyDescent="0.3">
      <c r="A7451" s="15">
        <v>46113</v>
      </c>
      <c r="B7451" t="s">
        <v>295</v>
      </c>
      <c r="C7451" t="s">
        <v>81</v>
      </c>
      <c r="D7451" t="s">
        <v>82</v>
      </c>
      <c r="E7451" t="s">
        <v>103</v>
      </c>
      <c r="F7451">
        <v>2000</v>
      </c>
      <c r="G7451" t="s">
        <v>331</v>
      </c>
      <c r="H7451" s="15">
        <v>45292</v>
      </c>
      <c r="I7451">
        <v>2000</v>
      </c>
      <c r="J7451">
        <v>0</v>
      </c>
    </row>
    <row r="7452" spans="1:10" x14ac:dyDescent="0.3">
      <c r="A7452" s="15">
        <v>46113</v>
      </c>
      <c r="B7452" t="s">
        <v>298</v>
      </c>
      <c r="C7452" t="s">
        <v>81</v>
      </c>
      <c r="D7452" t="s">
        <v>86</v>
      </c>
      <c r="E7452" t="s">
        <v>89</v>
      </c>
      <c r="F7452">
        <v>2700</v>
      </c>
      <c r="G7452" t="s">
        <v>331</v>
      </c>
      <c r="H7452" s="15">
        <v>45292</v>
      </c>
      <c r="I7452">
        <v>2700</v>
      </c>
      <c r="J7452">
        <v>0</v>
      </c>
    </row>
    <row r="7453" spans="1:10" x14ac:dyDescent="0.3">
      <c r="A7453" s="15">
        <v>46113</v>
      </c>
      <c r="B7453" t="s">
        <v>299</v>
      </c>
      <c r="C7453" t="s">
        <v>81</v>
      </c>
      <c r="D7453" t="s">
        <v>99</v>
      </c>
      <c r="E7453" t="s">
        <v>103</v>
      </c>
      <c r="F7453">
        <v>2900</v>
      </c>
      <c r="G7453" t="s">
        <v>331</v>
      </c>
      <c r="H7453" s="15">
        <v>45292</v>
      </c>
      <c r="I7453">
        <v>2900</v>
      </c>
      <c r="J7453">
        <v>0</v>
      </c>
    </row>
    <row r="7454" spans="1:10" x14ac:dyDescent="0.3">
      <c r="A7454" s="15">
        <v>46113</v>
      </c>
      <c r="B7454" t="s">
        <v>300</v>
      </c>
      <c r="C7454" t="s">
        <v>91</v>
      </c>
      <c r="D7454" t="s">
        <v>82</v>
      </c>
      <c r="E7454" t="s">
        <v>89</v>
      </c>
      <c r="F7454">
        <v>11500</v>
      </c>
      <c r="G7454" t="s">
        <v>331</v>
      </c>
      <c r="H7454" s="15">
        <v>45292</v>
      </c>
      <c r="I7454">
        <v>11500</v>
      </c>
      <c r="J7454">
        <v>0</v>
      </c>
    </row>
    <row r="7455" spans="1:10" x14ac:dyDescent="0.3">
      <c r="A7455" s="15">
        <v>46113</v>
      </c>
      <c r="B7455" t="s">
        <v>303</v>
      </c>
      <c r="C7455" t="s">
        <v>81</v>
      </c>
      <c r="D7455" t="s">
        <v>82</v>
      </c>
      <c r="E7455" t="s">
        <v>83</v>
      </c>
      <c r="F7455">
        <v>1500</v>
      </c>
      <c r="G7455" t="s">
        <v>331</v>
      </c>
      <c r="H7455" s="15">
        <v>45292</v>
      </c>
      <c r="I7455">
        <v>1500</v>
      </c>
      <c r="J7455">
        <v>0</v>
      </c>
    </row>
    <row r="7456" spans="1:10" x14ac:dyDescent="0.3">
      <c r="A7456" s="15">
        <v>46113</v>
      </c>
      <c r="B7456" t="s">
        <v>304</v>
      </c>
      <c r="C7456" t="s">
        <v>81</v>
      </c>
      <c r="D7456" t="s">
        <v>86</v>
      </c>
      <c r="E7456" t="s">
        <v>92</v>
      </c>
      <c r="F7456">
        <v>2100</v>
      </c>
      <c r="G7456" t="s">
        <v>331</v>
      </c>
      <c r="H7456" s="15">
        <v>45292</v>
      </c>
      <c r="I7456">
        <v>2100</v>
      </c>
      <c r="J7456">
        <v>0</v>
      </c>
    </row>
    <row r="7457" spans="1:10" x14ac:dyDescent="0.3">
      <c r="A7457" s="15">
        <v>46113</v>
      </c>
      <c r="B7457" t="s">
        <v>306</v>
      </c>
      <c r="C7457" t="s">
        <v>91</v>
      </c>
      <c r="D7457" t="s">
        <v>82</v>
      </c>
      <c r="E7457" t="s">
        <v>87</v>
      </c>
      <c r="F7457">
        <v>11700</v>
      </c>
      <c r="G7457" t="s">
        <v>331</v>
      </c>
      <c r="H7457" s="15">
        <v>45292</v>
      </c>
      <c r="I7457">
        <v>11700</v>
      </c>
      <c r="J7457">
        <v>0</v>
      </c>
    </row>
    <row r="7458" spans="1:10" x14ac:dyDescent="0.3">
      <c r="A7458" s="15">
        <v>46113</v>
      </c>
      <c r="B7458" t="s">
        <v>307</v>
      </c>
      <c r="C7458" t="s">
        <v>81</v>
      </c>
      <c r="D7458" t="s">
        <v>86</v>
      </c>
      <c r="E7458" t="s">
        <v>97</v>
      </c>
      <c r="F7458">
        <v>2600</v>
      </c>
      <c r="G7458" t="s">
        <v>331</v>
      </c>
      <c r="H7458" s="15">
        <v>45292</v>
      </c>
      <c r="I7458">
        <v>2600</v>
      </c>
      <c r="J7458">
        <v>0</v>
      </c>
    </row>
    <row r="7459" spans="1:10" x14ac:dyDescent="0.3">
      <c r="A7459" s="15">
        <v>46113</v>
      </c>
      <c r="B7459" t="s">
        <v>309</v>
      </c>
      <c r="C7459" t="s">
        <v>91</v>
      </c>
      <c r="D7459" t="s">
        <v>82</v>
      </c>
      <c r="E7459" t="s">
        <v>87</v>
      </c>
      <c r="F7459">
        <v>11800</v>
      </c>
      <c r="G7459" t="s">
        <v>331</v>
      </c>
      <c r="H7459" s="15">
        <v>45292</v>
      </c>
      <c r="I7459">
        <v>11800</v>
      </c>
      <c r="J7459">
        <v>0</v>
      </c>
    </row>
    <row r="7460" spans="1:10" x14ac:dyDescent="0.3">
      <c r="A7460" s="15">
        <v>46113</v>
      </c>
      <c r="B7460" t="s">
        <v>310</v>
      </c>
      <c r="C7460" t="s">
        <v>91</v>
      </c>
      <c r="D7460" t="s">
        <v>99</v>
      </c>
      <c r="E7460" t="s">
        <v>87</v>
      </c>
      <c r="F7460">
        <v>10000</v>
      </c>
      <c r="G7460" t="s">
        <v>331</v>
      </c>
      <c r="H7460" s="15">
        <v>45292</v>
      </c>
      <c r="I7460">
        <v>10000</v>
      </c>
      <c r="J7460">
        <v>0</v>
      </c>
    </row>
    <row r="7461" spans="1:10" x14ac:dyDescent="0.3">
      <c r="A7461" s="15">
        <v>46113</v>
      </c>
      <c r="B7461" t="s">
        <v>315</v>
      </c>
      <c r="C7461" t="s">
        <v>125</v>
      </c>
      <c r="D7461" t="s">
        <v>86</v>
      </c>
      <c r="E7461" t="s">
        <v>92</v>
      </c>
      <c r="F7461">
        <v>76200</v>
      </c>
      <c r="G7461" t="s">
        <v>331</v>
      </c>
      <c r="H7461" s="15">
        <v>45292</v>
      </c>
      <c r="I7461">
        <v>76200</v>
      </c>
      <c r="J7461">
        <v>0</v>
      </c>
    </row>
    <row r="7462" spans="1:10" x14ac:dyDescent="0.3">
      <c r="A7462" s="15">
        <v>46113</v>
      </c>
      <c r="B7462" t="s">
        <v>316</v>
      </c>
      <c r="C7462" t="s">
        <v>81</v>
      </c>
      <c r="D7462" t="s">
        <v>96</v>
      </c>
      <c r="E7462" t="s">
        <v>92</v>
      </c>
      <c r="F7462">
        <v>2000</v>
      </c>
      <c r="G7462" t="s">
        <v>331</v>
      </c>
      <c r="H7462" s="15">
        <v>45292</v>
      </c>
      <c r="I7462">
        <v>2000</v>
      </c>
      <c r="J7462">
        <v>0</v>
      </c>
    </row>
    <row r="7463" spans="1:10" x14ac:dyDescent="0.3">
      <c r="A7463" s="15">
        <v>46113</v>
      </c>
      <c r="B7463" t="s">
        <v>318</v>
      </c>
      <c r="C7463" t="s">
        <v>110</v>
      </c>
      <c r="D7463" t="s">
        <v>82</v>
      </c>
      <c r="E7463" t="s">
        <v>97</v>
      </c>
      <c r="F7463">
        <v>29600</v>
      </c>
      <c r="G7463" t="s">
        <v>331</v>
      </c>
      <c r="H7463" s="15">
        <v>45292</v>
      </c>
      <c r="I7463">
        <v>29600</v>
      </c>
      <c r="J7463">
        <v>0</v>
      </c>
    </row>
    <row r="7464" spans="1:10" x14ac:dyDescent="0.3">
      <c r="A7464" s="15">
        <v>46113</v>
      </c>
      <c r="B7464" t="s">
        <v>320</v>
      </c>
      <c r="C7464" t="s">
        <v>91</v>
      </c>
      <c r="D7464" t="s">
        <v>86</v>
      </c>
      <c r="E7464" t="s">
        <v>97</v>
      </c>
      <c r="F7464">
        <v>7700</v>
      </c>
      <c r="G7464" t="s">
        <v>331</v>
      </c>
      <c r="H7464" s="15">
        <v>45292</v>
      </c>
      <c r="I7464">
        <v>7700</v>
      </c>
      <c r="J7464">
        <v>0</v>
      </c>
    </row>
    <row r="7465" spans="1:10" x14ac:dyDescent="0.3">
      <c r="A7465" s="15">
        <v>46113</v>
      </c>
      <c r="B7465" t="s">
        <v>321</v>
      </c>
      <c r="C7465" t="s">
        <v>81</v>
      </c>
      <c r="D7465" t="s">
        <v>99</v>
      </c>
      <c r="E7465" t="s">
        <v>101</v>
      </c>
      <c r="F7465">
        <v>3500</v>
      </c>
      <c r="G7465" t="s">
        <v>331</v>
      </c>
      <c r="H7465" s="15">
        <v>45292</v>
      </c>
      <c r="I7465">
        <v>3500</v>
      </c>
      <c r="J7465">
        <v>0</v>
      </c>
    </row>
    <row r="7466" spans="1:10" x14ac:dyDescent="0.3">
      <c r="A7466" s="15">
        <v>46113</v>
      </c>
      <c r="B7466" t="s">
        <v>322</v>
      </c>
      <c r="C7466" t="s">
        <v>81</v>
      </c>
      <c r="D7466" t="s">
        <v>82</v>
      </c>
      <c r="E7466" t="s">
        <v>103</v>
      </c>
      <c r="F7466">
        <v>2000</v>
      </c>
      <c r="G7466" t="s">
        <v>331</v>
      </c>
      <c r="H7466" s="15">
        <v>45292</v>
      </c>
      <c r="I7466">
        <v>2000</v>
      </c>
      <c r="J7466">
        <v>0</v>
      </c>
    </row>
    <row r="7467" spans="1:10" x14ac:dyDescent="0.3">
      <c r="A7467" s="15">
        <v>46113</v>
      </c>
      <c r="B7467" t="s">
        <v>323</v>
      </c>
      <c r="C7467" t="s">
        <v>110</v>
      </c>
      <c r="D7467" t="s">
        <v>82</v>
      </c>
      <c r="E7467" t="s">
        <v>89</v>
      </c>
      <c r="F7467">
        <v>19600</v>
      </c>
      <c r="G7467" t="s">
        <v>331</v>
      </c>
      <c r="H7467" s="15">
        <v>45292</v>
      </c>
      <c r="I7467">
        <v>19600</v>
      </c>
      <c r="J7467">
        <v>0</v>
      </c>
    </row>
    <row r="7468" spans="1:10" x14ac:dyDescent="0.3">
      <c r="A7468" s="15">
        <v>46113</v>
      </c>
      <c r="B7468" t="s">
        <v>324</v>
      </c>
      <c r="C7468" t="s">
        <v>81</v>
      </c>
      <c r="D7468" t="s">
        <v>86</v>
      </c>
      <c r="E7468" t="s">
        <v>87</v>
      </c>
      <c r="F7468">
        <v>2400</v>
      </c>
      <c r="G7468" t="s">
        <v>331</v>
      </c>
      <c r="H7468" s="15">
        <v>45292</v>
      </c>
      <c r="I7468">
        <v>2400</v>
      </c>
      <c r="J7468">
        <v>0</v>
      </c>
    </row>
    <row r="7469" spans="1:10" x14ac:dyDescent="0.3">
      <c r="A7469" s="15">
        <v>46113</v>
      </c>
      <c r="B7469" t="s">
        <v>325</v>
      </c>
      <c r="C7469" t="s">
        <v>91</v>
      </c>
      <c r="D7469" t="s">
        <v>86</v>
      </c>
      <c r="E7469" t="s">
        <v>87</v>
      </c>
      <c r="F7469">
        <v>9400</v>
      </c>
      <c r="G7469" t="s">
        <v>331</v>
      </c>
      <c r="H7469" s="15">
        <v>45292</v>
      </c>
      <c r="I7469">
        <v>9400</v>
      </c>
      <c r="J7469">
        <v>0</v>
      </c>
    </row>
    <row r="7470" spans="1:10" x14ac:dyDescent="0.3">
      <c r="A7470" s="15">
        <v>46113</v>
      </c>
      <c r="B7470" t="s">
        <v>327</v>
      </c>
      <c r="C7470" t="s">
        <v>125</v>
      </c>
      <c r="D7470" t="s">
        <v>99</v>
      </c>
      <c r="E7470" t="s">
        <v>97</v>
      </c>
      <c r="F7470">
        <v>77500</v>
      </c>
      <c r="G7470" t="s">
        <v>331</v>
      </c>
      <c r="H7470" s="15">
        <v>45292</v>
      </c>
      <c r="I7470">
        <v>77500</v>
      </c>
      <c r="J7470">
        <v>0</v>
      </c>
    </row>
    <row r="7471" spans="1:10" x14ac:dyDescent="0.3">
      <c r="A7471" s="15">
        <v>46113</v>
      </c>
      <c r="B7471" t="s">
        <v>329</v>
      </c>
      <c r="C7471" t="s">
        <v>81</v>
      </c>
      <c r="D7471" t="s">
        <v>86</v>
      </c>
      <c r="E7471" t="s">
        <v>101</v>
      </c>
      <c r="F7471">
        <v>2200</v>
      </c>
      <c r="G7471" t="s">
        <v>331</v>
      </c>
      <c r="H7471" s="15">
        <v>45292</v>
      </c>
      <c r="I7471">
        <v>2200</v>
      </c>
      <c r="J7471">
        <v>0</v>
      </c>
    </row>
    <row r="7472" spans="1:10" x14ac:dyDescent="0.3">
      <c r="A7472" s="15">
        <v>46113</v>
      </c>
      <c r="B7472" t="s">
        <v>330</v>
      </c>
      <c r="C7472" t="s">
        <v>125</v>
      </c>
      <c r="D7472" t="s">
        <v>86</v>
      </c>
      <c r="E7472" t="s">
        <v>87</v>
      </c>
      <c r="F7472">
        <v>105400</v>
      </c>
      <c r="G7472" t="s">
        <v>331</v>
      </c>
      <c r="H7472" s="15">
        <v>45292</v>
      </c>
      <c r="I7472">
        <v>105400</v>
      </c>
      <c r="J7472">
        <v>0</v>
      </c>
    </row>
    <row r="7473" spans="1:10" x14ac:dyDescent="0.3">
      <c r="A7473" s="15">
        <v>46113</v>
      </c>
      <c r="B7473" t="s">
        <v>335</v>
      </c>
      <c r="C7473" t="s">
        <v>91</v>
      </c>
      <c r="D7473" t="s">
        <v>86</v>
      </c>
      <c r="E7473" t="s">
        <v>89</v>
      </c>
      <c r="F7473">
        <v>6500</v>
      </c>
      <c r="G7473" t="s">
        <v>331</v>
      </c>
      <c r="H7473" s="15">
        <v>45323</v>
      </c>
      <c r="I7473">
        <v>6500</v>
      </c>
      <c r="J7473">
        <v>0</v>
      </c>
    </row>
    <row r="7474" spans="1:10" x14ac:dyDescent="0.3">
      <c r="A7474" s="15">
        <v>46113</v>
      </c>
      <c r="B7474" t="s">
        <v>336</v>
      </c>
      <c r="C7474" t="s">
        <v>81</v>
      </c>
      <c r="D7474" t="s">
        <v>82</v>
      </c>
      <c r="E7474" t="s">
        <v>103</v>
      </c>
      <c r="F7474">
        <v>1500</v>
      </c>
      <c r="G7474" t="s">
        <v>331</v>
      </c>
      <c r="H7474" s="15">
        <v>45323</v>
      </c>
      <c r="I7474">
        <v>1500</v>
      </c>
      <c r="J7474">
        <v>0</v>
      </c>
    </row>
    <row r="7475" spans="1:10" x14ac:dyDescent="0.3">
      <c r="A7475" s="15">
        <v>46113</v>
      </c>
      <c r="B7475" t="s">
        <v>339</v>
      </c>
      <c r="C7475" t="s">
        <v>81</v>
      </c>
      <c r="D7475" t="s">
        <v>82</v>
      </c>
      <c r="E7475" t="s">
        <v>103</v>
      </c>
      <c r="F7475">
        <v>1400</v>
      </c>
      <c r="G7475" t="s">
        <v>331</v>
      </c>
      <c r="H7475" s="15">
        <v>45323</v>
      </c>
      <c r="I7475">
        <v>1400</v>
      </c>
      <c r="J7475">
        <v>0</v>
      </c>
    </row>
    <row r="7476" spans="1:10" x14ac:dyDescent="0.3">
      <c r="A7476" s="15">
        <v>46113</v>
      </c>
      <c r="B7476" t="s">
        <v>341</v>
      </c>
      <c r="C7476" t="s">
        <v>110</v>
      </c>
      <c r="D7476" t="s">
        <v>82</v>
      </c>
      <c r="E7476" t="s">
        <v>92</v>
      </c>
      <c r="F7476">
        <v>18800</v>
      </c>
      <c r="G7476" t="s">
        <v>331</v>
      </c>
      <c r="H7476" s="15">
        <v>45323</v>
      </c>
      <c r="I7476">
        <v>18800</v>
      </c>
      <c r="J7476">
        <v>0</v>
      </c>
    </row>
    <row r="7477" spans="1:10" x14ac:dyDescent="0.3">
      <c r="A7477" s="15">
        <v>46113</v>
      </c>
      <c r="B7477" t="s">
        <v>342</v>
      </c>
      <c r="C7477" t="s">
        <v>91</v>
      </c>
      <c r="D7477" t="s">
        <v>82</v>
      </c>
      <c r="E7477" t="s">
        <v>83</v>
      </c>
      <c r="F7477">
        <v>6300</v>
      </c>
      <c r="G7477" t="s">
        <v>331</v>
      </c>
      <c r="H7477" s="15">
        <v>45352</v>
      </c>
      <c r="I7477">
        <v>6300</v>
      </c>
      <c r="J7477">
        <v>0</v>
      </c>
    </row>
    <row r="7478" spans="1:10" x14ac:dyDescent="0.3">
      <c r="A7478" s="15">
        <v>46113</v>
      </c>
      <c r="B7478" t="s">
        <v>343</v>
      </c>
      <c r="C7478" t="s">
        <v>81</v>
      </c>
      <c r="D7478" t="s">
        <v>82</v>
      </c>
      <c r="E7478" t="s">
        <v>89</v>
      </c>
      <c r="F7478">
        <v>2500</v>
      </c>
      <c r="G7478" t="s">
        <v>331</v>
      </c>
      <c r="H7478" s="15">
        <v>45352</v>
      </c>
      <c r="I7478">
        <v>2500</v>
      </c>
      <c r="J7478">
        <v>0</v>
      </c>
    </row>
    <row r="7479" spans="1:10" x14ac:dyDescent="0.3">
      <c r="A7479" s="15">
        <v>46113</v>
      </c>
      <c r="B7479" t="s">
        <v>344</v>
      </c>
      <c r="C7479" t="s">
        <v>110</v>
      </c>
      <c r="D7479" t="s">
        <v>86</v>
      </c>
      <c r="E7479" t="s">
        <v>89</v>
      </c>
      <c r="F7479">
        <v>25800</v>
      </c>
      <c r="G7479" t="s">
        <v>331</v>
      </c>
      <c r="H7479" s="15">
        <v>45352</v>
      </c>
      <c r="I7479">
        <v>25800</v>
      </c>
      <c r="J7479">
        <v>0</v>
      </c>
    </row>
    <row r="7480" spans="1:10" x14ac:dyDescent="0.3">
      <c r="A7480" s="15">
        <v>46113</v>
      </c>
      <c r="B7480" t="s">
        <v>345</v>
      </c>
      <c r="C7480" t="s">
        <v>91</v>
      </c>
      <c r="D7480" t="s">
        <v>86</v>
      </c>
      <c r="E7480" t="s">
        <v>83</v>
      </c>
      <c r="F7480">
        <v>7900</v>
      </c>
      <c r="G7480" t="s">
        <v>331</v>
      </c>
      <c r="H7480" s="15">
        <v>45352</v>
      </c>
      <c r="I7480">
        <v>7900</v>
      </c>
      <c r="J7480">
        <v>0</v>
      </c>
    </row>
    <row r="7481" spans="1:10" x14ac:dyDescent="0.3">
      <c r="A7481" s="15">
        <v>46113</v>
      </c>
      <c r="B7481" t="s">
        <v>346</v>
      </c>
      <c r="C7481" t="s">
        <v>81</v>
      </c>
      <c r="D7481" t="s">
        <v>86</v>
      </c>
      <c r="E7481" t="s">
        <v>97</v>
      </c>
      <c r="F7481">
        <v>1700</v>
      </c>
      <c r="G7481" t="s">
        <v>331</v>
      </c>
      <c r="H7481" s="15">
        <v>45352</v>
      </c>
      <c r="I7481">
        <v>1700</v>
      </c>
      <c r="J7481">
        <v>0</v>
      </c>
    </row>
    <row r="7482" spans="1:10" x14ac:dyDescent="0.3">
      <c r="A7482" s="15">
        <v>46113</v>
      </c>
      <c r="B7482" t="s">
        <v>347</v>
      </c>
      <c r="C7482" t="s">
        <v>91</v>
      </c>
      <c r="D7482" t="s">
        <v>82</v>
      </c>
      <c r="E7482" t="s">
        <v>83</v>
      </c>
      <c r="F7482">
        <v>4700</v>
      </c>
      <c r="G7482" t="s">
        <v>331</v>
      </c>
      <c r="H7482" s="15">
        <v>45383</v>
      </c>
      <c r="I7482">
        <v>4700</v>
      </c>
      <c r="J7482">
        <v>0</v>
      </c>
    </row>
    <row r="7483" spans="1:10" x14ac:dyDescent="0.3">
      <c r="A7483" s="15">
        <v>46113</v>
      </c>
      <c r="B7483" t="s">
        <v>350</v>
      </c>
      <c r="C7483" t="s">
        <v>91</v>
      </c>
      <c r="D7483" t="s">
        <v>82</v>
      </c>
      <c r="E7483" t="s">
        <v>83</v>
      </c>
      <c r="F7483">
        <v>4400</v>
      </c>
      <c r="G7483" t="s">
        <v>331</v>
      </c>
      <c r="H7483" s="15">
        <v>45383</v>
      </c>
      <c r="I7483">
        <v>4400</v>
      </c>
      <c r="J7483">
        <v>0</v>
      </c>
    </row>
    <row r="7484" spans="1:10" x14ac:dyDescent="0.3">
      <c r="A7484" s="15">
        <v>46113</v>
      </c>
      <c r="B7484" t="s">
        <v>351</v>
      </c>
      <c r="C7484" t="s">
        <v>81</v>
      </c>
      <c r="D7484" t="s">
        <v>86</v>
      </c>
      <c r="E7484" t="s">
        <v>83</v>
      </c>
      <c r="F7484">
        <v>2700</v>
      </c>
      <c r="G7484" t="s">
        <v>331</v>
      </c>
      <c r="H7484" s="15">
        <v>45383</v>
      </c>
      <c r="I7484">
        <v>2700</v>
      </c>
      <c r="J7484">
        <v>0</v>
      </c>
    </row>
    <row r="7485" spans="1:10" x14ac:dyDescent="0.3">
      <c r="A7485" s="15">
        <v>46113</v>
      </c>
      <c r="B7485" t="s">
        <v>352</v>
      </c>
      <c r="C7485" t="s">
        <v>91</v>
      </c>
      <c r="D7485" t="s">
        <v>82</v>
      </c>
      <c r="E7485" t="s">
        <v>89</v>
      </c>
      <c r="F7485">
        <v>8800</v>
      </c>
      <c r="G7485" t="s">
        <v>331</v>
      </c>
      <c r="H7485" s="15">
        <v>45383</v>
      </c>
      <c r="I7485">
        <v>8800</v>
      </c>
      <c r="J7485">
        <v>0</v>
      </c>
    </row>
    <row r="7486" spans="1:10" x14ac:dyDescent="0.3">
      <c r="A7486" s="15">
        <v>46113</v>
      </c>
      <c r="B7486" t="s">
        <v>353</v>
      </c>
      <c r="C7486" t="s">
        <v>81</v>
      </c>
      <c r="D7486" t="s">
        <v>99</v>
      </c>
      <c r="E7486" t="s">
        <v>103</v>
      </c>
      <c r="F7486">
        <v>1200</v>
      </c>
      <c r="G7486" t="s">
        <v>331</v>
      </c>
      <c r="H7486" s="15">
        <v>45383</v>
      </c>
      <c r="I7486">
        <v>1200</v>
      </c>
      <c r="J7486">
        <v>0</v>
      </c>
    </row>
    <row r="7487" spans="1:10" x14ac:dyDescent="0.3">
      <c r="A7487" s="15">
        <v>46113</v>
      </c>
      <c r="B7487" t="s">
        <v>354</v>
      </c>
      <c r="C7487" t="s">
        <v>81</v>
      </c>
      <c r="D7487" t="s">
        <v>82</v>
      </c>
      <c r="E7487" t="s">
        <v>92</v>
      </c>
      <c r="F7487">
        <v>1700</v>
      </c>
      <c r="G7487" t="s">
        <v>331</v>
      </c>
      <c r="H7487" s="15">
        <v>45413</v>
      </c>
      <c r="I7487">
        <v>1700</v>
      </c>
      <c r="J7487">
        <v>0</v>
      </c>
    </row>
    <row r="7488" spans="1:10" x14ac:dyDescent="0.3">
      <c r="A7488" s="15">
        <v>46113</v>
      </c>
      <c r="B7488" t="s">
        <v>355</v>
      </c>
      <c r="C7488" t="s">
        <v>81</v>
      </c>
      <c r="D7488" t="s">
        <v>86</v>
      </c>
      <c r="E7488" t="s">
        <v>97</v>
      </c>
      <c r="F7488">
        <v>2000</v>
      </c>
      <c r="G7488" t="s">
        <v>331</v>
      </c>
      <c r="H7488" s="15">
        <v>45413</v>
      </c>
      <c r="I7488">
        <v>2000</v>
      </c>
      <c r="J7488">
        <v>0</v>
      </c>
    </row>
    <row r="7489" spans="1:10" x14ac:dyDescent="0.3">
      <c r="A7489" s="15">
        <v>46113</v>
      </c>
      <c r="B7489" t="s">
        <v>356</v>
      </c>
      <c r="C7489" t="s">
        <v>110</v>
      </c>
      <c r="D7489" t="s">
        <v>82</v>
      </c>
      <c r="E7489" t="s">
        <v>97</v>
      </c>
      <c r="F7489">
        <v>33000</v>
      </c>
      <c r="G7489" t="s">
        <v>331</v>
      </c>
      <c r="H7489" s="15">
        <v>45413</v>
      </c>
      <c r="I7489">
        <v>33000</v>
      </c>
      <c r="J7489">
        <v>0</v>
      </c>
    </row>
    <row r="7490" spans="1:10" x14ac:dyDescent="0.3">
      <c r="A7490" s="15">
        <v>46113</v>
      </c>
      <c r="B7490" t="s">
        <v>357</v>
      </c>
      <c r="C7490" t="s">
        <v>125</v>
      </c>
      <c r="D7490" t="s">
        <v>86</v>
      </c>
      <c r="E7490" t="s">
        <v>97</v>
      </c>
      <c r="F7490">
        <v>83400</v>
      </c>
      <c r="G7490" t="s">
        <v>331</v>
      </c>
      <c r="H7490" s="15">
        <v>45413</v>
      </c>
      <c r="I7490">
        <v>83400</v>
      </c>
      <c r="J7490">
        <v>0</v>
      </c>
    </row>
    <row r="7491" spans="1:10" x14ac:dyDescent="0.3">
      <c r="A7491" s="15">
        <v>46113</v>
      </c>
      <c r="B7491" t="s">
        <v>359</v>
      </c>
      <c r="C7491" t="s">
        <v>110</v>
      </c>
      <c r="D7491" t="s">
        <v>86</v>
      </c>
      <c r="E7491" t="s">
        <v>101</v>
      </c>
      <c r="F7491">
        <v>28900</v>
      </c>
      <c r="G7491" t="s">
        <v>331</v>
      </c>
      <c r="H7491" s="15">
        <v>45413</v>
      </c>
      <c r="I7491">
        <v>28900</v>
      </c>
      <c r="J7491">
        <v>0</v>
      </c>
    </row>
    <row r="7492" spans="1:10" x14ac:dyDescent="0.3">
      <c r="A7492" s="15">
        <v>46113</v>
      </c>
      <c r="B7492" t="s">
        <v>361</v>
      </c>
      <c r="C7492" t="s">
        <v>91</v>
      </c>
      <c r="D7492" t="s">
        <v>86</v>
      </c>
      <c r="E7492" t="s">
        <v>83</v>
      </c>
      <c r="F7492">
        <v>5700</v>
      </c>
      <c r="G7492" t="s">
        <v>331</v>
      </c>
      <c r="H7492" s="15">
        <v>45444</v>
      </c>
      <c r="I7492">
        <v>5700</v>
      </c>
      <c r="J7492">
        <v>0</v>
      </c>
    </row>
    <row r="7493" spans="1:10" x14ac:dyDescent="0.3">
      <c r="A7493" s="15">
        <v>46113</v>
      </c>
      <c r="B7493" t="s">
        <v>362</v>
      </c>
      <c r="C7493" t="s">
        <v>91</v>
      </c>
      <c r="D7493" t="s">
        <v>82</v>
      </c>
      <c r="E7493" t="s">
        <v>101</v>
      </c>
      <c r="F7493">
        <v>5700</v>
      </c>
      <c r="G7493" t="s">
        <v>331</v>
      </c>
      <c r="H7493" s="15">
        <v>45444</v>
      </c>
      <c r="I7493">
        <v>5700</v>
      </c>
      <c r="J7493">
        <v>0</v>
      </c>
    </row>
    <row r="7494" spans="1:10" x14ac:dyDescent="0.3">
      <c r="A7494" s="15">
        <v>46113</v>
      </c>
      <c r="B7494" t="s">
        <v>363</v>
      </c>
      <c r="C7494" t="s">
        <v>91</v>
      </c>
      <c r="D7494" t="s">
        <v>86</v>
      </c>
      <c r="E7494" t="s">
        <v>83</v>
      </c>
      <c r="F7494">
        <v>4400</v>
      </c>
      <c r="G7494" t="s">
        <v>331</v>
      </c>
      <c r="H7494" s="15">
        <v>45444</v>
      </c>
      <c r="I7494">
        <v>4400</v>
      </c>
      <c r="J7494">
        <v>0</v>
      </c>
    </row>
    <row r="7495" spans="1:10" x14ac:dyDescent="0.3">
      <c r="A7495" s="15">
        <v>46113</v>
      </c>
      <c r="B7495" t="s">
        <v>364</v>
      </c>
      <c r="C7495" t="s">
        <v>91</v>
      </c>
      <c r="D7495" t="s">
        <v>82</v>
      </c>
      <c r="E7495" t="s">
        <v>101</v>
      </c>
      <c r="F7495">
        <v>7600</v>
      </c>
      <c r="G7495" t="s">
        <v>331</v>
      </c>
      <c r="H7495" s="15">
        <v>45444</v>
      </c>
      <c r="I7495">
        <v>7600</v>
      </c>
      <c r="J7495">
        <v>0</v>
      </c>
    </row>
    <row r="7496" spans="1:10" x14ac:dyDescent="0.3">
      <c r="A7496" s="15">
        <v>46113</v>
      </c>
      <c r="B7496" t="s">
        <v>366</v>
      </c>
      <c r="C7496" t="s">
        <v>81</v>
      </c>
      <c r="D7496" t="s">
        <v>99</v>
      </c>
      <c r="E7496" t="s">
        <v>92</v>
      </c>
      <c r="F7496">
        <v>1600</v>
      </c>
      <c r="G7496" t="s">
        <v>331</v>
      </c>
      <c r="H7496" s="15">
        <v>45474</v>
      </c>
      <c r="I7496">
        <v>1600</v>
      </c>
      <c r="J7496">
        <v>0</v>
      </c>
    </row>
    <row r="7497" spans="1:10" x14ac:dyDescent="0.3">
      <c r="A7497" s="15">
        <v>46113</v>
      </c>
      <c r="B7497" t="s">
        <v>368</v>
      </c>
      <c r="C7497" t="s">
        <v>81</v>
      </c>
      <c r="D7497" t="s">
        <v>86</v>
      </c>
      <c r="E7497" t="s">
        <v>89</v>
      </c>
      <c r="F7497">
        <v>1200</v>
      </c>
      <c r="G7497" t="s">
        <v>334</v>
      </c>
      <c r="H7497" s="15">
        <v>45474</v>
      </c>
      <c r="I7497">
        <v>1400</v>
      </c>
      <c r="J7497">
        <v>-200</v>
      </c>
    </row>
    <row r="7498" spans="1:10" x14ac:dyDescent="0.3">
      <c r="A7498" s="15">
        <v>46113</v>
      </c>
      <c r="B7498" t="s">
        <v>369</v>
      </c>
      <c r="C7498" t="s">
        <v>81</v>
      </c>
      <c r="D7498" t="s">
        <v>86</v>
      </c>
      <c r="E7498" t="s">
        <v>83</v>
      </c>
      <c r="F7498">
        <v>2300</v>
      </c>
      <c r="G7498" t="s">
        <v>331</v>
      </c>
      <c r="H7498" s="15">
        <v>45474</v>
      </c>
      <c r="I7498">
        <v>2300</v>
      </c>
      <c r="J7498">
        <v>0</v>
      </c>
    </row>
    <row r="7499" spans="1:10" x14ac:dyDescent="0.3">
      <c r="A7499" s="15">
        <v>46113</v>
      </c>
      <c r="B7499" t="s">
        <v>370</v>
      </c>
      <c r="C7499" t="s">
        <v>81</v>
      </c>
      <c r="D7499" t="s">
        <v>99</v>
      </c>
      <c r="E7499" t="s">
        <v>87</v>
      </c>
      <c r="F7499">
        <v>2300</v>
      </c>
      <c r="G7499" t="s">
        <v>331</v>
      </c>
      <c r="H7499" s="15">
        <v>45474</v>
      </c>
      <c r="I7499">
        <v>2300</v>
      </c>
      <c r="J7499">
        <v>0</v>
      </c>
    </row>
    <row r="7500" spans="1:10" x14ac:dyDescent="0.3">
      <c r="A7500" s="15">
        <v>46113</v>
      </c>
      <c r="B7500" t="s">
        <v>376</v>
      </c>
      <c r="C7500" t="s">
        <v>110</v>
      </c>
      <c r="D7500" t="s">
        <v>86</v>
      </c>
      <c r="E7500" t="s">
        <v>103</v>
      </c>
      <c r="F7500">
        <v>22900</v>
      </c>
      <c r="G7500" t="s">
        <v>331</v>
      </c>
      <c r="H7500" s="15">
        <v>45505</v>
      </c>
      <c r="I7500">
        <v>22900</v>
      </c>
      <c r="J7500">
        <v>0</v>
      </c>
    </row>
    <row r="7501" spans="1:10" x14ac:dyDescent="0.3">
      <c r="A7501" s="15">
        <v>46113</v>
      </c>
      <c r="B7501" t="s">
        <v>377</v>
      </c>
      <c r="C7501" t="s">
        <v>81</v>
      </c>
      <c r="D7501" t="s">
        <v>99</v>
      </c>
      <c r="E7501" t="s">
        <v>92</v>
      </c>
      <c r="F7501">
        <v>2300</v>
      </c>
      <c r="G7501" t="s">
        <v>331</v>
      </c>
      <c r="H7501" s="15">
        <v>45536</v>
      </c>
      <c r="I7501">
        <v>2300</v>
      </c>
      <c r="J7501">
        <v>0</v>
      </c>
    </row>
    <row r="7502" spans="1:10" x14ac:dyDescent="0.3">
      <c r="A7502" s="15">
        <v>46113</v>
      </c>
      <c r="B7502" t="s">
        <v>379</v>
      </c>
      <c r="C7502" t="s">
        <v>81</v>
      </c>
      <c r="D7502" t="s">
        <v>99</v>
      </c>
      <c r="E7502" t="s">
        <v>101</v>
      </c>
      <c r="F7502">
        <v>2200</v>
      </c>
      <c r="G7502" t="s">
        <v>331</v>
      </c>
      <c r="H7502" s="15">
        <v>45536</v>
      </c>
      <c r="I7502">
        <v>2200</v>
      </c>
      <c r="J7502">
        <v>0</v>
      </c>
    </row>
    <row r="7503" spans="1:10" x14ac:dyDescent="0.3">
      <c r="A7503" s="15">
        <v>46113</v>
      </c>
      <c r="B7503" t="s">
        <v>381</v>
      </c>
      <c r="C7503" t="s">
        <v>91</v>
      </c>
      <c r="D7503" t="s">
        <v>86</v>
      </c>
      <c r="E7503" t="s">
        <v>92</v>
      </c>
      <c r="F7503">
        <v>4600</v>
      </c>
      <c r="G7503" t="s">
        <v>331</v>
      </c>
      <c r="H7503" s="15">
        <v>45536</v>
      </c>
      <c r="I7503">
        <v>4600</v>
      </c>
      <c r="J7503">
        <v>0</v>
      </c>
    </row>
    <row r="7504" spans="1:10" x14ac:dyDescent="0.3">
      <c r="A7504" s="15">
        <v>46113</v>
      </c>
      <c r="B7504" t="s">
        <v>382</v>
      </c>
      <c r="C7504" t="s">
        <v>81</v>
      </c>
      <c r="D7504" t="s">
        <v>96</v>
      </c>
      <c r="E7504" t="s">
        <v>101</v>
      </c>
      <c r="F7504">
        <v>2100</v>
      </c>
      <c r="G7504" t="s">
        <v>331</v>
      </c>
      <c r="H7504" s="15">
        <v>45536</v>
      </c>
      <c r="I7504">
        <v>2100</v>
      </c>
      <c r="J7504">
        <v>0</v>
      </c>
    </row>
    <row r="7505" spans="1:10" x14ac:dyDescent="0.3">
      <c r="A7505" s="15">
        <v>46113</v>
      </c>
      <c r="B7505" t="s">
        <v>383</v>
      </c>
      <c r="C7505" t="s">
        <v>81</v>
      </c>
      <c r="D7505" t="s">
        <v>82</v>
      </c>
      <c r="E7505" t="s">
        <v>87</v>
      </c>
      <c r="F7505">
        <v>1600</v>
      </c>
      <c r="G7505" t="s">
        <v>331</v>
      </c>
      <c r="H7505" s="15">
        <v>45536</v>
      </c>
      <c r="I7505">
        <v>1600</v>
      </c>
      <c r="J7505">
        <v>0</v>
      </c>
    </row>
    <row r="7506" spans="1:10" x14ac:dyDescent="0.3">
      <c r="A7506" s="15">
        <v>46113</v>
      </c>
      <c r="B7506" t="s">
        <v>385</v>
      </c>
      <c r="C7506" t="s">
        <v>91</v>
      </c>
      <c r="D7506" t="s">
        <v>99</v>
      </c>
      <c r="E7506" t="s">
        <v>83</v>
      </c>
      <c r="F7506">
        <v>8300</v>
      </c>
      <c r="G7506" t="s">
        <v>331</v>
      </c>
      <c r="H7506" s="15">
        <v>45566</v>
      </c>
      <c r="I7506">
        <v>8300</v>
      </c>
      <c r="J7506">
        <v>0</v>
      </c>
    </row>
    <row r="7507" spans="1:10" x14ac:dyDescent="0.3">
      <c r="A7507" s="15">
        <v>46113</v>
      </c>
      <c r="B7507" t="s">
        <v>386</v>
      </c>
      <c r="C7507" t="s">
        <v>81</v>
      </c>
      <c r="D7507" t="s">
        <v>82</v>
      </c>
      <c r="E7507" t="s">
        <v>103</v>
      </c>
      <c r="F7507">
        <v>2200</v>
      </c>
      <c r="G7507" t="s">
        <v>331</v>
      </c>
      <c r="H7507" s="15">
        <v>45566</v>
      </c>
      <c r="I7507">
        <v>2200</v>
      </c>
      <c r="J7507">
        <v>0</v>
      </c>
    </row>
    <row r="7508" spans="1:10" x14ac:dyDescent="0.3">
      <c r="A7508" s="15">
        <v>46113</v>
      </c>
      <c r="B7508" t="s">
        <v>387</v>
      </c>
      <c r="C7508" t="s">
        <v>81</v>
      </c>
      <c r="D7508" t="s">
        <v>86</v>
      </c>
      <c r="E7508" t="s">
        <v>92</v>
      </c>
      <c r="F7508">
        <v>1500</v>
      </c>
      <c r="G7508" t="s">
        <v>331</v>
      </c>
      <c r="H7508" s="15">
        <v>45566</v>
      </c>
      <c r="I7508">
        <v>1500</v>
      </c>
      <c r="J7508">
        <v>0</v>
      </c>
    </row>
    <row r="7509" spans="1:10" x14ac:dyDescent="0.3">
      <c r="A7509" s="15">
        <v>46113</v>
      </c>
      <c r="B7509" t="s">
        <v>388</v>
      </c>
      <c r="C7509" t="s">
        <v>81</v>
      </c>
      <c r="D7509" t="s">
        <v>99</v>
      </c>
      <c r="E7509" t="s">
        <v>103</v>
      </c>
      <c r="F7509">
        <v>1800</v>
      </c>
      <c r="G7509" t="s">
        <v>332</v>
      </c>
      <c r="H7509" s="15">
        <v>45566</v>
      </c>
      <c r="I7509">
        <v>1700</v>
      </c>
      <c r="J7509">
        <v>100</v>
      </c>
    </row>
    <row r="7510" spans="1:10" x14ac:dyDescent="0.3">
      <c r="A7510" s="15">
        <v>46113</v>
      </c>
      <c r="B7510" t="s">
        <v>390</v>
      </c>
      <c r="C7510" t="s">
        <v>91</v>
      </c>
      <c r="D7510" t="s">
        <v>82</v>
      </c>
      <c r="E7510" t="s">
        <v>89</v>
      </c>
      <c r="F7510">
        <v>6200</v>
      </c>
      <c r="G7510" t="s">
        <v>331</v>
      </c>
      <c r="H7510" s="15">
        <v>45566</v>
      </c>
      <c r="I7510">
        <v>6200</v>
      </c>
      <c r="J7510">
        <v>0</v>
      </c>
    </row>
    <row r="7511" spans="1:10" x14ac:dyDescent="0.3">
      <c r="A7511" s="15">
        <v>46113</v>
      </c>
      <c r="B7511" t="s">
        <v>392</v>
      </c>
      <c r="C7511" t="s">
        <v>91</v>
      </c>
      <c r="D7511" t="s">
        <v>86</v>
      </c>
      <c r="E7511" t="s">
        <v>97</v>
      </c>
      <c r="F7511">
        <v>10000</v>
      </c>
      <c r="G7511" t="s">
        <v>331</v>
      </c>
      <c r="H7511" s="15">
        <v>45597</v>
      </c>
      <c r="I7511">
        <v>10000</v>
      </c>
      <c r="J7511">
        <v>0</v>
      </c>
    </row>
    <row r="7512" spans="1:10" x14ac:dyDescent="0.3">
      <c r="A7512" s="15">
        <v>46113</v>
      </c>
      <c r="B7512" t="s">
        <v>393</v>
      </c>
      <c r="C7512" t="s">
        <v>81</v>
      </c>
      <c r="D7512" t="s">
        <v>82</v>
      </c>
      <c r="E7512" t="s">
        <v>92</v>
      </c>
      <c r="F7512">
        <v>2100</v>
      </c>
      <c r="G7512" t="s">
        <v>331</v>
      </c>
      <c r="H7512" s="15">
        <v>45597</v>
      </c>
      <c r="I7512">
        <v>2100</v>
      </c>
      <c r="J7512">
        <v>0</v>
      </c>
    </row>
    <row r="7513" spans="1:10" x14ac:dyDescent="0.3">
      <c r="A7513" s="15">
        <v>46113</v>
      </c>
      <c r="B7513" t="s">
        <v>394</v>
      </c>
      <c r="C7513" t="s">
        <v>81</v>
      </c>
      <c r="D7513" t="s">
        <v>99</v>
      </c>
      <c r="E7513" t="s">
        <v>87</v>
      </c>
      <c r="F7513">
        <v>1500</v>
      </c>
      <c r="G7513" t="s">
        <v>332</v>
      </c>
      <c r="H7513" s="15">
        <v>45597</v>
      </c>
      <c r="I7513">
        <v>1300</v>
      </c>
      <c r="J7513">
        <v>200</v>
      </c>
    </row>
    <row r="7514" spans="1:10" x14ac:dyDescent="0.3">
      <c r="A7514" s="15">
        <v>46113</v>
      </c>
      <c r="B7514" t="s">
        <v>395</v>
      </c>
      <c r="C7514" t="s">
        <v>81</v>
      </c>
      <c r="D7514" t="s">
        <v>82</v>
      </c>
      <c r="E7514" t="s">
        <v>97</v>
      </c>
      <c r="F7514">
        <v>2200</v>
      </c>
      <c r="G7514" t="s">
        <v>331</v>
      </c>
      <c r="H7514" s="15">
        <v>45627</v>
      </c>
      <c r="I7514">
        <v>2200</v>
      </c>
      <c r="J7514">
        <v>0</v>
      </c>
    </row>
    <row r="7515" spans="1:10" x14ac:dyDescent="0.3">
      <c r="A7515" s="15">
        <v>46113</v>
      </c>
      <c r="B7515" t="s">
        <v>396</v>
      </c>
      <c r="C7515" t="s">
        <v>91</v>
      </c>
      <c r="D7515" t="s">
        <v>82</v>
      </c>
      <c r="E7515" t="s">
        <v>92</v>
      </c>
      <c r="F7515">
        <v>8800</v>
      </c>
      <c r="G7515" t="s">
        <v>331</v>
      </c>
      <c r="H7515" s="15">
        <v>45627</v>
      </c>
      <c r="I7515">
        <v>8800</v>
      </c>
      <c r="J7515">
        <v>0</v>
      </c>
    </row>
    <row r="7516" spans="1:10" x14ac:dyDescent="0.3">
      <c r="A7516" s="15">
        <v>46113</v>
      </c>
      <c r="B7516" t="s">
        <v>398</v>
      </c>
      <c r="C7516" t="s">
        <v>81</v>
      </c>
      <c r="D7516" t="s">
        <v>86</v>
      </c>
      <c r="E7516" t="s">
        <v>92</v>
      </c>
      <c r="F7516">
        <v>1400</v>
      </c>
      <c r="G7516" t="s">
        <v>331</v>
      </c>
      <c r="H7516" s="15">
        <v>45627</v>
      </c>
      <c r="I7516">
        <v>1400</v>
      </c>
      <c r="J7516">
        <v>0</v>
      </c>
    </row>
    <row r="7517" spans="1:10" x14ac:dyDescent="0.3">
      <c r="A7517" s="15">
        <v>46113</v>
      </c>
      <c r="B7517" t="s">
        <v>399</v>
      </c>
      <c r="C7517" t="s">
        <v>110</v>
      </c>
      <c r="D7517" t="s">
        <v>82</v>
      </c>
      <c r="E7517" t="s">
        <v>101</v>
      </c>
      <c r="F7517">
        <v>17400</v>
      </c>
      <c r="G7517" t="s">
        <v>331</v>
      </c>
      <c r="H7517" s="15">
        <v>45627</v>
      </c>
      <c r="I7517">
        <v>17400</v>
      </c>
      <c r="J7517">
        <v>0</v>
      </c>
    </row>
    <row r="7518" spans="1:10" x14ac:dyDescent="0.3">
      <c r="A7518" s="15">
        <v>46113</v>
      </c>
      <c r="B7518" t="s">
        <v>400</v>
      </c>
      <c r="C7518" t="s">
        <v>91</v>
      </c>
      <c r="D7518" t="s">
        <v>82</v>
      </c>
      <c r="E7518" t="s">
        <v>103</v>
      </c>
      <c r="F7518">
        <v>4600</v>
      </c>
      <c r="G7518" t="s">
        <v>332</v>
      </c>
      <c r="H7518" s="15">
        <v>45627</v>
      </c>
      <c r="I7518">
        <v>4400</v>
      </c>
      <c r="J7518">
        <v>200</v>
      </c>
    </row>
    <row r="7519" spans="1:10" x14ac:dyDescent="0.3">
      <c r="A7519" s="15">
        <v>46113</v>
      </c>
      <c r="B7519" t="s">
        <v>403</v>
      </c>
      <c r="C7519" t="s">
        <v>81</v>
      </c>
      <c r="D7519" t="s">
        <v>82</v>
      </c>
      <c r="E7519" t="s">
        <v>101</v>
      </c>
      <c r="F7519">
        <v>1900</v>
      </c>
      <c r="G7519" t="s">
        <v>331</v>
      </c>
      <c r="H7519" s="15">
        <v>45658</v>
      </c>
      <c r="I7519">
        <v>1900</v>
      </c>
      <c r="J7519">
        <v>0</v>
      </c>
    </row>
    <row r="7520" spans="1:10" x14ac:dyDescent="0.3">
      <c r="A7520" s="15">
        <v>46113</v>
      </c>
      <c r="B7520" t="s">
        <v>404</v>
      </c>
      <c r="C7520" t="s">
        <v>81</v>
      </c>
      <c r="D7520" t="s">
        <v>86</v>
      </c>
      <c r="E7520" t="s">
        <v>83</v>
      </c>
      <c r="F7520">
        <v>2100</v>
      </c>
      <c r="G7520" t="s">
        <v>331</v>
      </c>
      <c r="H7520" s="15">
        <v>45658</v>
      </c>
      <c r="I7520">
        <v>2100</v>
      </c>
      <c r="J7520">
        <v>0</v>
      </c>
    </row>
    <row r="7521" spans="1:10" x14ac:dyDescent="0.3">
      <c r="A7521" s="15">
        <v>46113</v>
      </c>
      <c r="B7521" t="s">
        <v>405</v>
      </c>
      <c r="C7521" t="s">
        <v>81</v>
      </c>
      <c r="D7521" t="s">
        <v>82</v>
      </c>
      <c r="E7521" t="s">
        <v>92</v>
      </c>
      <c r="F7521">
        <v>1600</v>
      </c>
      <c r="G7521" t="s">
        <v>331</v>
      </c>
      <c r="H7521" s="15">
        <v>45658</v>
      </c>
      <c r="I7521">
        <v>1600</v>
      </c>
      <c r="J7521">
        <v>0</v>
      </c>
    </row>
    <row r="7522" spans="1:10" x14ac:dyDescent="0.3">
      <c r="A7522" s="15">
        <v>46113</v>
      </c>
      <c r="B7522" t="s">
        <v>406</v>
      </c>
      <c r="C7522" t="s">
        <v>91</v>
      </c>
      <c r="D7522" t="s">
        <v>86</v>
      </c>
      <c r="E7522" t="s">
        <v>87</v>
      </c>
      <c r="F7522">
        <v>0</v>
      </c>
      <c r="G7522" t="s">
        <v>333</v>
      </c>
      <c r="H7522" s="15">
        <v>45658</v>
      </c>
      <c r="I7522">
        <v>4700</v>
      </c>
      <c r="J7522">
        <v>-4700</v>
      </c>
    </row>
    <row r="7523" spans="1:10" x14ac:dyDescent="0.3">
      <c r="A7523" s="15">
        <v>46113</v>
      </c>
      <c r="B7523" t="s">
        <v>407</v>
      </c>
      <c r="C7523" t="s">
        <v>81</v>
      </c>
      <c r="D7523" t="s">
        <v>82</v>
      </c>
      <c r="E7523" t="s">
        <v>92</v>
      </c>
      <c r="F7523">
        <v>2400</v>
      </c>
      <c r="G7523" t="s">
        <v>331</v>
      </c>
      <c r="H7523" s="15">
        <v>45689</v>
      </c>
      <c r="I7523">
        <v>2400</v>
      </c>
      <c r="J7523">
        <v>0</v>
      </c>
    </row>
    <row r="7524" spans="1:10" x14ac:dyDescent="0.3">
      <c r="A7524" s="15">
        <v>46113</v>
      </c>
      <c r="B7524" t="s">
        <v>409</v>
      </c>
      <c r="C7524" t="s">
        <v>81</v>
      </c>
      <c r="D7524" t="s">
        <v>82</v>
      </c>
      <c r="E7524" t="s">
        <v>83</v>
      </c>
      <c r="F7524">
        <v>1700</v>
      </c>
      <c r="G7524" t="s">
        <v>331</v>
      </c>
      <c r="H7524" s="15">
        <v>45689</v>
      </c>
      <c r="I7524">
        <v>1700</v>
      </c>
      <c r="J7524">
        <v>0</v>
      </c>
    </row>
    <row r="7525" spans="1:10" x14ac:dyDescent="0.3">
      <c r="A7525" s="15">
        <v>46113</v>
      </c>
      <c r="B7525" t="s">
        <v>410</v>
      </c>
      <c r="C7525" t="s">
        <v>125</v>
      </c>
      <c r="D7525" t="s">
        <v>82</v>
      </c>
      <c r="E7525" t="s">
        <v>103</v>
      </c>
      <c r="F7525">
        <v>56400</v>
      </c>
      <c r="G7525" t="s">
        <v>331</v>
      </c>
      <c r="H7525" s="15">
        <v>45689</v>
      </c>
      <c r="I7525">
        <v>56400</v>
      </c>
      <c r="J7525">
        <v>0</v>
      </c>
    </row>
    <row r="7526" spans="1:10" x14ac:dyDescent="0.3">
      <c r="A7526" s="15">
        <v>46113</v>
      </c>
      <c r="B7526" t="s">
        <v>411</v>
      </c>
      <c r="C7526" t="s">
        <v>91</v>
      </c>
      <c r="D7526" t="s">
        <v>86</v>
      </c>
      <c r="E7526" t="s">
        <v>92</v>
      </c>
      <c r="F7526">
        <v>7700</v>
      </c>
      <c r="G7526" t="s">
        <v>331</v>
      </c>
      <c r="H7526" s="15">
        <v>45689</v>
      </c>
      <c r="I7526">
        <v>7700</v>
      </c>
      <c r="J7526">
        <v>0</v>
      </c>
    </row>
    <row r="7527" spans="1:10" x14ac:dyDescent="0.3">
      <c r="A7527" s="15">
        <v>46113</v>
      </c>
      <c r="B7527" t="s">
        <v>413</v>
      </c>
      <c r="C7527" t="s">
        <v>81</v>
      </c>
      <c r="D7527" t="s">
        <v>99</v>
      </c>
      <c r="E7527" t="s">
        <v>101</v>
      </c>
      <c r="F7527">
        <v>2000</v>
      </c>
      <c r="G7527" t="s">
        <v>334</v>
      </c>
      <c r="H7527" s="15">
        <v>45717</v>
      </c>
      <c r="I7527">
        <v>2300</v>
      </c>
      <c r="J7527">
        <v>-300</v>
      </c>
    </row>
    <row r="7528" spans="1:10" x14ac:dyDescent="0.3">
      <c r="A7528" s="15">
        <v>46113</v>
      </c>
      <c r="B7528" t="s">
        <v>414</v>
      </c>
      <c r="C7528" t="s">
        <v>110</v>
      </c>
      <c r="D7528" t="s">
        <v>99</v>
      </c>
      <c r="E7528" t="s">
        <v>89</v>
      </c>
      <c r="F7528">
        <v>30900</v>
      </c>
      <c r="G7528" t="s">
        <v>331</v>
      </c>
      <c r="H7528" s="15">
        <v>45717</v>
      </c>
      <c r="I7528">
        <v>30900</v>
      </c>
      <c r="J7528">
        <v>0</v>
      </c>
    </row>
    <row r="7529" spans="1:10" x14ac:dyDescent="0.3">
      <c r="A7529" s="15">
        <v>46113</v>
      </c>
      <c r="B7529" t="s">
        <v>417</v>
      </c>
      <c r="C7529" t="s">
        <v>110</v>
      </c>
      <c r="D7529" t="s">
        <v>86</v>
      </c>
      <c r="E7529" t="s">
        <v>92</v>
      </c>
      <c r="F7529">
        <v>35600</v>
      </c>
      <c r="G7529" t="s">
        <v>331</v>
      </c>
      <c r="H7529" s="15">
        <v>45717</v>
      </c>
      <c r="I7529">
        <v>35600</v>
      </c>
      <c r="J7529">
        <v>0</v>
      </c>
    </row>
    <row r="7530" spans="1:10" x14ac:dyDescent="0.3">
      <c r="A7530" s="15">
        <v>46113</v>
      </c>
      <c r="B7530" t="s">
        <v>418</v>
      </c>
      <c r="C7530" t="s">
        <v>81</v>
      </c>
      <c r="D7530" t="s">
        <v>86</v>
      </c>
      <c r="E7530" t="s">
        <v>92</v>
      </c>
      <c r="F7530">
        <v>1800</v>
      </c>
      <c r="G7530" t="s">
        <v>331</v>
      </c>
      <c r="H7530" s="15">
        <v>45748</v>
      </c>
      <c r="I7530">
        <v>1800</v>
      </c>
      <c r="J7530">
        <v>0</v>
      </c>
    </row>
    <row r="7531" spans="1:10" x14ac:dyDescent="0.3">
      <c r="A7531" s="15">
        <v>46113</v>
      </c>
      <c r="B7531" t="s">
        <v>419</v>
      </c>
      <c r="C7531" t="s">
        <v>125</v>
      </c>
      <c r="D7531" t="s">
        <v>96</v>
      </c>
      <c r="E7531" t="s">
        <v>103</v>
      </c>
      <c r="F7531">
        <v>73300</v>
      </c>
      <c r="G7531" t="s">
        <v>331</v>
      </c>
      <c r="H7531" s="15">
        <v>45748</v>
      </c>
      <c r="I7531">
        <v>73300</v>
      </c>
      <c r="J7531">
        <v>0</v>
      </c>
    </row>
    <row r="7532" spans="1:10" x14ac:dyDescent="0.3">
      <c r="A7532" s="15">
        <v>46113</v>
      </c>
      <c r="B7532" t="s">
        <v>420</v>
      </c>
      <c r="C7532" t="s">
        <v>110</v>
      </c>
      <c r="D7532" t="s">
        <v>96</v>
      </c>
      <c r="E7532" t="s">
        <v>103</v>
      </c>
      <c r="F7532">
        <v>22900</v>
      </c>
      <c r="G7532" t="s">
        <v>331</v>
      </c>
      <c r="H7532" s="15">
        <v>45748</v>
      </c>
      <c r="I7532">
        <v>22900</v>
      </c>
      <c r="J7532">
        <v>0</v>
      </c>
    </row>
    <row r="7533" spans="1:10" x14ac:dyDescent="0.3">
      <c r="A7533" s="15">
        <v>46113</v>
      </c>
      <c r="B7533" t="s">
        <v>421</v>
      </c>
      <c r="C7533" t="s">
        <v>110</v>
      </c>
      <c r="D7533" t="s">
        <v>82</v>
      </c>
      <c r="E7533" t="s">
        <v>103</v>
      </c>
      <c r="F7533">
        <v>18800</v>
      </c>
      <c r="G7533" t="s">
        <v>331</v>
      </c>
      <c r="H7533" s="15">
        <v>45748</v>
      </c>
      <c r="I7533">
        <v>18800</v>
      </c>
      <c r="J7533">
        <v>0</v>
      </c>
    </row>
    <row r="7534" spans="1:10" x14ac:dyDescent="0.3">
      <c r="A7534" s="15">
        <v>46113</v>
      </c>
      <c r="B7534" t="s">
        <v>422</v>
      </c>
      <c r="C7534" t="s">
        <v>81</v>
      </c>
      <c r="D7534" t="s">
        <v>82</v>
      </c>
      <c r="E7534" t="s">
        <v>97</v>
      </c>
      <c r="F7534">
        <v>2300</v>
      </c>
      <c r="G7534" t="s">
        <v>331</v>
      </c>
      <c r="H7534" s="15">
        <v>45748</v>
      </c>
      <c r="I7534">
        <v>2300</v>
      </c>
      <c r="J7534">
        <v>0</v>
      </c>
    </row>
    <row r="7535" spans="1:10" x14ac:dyDescent="0.3">
      <c r="A7535" s="15">
        <v>46113</v>
      </c>
      <c r="B7535" t="s">
        <v>423</v>
      </c>
      <c r="C7535" t="s">
        <v>125</v>
      </c>
      <c r="D7535" t="s">
        <v>86</v>
      </c>
      <c r="E7535" t="s">
        <v>97</v>
      </c>
      <c r="F7535">
        <v>52800</v>
      </c>
      <c r="G7535" t="s">
        <v>331</v>
      </c>
      <c r="H7535" s="15">
        <v>45748</v>
      </c>
      <c r="I7535">
        <v>52800</v>
      </c>
      <c r="J7535">
        <v>0</v>
      </c>
    </row>
    <row r="7536" spans="1:10" x14ac:dyDescent="0.3">
      <c r="A7536" s="15">
        <v>46113</v>
      </c>
      <c r="B7536" t="s">
        <v>425</v>
      </c>
      <c r="C7536" t="s">
        <v>110</v>
      </c>
      <c r="D7536" t="s">
        <v>82</v>
      </c>
      <c r="E7536" t="s">
        <v>97</v>
      </c>
      <c r="F7536">
        <v>22700</v>
      </c>
      <c r="G7536" t="s">
        <v>331</v>
      </c>
      <c r="H7536" s="15">
        <v>45778</v>
      </c>
      <c r="I7536">
        <v>22700</v>
      </c>
      <c r="J7536">
        <v>0</v>
      </c>
    </row>
    <row r="7537" spans="1:10" x14ac:dyDescent="0.3">
      <c r="A7537" s="15">
        <v>46113</v>
      </c>
      <c r="B7537" t="s">
        <v>426</v>
      </c>
      <c r="C7537" t="s">
        <v>81</v>
      </c>
      <c r="D7537" t="s">
        <v>82</v>
      </c>
      <c r="E7537" t="s">
        <v>89</v>
      </c>
      <c r="F7537">
        <v>1900</v>
      </c>
      <c r="G7537" t="s">
        <v>331</v>
      </c>
      <c r="H7537" s="15">
        <v>45778</v>
      </c>
      <c r="I7537">
        <v>1900</v>
      </c>
      <c r="J7537">
        <v>0</v>
      </c>
    </row>
    <row r="7538" spans="1:10" x14ac:dyDescent="0.3">
      <c r="A7538" s="15">
        <v>46113</v>
      </c>
      <c r="B7538" t="s">
        <v>427</v>
      </c>
      <c r="C7538" t="s">
        <v>110</v>
      </c>
      <c r="D7538" t="s">
        <v>82</v>
      </c>
      <c r="E7538" t="s">
        <v>83</v>
      </c>
      <c r="F7538">
        <v>25300</v>
      </c>
      <c r="G7538" t="s">
        <v>331</v>
      </c>
      <c r="H7538" s="15">
        <v>45778</v>
      </c>
      <c r="I7538">
        <v>25300</v>
      </c>
      <c r="J7538">
        <v>0</v>
      </c>
    </row>
    <row r="7539" spans="1:10" x14ac:dyDescent="0.3">
      <c r="A7539" s="15">
        <v>46113</v>
      </c>
      <c r="B7539" t="s">
        <v>428</v>
      </c>
      <c r="C7539" t="s">
        <v>81</v>
      </c>
      <c r="D7539" t="s">
        <v>86</v>
      </c>
      <c r="E7539" t="s">
        <v>89</v>
      </c>
      <c r="F7539">
        <v>2300</v>
      </c>
      <c r="G7539" t="s">
        <v>331</v>
      </c>
      <c r="H7539" s="15">
        <v>45778</v>
      </c>
      <c r="I7539">
        <v>2300</v>
      </c>
      <c r="J7539">
        <v>0</v>
      </c>
    </row>
    <row r="7540" spans="1:10" x14ac:dyDescent="0.3">
      <c r="A7540" s="15">
        <v>46113</v>
      </c>
      <c r="B7540" t="s">
        <v>430</v>
      </c>
      <c r="C7540" t="s">
        <v>110</v>
      </c>
      <c r="D7540" t="s">
        <v>82</v>
      </c>
      <c r="E7540" t="s">
        <v>87</v>
      </c>
      <c r="F7540">
        <v>24300</v>
      </c>
      <c r="G7540" t="s">
        <v>331</v>
      </c>
      <c r="H7540" s="15">
        <v>45809</v>
      </c>
      <c r="I7540">
        <v>24300</v>
      </c>
      <c r="J7540">
        <v>0</v>
      </c>
    </row>
    <row r="7541" spans="1:10" x14ac:dyDescent="0.3">
      <c r="A7541" s="15">
        <v>46113</v>
      </c>
      <c r="B7541" t="s">
        <v>431</v>
      </c>
      <c r="C7541" t="s">
        <v>110</v>
      </c>
      <c r="D7541" t="s">
        <v>82</v>
      </c>
      <c r="E7541" t="s">
        <v>101</v>
      </c>
      <c r="F7541">
        <v>19800</v>
      </c>
      <c r="G7541" t="s">
        <v>331</v>
      </c>
      <c r="H7541" s="15">
        <v>45809</v>
      </c>
      <c r="I7541">
        <v>19800</v>
      </c>
      <c r="J7541">
        <v>0</v>
      </c>
    </row>
    <row r="7542" spans="1:10" x14ac:dyDescent="0.3">
      <c r="A7542" s="15">
        <v>46113</v>
      </c>
      <c r="B7542" t="s">
        <v>435</v>
      </c>
      <c r="C7542" t="s">
        <v>81</v>
      </c>
      <c r="D7542" t="s">
        <v>82</v>
      </c>
      <c r="E7542" t="s">
        <v>92</v>
      </c>
      <c r="F7542">
        <v>1400</v>
      </c>
      <c r="G7542" t="s">
        <v>331</v>
      </c>
      <c r="H7542" s="15">
        <v>45809</v>
      </c>
      <c r="I7542">
        <v>1400</v>
      </c>
      <c r="J7542">
        <v>0</v>
      </c>
    </row>
    <row r="7543" spans="1:10" x14ac:dyDescent="0.3">
      <c r="A7543" s="15">
        <v>46113</v>
      </c>
      <c r="B7543" t="s">
        <v>436</v>
      </c>
      <c r="C7543" t="s">
        <v>81</v>
      </c>
      <c r="D7543" t="s">
        <v>82</v>
      </c>
      <c r="E7543" t="s">
        <v>97</v>
      </c>
      <c r="F7543">
        <v>2100</v>
      </c>
      <c r="G7543" t="s">
        <v>331</v>
      </c>
      <c r="H7543" s="15">
        <v>45839</v>
      </c>
      <c r="I7543">
        <v>2100</v>
      </c>
      <c r="J7543">
        <v>0</v>
      </c>
    </row>
    <row r="7544" spans="1:10" x14ac:dyDescent="0.3">
      <c r="A7544" s="15">
        <v>46113</v>
      </c>
      <c r="B7544" t="s">
        <v>437</v>
      </c>
      <c r="C7544" t="s">
        <v>81</v>
      </c>
      <c r="D7544" t="s">
        <v>99</v>
      </c>
      <c r="E7544" t="s">
        <v>92</v>
      </c>
      <c r="F7544">
        <v>1600</v>
      </c>
      <c r="G7544" t="s">
        <v>331</v>
      </c>
      <c r="H7544" s="15">
        <v>45839</v>
      </c>
      <c r="I7544">
        <v>1600</v>
      </c>
      <c r="J7544">
        <v>0</v>
      </c>
    </row>
    <row r="7545" spans="1:10" x14ac:dyDescent="0.3">
      <c r="A7545" s="15">
        <v>46113</v>
      </c>
      <c r="B7545" t="s">
        <v>438</v>
      </c>
      <c r="C7545" t="s">
        <v>91</v>
      </c>
      <c r="D7545" t="s">
        <v>96</v>
      </c>
      <c r="E7545" t="s">
        <v>101</v>
      </c>
      <c r="F7545">
        <v>8600</v>
      </c>
      <c r="G7545" t="s">
        <v>331</v>
      </c>
      <c r="H7545" s="15">
        <v>45839</v>
      </c>
      <c r="I7545">
        <v>8600</v>
      </c>
      <c r="J7545">
        <v>0</v>
      </c>
    </row>
    <row r="7546" spans="1:10" x14ac:dyDescent="0.3">
      <c r="A7546" s="15">
        <v>46113</v>
      </c>
      <c r="B7546" t="s">
        <v>439</v>
      </c>
      <c r="C7546" t="s">
        <v>81</v>
      </c>
      <c r="D7546" t="s">
        <v>99</v>
      </c>
      <c r="E7546" t="s">
        <v>87</v>
      </c>
      <c r="F7546">
        <v>1700</v>
      </c>
      <c r="G7546" t="s">
        <v>331</v>
      </c>
      <c r="H7546" s="15">
        <v>45839</v>
      </c>
      <c r="I7546">
        <v>1700</v>
      </c>
      <c r="J7546">
        <v>0</v>
      </c>
    </row>
    <row r="7547" spans="1:10" x14ac:dyDescent="0.3">
      <c r="A7547" s="15">
        <v>46113</v>
      </c>
      <c r="B7547" t="s">
        <v>440</v>
      </c>
      <c r="C7547" t="s">
        <v>81</v>
      </c>
      <c r="D7547" t="s">
        <v>82</v>
      </c>
      <c r="E7547" t="s">
        <v>97</v>
      </c>
      <c r="F7547">
        <v>2200</v>
      </c>
      <c r="G7547" t="s">
        <v>331</v>
      </c>
      <c r="H7547" s="15">
        <v>45839</v>
      </c>
      <c r="I7547">
        <v>2200</v>
      </c>
      <c r="J7547">
        <v>0</v>
      </c>
    </row>
    <row r="7548" spans="1:10" x14ac:dyDescent="0.3">
      <c r="A7548" s="15">
        <v>46113</v>
      </c>
      <c r="B7548" t="s">
        <v>441</v>
      </c>
      <c r="C7548" t="s">
        <v>110</v>
      </c>
      <c r="D7548" t="s">
        <v>86</v>
      </c>
      <c r="E7548" t="s">
        <v>97</v>
      </c>
      <c r="F7548">
        <v>35800</v>
      </c>
      <c r="G7548" t="s">
        <v>331</v>
      </c>
      <c r="H7548" s="15">
        <v>45839</v>
      </c>
      <c r="I7548">
        <v>35800</v>
      </c>
      <c r="J7548">
        <v>0</v>
      </c>
    </row>
    <row r="7549" spans="1:10" x14ac:dyDescent="0.3">
      <c r="A7549" s="15">
        <v>46113</v>
      </c>
      <c r="B7549" t="s">
        <v>442</v>
      </c>
      <c r="C7549" t="s">
        <v>110</v>
      </c>
      <c r="D7549" t="s">
        <v>86</v>
      </c>
      <c r="E7549" t="s">
        <v>83</v>
      </c>
      <c r="F7549">
        <v>23900</v>
      </c>
      <c r="G7549" t="s">
        <v>331</v>
      </c>
      <c r="H7549" s="15">
        <v>45870</v>
      </c>
      <c r="I7549">
        <v>23900</v>
      </c>
      <c r="J7549">
        <v>0</v>
      </c>
    </row>
    <row r="7550" spans="1:10" x14ac:dyDescent="0.3">
      <c r="A7550" s="15">
        <v>46113</v>
      </c>
      <c r="B7550" t="s">
        <v>443</v>
      </c>
      <c r="C7550" t="s">
        <v>81</v>
      </c>
      <c r="D7550" t="s">
        <v>86</v>
      </c>
      <c r="E7550" t="s">
        <v>101</v>
      </c>
      <c r="F7550">
        <v>1800</v>
      </c>
      <c r="G7550" t="s">
        <v>331</v>
      </c>
      <c r="H7550" s="15">
        <v>45870</v>
      </c>
      <c r="I7550">
        <v>1800</v>
      </c>
      <c r="J7550">
        <v>0</v>
      </c>
    </row>
    <row r="7551" spans="1:10" x14ac:dyDescent="0.3">
      <c r="A7551" s="15">
        <v>46113</v>
      </c>
      <c r="B7551" t="s">
        <v>444</v>
      </c>
      <c r="C7551" t="s">
        <v>125</v>
      </c>
      <c r="D7551" t="s">
        <v>82</v>
      </c>
      <c r="E7551" t="s">
        <v>92</v>
      </c>
      <c r="F7551">
        <v>71600</v>
      </c>
      <c r="G7551" t="s">
        <v>331</v>
      </c>
      <c r="H7551" s="15">
        <v>45870</v>
      </c>
      <c r="I7551">
        <v>71600</v>
      </c>
      <c r="J7551">
        <v>0</v>
      </c>
    </row>
    <row r="7552" spans="1:10" x14ac:dyDescent="0.3">
      <c r="A7552" s="15">
        <v>46113</v>
      </c>
      <c r="B7552" t="s">
        <v>445</v>
      </c>
      <c r="C7552" t="s">
        <v>91</v>
      </c>
      <c r="D7552" t="s">
        <v>82</v>
      </c>
      <c r="E7552" t="s">
        <v>89</v>
      </c>
      <c r="F7552">
        <v>4700</v>
      </c>
      <c r="G7552" t="s">
        <v>331</v>
      </c>
      <c r="H7552" s="15">
        <v>45870</v>
      </c>
      <c r="I7552">
        <v>4700</v>
      </c>
      <c r="J7552">
        <v>0</v>
      </c>
    </row>
    <row r="7553" spans="1:10" x14ac:dyDescent="0.3">
      <c r="A7553" s="15">
        <v>46113</v>
      </c>
      <c r="B7553" t="s">
        <v>446</v>
      </c>
      <c r="C7553" t="s">
        <v>81</v>
      </c>
      <c r="D7553" t="s">
        <v>86</v>
      </c>
      <c r="E7553" t="s">
        <v>97</v>
      </c>
      <c r="F7553">
        <v>1600</v>
      </c>
      <c r="G7553" t="s">
        <v>331</v>
      </c>
      <c r="H7553" s="15">
        <v>45870</v>
      </c>
      <c r="I7553">
        <v>1600</v>
      </c>
      <c r="J7553">
        <v>0</v>
      </c>
    </row>
    <row r="7554" spans="1:10" x14ac:dyDescent="0.3">
      <c r="A7554" s="15">
        <v>46113</v>
      </c>
      <c r="B7554" t="s">
        <v>447</v>
      </c>
      <c r="C7554" t="s">
        <v>81</v>
      </c>
      <c r="D7554" t="s">
        <v>86</v>
      </c>
      <c r="E7554" t="s">
        <v>103</v>
      </c>
      <c r="F7554">
        <v>2300</v>
      </c>
      <c r="G7554" t="s">
        <v>331</v>
      </c>
      <c r="H7554" s="15">
        <v>45870</v>
      </c>
      <c r="I7554">
        <v>2300</v>
      </c>
      <c r="J7554">
        <v>0</v>
      </c>
    </row>
    <row r="7555" spans="1:10" x14ac:dyDescent="0.3">
      <c r="A7555" s="15">
        <v>46113</v>
      </c>
      <c r="B7555" t="s">
        <v>448</v>
      </c>
      <c r="C7555" t="s">
        <v>125</v>
      </c>
      <c r="D7555" t="s">
        <v>86</v>
      </c>
      <c r="E7555" t="s">
        <v>89</v>
      </c>
      <c r="F7555">
        <v>64000</v>
      </c>
      <c r="G7555" t="s">
        <v>331</v>
      </c>
      <c r="H7555" s="15">
        <v>45870</v>
      </c>
      <c r="I7555">
        <v>64000</v>
      </c>
      <c r="J7555">
        <v>0</v>
      </c>
    </row>
    <row r="7556" spans="1:10" x14ac:dyDescent="0.3">
      <c r="A7556" s="15">
        <v>46113</v>
      </c>
      <c r="B7556" t="s">
        <v>449</v>
      </c>
      <c r="C7556" t="s">
        <v>81</v>
      </c>
      <c r="D7556" t="s">
        <v>82</v>
      </c>
      <c r="E7556" t="s">
        <v>92</v>
      </c>
      <c r="F7556">
        <v>1600</v>
      </c>
      <c r="G7556" t="s">
        <v>331</v>
      </c>
      <c r="H7556" s="15">
        <v>45870</v>
      </c>
      <c r="I7556">
        <v>1600</v>
      </c>
      <c r="J7556">
        <v>0</v>
      </c>
    </row>
    <row r="7557" spans="1:10" x14ac:dyDescent="0.3">
      <c r="A7557" s="15">
        <v>46113</v>
      </c>
      <c r="B7557" t="s">
        <v>450</v>
      </c>
      <c r="C7557" t="s">
        <v>81</v>
      </c>
      <c r="D7557" t="s">
        <v>86</v>
      </c>
      <c r="E7557" t="s">
        <v>89</v>
      </c>
      <c r="F7557">
        <v>1900</v>
      </c>
      <c r="G7557" t="s">
        <v>331</v>
      </c>
      <c r="H7557" s="15">
        <v>45901</v>
      </c>
      <c r="I7557">
        <v>1900</v>
      </c>
      <c r="J7557">
        <v>0</v>
      </c>
    </row>
    <row r="7558" spans="1:10" x14ac:dyDescent="0.3">
      <c r="A7558" s="15">
        <v>46113</v>
      </c>
      <c r="B7558" t="s">
        <v>452</v>
      </c>
      <c r="C7558" t="s">
        <v>91</v>
      </c>
      <c r="D7558" t="s">
        <v>86</v>
      </c>
      <c r="E7558" t="s">
        <v>92</v>
      </c>
      <c r="F7558">
        <v>8600</v>
      </c>
      <c r="G7558" t="s">
        <v>331</v>
      </c>
      <c r="H7558" s="15">
        <v>45901</v>
      </c>
      <c r="I7558">
        <v>8600</v>
      </c>
      <c r="J7558">
        <v>0</v>
      </c>
    </row>
    <row r="7559" spans="1:10" x14ac:dyDescent="0.3">
      <c r="A7559" s="15">
        <v>46113</v>
      </c>
      <c r="B7559" t="s">
        <v>454</v>
      </c>
      <c r="C7559" t="s">
        <v>91</v>
      </c>
      <c r="D7559" t="s">
        <v>82</v>
      </c>
      <c r="E7559" t="s">
        <v>89</v>
      </c>
      <c r="F7559">
        <v>5400</v>
      </c>
      <c r="G7559" t="s">
        <v>331</v>
      </c>
      <c r="H7559" s="15">
        <v>45901</v>
      </c>
      <c r="I7559">
        <v>5400</v>
      </c>
      <c r="J7559">
        <v>0</v>
      </c>
    </row>
    <row r="7560" spans="1:10" x14ac:dyDescent="0.3">
      <c r="A7560" s="15">
        <v>46113</v>
      </c>
      <c r="B7560" t="s">
        <v>455</v>
      </c>
      <c r="C7560" t="s">
        <v>125</v>
      </c>
      <c r="D7560" t="s">
        <v>99</v>
      </c>
      <c r="E7560" t="s">
        <v>103</v>
      </c>
      <c r="F7560">
        <v>75900</v>
      </c>
      <c r="G7560" t="s">
        <v>331</v>
      </c>
      <c r="H7560" s="15">
        <v>45901</v>
      </c>
      <c r="I7560">
        <v>75900</v>
      </c>
      <c r="J7560">
        <v>0</v>
      </c>
    </row>
    <row r="7561" spans="1:10" x14ac:dyDescent="0.3">
      <c r="A7561" s="15">
        <v>46113</v>
      </c>
      <c r="B7561" t="s">
        <v>457</v>
      </c>
      <c r="C7561" t="s">
        <v>81</v>
      </c>
      <c r="D7561" t="s">
        <v>86</v>
      </c>
      <c r="E7561" t="s">
        <v>89</v>
      </c>
      <c r="F7561">
        <v>2200</v>
      </c>
      <c r="G7561" t="s">
        <v>331</v>
      </c>
      <c r="H7561" s="15">
        <v>45931</v>
      </c>
      <c r="I7561">
        <v>2200</v>
      </c>
      <c r="J7561">
        <v>0</v>
      </c>
    </row>
    <row r="7562" spans="1:10" x14ac:dyDescent="0.3">
      <c r="A7562" s="15">
        <v>46113</v>
      </c>
      <c r="B7562" t="s">
        <v>458</v>
      </c>
      <c r="C7562" t="s">
        <v>91</v>
      </c>
      <c r="D7562" t="s">
        <v>86</v>
      </c>
      <c r="E7562" t="s">
        <v>83</v>
      </c>
      <c r="F7562">
        <v>8300</v>
      </c>
      <c r="G7562" t="s">
        <v>331</v>
      </c>
      <c r="H7562" s="15">
        <v>45931</v>
      </c>
      <c r="I7562">
        <v>8300</v>
      </c>
      <c r="J7562">
        <v>0</v>
      </c>
    </row>
    <row r="7563" spans="1:10" x14ac:dyDescent="0.3">
      <c r="A7563" s="15">
        <v>46113</v>
      </c>
      <c r="B7563" t="s">
        <v>460</v>
      </c>
      <c r="C7563" t="s">
        <v>91</v>
      </c>
      <c r="D7563" t="s">
        <v>86</v>
      </c>
      <c r="E7563" t="s">
        <v>101</v>
      </c>
      <c r="F7563">
        <v>5300</v>
      </c>
      <c r="G7563" t="s">
        <v>331</v>
      </c>
      <c r="H7563" s="15">
        <v>45931</v>
      </c>
      <c r="I7563">
        <v>5300</v>
      </c>
      <c r="J7563">
        <v>0</v>
      </c>
    </row>
    <row r="7564" spans="1:10" x14ac:dyDescent="0.3">
      <c r="A7564" s="15">
        <v>46113</v>
      </c>
      <c r="B7564" t="s">
        <v>461</v>
      </c>
      <c r="C7564" t="s">
        <v>81</v>
      </c>
      <c r="D7564" t="s">
        <v>86</v>
      </c>
      <c r="E7564" t="s">
        <v>92</v>
      </c>
      <c r="F7564">
        <v>1700</v>
      </c>
      <c r="G7564" t="s">
        <v>331</v>
      </c>
      <c r="H7564" s="15">
        <v>45931</v>
      </c>
      <c r="I7564">
        <v>1700</v>
      </c>
      <c r="J7564">
        <v>0</v>
      </c>
    </row>
    <row r="7565" spans="1:10" x14ac:dyDescent="0.3">
      <c r="A7565" s="15">
        <v>46113</v>
      </c>
      <c r="B7565" t="s">
        <v>462</v>
      </c>
      <c r="C7565" t="s">
        <v>81</v>
      </c>
      <c r="D7565" t="s">
        <v>86</v>
      </c>
      <c r="E7565" t="s">
        <v>92</v>
      </c>
      <c r="F7565">
        <v>2200</v>
      </c>
      <c r="G7565" t="s">
        <v>331</v>
      </c>
      <c r="H7565" s="15">
        <v>45931</v>
      </c>
      <c r="I7565">
        <v>2200</v>
      </c>
      <c r="J7565">
        <v>0</v>
      </c>
    </row>
    <row r="7566" spans="1:10" x14ac:dyDescent="0.3">
      <c r="A7566" s="15">
        <v>46113</v>
      </c>
      <c r="B7566" t="s">
        <v>464</v>
      </c>
      <c r="C7566" t="s">
        <v>91</v>
      </c>
      <c r="D7566" t="s">
        <v>99</v>
      </c>
      <c r="E7566" t="s">
        <v>87</v>
      </c>
      <c r="F7566">
        <v>6000</v>
      </c>
      <c r="G7566" t="s">
        <v>331</v>
      </c>
      <c r="H7566" s="15">
        <v>45962</v>
      </c>
      <c r="I7566">
        <v>6000</v>
      </c>
      <c r="J7566">
        <v>0</v>
      </c>
    </row>
    <row r="7567" spans="1:10" x14ac:dyDescent="0.3">
      <c r="A7567" s="15">
        <v>46113</v>
      </c>
      <c r="B7567" t="s">
        <v>465</v>
      </c>
      <c r="C7567" t="s">
        <v>81</v>
      </c>
      <c r="D7567" t="s">
        <v>86</v>
      </c>
      <c r="E7567" t="s">
        <v>87</v>
      </c>
      <c r="F7567">
        <v>2000</v>
      </c>
      <c r="G7567" t="s">
        <v>331</v>
      </c>
      <c r="H7567" s="15">
        <v>45962</v>
      </c>
      <c r="I7567">
        <v>2000</v>
      </c>
      <c r="J7567">
        <v>0</v>
      </c>
    </row>
    <row r="7568" spans="1:10" x14ac:dyDescent="0.3">
      <c r="A7568" s="15">
        <v>46113</v>
      </c>
      <c r="B7568" t="s">
        <v>466</v>
      </c>
      <c r="C7568" t="s">
        <v>81</v>
      </c>
      <c r="D7568" t="s">
        <v>99</v>
      </c>
      <c r="E7568" t="s">
        <v>92</v>
      </c>
      <c r="F7568">
        <v>1400</v>
      </c>
      <c r="G7568" t="s">
        <v>331</v>
      </c>
      <c r="H7568" s="15">
        <v>45962</v>
      </c>
      <c r="I7568">
        <v>1400</v>
      </c>
      <c r="J7568">
        <v>0</v>
      </c>
    </row>
    <row r="7569" spans="1:10" x14ac:dyDescent="0.3">
      <c r="A7569" s="15">
        <v>46113</v>
      </c>
      <c r="B7569" t="s">
        <v>467</v>
      </c>
      <c r="C7569" t="s">
        <v>91</v>
      </c>
      <c r="D7569" t="s">
        <v>86</v>
      </c>
      <c r="E7569" t="s">
        <v>89</v>
      </c>
      <c r="F7569">
        <v>8200</v>
      </c>
      <c r="G7569" t="s">
        <v>331</v>
      </c>
      <c r="H7569" s="15">
        <v>45962</v>
      </c>
      <c r="I7569">
        <v>8200</v>
      </c>
      <c r="J7569">
        <v>0</v>
      </c>
    </row>
    <row r="7570" spans="1:10" x14ac:dyDescent="0.3">
      <c r="A7570" s="15">
        <v>46113</v>
      </c>
      <c r="B7570" t="s">
        <v>468</v>
      </c>
      <c r="C7570" t="s">
        <v>81</v>
      </c>
      <c r="D7570" t="s">
        <v>86</v>
      </c>
      <c r="E7570" t="s">
        <v>92</v>
      </c>
      <c r="F7570">
        <v>0</v>
      </c>
      <c r="G7570" t="s">
        <v>333</v>
      </c>
      <c r="H7570" s="15">
        <v>45992</v>
      </c>
      <c r="I7570">
        <v>1900</v>
      </c>
      <c r="J7570">
        <v>-1900</v>
      </c>
    </row>
    <row r="7571" spans="1:10" x14ac:dyDescent="0.3">
      <c r="A7571" s="15">
        <v>46113</v>
      </c>
      <c r="B7571" t="s">
        <v>469</v>
      </c>
      <c r="C7571" t="s">
        <v>81</v>
      </c>
      <c r="D7571" t="s">
        <v>86</v>
      </c>
      <c r="E7571" t="s">
        <v>87</v>
      </c>
      <c r="F7571">
        <v>2500</v>
      </c>
      <c r="G7571" t="s">
        <v>331</v>
      </c>
      <c r="H7571" s="15">
        <v>45992</v>
      </c>
      <c r="I7571">
        <v>2500</v>
      </c>
      <c r="J7571">
        <v>0</v>
      </c>
    </row>
    <row r="7572" spans="1:10" x14ac:dyDescent="0.3">
      <c r="A7572" s="15">
        <v>46113</v>
      </c>
      <c r="B7572" t="s">
        <v>470</v>
      </c>
      <c r="C7572" t="s">
        <v>81</v>
      </c>
      <c r="D7572" t="s">
        <v>86</v>
      </c>
      <c r="E7572" t="s">
        <v>103</v>
      </c>
      <c r="F7572">
        <v>1600</v>
      </c>
      <c r="G7572" t="s">
        <v>331</v>
      </c>
      <c r="H7572" s="15">
        <v>45992</v>
      </c>
      <c r="I7572">
        <v>1600</v>
      </c>
      <c r="J7572">
        <v>0</v>
      </c>
    </row>
    <row r="7573" spans="1:10" x14ac:dyDescent="0.3">
      <c r="A7573" s="15">
        <v>46113</v>
      </c>
      <c r="B7573" t="s">
        <v>471</v>
      </c>
      <c r="C7573" t="s">
        <v>110</v>
      </c>
      <c r="D7573" t="s">
        <v>86</v>
      </c>
      <c r="E7573" t="s">
        <v>103</v>
      </c>
      <c r="F7573">
        <v>31000</v>
      </c>
      <c r="G7573" t="s">
        <v>331</v>
      </c>
      <c r="H7573" s="15">
        <v>45992</v>
      </c>
      <c r="I7573">
        <v>31000</v>
      </c>
      <c r="J7573">
        <v>0</v>
      </c>
    </row>
    <row r="7574" spans="1:10" x14ac:dyDescent="0.3">
      <c r="A7574" s="15">
        <v>46113</v>
      </c>
      <c r="B7574" t="s">
        <v>472</v>
      </c>
      <c r="C7574" t="s">
        <v>91</v>
      </c>
      <c r="D7574" t="s">
        <v>86</v>
      </c>
      <c r="E7574" t="s">
        <v>97</v>
      </c>
      <c r="F7574">
        <v>5100</v>
      </c>
      <c r="G7574" t="s">
        <v>331</v>
      </c>
      <c r="H7574" s="15">
        <v>45992</v>
      </c>
      <c r="I7574">
        <v>5100</v>
      </c>
      <c r="J7574">
        <v>0</v>
      </c>
    </row>
    <row r="7575" spans="1:10" x14ac:dyDescent="0.3">
      <c r="A7575" s="15">
        <v>46113</v>
      </c>
      <c r="B7575" t="s">
        <v>474</v>
      </c>
      <c r="C7575" t="s">
        <v>81</v>
      </c>
      <c r="D7575" t="s">
        <v>99</v>
      </c>
      <c r="E7575" t="s">
        <v>92</v>
      </c>
      <c r="F7575">
        <v>1600</v>
      </c>
      <c r="G7575" t="s">
        <v>331</v>
      </c>
      <c r="H7575" s="15">
        <v>45992</v>
      </c>
      <c r="I7575">
        <v>1600</v>
      </c>
      <c r="J7575">
        <v>0</v>
      </c>
    </row>
    <row r="7576" spans="1:10" x14ac:dyDescent="0.3">
      <c r="A7576" s="15">
        <v>46113</v>
      </c>
      <c r="B7576" t="s">
        <v>475</v>
      </c>
      <c r="C7576" t="s">
        <v>110</v>
      </c>
      <c r="D7576" t="s">
        <v>82</v>
      </c>
      <c r="E7576" t="s">
        <v>101</v>
      </c>
      <c r="F7576">
        <v>35000</v>
      </c>
      <c r="G7576" t="s">
        <v>331</v>
      </c>
      <c r="H7576" s="15">
        <v>45992</v>
      </c>
      <c r="I7576">
        <v>35000</v>
      </c>
      <c r="J7576">
        <v>0</v>
      </c>
    </row>
    <row r="7577" spans="1:10" x14ac:dyDescent="0.3">
      <c r="A7577" s="15">
        <v>46113</v>
      </c>
      <c r="B7577" t="s">
        <v>476</v>
      </c>
      <c r="C7577" t="s">
        <v>81</v>
      </c>
      <c r="D7577" t="s">
        <v>82</v>
      </c>
      <c r="E7577" t="s">
        <v>89</v>
      </c>
      <c r="F7577">
        <v>2600</v>
      </c>
      <c r="G7577" t="s">
        <v>331</v>
      </c>
      <c r="H7577" s="15">
        <v>45992</v>
      </c>
      <c r="I7577">
        <v>2600</v>
      </c>
      <c r="J7577">
        <v>0</v>
      </c>
    </row>
    <row r="7578" spans="1:10" x14ac:dyDescent="0.3">
      <c r="A7578" s="15">
        <v>46113</v>
      </c>
      <c r="B7578" t="s">
        <v>477</v>
      </c>
      <c r="C7578" t="s">
        <v>81</v>
      </c>
      <c r="D7578" t="s">
        <v>82</v>
      </c>
      <c r="E7578" t="s">
        <v>92</v>
      </c>
      <c r="F7578">
        <v>2100</v>
      </c>
      <c r="G7578" t="s">
        <v>331</v>
      </c>
      <c r="H7578" s="15">
        <v>46023</v>
      </c>
      <c r="I7578">
        <v>2100</v>
      </c>
      <c r="J7578">
        <v>0</v>
      </c>
    </row>
    <row r="7579" spans="1:10" x14ac:dyDescent="0.3">
      <c r="A7579" s="15">
        <v>46113</v>
      </c>
      <c r="B7579" t="s">
        <v>478</v>
      </c>
      <c r="C7579" t="s">
        <v>91</v>
      </c>
      <c r="D7579" t="s">
        <v>82</v>
      </c>
      <c r="E7579" t="s">
        <v>97</v>
      </c>
      <c r="F7579">
        <v>6500</v>
      </c>
      <c r="G7579" t="s">
        <v>331</v>
      </c>
      <c r="H7579" s="15">
        <v>46023</v>
      </c>
      <c r="I7579">
        <v>6500</v>
      </c>
      <c r="J7579">
        <v>0</v>
      </c>
    </row>
    <row r="7580" spans="1:10" x14ac:dyDescent="0.3">
      <c r="A7580" s="15">
        <v>46113</v>
      </c>
      <c r="B7580" t="s">
        <v>479</v>
      </c>
      <c r="C7580" t="s">
        <v>81</v>
      </c>
      <c r="D7580" t="s">
        <v>82</v>
      </c>
      <c r="E7580" t="s">
        <v>87</v>
      </c>
      <c r="F7580">
        <v>1800</v>
      </c>
      <c r="G7580" t="s">
        <v>332</v>
      </c>
      <c r="H7580" s="15">
        <v>46023</v>
      </c>
      <c r="I7580">
        <v>1600</v>
      </c>
      <c r="J7580">
        <v>200</v>
      </c>
    </row>
    <row r="7581" spans="1:10" x14ac:dyDescent="0.3">
      <c r="A7581" s="15">
        <v>46113</v>
      </c>
      <c r="B7581" t="s">
        <v>480</v>
      </c>
      <c r="C7581" t="s">
        <v>81</v>
      </c>
      <c r="D7581" t="s">
        <v>86</v>
      </c>
      <c r="E7581" t="s">
        <v>103</v>
      </c>
      <c r="F7581">
        <v>1600</v>
      </c>
      <c r="G7581" t="s">
        <v>331</v>
      </c>
      <c r="H7581" s="15">
        <v>46023</v>
      </c>
      <c r="I7581">
        <v>1600</v>
      </c>
      <c r="J7581">
        <v>0</v>
      </c>
    </row>
    <row r="7582" spans="1:10" x14ac:dyDescent="0.3">
      <c r="A7582" s="15">
        <v>46113</v>
      </c>
      <c r="B7582" t="s">
        <v>481</v>
      </c>
      <c r="C7582" t="s">
        <v>81</v>
      </c>
      <c r="D7582" t="s">
        <v>82</v>
      </c>
      <c r="E7582" t="s">
        <v>103</v>
      </c>
      <c r="F7582">
        <v>1800</v>
      </c>
      <c r="G7582" t="s">
        <v>331</v>
      </c>
      <c r="H7582" s="15">
        <v>46023</v>
      </c>
      <c r="I7582">
        <v>1800</v>
      </c>
      <c r="J7582">
        <v>0</v>
      </c>
    </row>
    <row r="7583" spans="1:10" x14ac:dyDescent="0.3">
      <c r="A7583" s="15">
        <v>46113</v>
      </c>
      <c r="B7583" t="s">
        <v>482</v>
      </c>
      <c r="C7583" t="s">
        <v>110</v>
      </c>
      <c r="D7583" t="s">
        <v>82</v>
      </c>
      <c r="E7583" t="s">
        <v>83</v>
      </c>
      <c r="F7583">
        <v>18100</v>
      </c>
      <c r="G7583" t="s">
        <v>331</v>
      </c>
      <c r="H7583" s="15">
        <v>46023</v>
      </c>
      <c r="I7583">
        <v>18100</v>
      </c>
      <c r="J7583">
        <v>0</v>
      </c>
    </row>
    <row r="7584" spans="1:10" x14ac:dyDescent="0.3">
      <c r="A7584" s="15">
        <v>46113</v>
      </c>
      <c r="B7584" t="s">
        <v>483</v>
      </c>
      <c r="C7584" t="s">
        <v>81</v>
      </c>
      <c r="D7584" t="s">
        <v>82</v>
      </c>
      <c r="E7584" t="s">
        <v>89</v>
      </c>
      <c r="F7584">
        <v>2000</v>
      </c>
      <c r="G7584" t="s">
        <v>331</v>
      </c>
      <c r="H7584" s="15">
        <v>46023</v>
      </c>
      <c r="I7584">
        <v>2000</v>
      </c>
      <c r="J7584">
        <v>0</v>
      </c>
    </row>
    <row r="7585" spans="1:10" x14ac:dyDescent="0.3">
      <c r="A7585" s="15">
        <v>46113</v>
      </c>
      <c r="B7585" t="s">
        <v>484</v>
      </c>
      <c r="C7585" t="s">
        <v>110</v>
      </c>
      <c r="D7585" t="s">
        <v>99</v>
      </c>
      <c r="E7585" t="s">
        <v>101</v>
      </c>
      <c r="F7585">
        <v>21400</v>
      </c>
      <c r="G7585" t="s">
        <v>331</v>
      </c>
      <c r="H7585" s="15">
        <v>46054</v>
      </c>
      <c r="I7585">
        <v>21400</v>
      </c>
      <c r="J7585">
        <v>0</v>
      </c>
    </row>
    <row r="7586" spans="1:10" x14ac:dyDescent="0.3">
      <c r="A7586" s="15">
        <v>46113</v>
      </c>
      <c r="B7586" t="s">
        <v>485</v>
      </c>
      <c r="C7586" t="s">
        <v>125</v>
      </c>
      <c r="D7586" t="s">
        <v>82</v>
      </c>
      <c r="E7586" t="s">
        <v>89</v>
      </c>
      <c r="F7586">
        <v>65800</v>
      </c>
      <c r="G7586" t="s">
        <v>331</v>
      </c>
      <c r="H7586" s="15">
        <v>46054</v>
      </c>
      <c r="I7586">
        <v>65800</v>
      </c>
      <c r="J7586">
        <v>0</v>
      </c>
    </row>
    <row r="7587" spans="1:10" x14ac:dyDescent="0.3">
      <c r="A7587" s="15">
        <v>46113</v>
      </c>
      <c r="B7587" t="s">
        <v>486</v>
      </c>
      <c r="C7587" t="s">
        <v>81</v>
      </c>
      <c r="D7587" t="s">
        <v>82</v>
      </c>
      <c r="E7587" t="s">
        <v>87</v>
      </c>
      <c r="F7587">
        <v>1500</v>
      </c>
      <c r="G7587" t="s">
        <v>331</v>
      </c>
      <c r="H7587" s="15">
        <v>46054</v>
      </c>
      <c r="I7587">
        <v>1500</v>
      </c>
      <c r="J7587">
        <v>0</v>
      </c>
    </row>
    <row r="7588" spans="1:10" x14ac:dyDescent="0.3">
      <c r="A7588" s="15">
        <v>46113</v>
      </c>
      <c r="B7588" t="s">
        <v>487</v>
      </c>
      <c r="C7588" t="s">
        <v>81</v>
      </c>
      <c r="D7588" t="s">
        <v>86</v>
      </c>
      <c r="E7588" t="s">
        <v>83</v>
      </c>
      <c r="F7588">
        <v>1800</v>
      </c>
      <c r="G7588" t="s">
        <v>331</v>
      </c>
      <c r="H7588" s="15">
        <v>46054</v>
      </c>
      <c r="I7588">
        <v>1800</v>
      </c>
      <c r="J7588">
        <v>0</v>
      </c>
    </row>
    <row r="7589" spans="1:10" x14ac:dyDescent="0.3">
      <c r="A7589" s="15">
        <v>46113</v>
      </c>
      <c r="B7589" t="s">
        <v>488</v>
      </c>
      <c r="C7589" t="s">
        <v>91</v>
      </c>
      <c r="D7589" t="s">
        <v>86</v>
      </c>
      <c r="E7589" t="s">
        <v>89</v>
      </c>
      <c r="F7589">
        <v>6800</v>
      </c>
      <c r="G7589" t="s">
        <v>331</v>
      </c>
      <c r="H7589" s="15">
        <v>46054</v>
      </c>
      <c r="I7589">
        <v>6800</v>
      </c>
      <c r="J7589">
        <v>0</v>
      </c>
    </row>
    <row r="7590" spans="1:10" x14ac:dyDescent="0.3">
      <c r="A7590" s="15">
        <v>46113</v>
      </c>
      <c r="B7590" t="s">
        <v>489</v>
      </c>
      <c r="C7590" t="s">
        <v>81</v>
      </c>
      <c r="D7590" t="s">
        <v>96</v>
      </c>
      <c r="E7590" t="s">
        <v>97</v>
      </c>
      <c r="F7590">
        <v>1400</v>
      </c>
      <c r="G7590" t="s">
        <v>331</v>
      </c>
      <c r="H7590" s="15">
        <v>46054</v>
      </c>
      <c r="I7590">
        <v>1400</v>
      </c>
      <c r="J7590">
        <v>0</v>
      </c>
    </row>
    <row r="7591" spans="1:10" x14ac:dyDescent="0.3">
      <c r="A7591" s="15">
        <v>46113</v>
      </c>
      <c r="B7591" t="s">
        <v>490</v>
      </c>
      <c r="C7591" t="s">
        <v>81</v>
      </c>
      <c r="D7591" t="s">
        <v>86</v>
      </c>
      <c r="E7591" t="s">
        <v>103</v>
      </c>
      <c r="F7591">
        <v>1800</v>
      </c>
      <c r="G7591" t="s">
        <v>331</v>
      </c>
      <c r="H7591" s="15">
        <v>46054</v>
      </c>
      <c r="I7591">
        <v>1800</v>
      </c>
      <c r="J7591">
        <v>0</v>
      </c>
    </row>
    <row r="7592" spans="1:10" x14ac:dyDescent="0.3">
      <c r="A7592" s="15">
        <v>46113</v>
      </c>
      <c r="B7592" t="s">
        <v>491</v>
      </c>
      <c r="C7592" t="s">
        <v>81</v>
      </c>
      <c r="D7592" t="s">
        <v>96</v>
      </c>
      <c r="E7592" t="s">
        <v>92</v>
      </c>
      <c r="F7592">
        <v>1600</v>
      </c>
      <c r="G7592" t="s">
        <v>331</v>
      </c>
      <c r="H7592" s="15">
        <v>46054</v>
      </c>
      <c r="I7592">
        <v>1600</v>
      </c>
      <c r="J7592">
        <v>0</v>
      </c>
    </row>
    <row r="7593" spans="1:10" x14ac:dyDescent="0.3">
      <c r="A7593" s="15">
        <v>46113</v>
      </c>
      <c r="B7593" t="s">
        <v>492</v>
      </c>
      <c r="C7593" t="s">
        <v>81</v>
      </c>
      <c r="D7593" t="s">
        <v>99</v>
      </c>
      <c r="E7593" t="s">
        <v>92</v>
      </c>
      <c r="F7593">
        <v>1700</v>
      </c>
      <c r="G7593" t="s">
        <v>331</v>
      </c>
      <c r="H7593" s="15">
        <v>46082</v>
      </c>
      <c r="I7593">
        <v>1700</v>
      </c>
      <c r="J7593">
        <v>0</v>
      </c>
    </row>
    <row r="7594" spans="1:10" x14ac:dyDescent="0.3">
      <c r="A7594" s="15">
        <v>46113</v>
      </c>
      <c r="B7594" t="s">
        <v>493</v>
      </c>
      <c r="C7594" t="s">
        <v>81</v>
      </c>
      <c r="D7594" t="s">
        <v>96</v>
      </c>
      <c r="E7594" t="s">
        <v>101</v>
      </c>
      <c r="F7594">
        <v>1600</v>
      </c>
      <c r="G7594" t="s">
        <v>331</v>
      </c>
      <c r="H7594" s="15">
        <v>46082</v>
      </c>
      <c r="I7594">
        <v>1600</v>
      </c>
      <c r="J7594">
        <v>0</v>
      </c>
    </row>
    <row r="7595" spans="1:10" x14ac:dyDescent="0.3">
      <c r="A7595" s="15">
        <v>46113</v>
      </c>
      <c r="B7595" t="s">
        <v>494</v>
      </c>
      <c r="C7595" t="s">
        <v>110</v>
      </c>
      <c r="D7595" t="s">
        <v>82</v>
      </c>
      <c r="E7595" t="s">
        <v>103</v>
      </c>
      <c r="F7595">
        <v>21000</v>
      </c>
      <c r="G7595" t="s">
        <v>331</v>
      </c>
      <c r="H7595" s="15">
        <v>46082</v>
      </c>
      <c r="I7595">
        <v>21000</v>
      </c>
      <c r="J7595">
        <v>0</v>
      </c>
    </row>
    <row r="7596" spans="1:10" x14ac:dyDescent="0.3">
      <c r="A7596" s="15">
        <v>46113</v>
      </c>
      <c r="B7596" t="s">
        <v>495</v>
      </c>
      <c r="C7596" t="s">
        <v>81</v>
      </c>
      <c r="D7596" t="s">
        <v>86</v>
      </c>
      <c r="E7596" t="s">
        <v>87</v>
      </c>
      <c r="F7596">
        <v>1300</v>
      </c>
      <c r="G7596" t="s">
        <v>331</v>
      </c>
      <c r="H7596" s="15">
        <v>46082</v>
      </c>
      <c r="I7596">
        <v>1300</v>
      </c>
      <c r="J7596">
        <v>0</v>
      </c>
    </row>
    <row r="7597" spans="1:10" x14ac:dyDescent="0.3">
      <c r="A7597" s="15">
        <v>46113</v>
      </c>
      <c r="B7597" t="s">
        <v>496</v>
      </c>
      <c r="C7597" t="s">
        <v>110</v>
      </c>
      <c r="D7597" t="s">
        <v>99</v>
      </c>
      <c r="E7597" t="s">
        <v>97</v>
      </c>
      <c r="F7597">
        <v>16500</v>
      </c>
      <c r="G7597" t="s">
        <v>331</v>
      </c>
      <c r="H7597" s="15">
        <v>46082</v>
      </c>
      <c r="I7597">
        <v>16500</v>
      </c>
      <c r="J7597">
        <v>0</v>
      </c>
    </row>
    <row r="7598" spans="1:10" x14ac:dyDescent="0.3">
      <c r="A7598" s="15">
        <v>46113</v>
      </c>
      <c r="B7598" t="s">
        <v>497</v>
      </c>
      <c r="C7598" t="s">
        <v>91</v>
      </c>
      <c r="D7598" t="s">
        <v>86</v>
      </c>
      <c r="E7598" t="s">
        <v>97</v>
      </c>
      <c r="F7598">
        <v>4900</v>
      </c>
      <c r="G7598" t="s">
        <v>331</v>
      </c>
      <c r="H7598" s="15">
        <v>46082</v>
      </c>
      <c r="I7598">
        <v>4900</v>
      </c>
      <c r="J7598">
        <v>0</v>
      </c>
    </row>
    <row r="7599" spans="1:10" x14ac:dyDescent="0.3">
      <c r="A7599" s="15">
        <v>46113</v>
      </c>
      <c r="B7599" t="s">
        <v>498</v>
      </c>
      <c r="C7599" t="s">
        <v>91</v>
      </c>
      <c r="D7599" t="s">
        <v>82</v>
      </c>
      <c r="E7599" t="s">
        <v>83</v>
      </c>
      <c r="F7599">
        <v>7900</v>
      </c>
      <c r="G7599" t="s">
        <v>84</v>
      </c>
      <c r="H7599" s="15">
        <v>46113</v>
      </c>
      <c r="I7599">
        <v>0</v>
      </c>
      <c r="J7599">
        <v>7900</v>
      </c>
    </row>
    <row r="7600" spans="1:10" x14ac:dyDescent="0.3">
      <c r="A7600" s="15">
        <v>46113</v>
      </c>
      <c r="B7600" t="s">
        <v>499</v>
      </c>
      <c r="C7600" t="s">
        <v>91</v>
      </c>
      <c r="D7600" t="s">
        <v>82</v>
      </c>
      <c r="E7600" t="s">
        <v>101</v>
      </c>
      <c r="F7600">
        <v>7000</v>
      </c>
      <c r="G7600" t="s">
        <v>84</v>
      </c>
      <c r="H7600" s="15">
        <v>46113</v>
      </c>
      <c r="I7600">
        <v>0</v>
      </c>
      <c r="J7600">
        <v>7000</v>
      </c>
    </row>
    <row r="7601" spans="1:10" x14ac:dyDescent="0.3">
      <c r="A7601" s="15">
        <v>46113</v>
      </c>
      <c r="B7601" t="s">
        <v>500</v>
      </c>
      <c r="C7601" t="s">
        <v>81</v>
      </c>
      <c r="D7601" t="s">
        <v>86</v>
      </c>
      <c r="E7601" t="s">
        <v>83</v>
      </c>
      <c r="F7601">
        <v>2000</v>
      </c>
      <c r="G7601" t="s">
        <v>84</v>
      </c>
      <c r="H7601" s="15">
        <v>46113</v>
      </c>
      <c r="I7601">
        <v>0</v>
      </c>
      <c r="J7601">
        <v>2000</v>
      </c>
    </row>
    <row r="7602" spans="1:10" x14ac:dyDescent="0.3">
      <c r="A7602" s="15">
        <v>46113</v>
      </c>
      <c r="B7602" t="s">
        <v>501</v>
      </c>
      <c r="C7602" t="s">
        <v>110</v>
      </c>
      <c r="D7602" t="s">
        <v>86</v>
      </c>
      <c r="E7602" t="s">
        <v>97</v>
      </c>
      <c r="F7602">
        <v>27200</v>
      </c>
      <c r="G7602" t="s">
        <v>84</v>
      </c>
      <c r="H7602" s="15">
        <v>46113</v>
      </c>
      <c r="I7602">
        <v>0</v>
      </c>
      <c r="J7602">
        <v>27200</v>
      </c>
    </row>
    <row r="7603" spans="1:10" x14ac:dyDescent="0.3">
      <c r="A7603" s="15">
        <v>46113</v>
      </c>
      <c r="B7603" t="s">
        <v>502</v>
      </c>
      <c r="C7603" t="s">
        <v>81</v>
      </c>
      <c r="D7603" t="s">
        <v>99</v>
      </c>
      <c r="E7603" t="s">
        <v>83</v>
      </c>
      <c r="F7603">
        <v>2200</v>
      </c>
      <c r="G7603" t="s">
        <v>84</v>
      </c>
      <c r="H7603" s="15">
        <v>46113</v>
      </c>
      <c r="I7603">
        <v>0</v>
      </c>
      <c r="J7603">
        <v>2200</v>
      </c>
    </row>
    <row r="7604" spans="1:10" x14ac:dyDescent="0.3">
      <c r="A7604" s="15">
        <v>46113</v>
      </c>
      <c r="B7604" t="s">
        <v>503</v>
      </c>
      <c r="C7604" t="s">
        <v>110</v>
      </c>
      <c r="D7604" t="s">
        <v>86</v>
      </c>
      <c r="E7604" t="s">
        <v>87</v>
      </c>
      <c r="F7604">
        <v>40200</v>
      </c>
      <c r="G7604" t="s">
        <v>84</v>
      </c>
      <c r="H7604" s="15">
        <v>46113</v>
      </c>
      <c r="I7604">
        <v>0</v>
      </c>
      <c r="J7604">
        <v>40200</v>
      </c>
    </row>
    <row r="7605" spans="1:10" x14ac:dyDescent="0.3">
      <c r="A7605" s="15">
        <v>46113</v>
      </c>
      <c r="B7605" t="s">
        <v>504</v>
      </c>
      <c r="C7605" t="s">
        <v>81</v>
      </c>
      <c r="D7605" t="s">
        <v>86</v>
      </c>
      <c r="E7605" t="s">
        <v>103</v>
      </c>
      <c r="F7605">
        <v>1400</v>
      </c>
      <c r="G7605" t="s">
        <v>84</v>
      </c>
      <c r="H7605" s="15">
        <v>46113</v>
      </c>
      <c r="I7605">
        <v>0</v>
      </c>
      <c r="J7605">
        <v>1400</v>
      </c>
    </row>
    <row r="7606" spans="1:10" x14ac:dyDescent="0.3">
      <c r="A7606" s="15">
        <v>46113</v>
      </c>
      <c r="B7606" t="s">
        <v>505</v>
      </c>
      <c r="C7606" t="s">
        <v>81</v>
      </c>
      <c r="D7606" t="s">
        <v>86</v>
      </c>
      <c r="E7606" t="s">
        <v>97</v>
      </c>
      <c r="F7606">
        <v>2100</v>
      </c>
      <c r="G7606" t="s">
        <v>84</v>
      </c>
      <c r="H7606" s="15">
        <v>46113</v>
      </c>
      <c r="I7606">
        <v>0</v>
      </c>
      <c r="J7606">
        <v>2100</v>
      </c>
    </row>
    <row r="7607" spans="1:10" x14ac:dyDescent="0.3">
      <c r="A7607" s="15">
        <v>46113</v>
      </c>
      <c r="B7607" t="s">
        <v>506</v>
      </c>
      <c r="C7607" t="s">
        <v>91</v>
      </c>
      <c r="D7607" t="s">
        <v>82</v>
      </c>
      <c r="E7607" t="s">
        <v>89</v>
      </c>
      <c r="F7607">
        <v>5100</v>
      </c>
      <c r="G7607" t="s">
        <v>84</v>
      </c>
      <c r="H7607" s="15">
        <v>46113</v>
      </c>
      <c r="I7607">
        <v>0</v>
      </c>
      <c r="J7607">
        <v>5100</v>
      </c>
    </row>
    <row r="7608" spans="1:10" x14ac:dyDescent="0.3">
      <c r="A7608" s="15">
        <v>46143</v>
      </c>
      <c r="B7608" t="s">
        <v>80</v>
      </c>
      <c r="C7608" t="s">
        <v>81</v>
      </c>
      <c r="D7608" t="s">
        <v>82</v>
      </c>
      <c r="E7608" t="s">
        <v>83</v>
      </c>
      <c r="F7608">
        <v>1900</v>
      </c>
      <c r="G7608" t="s">
        <v>331</v>
      </c>
      <c r="H7608" s="15">
        <v>45292</v>
      </c>
      <c r="I7608">
        <v>1900</v>
      </c>
      <c r="J7608">
        <v>0</v>
      </c>
    </row>
    <row r="7609" spans="1:10" x14ac:dyDescent="0.3">
      <c r="A7609" s="15">
        <v>46143</v>
      </c>
      <c r="B7609" t="s">
        <v>85</v>
      </c>
      <c r="C7609" t="s">
        <v>81</v>
      </c>
      <c r="D7609" t="s">
        <v>86</v>
      </c>
      <c r="E7609" t="s">
        <v>87</v>
      </c>
      <c r="F7609">
        <v>2200</v>
      </c>
      <c r="G7609" t="s">
        <v>331</v>
      </c>
      <c r="H7609" s="15">
        <v>45292</v>
      </c>
      <c r="I7609">
        <v>2200</v>
      </c>
      <c r="J7609">
        <v>0</v>
      </c>
    </row>
    <row r="7610" spans="1:10" x14ac:dyDescent="0.3">
      <c r="A7610" s="15">
        <v>46143</v>
      </c>
      <c r="B7610" t="s">
        <v>88</v>
      </c>
      <c r="C7610" t="s">
        <v>81</v>
      </c>
      <c r="D7610" t="s">
        <v>86</v>
      </c>
      <c r="E7610" t="s">
        <v>89</v>
      </c>
      <c r="F7610">
        <v>2400</v>
      </c>
      <c r="G7610" t="s">
        <v>331</v>
      </c>
      <c r="H7610" s="15">
        <v>45292</v>
      </c>
      <c r="I7610">
        <v>2400</v>
      </c>
      <c r="J7610">
        <v>0</v>
      </c>
    </row>
    <row r="7611" spans="1:10" x14ac:dyDescent="0.3">
      <c r="A7611" s="15">
        <v>46143</v>
      </c>
      <c r="B7611" t="s">
        <v>90</v>
      </c>
      <c r="C7611" t="s">
        <v>91</v>
      </c>
      <c r="D7611" t="s">
        <v>82</v>
      </c>
      <c r="E7611" t="s">
        <v>92</v>
      </c>
      <c r="F7611">
        <v>9200</v>
      </c>
      <c r="G7611" t="s">
        <v>331</v>
      </c>
      <c r="H7611" s="15">
        <v>45292</v>
      </c>
      <c r="I7611">
        <v>9200</v>
      </c>
      <c r="J7611">
        <v>0</v>
      </c>
    </row>
    <row r="7612" spans="1:10" x14ac:dyDescent="0.3">
      <c r="A7612" s="15">
        <v>46143</v>
      </c>
      <c r="B7612" t="s">
        <v>93</v>
      </c>
      <c r="C7612" t="s">
        <v>81</v>
      </c>
      <c r="D7612" t="s">
        <v>86</v>
      </c>
      <c r="E7612" t="s">
        <v>83</v>
      </c>
      <c r="F7612">
        <v>2600</v>
      </c>
      <c r="G7612" t="s">
        <v>331</v>
      </c>
      <c r="H7612" s="15">
        <v>45292</v>
      </c>
      <c r="I7612">
        <v>2600</v>
      </c>
      <c r="J7612">
        <v>0</v>
      </c>
    </row>
    <row r="7613" spans="1:10" x14ac:dyDescent="0.3">
      <c r="A7613" s="15">
        <v>46143</v>
      </c>
      <c r="B7613" t="s">
        <v>94</v>
      </c>
      <c r="C7613" t="s">
        <v>91</v>
      </c>
      <c r="D7613" t="s">
        <v>86</v>
      </c>
      <c r="E7613" t="s">
        <v>83</v>
      </c>
      <c r="F7613">
        <v>8500</v>
      </c>
      <c r="G7613" t="s">
        <v>331</v>
      </c>
      <c r="H7613" s="15">
        <v>45292</v>
      </c>
      <c r="I7613">
        <v>8500</v>
      </c>
      <c r="J7613">
        <v>0</v>
      </c>
    </row>
    <row r="7614" spans="1:10" x14ac:dyDescent="0.3">
      <c r="A7614" s="15">
        <v>46143</v>
      </c>
      <c r="B7614" t="s">
        <v>95</v>
      </c>
      <c r="C7614" t="s">
        <v>81</v>
      </c>
      <c r="D7614" t="s">
        <v>96</v>
      </c>
      <c r="E7614" t="s">
        <v>97</v>
      </c>
      <c r="F7614">
        <v>3100</v>
      </c>
      <c r="G7614" t="s">
        <v>331</v>
      </c>
      <c r="H7614" s="15">
        <v>45292</v>
      </c>
      <c r="I7614">
        <v>3100</v>
      </c>
      <c r="J7614">
        <v>0</v>
      </c>
    </row>
    <row r="7615" spans="1:10" x14ac:dyDescent="0.3">
      <c r="A7615" s="15">
        <v>46143</v>
      </c>
      <c r="B7615" t="s">
        <v>98</v>
      </c>
      <c r="C7615" t="s">
        <v>81</v>
      </c>
      <c r="D7615" t="s">
        <v>99</v>
      </c>
      <c r="E7615" t="s">
        <v>92</v>
      </c>
      <c r="F7615">
        <v>2000</v>
      </c>
      <c r="G7615" t="s">
        <v>331</v>
      </c>
      <c r="H7615" s="15">
        <v>45292</v>
      </c>
      <c r="I7615">
        <v>2000</v>
      </c>
      <c r="J7615">
        <v>0</v>
      </c>
    </row>
    <row r="7616" spans="1:10" x14ac:dyDescent="0.3">
      <c r="A7616" s="15">
        <v>46143</v>
      </c>
      <c r="B7616" t="s">
        <v>102</v>
      </c>
      <c r="C7616" t="s">
        <v>81</v>
      </c>
      <c r="D7616" t="s">
        <v>99</v>
      </c>
      <c r="E7616" t="s">
        <v>103</v>
      </c>
      <c r="F7616">
        <v>2900</v>
      </c>
      <c r="G7616" t="s">
        <v>331</v>
      </c>
      <c r="H7616" s="15">
        <v>45292</v>
      </c>
      <c r="I7616">
        <v>2900</v>
      </c>
      <c r="J7616">
        <v>0</v>
      </c>
    </row>
    <row r="7617" spans="1:10" x14ac:dyDescent="0.3">
      <c r="A7617" s="15">
        <v>46143</v>
      </c>
      <c r="B7617" t="s">
        <v>104</v>
      </c>
      <c r="C7617" t="s">
        <v>91</v>
      </c>
      <c r="D7617" t="s">
        <v>99</v>
      </c>
      <c r="E7617" t="s">
        <v>87</v>
      </c>
      <c r="F7617">
        <v>0</v>
      </c>
      <c r="G7617" t="s">
        <v>333</v>
      </c>
      <c r="H7617" s="15">
        <v>45292</v>
      </c>
      <c r="I7617">
        <v>7000</v>
      </c>
      <c r="J7617">
        <v>-7000</v>
      </c>
    </row>
    <row r="7618" spans="1:10" x14ac:dyDescent="0.3">
      <c r="A7618" s="15">
        <v>46143</v>
      </c>
      <c r="B7618" t="s">
        <v>105</v>
      </c>
      <c r="C7618" t="s">
        <v>91</v>
      </c>
      <c r="D7618" t="s">
        <v>86</v>
      </c>
      <c r="E7618" t="s">
        <v>89</v>
      </c>
      <c r="F7618">
        <v>12900</v>
      </c>
      <c r="G7618" t="s">
        <v>331</v>
      </c>
      <c r="H7618" s="15">
        <v>45292</v>
      </c>
      <c r="I7618">
        <v>12900</v>
      </c>
      <c r="J7618">
        <v>0</v>
      </c>
    </row>
    <row r="7619" spans="1:10" x14ac:dyDescent="0.3">
      <c r="A7619" s="15">
        <v>46143</v>
      </c>
      <c r="B7619" t="s">
        <v>106</v>
      </c>
      <c r="C7619" t="s">
        <v>81</v>
      </c>
      <c r="D7619" t="s">
        <v>99</v>
      </c>
      <c r="E7619" t="s">
        <v>92</v>
      </c>
      <c r="F7619">
        <v>2700</v>
      </c>
      <c r="G7619" t="s">
        <v>331</v>
      </c>
      <c r="H7619" s="15">
        <v>45292</v>
      </c>
      <c r="I7619">
        <v>2700</v>
      </c>
      <c r="J7619">
        <v>0</v>
      </c>
    </row>
    <row r="7620" spans="1:10" x14ac:dyDescent="0.3">
      <c r="A7620" s="15">
        <v>46143</v>
      </c>
      <c r="B7620" t="s">
        <v>109</v>
      </c>
      <c r="C7620" t="s">
        <v>110</v>
      </c>
      <c r="D7620" t="s">
        <v>82</v>
      </c>
      <c r="E7620" t="s">
        <v>103</v>
      </c>
      <c r="F7620">
        <v>37500</v>
      </c>
      <c r="G7620" t="s">
        <v>331</v>
      </c>
      <c r="H7620" s="15">
        <v>45292</v>
      </c>
      <c r="I7620">
        <v>37500</v>
      </c>
      <c r="J7620">
        <v>0</v>
      </c>
    </row>
    <row r="7621" spans="1:10" x14ac:dyDescent="0.3">
      <c r="A7621" s="15">
        <v>46143</v>
      </c>
      <c r="B7621" t="s">
        <v>111</v>
      </c>
      <c r="C7621" t="s">
        <v>91</v>
      </c>
      <c r="D7621" t="s">
        <v>82</v>
      </c>
      <c r="E7621" t="s">
        <v>83</v>
      </c>
      <c r="F7621">
        <v>8800</v>
      </c>
      <c r="G7621" t="s">
        <v>331</v>
      </c>
      <c r="H7621" s="15">
        <v>45292</v>
      </c>
      <c r="I7621">
        <v>8800</v>
      </c>
      <c r="J7621">
        <v>0</v>
      </c>
    </row>
    <row r="7622" spans="1:10" x14ac:dyDescent="0.3">
      <c r="A7622" s="15">
        <v>46143</v>
      </c>
      <c r="B7622" t="s">
        <v>112</v>
      </c>
      <c r="C7622" t="s">
        <v>91</v>
      </c>
      <c r="D7622" t="s">
        <v>82</v>
      </c>
      <c r="E7622" t="s">
        <v>92</v>
      </c>
      <c r="F7622">
        <v>8600</v>
      </c>
      <c r="G7622" t="s">
        <v>331</v>
      </c>
      <c r="H7622" s="15">
        <v>45292</v>
      </c>
      <c r="I7622">
        <v>8600</v>
      </c>
      <c r="J7622">
        <v>0</v>
      </c>
    </row>
    <row r="7623" spans="1:10" x14ac:dyDescent="0.3">
      <c r="A7623" s="15">
        <v>46143</v>
      </c>
      <c r="B7623" t="s">
        <v>113</v>
      </c>
      <c r="C7623" t="s">
        <v>81</v>
      </c>
      <c r="D7623" t="s">
        <v>96</v>
      </c>
      <c r="E7623" t="s">
        <v>89</v>
      </c>
      <c r="F7623">
        <v>2400</v>
      </c>
      <c r="G7623" t="s">
        <v>331</v>
      </c>
      <c r="H7623" s="15">
        <v>45292</v>
      </c>
      <c r="I7623">
        <v>2400</v>
      </c>
      <c r="J7623">
        <v>0</v>
      </c>
    </row>
    <row r="7624" spans="1:10" x14ac:dyDescent="0.3">
      <c r="A7624" s="15">
        <v>46143</v>
      </c>
      <c r="B7624" t="s">
        <v>114</v>
      </c>
      <c r="C7624" t="s">
        <v>110</v>
      </c>
      <c r="D7624" t="s">
        <v>99</v>
      </c>
      <c r="E7624" t="s">
        <v>97</v>
      </c>
      <c r="F7624">
        <v>39000</v>
      </c>
      <c r="G7624" t="s">
        <v>331</v>
      </c>
      <c r="H7624" s="15">
        <v>45292</v>
      </c>
      <c r="I7624">
        <v>39000</v>
      </c>
      <c r="J7624">
        <v>0</v>
      </c>
    </row>
    <row r="7625" spans="1:10" x14ac:dyDescent="0.3">
      <c r="A7625" s="15">
        <v>46143</v>
      </c>
      <c r="B7625" t="s">
        <v>115</v>
      </c>
      <c r="C7625" t="s">
        <v>81</v>
      </c>
      <c r="D7625" t="s">
        <v>82</v>
      </c>
      <c r="E7625" t="s">
        <v>101</v>
      </c>
      <c r="F7625">
        <v>2600</v>
      </c>
      <c r="G7625" t="s">
        <v>331</v>
      </c>
      <c r="H7625" s="15">
        <v>45292</v>
      </c>
      <c r="I7625">
        <v>2600</v>
      </c>
      <c r="J7625">
        <v>0</v>
      </c>
    </row>
    <row r="7626" spans="1:10" x14ac:dyDescent="0.3">
      <c r="A7626" s="15">
        <v>46143</v>
      </c>
      <c r="B7626" t="s">
        <v>116</v>
      </c>
      <c r="C7626" t="s">
        <v>81</v>
      </c>
      <c r="D7626" t="s">
        <v>86</v>
      </c>
      <c r="E7626" t="s">
        <v>87</v>
      </c>
      <c r="F7626">
        <v>2900</v>
      </c>
      <c r="G7626" t="s">
        <v>331</v>
      </c>
      <c r="H7626" s="15">
        <v>45292</v>
      </c>
      <c r="I7626">
        <v>2900</v>
      </c>
      <c r="J7626">
        <v>0</v>
      </c>
    </row>
    <row r="7627" spans="1:10" x14ac:dyDescent="0.3">
      <c r="A7627" s="15">
        <v>46143</v>
      </c>
      <c r="B7627" t="s">
        <v>117</v>
      </c>
      <c r="C7627" t="s">
        <v>81</v>
      </c>
      <c r="D7627" t="s">
        <v>86</v>
      </c>
      <c r="E7627" t="s">
        <v>103</v>
      </c>
      <c r="F7627">
        <v>2500</v>
      </c>
      <c r="G7627" t="s">
        <v>331</v>
      </c>
      <c r="H7627" s="15">
        <v>45292</v>
      </c>
      <c r="I7627">
        <v>2500</v>
      </c>
      <c r="J7627">
        <v>0</v>
      </c>
    </row>
    <row r="7628" spans="1:10" x14ac:dyDescent="0.3">
      <c r="A7628" s="15">
        <v>46143</v>
      </c>
      <c r="B7628" t="s">
        <v>120</v>
      </c>
      <c r="C7628" t="s">
        <v>81</v>
      </c>
      <c r="D7628" t="s">
        <v>86</v>
      </c>
      <c r="E7628" t="s">
        <v>101</v>
      </c>
      <c r="F7628">
        <v>2200</v>
      </c>
      <c r="G7628" t="s">
        <v>331</v>
      </c>
      <c r="H7628" s="15">
        <v>45292</v>
      </c>
      <c r="I7628">
        <v>2200</v>
      </c>
      <c r="J7628">
        <v>0</v>
      </c>
    </row>
    <row r="7629" spans="1:10" x14ac:dyDescent="0.3">
      <c r="A7629" s="15">
        <v>46143</v>
      </c>
      <c r="B7629" t="s">
        <v>123</v>
      </c>
      <c r="C7629" t="s">
        <v>81</v>
      </c>
      <c r="D7629" t="s">
        <v>82</v>
      </c>
      <c r="E7629" t="s">
        <v>92</v>
      </c>
      <c r="F7629">
        <v>1900</v>
      </c>
      <c r="G7629" t="s">
        <v>331</v>
      </c>
      <c r="H7629" s="15">
        <v>45292</v>
      </c>
      <c r="I7629">
        <v>1900</v>
      </c>
      <c r="J7629">
        <v>0</v>
      </c>
    </row>
    <row r="7630" spans="1:10" x14ac:dyDescent="0.3">
      <c r="A7630" s="15">
        <v>46143</v>
      </c>
      <c r="B7630" t="s">
        <v>124</v>
      </c>
      <c r="C7630" t="s">
        <v>125</v>
      </c>
      <c r="D7630" t="s">
        <v>82</v>
      </c>
      <c r="E7630" t="s">
        <v>97</v>
      </c>
      <c r="F7630">
        <v>67900</v>
      </c>
      <c r="G7630" t="s">
        <v>331</v>
      </c>
      <c r="H7630" s="15">
        <v>45292</v>
      </c>
      <c r="I7630">
        <v>67900</v>
      </c>
      <c r="J7630">
        <v>0</v>
      </c>
    </row>
    <row r="7631" spans="1:10" x14ac:dyDescent="0.3">
      <c r="A7631" s="15">
        <v>46143</v>
      </c>
      <c r="B7631" t="s">
        <v>126</v>
      </c>
      <c r="C7631" t="s">
        <v>91</v>
      </c>
      <c r="D7631" t="s">
        <v>82</v>
      </c>
      <c r="E7631" t="s">
        <v>83</v>
      </c>
      <c r="F7631">
        <v>8800</v>
      </c>
      <c r="G7631" t="s">
        <v>331</v>
      </c>
      <c r="H7631" s="15">
        <v>45292</v>
      </c>
      <c r="I7631">
        <v>8800</v>
      </c>
      <c r="J7631">
        <v>0</v>
      </c>
    </row>
    <row r="7632" spans="1:10" x14ac:dyDescent="0.3">
      <c r="A7632" s="15">
        <v>46143</v>
      </c>
      <c r="B7632" t="s">
        <v>127</v>
      </c>
      <c r="C7632" t="s">
        <v>81</v>
      </c>
      <c r="D7632" t="s">
        <v>82</v>
      </c>
      <c r="E7632" t="s">
        <v>101</v>
      </c>
      <c r="F7632">
        <v>2400</v>
      </c>
      <c r="G7632" t="s">
        <v>331</v>
      </c>
      <c r="H7632" s="15">
        <v>45292</v>
      </c>
      <c r="I7632">
        <v>2400</v>
      </c>
      <c r="J7632">
        <v>0</v>
      </c>
    </row>
    <row r="7633" spans="1:10" x14ac:dyDescent="0.3">
      <c r="A7633" s="15">
        <v>46143</v>
      </c>
      <c r="B7633" t="s">
        <v>128</v>
      </c>
      <c r="C7633" t="s">
        <v>81</v>
      </c>
      <c r="D7633" t="s">
        <v>82</v>
      </c>
      <c r="E7633" t="s">
        <v>92</v>
      </c>
      <c r="F7633">
        <v>1700</v>
      </c>
      <c r="G7633" t="s">
        <v>331</v>
      </c>
      <c r="H7633" s="15">
        <v>45292</v>
      </c>
      <c r="I7633">
        <v>1700</v>
      </c>
      <c r="J7633">
        <v>0</v>
      </c>
    </row>
    <row r="7634" spans="1:10" x14ac:dyDescent="0.3">
      <c r="A7634" s="15">
        <v>46143</v>
      </c>
      <c r="B7634" t="s">
        <v>129</v>
      </c>
      <c r="C7634" t="s">
        <v>110</v>
      </c>
      <c r="D7634" t="s">
        <v>86</v>
      </c>
      <c r="E7634" t="s">
        <v>92</v>
      </c>
      <c r="F7634">
        <v>40500</v>
      </c>
      <c r="G7634" t="s">
        <v>331</v>
      </c>
      <c r="H7634" s="15">
        <v>45292</v>
      </c>
      <c r="I7634">
        <v>40500</v>
      </c>
      <c r="J7634">
        <v>0</v>
      </c>
    </row>
    <row r="7635" spans="1:10" x14ac:dyDescent="0.3">
      <c r="A7635" s="15">
        <v>46143</v>
      </c>
      <c r="B7635" t="s">
        <v>133</v>
      </c>
      <c r="C7635" t="s">
        <v>81</v>
      </c>
      <c r="D7635" t="s">
        <v>96</v>
      </c>
      <c r="E7635" t="s">
        <v>87</v>
      </c>
      <c r="F7635">
        <v>2700</v>
      </c>
      <c r="G7635" t="s">
        <v>331</v>
      </c>
      <c r="H7635" s="15">
        <v>45292</v>
      </c>
      <c r="I7635">
        <v>2700</v>
      </c>
      <c r="J7635">
        <v>0</v>
      </c>
    </row>
    <row r="7636" spans="1:10" x14ac:dyDescent="0.3">
      <c r="A7636" s="15">
        <v>46143</v>
      </c>
      <c r="B7636" t="s">
        <v>134</v>
      </c>
      <c r="C7636" t="s">
        <v>81</v>
      </c>
      <c r="D7636" t="s">
        <v>82</v>
      </c>
      <c r="E7636" t="s">
        <v>92</v>
      </c>
      <c r="F7636">
        <v>2400</v>
      </c>
      <c r="G7636" t="s">
        <v>331</v>
      </c>
      <c r="H7636" s="15">
        <v>45292</v>
      </c>
      <c r="I7636">
        <v>2400</v>
      </c>
      <c r="J7636">
        <v>0</v>
      </c>
    </row>
    <row r="7637" spans="1:10" x14ac:dyDescent="0.3">
      <c r="A7637" s="15">
        <v>46143</v>
      </c>
      <c r="B7637" t="s">
        <v>135</v>
      </c>
      <c r="C7637" t="s">
        <v>81</v>
      </c>
      <c r="D7637" t="s">
        <v>82</v>
      </c>
      <c r="E7637" t="s">
        <v>103</v>
      </c>
      <c r="F7637">
        <v>2400</v>
      </c>
      <c r="G7637" t="s">
        <v>331</v>
      </c>
      <c r="H7637" s="15">
        <v>45292</v>
      </c>
      <c r="I7637">
        <v>2400</v>
      </c>
      <c r="J7637">
        <v>0</v>
      </c>
    </row>
    <row r="7638" spans="1:10" x14ac:dyDescent="0.3">
      <c r="A7638" s="15">
        <v>46143</v>
      </c>
      <c r="B7638" t="s">
        <v>136</v>
      </c>
      <c r="C7638" t="s">
        <v>81</v>
      </c>
      <c r="D7638" t="s">
        <v>82</v>
      </c>
      <c r="E7638" t="s">
        <v>101</v>
      </c>
      <c r="F7638">
        <v>2900</v>
      </c>
      <c r="G7638" t="s">
        <v>331</v>
      </c>
      <c r="H7638" s="15">
        <v>45292</v>
      </c>
      <c r="I7638">
        <v>2900</v>
      </c>
      <c r="J7638">
        <v>0</v>
      </c>
    </row>
    <row r="7639" spans="1:10" x14ac:dyDescent="0.3">
      <c r="A7639" s="15">
        <v>46143</v>
      </c>
      <c r="B7639" t="s">
        <v>138</v>
      </c>
      <c r="C7639" t="s">
        <v>81</v>
      </c>
      <c r="D7639" t="s">
        <v>86</v>
      </c>
      <c r="E7639" t="s">
        <v>97</v>
      </c>
      <c r="F7639">
        <v>3300</v>
      </c>
      <c r="G7639" t="s">
        <v>331</v>
      </c>
      <c r="H7639" s="15">
        <v>45292</v>
      </c>
      <c r="I7639">
        <v>3300</v>
      </c>
      <c r="J7639">
        <v>0</v>
      </c>
    </row>
    <row r="7640" spans="1:10" x14ac:dyDescent="0.3">
      <c r="A7640" s="15">
        <v>46143</v>
      </c>
      <c r="B7640" t="s">
        <v>139</v>
      </c>
      <c r="C7640" t="s">
        <v>91</v>
      </c>
      <c r="D7640" t="s">
        <v>82</v>
      </c>
      <c r="E7640" t="s">
        <v>103</v>
      </c>
      <c r="F7640">
        <v>6800</v>
      </c>
      <c r="G7640" t="s">
        <v>331</v>
      </c>
      <c r="H7640" s="15">
        <v>45292</v>
      </c>
      <c r="I7640">
        <v>6800</v>
      </c>
      <c r="J7640">
        <v>0</v>
      </c>
    </row>
    <row r="7641" spans="1:10" x14ac:dyDescent="0.3">
      <c r="A7641" s="15">
        <v>46143</v>
      </c>
      <c r="B7641" t="s">
        <v>141</v>
      </c>
      <c r="C7641" t="s">
        <v>125</v>
      </c>
      <c r="D7641" t="s">
        <v>99</v>
      </c>
      <c r="E7641" t="s">
        <v>103</v>
      </c>
      <c r="F7641">
        <v>127400</v>
      </c>
      <c r="G7641" t="s">
        <v>331</v>
      </c>
      <c r="H7641" s="15">
        <v>45292</v>
      </c>
      <c r="I7641">
        <v>127400</v>
      </c>
      <c r="J7641">
        <v>0</v>
      </c>
    </row>
    <row r="7642" spans="1:10" x14ac:dyDescent="0.3">
      <c r="A7642" s="15">
        <v>46143</v>
      </c>
      <c r="B7642" t="s">
        <v>142</v>
      </c>
      <c r="C7642" t="s">
        <v>125</v>
      </c>
      <c r="D7642" t="s">
        <v>82</v>
      </c>
      <c r="E7642" t="s">
        <v>92</v>
      </c>
      <c r="F7642">
        <v>103800</v>
      </c>
      <c r="G7642" t="s">
        <v>331</v>
      </c>
      <c r="H7642" s="15">
        <v>45292</v>
      </c>
      <c r="I7642">
        <v>103800</v>
      </c>
      <c r="J7642">
        <v>0</v>
      </c>
    </row>
    <row r="7643" spans="1:10" x14ac:dyDescent="0.3">
      <c r="A7643" s="15">
        <v>46143</v>
      </c>
      <c r="B7643" t="s">
        <v>143</v>
      </c>
      <c r="C7643" t="s">
        <v>91</v>
      </c>
      <c r="D7643" t="s">
        <v>99</v>
      </c>
      <c r="E7643" t="s">
        <v>103</v>
      </c>
      <c r="F7643">
        <v>8000</v>
      </c>
      <c r="G7643" t="s">
        <v>331</v>
      </c>
      <c r="H7643" s="15">
        <v>45292</v>
      </c>
      <c r="I7643">
        <v>8000</v>
      </c>
      <c r="J7643">
        <v>0</v>
      </c>
    </row>
    <row r="7644" spans="1:10" x14ac:dyDescent="0.3">
      <c r="A7644" s="15">
        <v>46143</v>
      </c>
      <c r="B7644" t="s">
        <v>144</v>
      </c>
      <c r="C7644" t="s">
        <v>81</v>
      </c>
      <c r="D7644" t="s">
        <v>82</v>
      </c>
      <c r="E7644" t="s">
        <v>92</v>
      </c>
      <c r="F7644">
        <v>2700</v>
      </c>
      <c r="G7644" t="s">
        <v>331</v>
      </c>
      <c r="H7644" s="15">
        <v>45292</v>
      </c>
      <c r="I7644">
        <v>2700</v>
      </c>
      <c r="J7644">
        <v>0</v>
      </c>
    </row>
    <row r="7645" spans="1:10" x14ac:dyDescent="0.3">
      <c r="A7645" s="15">
        <v>46143</v>
      </c>
      <c r="B7645" t="s">
        <v>145</v>
      </c>
      <c r="C7645" t="s">
        <v>91</v>
      </c>
      <c r="D7645" t="s">
        <v>82</v>
      </c>
      <c r="E7645" t="s">
        <v>87</v>
      </c>
      <c r="F7645">
        <v>8200</v>
      </c>
      <c r="G7645" t="s">
        <v>331</v>
      </c>
      <c r="H7645" s="15">
        <v>45292</v>
      </c>
      <c r="I7645">
        <v>8200</v>
      </c>
      <c r="J7645">
        <v>0</v>
      </c>
    </row>
    <row r="7646" spans="1:10" x14ac:dyDescent="0.3">
      <c r="A7646" s="15">
        <v>46143</v>
      </c>
      <c r="B7646" t="s">
        <v>146</v>
      </c>
      <c r="C7646" t="s">
        <v>91</v>
      </c>
      <c r="D7646" t="s">
        <v>86</v>
      </c>
      <c r="E7646" t="s">
        <v>87</v>
      </c>
      <c r="F7646">
        <v>10100</v>
      </c>
      <c r="G7646" t="s">
        <v>331</v>
      </c>
      <c r="H7646" s="15">
        <v>45292</v>
      </c>
      <c r="I7646">
        <v>10100</v>
      </c>
      <c r="J7646">
        <v>0</v>
      </c>
    </row>
    <row r="7647" spans="1:10" x14ac:dyDescent="0.3">
      <c r="A7647" s="15">
        <v>46143</v>
      </c>
      <c r="B7647" t="s">
        <v>149</v>
      </c>
      <c r="C7647" t="s">
        <v>110</v>
      </c>
      <c r="D7647" t="s">
        <v>82</v>
      </c>
      <c r="E7647" t="s">
        <v>103</v>
      </c>
      <c r="F7647">
        <v>25500</v>
      </c>
      <c r="G7647" t="s">
        <v>331</v>
      </c>
      <c r="H7647" s="15">
        <v>45292</v>
      </c>
      <c r="I7647">
        <v>25500</v>
      </c>
      <c r="J7647">
        <v>0</v>
      </c>
    </row>
    <row r="7648" spans="1:10" x14ac:dyDescent="0.3">
      <c r="A7648" s="15">
        <v>46143</v>
      </c>
      <c r="B7648" t="s">
        <v>151</v>
      </c>
      <c r="C7648" t="s">
        <v>91</v>
      </c>
      <c r="D7648" t="s">
        <v>82</v>
      </c>
      <c r="E7648" t="s">
        <v>97</v>
      </c>
      <c r="F7648">
        <v>5600</v>
      </c>
      <c r="G7648" t="s">
        <v>331</v>
      </c>
      <c r="H7648" s="15">
        <v>45292</v>
      </c>
      <c r="I7648">
        <v>5600</v>
      </c>
      <c r="J7648">
        <v>0</v>
      </c>
    </row>
    <row r="7649" spans="1:10" x14ac:dyDescent="0.3">
      <c r="A7649" s="15">
        <v>46143</v>
      </c>
      <c r="B7649" t="s">
        <v>154</v>
      </c>
      <c r="C7649" t="s">
        <v>91</v>
      </c>
      <c r="D7649" t="s">
        <v>86</v>
      </c>
      <c r="E7649" t="s">
        <v>103</v>
      </c>
      <c r="F7649">
        <v>8300</v>
      </c>
      <c r="G7649" t="s">
        <v>334</v>
      </c>
      <c r="H7649" s="15">
        <v>45292</v>
      </c>
      <c r="I7649">
        <v>9700</v>
      </c>
      <c r="J7649">
        <v>-1400</v>
      </c>
    </row>
    <row r="7650" spans="1:10" x14ac:dyDescent="0.3">
      <c r="A7650" s="15">
        <v>46143</v>
      </c>
      <c r="B7650" t="s">
        <v>155</v>
      </c>
      <c r="C7650" t="s">
        <v>91</v>
      </c>
      <c r="D7650" t="s">
        <v>82</v>
      </c>
      <c r="E7650" t="s">
        <v>92</v>
      </c>
      <c r="F7650">
        <v>7300</v>
      </c>
      <c r="G7650" t="s">
        <v>331</v>
      </c>
      <c r="H7650" s="15">
        <v>45292</v>
      </c>
      <c r="I7650">
        <v>7300</v>
      </c>
      <c r="J7650">
        <v>0</v>
      </c>
    </row>
    <row r="7651" spans="1:10" x14ac:dyDescent="0.3">
      <c r="A7651" s="15">
        <v>46143</v>
      </c>
      <c r="B7651" t="s">
        <v>156</v>
      </c>
      <c r="C7651" t="s">
        <v>81</v>
      </c>
      <c r="D7651" t="s">
        <v>86</v>
      </c>
      <c r="E7651" t="s">
        <v>101</v>
      </c>
      <c r="F7651">
        <v>2300</v>
      </c>
      <c r="G7651" t="s">
        <v>331</v>
      </c>
      <c r="H7651" s="15">
        <v>45292</v>
      </c>
      <c r="I7651">
        <v>2300</v>
      </c>
      <c r="J7651">
        <v>0</v>
      </c>
    </row>
    <row r="7652" spans="1:10" x14ac:dyDescent="0.3">
      <c r="A7652" s="15">
        <v>46143</v>
      </c>
      <c r="B7652" t="s">
        <v>157</v>
      </c>
      <c r="C7652" t="s">
        <v>81</v>
      </c>
      <c r="D7652" t="s">
        <v>82</v>
      </c>
      <c r="E7652" t="s">
        <v>92</v>
      </c>
      <c r="F7652">
        <v>1800</v>
      </c>
      <c r="G7652" t="s">
        <v>331</v>
      </c>
      <c r="H7652" s="15">
        <v>45292</v>
      </c>
      <c r="I7652">
        <v>1800</v>
      </c>
      <c r="J7652">
        <v>0</v>
      </c>
    </row>
    <row r="7653" spans="1:10" x14ac:dyDescent="0.3">
      <c r="A7653" s="15">
        <v>46143</v>
      </c>
      <c r="B7653" t="s">
        <v>158</v>
      </c>
      <c r="C7653" t="s">
        <v>91</v>
      </c>
      <c r="D7653" t="s">
        <v>96</v>
      </c>
      <c r="E7653" t="s">
        <v>83</v>
      </c>
      <c r="F7653">
        <v>12600</v>
      </c>
      <c r="G7653" t="s">
        <v>331</v>
      </c>
      <c r="H7653" s="15">
        <v>45292</v>
      </c>
      <c r="I7653">
        <v>12600</v>
      </c>
      <c r="J7653">
        <v>0</v>
      </c>
    </row>
    <row r="7654" spans="1:10" x14ac:dyDescent="0.3">
      <c r="A7654" s="15">
        <v>46143</v>
      </c>
      <c r="B7654" t="s">
        <v>159</v>
      </c>
      <c r="C7654" t="s">
        <v>81</v>
      </c>
      <c r="D7654" t="s">
        <v>86</v>
      </c>
      <c r="E7654" t="s">
        <v>87</v>
      </c>
      <c r="F7654">
        <v>2400</v>
      </c>
      <c r="G7654" t="s">
        <v>331</v>
      </c>
      <c r="H7654" s="15">
        <v>45292</v>
      </c>
      <c r="I7654">
        <v>2400</v>
      </c>
      <c r="J7654">
        <v>0</v>
      </c>
    </row>
    <row r="7655" spans="1:10" x14ac:dyDescent="0.3">
      <c r="A7655" s="15">
        <v>46143</v>
      </c>
      <c r="B7655" t="s">
        <v>161</v>
      </c>
      <c r="C7655" t="s">
        <v>91</v>
      </c>
      <c r="D7655" t="s">
        <v>99</v>
      </c>
      <c r="E7655" t="s">
        <v>83</v>
      </c>
      <c r="F7655">
        <v>11700</v>
      </c>
      <c r="G7655" t="s">
        <v>331</v>
      </c>
      <c r="H7655" s="15">
        <v>45292</v>
      </c>
      <c r="I7655">
        <v>11700</v>
      </c>
      <c r="J7655">
        <v>0</v>
      </c>
    </row>
    <row r="7656" spans="1:10" x14ac:dyDescent="0.3">
      <c r="A7656" s="15">
        <v>46143</v>
      </c>
      <c r="B7656" t="s">
        <v>164</v>
      </c>
      <c r="C7656" t="s">
        <v>81</v>
      </c>
      <c r="D7656" t="s">
        <v>99</v>
      </c>
      <c r="E7656" t="s">
        <v>89</v>
      </c>
      <c r="F7656">
        <v>2800</v>
      </c>
      <c r="G7656" t="s">
        <v>331</v>
      </c>
      <c r="H7656" s="15">
        <v>45292</v>
      </c>
      <c r="I7656">
        <v>2800</v>
      </c>
      <c r="J7656">
        <v>0</v>
      </c>
    </row>
    <row r="7657" spans="1:10" x14ac:dyDescent="0.3">
      <c r="A7657" s="15">
        <v>46143</v>
      </c>
      <c r="B7657" t="s">
        <v>166</v>
      </c>
      <c r="C7657" t="s">
        <v>81</v>
      </c>
      <c r="D7657" t="s">
        <v>99</v>
      </c>
      <c r="E7657" t="s">
        <v>103</v>
      </c>
      <c r="F7657">
        <v>2600</v>
      </c>
      <c r="G7657" t="s">
        <v>331</v>
      </c>
      <c r="H7657" s="15">
        <v>45292</v>
      </c>
      <c r="I7657">
        <v>2600</v>
      </c>
      <c r="J7657">
        <v>0</v>
      </c>
    </row>
    <row r="7658" spans="1:10" x14ac:dyDescent="0.3">
      <c r="A7658" s="15">
        <v>46143</v>
      </c>
      <c r="B7658" t="s">
        <v>167</v>
      </c>
      <c r="C7658" t="s">
        <v>81</v>
      </c>
      <c r="D7658" t="s">
        <v>82</v>
      </c>
      <c r="E7658" t="s">
        <v>97</v>
      </c>
      <c r="F7658">
        <v>2000</v>
      </c>
      <c r="G7658" t="s">
        <v>331</v>
      </c>
      <c r="H7658" s="15">
        <v>45292</v>
      </c>
      <c r="I7658">
        <v>2000</v>
      </c>
      <c r="J7658">
        <v>0</v>
      </c>
    </row>
    <row r="7659" spans="1:10" x14ac:dyDescent="0.3">
      <c r="A7659" s="15">
        <v>46143</v>
      </c>
      <c r="B7659" t="s">
        <v>168</v>
      </c>
      <c r="C7659" t="s">
        <v>91</v>
      </c>
      <c r="D7659" t="s">
        <v>86</v>
      </c>
      <c r="E7659" t="s">
        <v>103</v>
      </c>
      <c r="F7659">
        <v>12200</v>
      </c>
      <c r="G7659" t="s">
        <v>331</v>
      </c>
      <c r="H7659" s="15">
        <v>45292</v>
      </c>
      <c r="I7659">
        <v>12200</v>
      </c>
      <c r="J7659">
        <v>0</v>
      </c>
    </row>
    <row r="7660" spans="1:10" x14ac:dyDescent="0.3">
      <c r="A7660" s="15">
        <v>46143</v>
      </c>
      <c r="B7660" t="s">
        <v>170</v>
      </c>
      <c r="C7660" t="s">
        <v>91</v>
      </c>
      <c r="D7660" t="s">
        <v>99</v>
      </c>
      <c r="E7660" t="s">
        <v>83</v>
      </c>
      <c r="F7660">
        <v>6500</v>
      </c>
      <c r="G7660" t="s">
        <v>331</v>
      </c>
      <c r="H7660" s="15">
        <v>45292</v>
      </c>
      <c r="I7660">
        <v>6500</v>
      </c>
      <c r="J7660">
        <v>0</v>
      </c>
    </row>
    <row r="7661" spans="1:10" x14ac:dyDescent="0.3">
      <c r="A7661" s="15">
        <v>46143</v>
      </c>
      <c r="B7661" t="s">
        <v>171</v>
      </c>
      <c r="C7661" t="s">
        <v>81</v>
      </c>
      <c r="D7661" t="s">
        <v>99</v>
      </c>
      <c r="E7661" t="s">
        <v>97</v>
      </c>
      <c r="F7661">
        <v>1700</v>
      </c>
      <c r="G7661" t="s">
        <v>331</v>
      </c>
      <c r="H7661" s="15">
        <v>45292</v>
      </c>
      <c r="I7661">
        <v>1700</v>
      </c>
      <c r="J7661">
        <v>0</v>
      </c>
    </row>
    <row r="7662" spans="1:10" x14ac:dyDescent="0.3">
      <c r="A7662" s="15">
        <v>46143</v>
      </c>
      <c r="B7662" t="s">
        <v>174</v>
      </c>
      <c r="C7662" t="s">
        <v>81</v>
      </c>
      <c r="D7662" t="s">
        <v>82</v>
      </c>
      <c r="E7662" t="s">
        <v>92</v>
      </c>
      <c r="F7662">
        <v>2400</v>
      </c>
      <c r="G7662" t="s">
        <v>331</v>
      </c>
      <c r="H7662" s="15">
        <v>45292</v>
      </c>
      <c r="I7662">
        <v>2400</v>
      </c>
      <c r="J7662">
        <v>0</v>
      </c>
    </row>
    <row r="7663" spans="1:10" x14ac:dyDescent="0.3">
      <c r="A7663" s="15">
        <v>46143</v>
      </c>
      <c r="B7663" t="s">
        <v>175</v>
      </c>
      <c r="C7663" t="s">
        <v>91</v>
      </c>
      <c r="D7663" t="s">
        <v>96</v>
      </c>
      <c r="E7663" t="s">
        <v>83</v>
      </c>
      <c r="F7663">
        <v>8800</v>
      </c>
      <c r="G7663" t="s">
        <v>331</v>
      </c>
      <c r="H7663" s="15">
        <v>45292</v>
      </c>
      <c r="I7663">
        <v>8800</v>
      </c>
      <c r="J7663">
        <v>0</v>
      </c>
    </row>
    <row r="7664" spans="1:10" x14ac:dyDescent="0.3">
      <c r="A7664" s="15">
        <v>46143</v>
      </c>
      <c r="B7664" t="s">
        <v>176</v>
      </c>
      <c r="C7664" t="s">
        <v>81</v>
      </c>
      <c r="D7664" t="s">
        <v>99</v>
      </c>
      <c r="E7664" t="s">
        <v>92</v>
      </c>
      <c r="F7664">
        <v>2900</v>
      </c>
      <c r="G7664" t="s">
        <v>331</v>
      </c>
      <c r="H7664" s="15">
        <v>45292</v>
      </c>
      <c r="I7664">
        <v>2900</v>
      </c>
      <c r="J7664">
        <v>0</v>
      </c>
    </row>
    <row r="7665" spans="1:10" x14ac:dyDescent="0.3">
      <c r="A7665" s="15">
        <v>46143</v>
      </c>
      <c r="B7665" t="s">
        <v>177</v>
      </c>
      <c r="C7665" t="s">
        <v>81</v>
      </c>
      <c r="D7665" t="s">
        <v>96</v>
      </c>
      <c r="E7665" t="s">
        <v>83</v>
      </c>
      <c r="F7665">
        <v>2900</v>
      </c>
      <c r="G7665" t="s">
        <v>331</v>
      </c>
      <c r="H7665" s="15">
        <v>45292</v>
      </c>
      <c r="I7665">
        <v>2900</v>
      </c>
      <c r="J7665">
        <v>0</v>
      </c>
    </row>
    <row r="7666" spans="1:10" x14ac:dyDescent="0.3">
      <c r="A7666" s="15">
        <v>46143</v>
      </c>
      <c r="B7666" t="s">
        <v>178</v>
      </c>
      <c r="C7666" t="s">
        <v>91</v>
      </c>
      <c r="D7666" t="s">
        <v>82</v>
      </c>
      <c r="E7666" t="s">
        <v>89</v>
      </c>
      <c r="F7666">
        <v>8400</v>
      </c>
      <c r="G7666" t="s">
        <v>331</v>
      </c>
      <c r="H7666" s="15">
        <v>45292</v>
      </c>
      <c r="I7666">
        <v>8400</v>
      </c>
      <c r="J7666">
        <v>0</v>
      </c>
    </row>
    <row r="7667" spans="1:10" x14ac:dyDescent="0.3">
      <c r="A7667" s="15">
        <v>46143</v>
      </c>
      <c r="B7667" t="s">
        <v>179</v>
      </c>
      <c r="C7667" t="s">
        <v>110</v>
      </c>
      <c r="D7667" t="s">
        <v>86</v>
      </c>
      <c r="E7667" t="s">
        <v>87</v>
      </c>
      <c r="F7667">
        <v>30000</v>
      </c>
      <c r="G7667" t="s">
        <v>331</v>
      </c>
      <c r="H7667" s="15">
        <v>45292</v>
      </c>
      <c r="I7667">
        <v>30000</v>
      </c>
      <c r="J7667">
        <v>0</v>
      </c>
    </row>
    <row r="7668" spans="1:10" x14ac:dyDescent="0.3">
      <c r="A7668" s="15">
        <v>46143</v>
      </c>
      <c r="B7668" t="s">
        <v>180</v>
      </c>
      <c r="C7668" t="s">
        <v>91</v>
      </c>
      <c r="D7668" t="s">
        <v>86</v>
      </c>
      <c r="E7668" t="s">
        <v>83</v>
      </c>
      <c r="F7668">
        <v>8500</v>
      </c>
      <c r="G7668" t="s">
        <v>331</v>
      </c>
      <c r="H7668" s="15">
        <v>45292</v>
      </c>
      <c r="I7668">
        <v>8500</v>
      </c>
      <c r="J7668">
        <v>0</v>
      </c>
    </row>
    <row r="7669" spans="1:10" x14ac:dyDescent="0.3">
      <c r="A7669" s="15">
        <v>46143</v>
      </c>
      <c r="B7669" t="s">
        <v>181</v>
      </c>
      <c r="C7669" t="s">
        <v>91</v>
      </c>
      <c r="D7669" t="s">
        <v>82</v>
      </c>
      <c r="E7669" t="s">
        <v>97</v>
      </c>
      <c r="F7669">
        <v>10100</v>
      </c>
      <c r="G7669" t="s">
        <v>331</v>
      </c>
      <c r="H7669" s="15">
        <v>45292</v>
      </c>
      <c r="I7669">
        <v>10100</v>
      </c>
      <c r="J7669">
        <v>0</v>
      </c>
    </row>
    <row r="7670" spans="1:10" x14ac:dyDescent="0.3">
      <c r="A7670" s="15">
        <v>46143</v>
      </c>
      <c r="B7670" t="s">
        <v>182</v>
      </c>
      <c r="C7670" t="s">
        <v>125</v>
      </c>
      <c r="D7670" t="s">
        <v>82</v>
      </c>
      <c r="E7670" t="s">
        <v>92</v>
      </c>
      <c r="F7670">
        <v>100200</v>
      </c>
      <c r="G7670" t="s">
        <v>331</v>
      </c>
      <c r="H7670" s="15">
        <v>45292</v>
      </c>
      <c r="I7670">
        <v>100200</v>
      </c>
      <c r="J7670">
        <v>0</v>
      </c>
    </row>
    <row r="7671" spans="1:10" x14ac:dyDescent="0.3">
      <c r="A7671" s="15">
        <v>46143</v>
      </c>
      <c r="B7671" t="s">
        <v>183</v>
      </c>
      <c r="C7671" t="s">
        <v>91</v>
      </c>
      <c r="D7671" t="s">
        <v>96</v>
      </c>
      <c r="E7671" t="s">
        <v>92</v>
      </c>
      <c r="F7671">
        <v>9500</v>
      </c>
      <c r="G7671" t="s">
        <v>331</v>
      </c>
      <c r="H7671" s="15">
        <v>45292</v>
      </c>
      <c r="I7671">
        <v>9500</v>
      </c>
      <c r="J7671">
        <v>0</v>
      </c>
    </row>
    <row r="7672" spans="1:10" x14ac:dyDescent="0.3">
      <c r="A7672" s="15">
        <v>46143</v>
      </c>
      <c r="B7672" t="s">
        <v>184</v>
      </c>
      <c r="C7672" t="s">
        <v>81</v>
      </c>
      <c r="D7672" t="s">
        <v>82</v>
      </c>
      <c r="E7672" t="s">
        <v>83</v>
      </c>
      <c r="F7672">
        <v>2400</v>
      </c>
      <c r="G7672" t="s">
        <v>331</v>
      </c>
      <c r="H7672" s="15">
        <v>45292</v>
      </c>
      <c r="I7672">
        <v>2400</v>
      </c>
      <c r="J7672">
        <v>0</v>
      </c>
    </row>
    <row r="7673" spans="1:10" x14ac:dyDescent="0.3">
      <c r="A7673" s="15">
        <v>46143</v>
      </c>
      <c r="B7673" t="s">
        <v>185</v>
      </c>
      <c r="C7673" t="s">
        <v>81</v>
      </c>
      <c r="D7673" t="s">
        <v>96</v>
      </c>
      <c r="E7673" t="s">
        <v>97</v>
      </c>
      <c r="F7673">
        <v>1900</v>
      </c>
      <c r="G7673" t="s">
        <v>331</v>
      </c>
      <c r="H7673" s="15">
        <v>45292</v>
      </c>
      <c r="I7673">
        <v>1900</v>
      </c>
      <c r="J7673">
        <v>0</v>
      </c>
    </row>
    <row r="7674" spans="1:10" x14ac:dyDescent="0.3">
      <c r="A7674" s="15">
        <v>46143</v>
      </c>
      <c r="B7674" t="s">
        <v>186</v>
      </c>
      <c r="C7674" t="s">
        <v>91</v>
      </c>
      <c r="D7674" t="s">
        <v>82</v>
      </c>
      <c r="E7674" t="s">
        <v>103</v>
      </c>
      <c r="F7674">
        <v>13900</v>
      </c>
      <c r="G7674" t="s">
        <v>331</v>
      </c>
      <c r="H7674" s="15">
        <v>45292</v>
      </c>
      <c r="I7674">
        <v>13900</v>
      </c>
      <c r="J7674">
        <v>0</v>
      </c>
    </row>
    <row r="7675" spans="1:10" x14ac:dyDescent="0.3">
      <c r="A7675" s="15">
        <v>46143</v>
      </c>
      <c r="B7675" t="s">
        <v>187</v>
      </c>
      <c r="C7675" t="s">
        <v>110</v>
      </c>
      <c r="D7675" t="s">
        <v>86</v>
      </c>
      <c r="E7675" t="s">
        <v>97</v>
      </c>
      <c r="F7675">
        <v>30100</v>
      </c>
      <c r="G7675" t="s">
        <v>331</v>
      </c>
      <c r="H7675" s="15">
        <v>45292</v>
      </c>
      <c r="I7675">
        <v>30100</v>
      </c>
      <c r="J7675">
        <v>0</v>
      </c>
    </row>
    <row r="7676" spans="1:10" x14ac:dyDescent="0.3">
      <c r="A7676" s="15">
        <v>46143</v>
      </c>
      <c r="B7676" t="s">
        <v>188</v>
      </c>
      <c r="C7676" t="s">
        <v>91</v>
      </c>
      <c r="D7676" t="s">
        <v>82</v>
      </c>
      <c r="E7676" t="s">
        <v>92</v>
      </c>
      <c r="F7676">
        <v>12800</v>
      </c>
      <c r="G7676" t="s">
        <v>331</v>
      </c>
      <c r="H7676" s="15">
        <v>45292</v>
      </c>
      <c r="I7676">
        <v>12800</v>
      </c>
      <c r="J7676">
        <v>0</v>
      </c>
    </row>
    <row r="7677" spans="1:10" x14ac:dyDescent="0.3">
      <c r="A7677" s="15">
        <v>46143</v>
      </c>
      <c r="B7677" t="s">
        <v>189</v>
      </c>
      <c r="C7677" t="s">
        <v>81</v>
      </c>
      <c r="D7677" t="s">
        <v>86</v>
      </c>
      <c r="E7677" t="s">
        <v>103</v>
      </c>
      <c r="F7677">
        <v>2000</v>
      </c>
      <c r="G7677" t="s">
        <v>331</v>
      </c>
      <c r="H7677" s="15">
        <v>45292</v>
      </c>
      <c r="I7677">
        <v>2000</v>
      </c>
      <c r="J7677">
        <v>0</v>
      </c>
    </row>
    <row r="7678" spans="1:10" x14ac:dyDescent="0.3">
      <c r="A7678" s="15">
        <v>46143</v>
      </c>
      <c r="B7678" t="s">
        <v>190</v>
      </c>
      <c r="C7678" t="s">
        <v>81</v>
      </c>
      <c r="D7678" t="s">
        <v>99</v>
      </c>
      <c r="E7678" t="s">
        <v>89</v>
      </c>
      <c r="F7678">
        <v>1900</v>
      </c>
      <c r="G7678" t="s">
        <v>331</v>
      </c>
      <c r="H7678" s="15">
        <v>45292</v>
      </c>
      <c r="I7678">
        <v>1900</v>
      </c>
      <c r="J7678">
        <v>0</v>
      </c>
    </row>
    <row r="7679" spans="1:10" x14ac:dyDescent="0.3">
      <c r="A7679" s="15">
        <v>46143</v>
      </c>
      <c r="B7679" t="s">
        <v>191</v>
      </c>
      <c r="C7679" t="s">
        <v>91</v>
      </c>
      <c r="D7679" t="s">
        <v>86</v>
      </c>
      <c r="E7679" t="s">
        <v>87</v>
      </c>
      <c r="F7679">
        <v>6900</v>
      </c>
      <c r="G7679" t="s">
        <v>331</v>
      </c>
      <c r="H7679" s="15">
        <v>45292</v>
      </c>
      <c r="I7679">
        <v>6900</v>
      </c>
      <c r="J7679">
        <v>0</v>
      </c>
    </row>
    <row r="7680" spans="1:10" x14ac:dyDescent="0.3">
      <c r="A7680" s="15">
        <v>46143</v>
      </c>
      <c r="B7680" t="s">
        <v>192</v>
      </c>
      <c r="C7680" t="s">
        <v>81</v>
      </c>
      <c r="D7680" t="s">
        <v>82</v>
      </c>
      <c r="E7680" t="s">
        <v>97</v>
      </c>
      <c r="F7680">
        <v>2300</v>
      </c>
      <c r="G7680" t="s">
        <v>331</v>
      </c>
      <c r="H7680" s="15">
        <v>45292</v>
      </c>
      <c r="I7680">
        <v>2300</v>
      </c>
      <c r="J7680">
        <v>0</v>
      </c>
    </row>
    <row r="7681" spans="1:10" x14ac:dyDescent="0.3">
      <c r="A7681" s="15">
        <v>46143</v>
      </c>
      <c r="B7681" t="s">
        <v>193</v>
      </c>
      <c r="C7681" t="s">
        <v>81</v>
      </c>
      <c r="D7681" t="s">
        <v>82</v>
      </c>
      <c r="E7681" t="s">
        <v>87</v>
      </c>
      <c r="F7681">
        <v>3200</v>
      </c>
      <c r="G7681" t="s">
        <v>331</v>
      </c>
      <c r="H7681" s="15">
        <v>45292</v>
      </c>
      <c r="I7681">
        <v>3200</v>
      </c>
      <c r="J7681">
        <v>0</v>
      </c>
    </row>
    <row r="7682" spans="1:10" x14ac:dyDescent="0.3">
      <c r="A7682" s="15">
        <v>46143</v>
      </c>
      <c r="B7682" t="s">
        <v>194</v>
      </c>
      <c r="C7682" t="s">
        <v>91</v>
      </c>
      <c r="D7682" t="s">
        <v>82</v>
      </c>
      <c r="E7682" t="s">
        <v>101</v>
      </c>
      <c r="F7682">
        <v>11200</v>
      </c>
      <c r="G7682" t="s">
        <v>331</v>
      </c>
      <c r="H7682" s="15">
        <v>45292</v>
      </c>
      <c r="I7682">
        <v>11200</v>
      </c>
      <c r="J7682">
        <v>0</v>
      </c>
    </row>
    <row r="7683" spans="1:10" x14ac:dyDescent="0.3">
      <c r="A7683" s="15">
        <v>46143</v>
      </c>
      <c r="B7683" t="s">
        <v>195</v>
      </c>
      <c r="C7683" t="s">
        <v>91</v>
      </c>
      <c r="D7683" t="s">
        <v>86</v>
      </c>
      <c r="E7683" t="s">
        <v>97</v>
      </c>
      <c r="F7683">
        <v>6800</v>
      </c>
      <c r="G7683" t="s">
        <v>331</v>
      </c>
      <c r="H7683" s="15">
        <v>45292</v>
      </c>
      <c r="I7683">
        <v>6800</v>
      </c>
      <c r="J7683">
        <v>0</v>
      </c>
    </row>
    <row r="7684" spans="1:10" x14ac:dyDescent="0.3">
      <c r="A7684" s="15">
        <v>46143</v>
      </c>
      <c r="B7684" t="s">
        <v>197</v>
      </c>
      <c r="C7684" t="s">
        <v>91</v>
      </c>
      <c r="D7684" t="s">
        <v>82</v>
      </c>
      <c r="E7684" t="s">
        <v>89</v>
      </c>
      <c r="F7684">
        <v>12000</v>
      </c>
      <c r="G7684" t="s">
        <v>331</v>
      </c>
      <c r="H7684" s="15">
        <v>45292</v>
      </c>
      <c r="I7684">
        <v>12000</v>
      </c>
      <c r="J7684">
        <v>0</v>
      </c>
    </row>
    <row r="7685" spans="1:10" x14ac:dyDescent="0.3">
      <c r="A7685" s="15">
        <v>46143</v>
      </c>
      <c r="B7685" t="s">
        <v>198</v>
      </c>
      <c r="C7685" t="s">
        <v>81</v>
      </c>
      <c r="D7685" t="s">
        <v>82</v>
      </c>
      <c r="E7685" t="s">
        <v>89</v>
      </c>
      <c r="F7685">
        <v>2900</v>
      </c>
      <c r="G7685" t="s">
        <v>331</v>
      </c>
      <c r="H7685" s="15">
        <v>45292</v>
      </c>
      <c r="I7685">
        <v>2900</v>
      </c>
      <c r="J7685">
        <v>0</v>
      </c>
    </row>
    <row r="7686" spans="1:10" x14ac:dyDescent="0.3">
      <c r="A7686" s="15">
        <v>46143</v>
      </c>
      <c r="B7686" t="s">
        <v>199</v>
      </c>
      <c r="C7686" t="s">
        <v>81</v>
      </c>
      <c r="D7686" t="s">
        <v>86</v>
      </c>
      <c r="E7686" t="s">
        <v>89</v>
      </c>
      <c r="F7686">
        <v>2200</v>
      </c>
      <c r="G7686" t="s">
        <v>331</v>
      </c>
      <c r="H7686" s="15">
        <v>45292</v>
      </c>
      <c r="I7686">
        <v>2200</v>
      </c>
      <c r="J7686">
        <v>0</v>
      </c>
    </row>
    <row r="7687" spans="1:10" x14ac:dyDescent="0.3">
      <c r="A7687" s="15">
        <v>46143</v>
      </c>
      <c r="B7687" t="s">
        <v>200</v>
      </c>
      <c r="C7687" t="s">
        <v>91</v>
      </c>
      <c r="D7687" t="s">
        <v>86</v>
      </c>
      <c r="E7687" t="s">
        <v>92</v>
      </c>
      <c r="F7687">
        <v>8800</v>
      </c>
      <c r="G7687" t="s">
        <v>331</v>
      </c>
      <c r="H7687" s="15">
        <v>45292</v>
      </c>
      <c r="I7687">
        <v>8800</v>
      </c>
      <c r="J7687">
        <v>0</v>
      </c>
    </row>
    <row r="7688" spans="1:10" x14ac:dyDescent="0.3">
      <c r="A7688" s="15">
        <v>46143</v>
      </c>
      <c r="B7688" t="s">
        <v>201</v>
      </c>
      <c r="C7688" t="s">
        <v>81</v>
      </c>
      <c r="D7688" t="s">
        <v>86</v>
      </c>
      <c r="E7688" t="s">
        <v>83</v>
      </c>
      <c r="F7688">
        <v>1500</v>
      </c>
      <c r="G7688" t="s">
        <v>331</v>
      </c>
      <c r="H7688" s="15">
        <v>45292</v>
      </c>
      <c r="I7688">
        <v>1500</v>
      </c>
      <c r="J7688">
        <v>0</v>
      </c>
    </row>
    <row r="7689" spans="1:10" x14ac:dyDescent="0.3">
      <c r="A7689" s="15">
        <v>46143</v>
      </c>
      <c r="B7689" t="s">
        <v>202</v>
      </c>
      <c r="C7689" t="s">
        <v>91</v>
      </c>
      <c r="D7689" t="s">
        <v>82</v>
      </c>
      <c r="E7689" t="s">
        <v>92</v>
      </c>
      <c r="F7689">
        <v>12700</v>
      </c>
      <c r="G7689" t="s">
        <v>331</v>
      </c>
      <c r="H7689" s="15">
        <v>45292</v>
      </c>
      <c r="I7689">
        <v>12700</v>
      </c>
      <c r="J7689">
        <v>0</v>
      </c>
    </row>
    <row r="7690" spans="1:10" x14ac:dyDescent="0.3">
      <c r="A7690" s="15">
        <v>46143</v>
      </c>
      <c r="B7690" t="s">
        <v>204</v>
      </c>
      <c r="C7690" t="s">
        <v>81</v>
      </c>
      <c r="D7690" t="s">
        <v>82</v>
      </c>
      <c r="E7690" t="s">
        <v>87</v>
      </c>
      <c r="F7690">
        <v>1900</v>
      </c>
      <c r="G7690" t="s">
        <v>331</v>
      </c>
      <c r="H7690" s="15">
        <v>45292</v>
      </c>
      <c r="I7690">
        <v>1900</v>
      </c>
      <c r="J7690">
        <v>0</v>
      </c>
    </row>
    <row r="7691" spans="1:10" x14ac:dyDescent="0.3">
      <c r="A7691" s="15">
        <v>46143</v>
      </c>
      <c r="B7691" t="s">
        <v>205</v>
      </c>
      <c r="C7691" t="s">
        <v>91</v>
      </c>
      <c r="D7691" t="s">
        <v>86</v>
      </c>
      <c r="E7691" t="s">
        <v>103</v>
      </c>
      <c r="F7691">
        <v>9800</v>
      </c>
      <c r="G7691" t="s">
        <v>331</v>
      </c>
      <c r="H7691" s="15">
        <v>45292</v>
      </c>
      <c r="I7691">
        <v>9800</v>
      </c>
      <c r="J7691">
        <v>0</v>
      </c>
    </row>
    <row r="7692" spans="1:10" x14ac:dyDescent="0.3">
      <c r="A7692" s="15">
        <v>46143</v>
      </c>
      <c r="B7692" t="s">
        <v>206</v>
      </c>
      <c r="C7692" t="s">
        <v>81</v>
      </c>
      <c r="D7692" t="s">
        <v>86</v>
      </c>
      <c r="E7692" t="s">
        <v>89</v>
      </c>
      <c r="F7692">
        <v>3000</v>
      </c>
      <c r="G7692" t="s">
        <v>331</v>
      </c>
      <c r="H7692" s="15">
        <v>45292</v>
      </c>
      <c r="I7692">
        <v>3000</v>
      </c>
      <c r="J7692">
        <v>0</v>
      </c>
    </row>
    <row r="7693" spans="1:10" x14ac:dyDescent="0.3">
      <c r="A7693" s="15">
        <v>46143</v>
      </c>
      <c r="B7693" t="s">
        <v>207</v>
      </c>
      <c r="C7693" t="s">
        <v>81</v>
      </c>
      <c r="D7693" t="s">
        <v>82</v>
      </c>
      <c r="E7693" t="s">
        <v>89</v>
      </c>
      <c r="F7693">
        <v>3500</v>
      </c>
      <c r="G7693" t="s">
        <v>331</v>
      </c>
      <c r="H7693" s="15">
        <v>45292</v>
      </c>
      <c r="I7693">
        <v>3500</v>
      </c>
      <c r="J7693">
        <v>0</v>
      </c>
    </row>
    <row r="7694" spans="1:10" x14ac:dyDescent="0.3">
      <c r="A7694" s="15">
        <v>46143</v>
      </c>
      <c r="B7694" t="s">
        <v>208</v>
      </c>
      <c r="C7694" t="s">
        <v>91</v>
      </c>
      <c r="D7694" t="s">
        <v>99</v>
      </c>
      <c r="E7694" t="s">
        <v>89</v>
      </c>
      <c r="F7694">
        <v>7700</v>
      </c>
      <c r="G7694" t="s">
        <v>331</v>
      </c>
      <c r="H7694" s="15">
        <v>45292</v>
      </c>
      <c r="I7694">
        <v>7700</v>
      </c>
      <c r="J7694">
        <v>0</v>
      </c>
    </row>
    <row r="7695" spans="1:10" x14ac:dyDescent="0.3">
      <c r="A7695" s="15">
        <v>46143</v>
      </c>
      <c r="B7695" t="s">
        <v>209</v>
      </c>
      <c r="C7695" t="s">
        <v>81</v>
      </c>
      <c r="D7695" t="s">
        <v>86</v>
      </c>
      <c r="E7695" t="s">
        <v>83</v>
      </c>
      <c r="F7695">
        <v>3300</v>
      </c>
      <c r="G7695" t="s">
        <v>331</v>
      </c>
      <c r="H7695" s="15">
        <v>45292</v>
      </c>
      <c r="I7695">
        <v>3300</v>
      </c>
      <c r="J7695">
        <v>0</v>
      </c>
    </row>
    <row r="7696" spans="1:10" x14ac:dyDescent="0.3">
      <c r="A7696" s="15">
        <v>46143</v>
      </c>
      <c r="B7696" t="s">
        <v>210</v>
      </c>
      <c r="C7696" t="s">
        <v>125</v>
      </c>
      <c r="D7696" t="s">
        <v>96</v>
      </c>
      <c r="E7696" t="s">
        <v>89</v>
      </c>
      <c r="F7696">
        <v>98600</v>
      </c>
      <c r="G7696" t="s">
        <v>332</v>
      </c>
      <c r="H7696" s="15">
        <v>45292</v>
      </c>
      <c r="I7696">
        <v>90300</v>
      </c>
      <c r="J7696">
        <v>8300</v>
      </c>
    </row>
    <row r="7697" spans="1:10" x14ac:dyDescent="0.3">
      <c r="A7697" s="15">
        <v>46143</v>
      </c>
      <c r="B7697" t="s">
        <v>213</v>
      </c>
      <c r="C7697" t="s">
        <v>81</v>
      </c>
      <c r="D7697" t="s">
        <v>82</v>
      </c>
      <c r="E7697" t="s">
        <v>97</v>
      </c>
      <c r="F7697">
        <v>3300</v>
      </c>
      <c r="G7697" t="s">
        <v>331</v>
      </c>
      <c r="H7697" s="15">
        <v>45292</v>
      </c>
      <c r="I7697">
        <v>3300</v>
      </c>
      <c r="J7697">
        <v>0</v>
      </c>
    </row>
    <row r="7698" spans="1:10" x14ac:dyDescent="0.3">
      <c r="A7698" s="15">
        <v>46143</v>
      </c>
      <c r="B7698" t="s">
        <v>214</v>
      </c>
      <c r="C7698" t="s">
        <v>91</v>
      </c>
      <c r="D7698" t="s">
        <v>82</v>
      </c>
      <c r="E7698" t="s">
        <v>89</v>
      </c>
      <c r="F7698">
        <v>8700</v>
      </c>
      <c r="G7698" t="s">
        <v>331</v>
      </c>
      <c r="H7698" s="15">
        <v>45292</v>
      </c>
      <c r="I7698">
        <v>8700</v>
      </c>
      <c r="J7698">
        <v>0</v>
      </c>
    </row>
    <row r="7699" spans="1:10" x14ac:dyDescent="0.3">
      <c r="A7699" s="15">
        <v>46143</v>
      </c>
      <c r="B7699" t="s">
        <v>216</v>
      </c>
      <c r="C7699" t="s">
        <v>81</v>
      </c>
      <c r="D7699" t="s">
        <v>82</v>
      </c>
      <c r="E7699" t="s">
        <v>97</v>
      </c>
      <c r="F7699">
        <v>3500</v>
      </c>
      <c r="G7699" t="s">
        <v>331</v>
      </c>
      <c r="H7699" s="15">
        <v>45292</v>
      </c>
      <c r="I7699">
        <v>3500</v>
      </c>
      <c r="J7699">
        <v>0</v>
      </c>
    </row>
    <row r="7700" spans="1:10" x14ac:dyDescent="0.3">
      <c r="A7700" s="15">
        <v>46143</v>
      </c>
      <c r="B7700" t="s">
        <v>218</v>
      </c>
      <c r="C7700" t="s">
        <v>110</v>
      </c>
      <c r="D7700" t="s">
        <v>99</v>
      </c>
      <c r="E7700" t="s">
        <v>92</v>
      </c>
      <c r="F7700">
        <v>32200</v>
      </c>
      <c r="G7700" t="s">
        <v>331</v>
      </c>
      <c r="H7700" s="15">
        <v>45292</v>
      </c>
      <c r="I7700">
        <v>32200</v>
      </c>
      <c r="J7700">
        <v>0</v>
      </c>
    </row>
    <row r="7701" spans="1:10" x14ac:dyDescent="0.3">
      <c r="A7701" s="15">
        <v>46143</v>
      </c>
      <c r="B7701" t="s">
        <v>220</v>
      </c>
      <c r="C7701" t="s">
        <v>110</v>
      </c>
      <c r="D7701" t="s">
        <v>82</v>
      </c>
      <c r="E7701" t="s">
        <v>89</v>
      </c>
      <c r="F7701">
        <v>30800</v>
      </c>
      <c r="G7701" t="s">
        <v>331</v>
      </c>
      <c r="H7701" s="15">
        <v>45292</v>
      </c>
      <c r="I7701">
        <v>30800</v>
      </c>
      <c r="J7701">
        <v>0</v>
      </c>
    </row>
    <row r="7702" spans="1:10" x14ac:dyDescent="0.3">
      <c r="A7702" s="15">
        <v>46143</v>
      </c>
      <c r="B7702" t="s">
        <v>224</v>
      </c>
      <c r="C7702" t="s">
        <v>91</v>
      </c>
      <c r="D7702" t="s">
        <v>82</v>
      </c>
      <c r="E7702" t="s">
        <v>101</v>
      </c>
      <c r="F7702">
        <v>12000</v>
      </c>
      <c r="G7702" t="s">
        <v>331</v>
      </c>
      <c r="H7702" s="15">
        <v>45292</v>
      </c>
      <c r="I7702">
        <v>12000</v>
      </c>
      <c r="J7702">
        <v>0</v>
      </c>
    </row>
    <row r="7703" spans="1:10" x14ac:dyDescent="0.3">
      <c r="A7703" s="15">
        <v>46143</v>
      </c>
      <c r="B7703" t="s">
        <v>225</v>
      </c>
      <c r="C7703" t="s">
        <v>110</v>
      </c>
      <c r="D7703" t="s">
        <v>99</v>
      </c>
      <c r="E7703" t="s">
        <v>103</v>
      </c>
      <c r="F7703">
        <v>42200</v>
      </c>
      <c r="G7703" t="s">
        <v>331</v>
      </c>
      <c r="H7703" s="15">
        <v>45292</v>
      </c>
      <c r="I7703">
        <v>42200</v>
      </c>
      <c r="J7703">
        <v>0</v>
      </c>
    </row>
    <row r="7704" spans="1:10" x14ac:dyDescent="0.3">
      <c r="A7704" s="15">
        <v>46143</v>
      </c>
      <c r="B7704" t="s">
        <v>226</v>
      </c>
      <c r="C7704" t="s">
        <v>91</v>
      </c>
      <c r="D7704" t="s">
        <v>82</v>
      </c>
      <c r="E7704" t="s">
        <v>103</v>
      </c>
      <c r="F7704">
        <v>5900</v>
      </c>
      <c r="G7704" t="s">
        <v>332</v>
      </c>
      <c r="H7704" s="15">
        <v>45292</v>
      </c>
      <c r="I7704">
        <v>5300</v>
      </c>
      <c r="J7704">
        <v>600</v>
      </c>
    </row>
    <row r="7705" spans="1:10" x14ac:dyDescent="0.3">
      <c r="A7705" s="15">
        <v>46143</v>
      </c>
      <c r="B7705" t="s">
        <v>227</v>
      </c>
      <c r="C7705" t="s">
        <v>110</v>
      </c>
      <c r="D7705" t="s">
        <v>86</v>
      </c>
      <c r="E7705" t="s">
        <v>87</v>
      </c>
      <c r="F7705">
        <v>27900</v>
      </c>
      <c r="G7705" t="s">
        <v>331</v>
      </c>
      <c r="H7705" s="15">
        <v>45292</v>
      </c>
      <c r="I7705">
        <v>27900</v>
      </c>
      <c r="J7705">
        <v>0</v>
      </c>
    </row>
    <row r="7706" spans="1:10" x14ac:dyDescent="0.3">
      <c r="A7706" s="15">
        <v>46143</v>
      </c>
      <c r="B7706" t="s">
        <v>228</v>
      </c>
      <c r="C7706" t="s">
        <v>91</v>
      </c>
      <c r="D7706" t="s">
        <v>96</v>
      </c>
      <c r="E7706" t="s">
        <v>89</v>
      </c>
      <c r="F7706">
        <v>12000</v>
      </c>
      <c r="G7706" t="s">
        <v>331</v>
      </c>
      <c r="H7706" s="15">
        <v>45292</v>
      </c>
      <c r="I7706">
        <v>12000</v>
      </c>
      <c r="J7706">
        <v>0</v>
      </c>
    </row>
    <row r="7707" spans="1:10" x14ac:dyDescent="0.3">
      <c r="A7707" s="15">
        <v>46143</v>
      </c>
      <c r="B7707" t="s">
        <v>229</v>
      </c>
      <c r="C7707" t="s">
        <v>81</v>
      </c>
      <c r="D7707" t="s">
        <v>82</v>
      </c>
      <c r="E7707" t="s">
        <v>83</v>
      </c>
      <c r="F7707">
        <v>3700</v>
      </c>
      <c r="G7707" t="s">
        <v>331</v>
      </c>
      <c r="H7707" s="15">
        <v>45292</v>
      </c>
      <c r="I7707">
        <v>3700</v>
      </c>
      <c r="J7707">
        <v>0</v>
      </c>
    </row>
    <row r="7708" spans="1:10" x14ac:dyDescent="0.3">
      <c r="A7708" s="15">
        <v>46143</v>
      </c>
      <c r="B7708" t="s">
        <v>230</v>
      </c>
      <c r="C7708" t="s">
        <v>81</v>
      </c>
      <c r="D7708" t="s">
        <v>86</v>
      </c>
      <c r="E7708" t="s">
        <v>101</v>
      </c>
      <c r="F7708">
        <v>3400</v>
      </c>
      <c r="G7708" t="s">
        <v>331</v>
      </c>
      <c r="H7708" s="15">
        <v>45292</v>
      </c>
      <c r="I7708">
        <v>3400</v>
      </c>
      <c r="J7708">
        <v>0</v>
      </c>
    </row>
    <row r="7709" spans="1:10" x14ac:dyDescent="0.3">
      <c r="A7709" s="15">
        <v>46143</v>
      </c>
      <c r="B7709" t="s">
        <v>231</v>
      </c>
      <c r="C7709" t="s">
        <v>91</v>
      </c>
      <c r="D7709" t="s">
        <v>82</v>
      </c>
      <c r="E7709" t="s">
        <v>92</v>
      </c>
      <c r="F7709">
        <v>6900</v>
      </c>
      <c r="G7709" t="s">
        <v>331</v>
      </c>
      <c r="H7709" s="15">
        <v>45292</v>
      </c>
      <c r="I7709">
        <v>6900</v>
      </c>
      <c r="J7709">
        <v>0</v>
      </c>
    </row>
    <row r="7710" spans="1:10" x14ac:dyDescent="0.3">
      <c r="A7710" s="15">
        <v>46143</v>
      </c>
      <c r="B7710" t="s">
        <v>232</v>
      </c>
      <c r="C7710" t="s">
        <v>125</v>
      </c>
      <c r="D7710" t="s">
        <v>86</v>
      </c>
      <c r="E7710" t="s">
        <v>83</v>
      </c>
      <c r="F7710">
        <v>121100</v>
      </c>
      <c r="G7710" t="s">
        <v>331</v>
      </c>
      <c r="H7710" s="15">
        <v>45292</v>
      </c>
      <c r="I7710">
        <v>121100</v>
      </c>
      <c r="J7710">
        <v>0</v>
      </c>
    </row>
    <row r="7711" spans="1:10" x14ac:dyDescent="0.3">
      <c r="A7711" s="15">
        <v>46143</v>
      </c>
      <c r="B7711" t="s">
        <v>233</v>
      </c>
      <c r="C7711" t="s">
        <v>81</v>
      </c>
      <c r="D7711" t="s">
        <v>82</v>
      </c>
      <c r="E7711" t="s">
        <v>87</v>
      </c>
      <c r="F7711">
        <v>3300</v>
      </c>
      <c r="G7711" t="s">
        <v>331</v>
      </c>
      <c r="H7711" s="15">
        <v>45292</v>
      </c>
      <c r="I7711">
        <v>3300</v>
      </c>
      <c r="J7711">
        <v>0</v>
      </c>
    </row>
    <row r="7712" spans="1:10" x14ac:dyDescent="0.3">
      <c r="A7712" s="15">
        <v>46143</v>
      </c>
      <c r="B7712" t="s">
        <v>235</v>
      </c>
      <c r="C7712" t="s">
        <v>91</v>
      </c>
      <c r="D7712" t="s">
        <v>96</v>
      </c>
      <c r="E7712" t="s">
        <v>103</v>
      </c>
      <c r="F7712">
        <v>11100</v>
      </c>
      <c r="G7712" t="s">
        <v>331</v>
      </c>
      <c r="H7712" s="15">
        <v>45292</v>
      </c>
      <c r="I7712">
        <v>11100</v>
      </c>
      <c r="J7712">
        <v>0</v>
      </c>
    </row>
    <row r="7713" spans="1:10" x14ac:dyDescent="0.3">
      <c r="A7713" s="15">
        <v>46143</v>
      </c>
      <c r="B7713" t="s">
        <v>237</v>
      </c>
      <c r="C7713" t="s">
        <v>91</v>
      </c>
      <c r="D7713" t="s">
        <v>82</v>
      </c>
      <c r="E7713" t="s">
        <v>83</v>
      </c>
      <c r="F7713">
        <v>6900</v>
      </c>
      <c r="G7713" t="s">
        <v>331</v>
      </c>
      <c r="H7713" s="15">
        <v>45292</v>
      </c>
      <c r="I7713">
        <v>6900</v>
      </c>
      <c r="J7713">
        <v>0</v>
      </c>
    </row>
    <row r="7714" spans="1:10" x14ac:dyDescent="0.3">
      <c r="A7714" s="15">
        <v>46143</v>
      </c>
      <c r="B7714" t="s">
        <v>238</v>
      </c>
      <c r="C7714" t="s">
        <v>81</v>
      </c>
      <c r="D7714" t="s">
        <v>99</v>
      </c>
      <c r="E7714" t="s">
        <v>97</v>
      </c>
      <c r="F7714">
        <v>2300</v>
      </c>
      <c r="G7714" t="s">
        <v>331</v>
      </c>
      <c r="H7714" s="15">
        <v>45292</v>
      </c>
      <c r="I7714">
        <v>2300</v>
      </c>
      <c r="J7714">
        <v>0</v>
      </c>
    </row>
    <row r="7715" spans="1:10" x14ac:dyDescent="0.3">
      <c r="A7715" s="15">
        <v>46143</v>
      </c>
      <c r="B7715" t="s">
        <v>239</v>
      </c>
      <c r="C7715" t="s">
        <v>81</v>
      </c>
      <c r="D7715" t="s">
        <v>82</v>
      </c>
      <c r="E7715" t="s">
        <v>103</v>
      </c>
      <c r="F7715">
        <v>2500</v>
      </c>
      <c r="G7715" t="s">
        <v>331</v>
      </c>
      <c r="H7715" s="15">
        <v>45292</v>
      </c>
      <c r="I7715">
        <v>2500</v>
      </c>
      <c r="J7715">
        <v>0</v>
      </c>
    </row>
    <row r="7716" spans="1:10" x14ac:dyDescent="0.3">
      <c r="A7716" s="15">
        <v>46143</v>
      </c>
      <c r="B7716" t="s">
        <v>240</v>
      </c>
      <c r="C7716" t="s">
        <v>81</v>
      </c>
      <c r="D7716" t="s">
        <v>99</v>
      </c>
      <c r="E7716" t="s">
        <v>103</v>
      </c>
      <c r="F7716">
        <v>2300</v>
      </c>
      <c r="G7716" t="s">
        <v>331</v>
      </c>
      <c r="H7716" s="15">
        <v>45292</v>
      </c>
      <c r="I7716">
        <v>2300</v>
      </c>
      <c r="J7716">
        <v>0</v>
      </c>
    </row>
    <row r="7717" spans="1:10" x14ac:dyDescent="0.3">
      <c r="A7717" s="15">
        <v>46143</v>
      </c>
      <c r="B7717" t="s">
        <v>241</v>
      </c>
      <c r="C7717" t="s">
        <v>91</v>
      </c>
      <c r="D7717" t="s">
        <v>96</v>
      </c>
      <c r="E7717" t="s">
        <v>87</v>
      </c>
      <c r="F7717">
        <v>12100</v>
      </c>
      <c r="G7717" t="s">
        <v>331</v>
      </c>
      <c r="H7717" s="15">
        <v>45292</v>
      </c>
      <c r="I7717">
        <v>12100</v>
      </c>
      <c r="J7717">
        <v>0</v>
      </c>
    </row>
    <row r="7718" spans="1:10" x14ac:dyDescent="0.3">
      <c r="A7718" s="15">
        <v>46143</v>
      </c>
      <c r="B7718" t="s">
        <v>242</v>
      </c>
      <c r="C7718" t="s">
        <v>110</v>
      </c>
      <c r="D7718" t="s">
        <v>99</v>
      </c>
      <c r="E7718" t="s">
        <v>101</v>
      </c>
      <c r="F7718">
        <v>34800</v>
      </c>
      <c r="G7718" t="s">
        <v>331</v>
      </c>
      <c r="H7718" s="15">
        <v>45292</v>
      </c>
      <c r="I7718">
        <v>34800</v>
      </c>
      <c r="J7718">
        <v>0</v>
      </c>
    </row>
    <row r="7719" spans="1:10" x14ac:dyDescent="0.3">
      <c r="A7719" s="15">
        <v>46143</v>
      </c>
      <c r="B7719" t="s">
        <v>244</v>
      </c>
      <c r="C7719" t="s">
        <v>91</v>
      </c>
      <c r="D7719" t="s">
        <v>82</v>
      </c>
      <c r="E7719" t="s">
        <v>92</v>
      </c>
      <c r="F7719">
        <v>7800</v>
      </c>
      <c r="G7719" t="s">
        <v>331</v>
      </c>
      <c r="H7719" s="15">
        <v>45292</v>
      </c>
      <c r="I7719">
        <v>7800</v>
      </c>
      <c r="J7719">
        <v>0</v>
      </c>
    </row>
    <row r="7720" spans="1:10" x14ac:dyDescent="0.3">
      <c r="A7720" s="15">
        <v>46143</v>
      </c>
      <c r="B7720" t="s">
        <v>245</v>
      </c>
      <c r="C7720" t="s">
        <v>81</v>
      </c>
      <c r="D7720" t="s">
        <v>99</v>
      </c>
      <c r="E7720" t="s">
        <v>97</v>
      </c>
      <c r="F7720">
        <v>2900</v>
      </c>
      <c r="G7720" t="s">
        <v>331</v>
      </c>
      <c r="H7720" s="15">
        <v>45292</v>
      </c>
      <c r="I7720">
        <v>2900</v>
      </c>
      <c r="J7720">
        <v>0</v>
      </c>
    </row>
    <row r="7721" spans="1:10" x14ac:dyDescent="0.3">
      <c r="A7721" s="15">
        <v>46143</v>
      </c>
      <c r="B7721" t="s">
        <v>246</v>
      </c>
      <c r="C7721" t="s">
        <v>91</v>
      </c>
      <c r="D7721" t="s">
        <v>86</v>
      </c>
      <c r="E7721" t="s">
        <v>103</v>
      </c>
      <c r="F7721">
        <v>10100</v>
      </c>
      <c r="G7721" t="s">
        <v>331</v>
      </c>
      <c r="H7721" s="15">
        <v>45292</v>
      </c>
      <c r="I7721">
        <v>10100</v>
      </c>
      <c r="J7721">
        <v>0</v>
      </c>
    </row>
    <row r="7722" spans="1:10" x14ac:dyDescent="0.3">
      <c r="A7722" s="15">
        <v>46143</v>
      </c>
      <c r="B7722" t="s">
        <v>247</v>
      </c>
      <c r="C7722" t="s">
        <v>91</v>
      </c>
      <c r="D7722" t="s">
        <v>86</v>
      </c>
      <c r="E7722" t="s">
        <v>89</v>
      </c>
      <c r="F7722">
        <v>7800</v>
      </c>
      <c r="G7722" t="s">
        <v>331</v>
      </c>
      <c r="H7722" s="15">
        <v>45292</v>
      </c>
      <c r="I7722">
        <v>7800</v>
      </c>
      <c r="J7722">
        <v>0</v>
      </c>
    </row>
    <row r="7723" spans="1:10" x14ac:dyDescent="0.3">
      <c r="A7723" s="15">
        <v>46143</v>
      </c>
      <c r="B7723" t="s">
        <v>248</v>
      </c>
      <c r="C7723" t="s">
        <v>81</v>
      </c>
      <c r="D7723" t="s">
        <v>82</v>
      </c>
      <c r="E7723" t="s">
        <v>103</v>
      </c>
      <c r="F7723">
        <v>2100</v>
      </c>
      <c r="G7723" t="s">
        <v>331</v>
      </c>
      <c r="H7723" s="15">
        <v>45292</v>
      </c>
      <c r="I7723">
        <v>2100</v>
      </c>
      <c r="J7723">
        <v>0</v>
      </c>
    </row>
    <row r="7724" spans="1:10" x14ac:dyDescent="0.3">
      <c r="A7724" s="15">
        <v>46143</v>
      </c>
      <c r="B7724" t="s">
        <v>250</v>
      </c>
      <c r="C7724" t="s">
        <v>81</v>
      </c>
      <c r="D7724" t="s">
        <v>86</v>
      </c>
      <c r="E7724" t="s">
        <v>87</v>
      </c>
      <c r="F7724">
        <v>2800</v>
      </c>
      <c r="G7724" t="s">
        <v>331</v>
      </c>
      <c r="H7724" s="15">
        <v>45292</v>
      </c>
      <c r="I7724">
        <v>2800</v>
      </c>
      <c r="J7724">
        <v>0</v>
      </c>
    </row>
    <row r="7725" spans="1:10" x14ac:dyDescent="0.3">
      <c r="A7725" s="15">
        <v>46143</v>
      </c>
      <c r="B7725" t="s">
        <v>251</v>
      </c>
      <c r="C7725" t="s">
        <v>91</v>
      </c>
      <c r="D7725" t="s">
        <v>99</v>
      </c>
      <c r="E7725" t="s">
        <v>103</v>
      </c>
      <c r="F7725">
        <v>8800</v>
      </c>
      <c r="G7725" t="s">
        <v>331</v>
      </c>
      <c r="H7725" s="15">
        <v>45292</v>
      </c>
      <c r="I7725">
        <v>8800</v>
      </c>
      <c r="J7725">
        <v>0</v>
      </c>
    </row>
    <row r="7726" spans="1:10" x14ac:dyDescent="0.3">
      <c r="A7726" s="15">
        <v>46143</v>
      </c>
      <c r="B7726" t="s">
        <v>252</v>
      </c>
      <c r="C7726" t="s">
        <v>81</v>
      </c>
      <c r="D7726" t="s">
        <v>99</v>
      </c>
      <c r="E7726" t="s">
        <v>92</v>
      </c>
      <c r="F7726">
        <v>3400</v>
      </c>
      <c r="G7726" t="s">
        <v>331</v>
      </c>
      <c r="H7726" s="15">
        <v>45292</v>
      </c>
      <c r="I7726">
        <v>3400</v>
      </c>
      <c r="J7726">
        <v>0</v>
      </c>
    </row>
    <row r="7727" spans="1:10" x14ac:dyDescent="0.3">
      <c r="A7727" s="15">
        <v>46143</v>
      </c>
      <c r="B7727" t="s">
        <v>253</v>
      </c>
      <c r="C7727" t="s">
        <v>81</v>
      </c>
      <c r="D7727" t="s">
        <v>96</v>
      </c>
      <c r="E7727" t="s">
        <v>89</v>
      </c>
      <c r="F7727">
        <v>2400</v>
      </c>
      <c r="G7727" t="s">
        <v>331</v>
      </c>
      <c r="H7727" s="15">
        <v>45292</v>
      </c>
      <c r="I7727">
        <v>2400</v>
      </c>
      <c r="J7727">
        <v>0</v>
      </c>
    </row>
    <row r="7728" spans="1:10" x14ac:dyDescent="0.3">
      <c r="A7728" s="15">
        <v>46143</v>
      </c>
      <c r="B7728" t="s">
        <v>255</v>
      </c>
      <c r="C7728" t="s">
        <v>91</v>
      </c>
      <c r="D7728" t="s">
        <v>86</v>
      </c>
      <c r="E7728" t="s">
        <v>89</v>
      </c>
      <c r="F7728">
        <v>9700</v>
      </c>
      <c r="G7728" t="s">
        <v>332</v>
      </c>
      <c r="H7728" s="15">
        <v>45292</v>
      </c>
      <c r="I7728">
        <v>8600</v>
      </c>
      <c r="J7728">
        <v>1100</v>
      </c>
    </row>
    <row r="7729" spans="1:10" x14ac:dyDescent="0.3">
      <c r="A7729" s="15">
        <v>46143</v>
      </c>
      <c r="B7729" t="s">
        <v>256</v>
      </c>
      <c r="C7729" t="s">
        <v>81</v>
      </c>
      <c r="D7729" t="s">
        <v>82</v>
      </c>
      <c r="E7729" t="s">
        <v>103</v>
      </c>
      <c r="F7729">
        <v>1800</v>
      </c>
      <c r="G7729" t="s">
        <v>331</v>
      </c>
      <c r="H7729" s="15">
        <v>45292</v>
      </c>
      <c r="I7729">
        <v>1800</v>
      </c>
      <c r="J7729">
        <v>0</v>
      </c>
    </row>
    <row r="7730" spans="1:10" x14ac:dyDescent="0.3">
      <c r="A7730" s="15">
        <v>46143</v>
      </c>
      <c r="B7730" t="s">
        <v>258</v>
      </c>
      <c r="C7730" t="s">
        <v>125</v>
      </c>
      <c r="D7730" t="s">
        <v>86</v>
      </c>
      <c r="E7730" t="s">
        <v>83</v>
      </c>
      <c r="F7730">
        <v>96300</v>
      </c>
      <c r="G7730" t="s">
        <v>331</v>
      </c>
      <c r="H7730" s="15">
        <v>45292</v>
      </c>
      <c r="I7730">
        <v>96300</v>
      </c>
      <c r="J7730">
        <v>0</v>
      </c>
    </row>
    <row r="7731" spans="1:10" x14ac:dyDescent="0.3">
      <c r="A7731" s="15">
        <v>46143</v>
      </c>
      <c r="B7731" t="s">
        <v>259</v>
      </c>
      <c r="C7731" t="s">
        <v>81</v>
      </c>
      <c r="D7731" t="s">
        <v>86</v>
      </c>
      <c r="E7731" t="s">
        <v>89</v>
      </c>
      <c r="F7731">
        <v>1900</v>
      </c>
      <c r="G7731" t="s">
        <v>331</v>
      </c>
      <c r="H7731" s="15">
        <v>45292</v>
      </c>
      <c r="I7731">
        <v>1900</v>
      </c>
      <c r="J7731">
        <v>0</v>
      </c>
    </row>
    <row r="7732" spans="1:10" x14ac:dyDescent="0.3">
      <c r="A7732" s="15">
        <v>46143</v>
      </c>
      <c r="B7732" t="s">
        <v>260</v>
      </c>
      <c r="C7732" t="s">
        <v>81</v>
      </c>
      <c r="D7732" t="s">
        <v>86</v>
      </c>
      <c r="E7732" t="s">
        <v>97</v>
      </c>
      <c r="F7732">
        <v>2000</v>
      </c>
      <c r="G7732" t="s">
        <v>331</v>
      </c>
      <c r="H7732" s="15">
        <v>45292</v>
      </c>
      <c r="I7732">
        <v>2000</v>
      </c>
      <c r="J7732">
        <v>0</v>
      </c>
    </row>
    <row r="7733" spans="1:10" x14ac:dyDescent="0.3">
      <c r="A7733" s="15">
        <v>46143</v>
      </c>
      <c r="B7733" t="s">
        <v>262</v>
      </c>
      <c r="C7733" t="s">
        <v>91</v>
      </c>
      <c r="D7733" t="s">
        <v>82</v>
      </c>
      <c r="E7733" t="s">
        <v>92</v>
      </c>
      <c r="F7733">
        <v>10800</v>
      </c>
      <c r="G7733" t="s">
        <v>331</v>
      </c>
      <c r="H7733" s="15">
        <v>45292</v>
      </c>
      <c r="I7733">
        <v>10800</v>
      </c>
      <c r="J7733">
        <v>0</v>
      </c>
    </row>
    <row r="7734" spans="1:10" x14ac:dyDescent="0.3">
      <c r="A7734" s="15">
        <v>46143</v>
      </c>
      <c r="B7734" t="s">
        <v>264</v>
      </c>
      <c r="C7734" t="s">
        <v>110</v>
      </c>
      <c r="D7734" t="s">
        <v>86</v>
      </c>
      <c r="E7734" t="s">
        <v>97</v>
      </c>
      <c r="F7734">
        <v>31500</v>
      </c>
      <c r="G7734" t="s">
        <v>331</v>
      </c>
      <c r="H7734" s="15">
        <v>45292</v>
      </c>
      <c r="I7734">
        <v>31500</v>
      </c>
      <c r="J7734">
        <v>0</v>
      </c>
    </row>
    <row r="7735" spans="1:10" x14ac:dyDescent="0.3">
      <c r="A7735" s="15">
        <v>46143</v>
      </c>
      <c r="B7735" t="s">
        <v>265</v>
      </c>
      <c r="C7735" t="s">
        <v>125</v>
      </c>
      <c r="D7735" t="s">
        <v>86</v>
      </c>
      <c r="E7735" t="s">
        <v>101</v>
      </c>
      <c r="F7735">
        <v>76700</v>
      </c>
      <c r="G7735" t="s">
        <v>331</v>
      </c>
      <c r="H7735" s="15">
        <v>45292</v>
      </c>
      <c r="I7735">
        <v>76700</v>
      </c>
      <c r="J7735">
        <v>0</v>
      </c>
    </row>
    <row r="7736" spans="1:10" x14ac:dyDescent="0.3">
      <c r="A7736" s="15">
        <v>46143</v>
      </c>
      <c r="B7736" t="s">
        <v>266</v>
      </c>
      <c r="C7736" t="s">
        <v>81</v>
      </c>
      <c r="D7736" t="s">
        <v>82</v>
      </c>
      <c r="E7736" t="s">
        <v>83</v>
      </c>
      <c r="F7736">
        <v>2200</v>
      </c>
      <c r="G7736" t="s">
        <v>331</v>
      </c>
      <c r="H7736" s="15">
        <v>45292</v>
      </c>
      <c r="I7736">
        <v>2200</v>
      </c>
      <c r="J7736">
        <v>0</v>
      </c>
    </row>
    <row r="7737" spans="1:10" x14ac:dyDescent="0.3">
      <c r="A7737" s="15">
        <v>46143</v>
      </c>
      <c r="B7737" t="s">
        <v>267</v>
      </c>
      <c r="C7737" t="s">
        <v>91</v>
      </c>
      <c r="D7737" t="s">
        <v>82</v>
      </c>
      <c r="E7737" t="s">
        <v>97</v>
      </c>
      <c r="F7737">
        <v>7300</v>
      </c>
      <c r="G7737" t="s">
        <v>331</v>
      </c>
      <c r="H7737" s="15">
        <v>45292</v>
      </c>
      <c r="I7737">
        <v>7300</v>
      </c>
      <c r="J7737">
        <v>0</v>
      </c>
    </row>
    <row r="7738" spans="1:10" x14ac:dyDescent="0.3">
      <c r="A7738" s="15">
        <v>46143</v>
      </c>
      <c r="B7738" t="s">
        <v>272</v>
      </c>
      <c r="C7738" t="s">
        <v>125</v>
      </c>
      <c r="D7738" t="s">
        <v>96</v>
      </c>
      <c r="E7738" t="s">
        <v>103</v>
      </c>
      <c r="F7738">
        <v>101100</v>
      </c>
      <c r="G7738" t="s">
        <v>331</v>
      </c>
      <c r="H7738" s="15">
        <v>45292</v>
      </c>
      <c r="I7738">
        <v>101100</v>
      </c>
      <c r="J7738">
        <v>0</v>
      </c>
    </row>
    <row r="7739" spans="1:10" x14ac:dyDescent="0.3">
      <c r="A7739" s="15">
        <v>46143</v>
      </c>
      <c r="B7739" t="s">
        <v>273</v>
      </c>
      <c r="C7739" t="s">
        <v>81</v>
      </c>
      <c r="D7739" t="s">
        <v>82</v>
      </c>
      <c r="E7739" t="s">
        <v>101</v>
      </c>
      <c r="F7739">
        <v>3300</v>
      </c>
      <c r="G7739" t="s">
        <v>331</v>
      </c>
      <c r="H7739" s="15">
        <v>45292</v>
      </c>
      <c r="I7739">
        <v>3300</v>
      </c>
      <c r="J7739">
        <v>0</v>
      </c>
    </row>
    <row r="7740" spans="1:10" x14ac:dyDescent="0.3">
      <c r="A7740" s="15">
        <v>46143</v>
      </c>
      <c r="B7740" t="s">
        <v>274</v>
      </c>
      <c r="C7740" t="s">
        <v>91</v>
      </c>
      <c r="D7740" t="s">
        <v>99</v>
      </c>
      <c r="E7740" t="s">
        <v>87</v>
      </c>
      <c r="F7740">
        <v>11400</v>
      </c>
      <c r="G7740" t="s">
        <v>331</v>
      </c>
      <c r="H7740" s="15">
        <v>45292</v>
      </c>
      <c r="I7740">
        <v>11400</v>
      </c>
      <c r="J7740">
        <v>0</v>
      </c>
    </row>
    <row r="7741" spans="1:10" x14ac:dyDescent="0.3">
      <c r="A7741" s="15">
        <v>46143</v>
      </c>
      <c r="B7741" t="s">
        <v>276</v>
      </c>
      <c r="C7741" t="s">
        <v>81</v>
      </c>
      <c r="D7741" t="s">
        <v>82</v>
      </c>
      <c r="E7741" t="s">
        <v>103</v>
      </c>
      <c r="F7741">
        <v>3300</v>
      </c>
      <c r="G7741" t="s">
        <v>331</v>
      </c>
      <c r="H7741" s="15">
        <v>45292</v>
      </c>
      <c r="I7741">
        <v>3300</v>
      </c>
      <c r="J7741">
        <v>0</v>
      </c>
    </row>
    <row r="7742" spans="1:10" x14ac:dyDescent="0.3">
      <c r="A7742" s="15">
        <v>46143</v>
      </c>
      <c r="B7742" t="s">
        <v>277</v>
      </c>
      <c r="C7742" t="s">
        <v>91</v>
      </c>
      <c r="D7742" t="s">
        <v>86</v>
      </c>
      <c r="E7742" t="s">
        <v>97</v>
      </c>
      <c r="F7742">
        <v>9900</v>
      </c>
      <c r="G7742" t="s">
        <v>332</v>
      </c>
      <c r="H7742" s="15">
        <v>45292</v>
      </c>
      <c r="I7742">
        <v>9200</v>
      </c>
      <c r="J7742">
        <v>700</v>
      </c>
    </row>
    <row r="7743" spans="1:10" x14ac:dyDescent="0.3">
      <c r="A7743" s="15">
        <v>46143</v>
      </c>
      <c r="B7743" t="s">
        <v>279</v>
      </c>
      <c r="C7743" t="s">
        <v>91</v>
      </c>
      <c r="D7743" t="s">
        <v>99</v>
      </c>
      <c r="E7743" t="s">
        <v>89</v>
      </c>
      <c r="F7743">
        <v>9800</v>
      </c>
      <c r="G7743" t="s">
        <v>331</v>
      </c>
      <c r="H7743" s="15">
        <v>45292</v>
      </c>
      <c r="I7743">
        <v>9800</v>
      </c>
      <c r="J7743">
        <v>0</v>
      </c>
    </row>
    <row r="7744" spans="1:10" x14ac:dyDescent="0.3">
      <c r="A7744" s="15">
        <v>46143</v>
      </c>
      <c r="B7744" t="s">
        <v>282</v>
      </c>
      <c r="C7744" t="s">
        <v>91</v>
      </c>
      <c r="D7744" t="s">
        <v>86</v>
      </c>
      <c r="E7744" t="s">
        <v>92</v>
      </c>
      <c r="F7744">
        <v>6100</v>
      </c>
      <c r="G7744" t="s">
        <v>332</v>
      </c>
      <c r="H7744" s="15">
        <v>45292</v>
      </c>
      <c r="I7744">
        <v>5800</v>
      </c>
      <c r="J7744">
        <v>300</v>
      </c>
    </row>
    <row r="7745" spans="1:10" x14ac:dyDescent="0.3">
      <c r="A7745" s="15">
        <v>46143</v>
      </c>
      <c r="B7745" t="s">
        <v>283</v>
      </c>
      <c r="C7745" t="s">
        <v>110</v>
      </c>
      <c r="D7745" t="s">
        <v>82</v>
      </c>
      <c r="E7745" t="s">
        <v>87</v>
      </c>
      <c r="F7745">
        <v>34200</v>
      </c>
      <c r="G7745" t="s">
        <v>331</v>
      </c>
      <c r="H7745" s="15">
        <v>45292</v>
      </c>
      <c r="I7745">
        <v>34200</v>
      </c>
      <c r="J7745">
        <v>0</v>
      </c>
    </row>
    <row r="7746" spans="1:10" x14ac:dyDescent="0.3">
      <c r="A7746" s="15">
        <v>46143</v>
      </c>
      <c r="B7746" t="s">
        <v>285</v>
      </c>
      <c r="C7746" t="s">
        <v>91</v>
      </c>
      <c r="D7746" t="s">
        <v>82</v>
      </c>
      <c r="E7746" t="s">
        <v>83</v>
      </c>
      <c r="F7746">
        <v>9600</v>
      </c>
      <c r="G7746" t="s">
        <v>334</v>
      </c>
      <c r="H7746" s="15">
        <v>45292</v>
      </c>
      <c r="I7746">
        <v>10900</v>
      </c>
      <c r="J7746">
        <v>-1300</v>
      </c>
    </row>
    <row r="7747" spans="1:10" x14ac:dyDescent="0.3">
      <c r="A7747" s="15">
        <v>46143</v>
      </c>
      <c r="B7747" t="s">
        <v>286</v>
      </c>
      <c r="C7747" t="s">
        <v>125</v>
      </c>
      <c r="D7747" t="s">
        <v>86</v>
      </c>
      <c r="E7747" t="s">
        <v>92</v>
      </c>
      <c r="F7747">
        <v>92400</v>
      </c>
      <c r="G7747" t="s">
        <v>331</v>
      </c>
      <c r="H7747" s="15">
        <v>45292</v>
      </c>
      <c r="I7747">
        <v>92400</v>
      </c>
      <c r="J7747">
        <v>0</v>
      </c>
    </row>
    <row r="7748" spans="1:10" x14ac:dyDescent="0.3">
      <c r="A7748" s="15">
        <v>46143</v>
      </c>
      <c r="B7748" t="s">
        <v>287</v>
      </c>
      <c r="C7748" t="s">
        <v>81</v>
      </c>
      <c r="D7748" t="s">
        <v>99</v>
      </c>
      <c r="E7748" t="s">
        <v>87</v>
      </c>
      <c r="F7748">
        <v>2400</v>
      </c>
      <c r="G7748" t="s">
        <v>332</v>
      </c>
      <c r="H7748" s="15">
        <v>45292</v>
      </c>
      <c r="I7748">
        <v>2300</v>
      </c>
      <c r="J7748">
        <v>100</v>
      </c>
    </row>
    <row r="7749" spans="1:10" x14ac:dyDescent="0.3">
      <c r="A7749" s="15">
        <v>46143</v>
      </c>
      <c r="B7749" t="s">
        <v>288</v>
      </c>
      <c r="C7749" t="s">
        <v>81</v>
      </c>
      <c r="D7749" t="s">
        <v>99</v>
      </c>
      <c r="E7749" t="s">
        <v>97</v>
      </c>
      <c r="F7749">
        <v>2900</v>
      </c>
      <c r="G7749" t="s">
        <v>331</v>
      </c>
      <c r="H7749" s="15">
        <v>45292</v>
      </c>
      <c r="I7749">
        <v>2900</v>
      </c>
      <c r="J7749">
        <v>0</v>
      </c>
    </row>
    <row r="7750" spans="1:10" x14ac:dyDescent="0.3">
      <c r="A7750" s="15">
        <v>46143</v>
      </c>
      <c r="B7750" t="s">
        <v>289</v>
      </c>
      <c r="C7750" t="s">
        <v>91</v>
      </c>
      <c r="D7750" t="s">
        <v>86</v>
      </c>
      <c r="E7750" t="s">
        <v>101</v>
      </c>
      <c r="F7750">
        <v>9400</v>
      </c>
      <c r="G7750" t="s">
        <v>331</v>
      </c>
      <c r="H7750" s="15">
        <v>45292</v>
      </c>
      <c r="I7750">
        <v>9400</v>
      </c>
      <c r="J7750">
        <v>0</v>
      </c>
    </row>
    <row r="7751" spans="1:10" x14ac:dyDescent="0.3">
      <c r="A7751" s="15">
        <v>46143</v>
      </c>
      <c r="B7751" t="s">
        <v>290</v>
      </c>
      <c r="C7751" t="s">
        <v>81</v>
      </c>
      <c r="D7751" t="s">
        <v>82</v>
      </c>
      <c r="E7751" t="s">
        <v>103</v>
      </c>
      <c r="F7751">
        <v>2800</v>
      </c>
      <c r="G7751" t="s">
        <v>331</v>
      </c>
      <c r="H7751" s="15">
        <v>45292</v>
      </c>
      <c r="I7751">
        <v>2800</v>
      </c>
      <c r="J7751">
        <v>0</v>
      </c>
    </row>
    <row r="7752" spans="1:10" x14ac:dyDescent="0.3">
      <c r="A7752" s="15">
        <v>46143</v>
      </c>
      <c r="B7752" t="s">
        <v>291</v>
      </c>
      <c r="C7752" t="s">
        <v>81</v>
      </c>
      <c r="D7752" t="s">
        <v>82</v>
      </c>
      <c r="E7752" t="s">
        <v>83</v>
      </c>
      <c r="F7752">
        <v>3100</v>
      </c>
      <c r="G7752" t="s">
        <v>331</v>
      </c>
      <c r="H7752" s="15">
        <v>45292</v>
      </c>
      <c r="I7752">
        <v>3100</v>
      </c>
      <c r="J7752">
        <v>0</v>
      </c>
    </row>
    <row r="7753" spans="1:10" x14ac:dyDescent="0.3">
      <c r="A7753" s="15">
        <v>46143</v>
      </c>
      <c r="B7753" t="s">
        <v>292</v>
      </c>
      <c r="C7753" t="s">
        <v>91</v>
      </c>
      <c r="D7753" t="s">
        <v>86</v>
      </c>
      <c r="E7753" t="s">
        <v>89</v>
      </c>
      <c r="F7753">
        <v>9900</v>
      </c>
      <c r="G7753" t="s">
        <v>331</v>
      </c>
      <c r="H7753" s="15">
        <v>45292</v>
      </c>
      <c r="I7753">
        <v>9900</v>
      </c>
      <c r="J7753">
        <v>0</v>
      </c>
    </row>
    <row r="7754" spans="1:10" x14ac:dyDescent="0.3">
      <c r="A7754" s="15">
        <v>46143</v>
      </c>
      <c r="B7754" t="s">
        <v>293</v>
      </c>
      <c r="C7754" t="s">
        <v>81</v>
      </c>
      <c r="D7754" t="s">
        <v>86</v>
      </c>
      <c r="E7754" t="s">
        <v>103</v>
      </c>
      <c r="F7754">
        <v>2200</v>
      </c>
      <c r="G7754" t="s">
        <v>331</v>
      </c>
      <c r="H7754" s="15">
        <v>45292</v>
      </c>
      <c r="I7754">
        <v>2200</v>
      </c>
      <c r="J7754">
        <v>0</v>
      </c>
    </row>
    <row r="7755" spans="1:10" x14ac:dyDescent="0.3">
      <c r="A7755" s="15">
        <v>46143</v>
      </c>
      <c r="B7755" t="s">
        <v>294</v>
      </c>
      <c r="C7755" t="s">
        <v>91</v>
      </c>
      <c r="D7755" t="s">
        <v>82</v>
      </c>
      <c r="E7755" t="s">
        <v>97</v>
      </c>
      <c r="F7755">
        <v>9100</v>
      </c>
      <c r="G7755" t="s">
        <v>331</v>
      </c>
      <c r="H7755" s="15">
        <v>45292</v>
      </c>
      <c r="I7755">
        <v>9100</v>
      </c>
      <c r="J7755">
        <v>0</v>
      </c>
    </row>
    <row r="7756" spans="1:10" x14ac:dyDescent="0.3">
      <c r="A7756" s="15">
        <v>46143</v>
      </c>
      <c r="B7756" t="s">
        <v>295</v>
      </c>
      <c r="C7756" t="s">
        <v>81</v>
      </c>
      <c r="D7756" t="s">
        <v>82</v>
      </c>
      <c r="E7756" t="s">
        <v>103</v>
      </c>
      <c r="F7756">
        <v>2000</v>
      </c>
      <c r="G7756" t="s">
        <v>331</v>
      </c>
      <c r="H7756" s="15">
        <v>45292</v>
      </c>
      <c r="I7756">
        <v>2000</v>
      </c>
      <c r="J7756">
        <v>0</v>
      </c>
    </row>
    <row r="7757" spans="1:10" x14ac:dyDescent="0.3">
      <c r="A7757" s="15">
        <v>46143</v>
      </c>
      <c r="B7757" t="s">
        <v>298</v>
      </c>
      <c r="C7757" t="s">
        <v>81</v>
      </c>
      <c r="D7757" t="s">
        <v>86</v>
      </c>
      <c r="E7757" t="s">
        <v>89</v>
      </c>
      <c r="F7757">
        <v>2700</v>
      </c>
      <c r="G7757" t="s">
        <v>331</v>
      </c>
      <c r="H7757" s="15">
        <v>45292</v>
      </c>
      <c r="I7757">
        <v>2700</v>
      </c>
      <c r="J7757">
        <v>0</v>
      </c>
    </row>
    <row r="7758" spans="1:10" x14ac:dyDescent="0.3">
      <c r="A7758" s="15">
        <v>46143</v>
      </c>
      <c r="B7758" t="s">
        <v>299</v>
      </c>
      <c r="C7758" t="s">
        <v>81</v>
      </c>
      <c r="D7758" t="s">
        <v>99</v>
      </c>
      <c r="E7758" t="s">
        <v>103</v>
      </c>
      <c r="F7758">
        <v>2900</v>
      </c>
      <c r="G7758" t="s">
        <v>331</v>
      </c>
      <c r="H7758" s="15">
        <v>45292</v>
      </c>
      <c r="I7758">
        <v>2900</v>
      </c>
      <c r="J7758">
        <v>0</v>
      </c>
    </row>
    <row r="7759" spans="1:10" x14ac:dyDescent="0.3">
      <c r="A7759" s="15">
        <v>46143</v>
      </c>
      <c r="B7759" t="s">
        <v>300</v>
      </c>
      <c r="C7759" t="s">
        <v>91</v>
      </c>
      <c r="D7759" t="s">
        <v>82</v>
      </c>
      <c r="E7759" t="s">
        <v>89</v>
      </c>
      <c r="F7759">
        <v>11500</v>
      </c>
      <c r="G7759" t="s">
        <v>331</v>
      </c>
      <c r="H7759" s="15">
        <v>45292</v>
      </c>
      <c r="I7759">
        <v>11500</v>
      </c>
      <c r="J7759">
        <v>0</v>
      </c>
    </row>
    <row r="7760" spans="1:10" x14ac:dyDescent="0.3">
      <c r="A7760" s="15">
        <v>46143</v>
      </c>
      <c r="B7760" t="s">
        <v>303</v>
      </c>
      <c r="C7760" t="s">
        <v>81</v>
      </c>
      <c r="D7760" t="s">
        <v>82</v>
      </c>
      <c r="E7760" t="s">
        <v>83</v>
      </c>
      <c r="F7760">
        <v>1500</v>
      </c>
      <c r="G7760" t="s">
        <v>331</v>
      </c>
      <c r="H7760" s="15">
        <v>45292</v>
      </c>
      <c r="I7760">
        <v>1500</v>
      </c>
      <c r="J7760">
        <v>0</v>
      </c>
    </row>
    <row r="7761" spans="1:10" x14ac:dyDescent="0.3">
      <c r="A7761" s="15">
        <v>46143</v>
      </c>
      <c r="B7761" t="s">
        <v>304</v>
      </c>
      <c r="C7761" t="s">
        <v>81</v>
      </c>
      <c r="D7761" t="s">
        <v>86</v>
      </c>
      <c r="E7761" t="s">
        <v>92</v>
      </c>
      <c r="F7761">
        <v>2100</v>
      </c>
      <c r="G7761" t="s">
        <v>331</v>
      </c>
      <c r="H7761" s="15">
        <v>45292</v>
      </c>
      <c r="I7761">
        <v>2100</v>
      </c>
      <c r="J7761">
        <v>0</v>
      </c>
    </row>
    <row r="7762" spans="1:10" x14ac:dyDescent="0.3">
      <c r="A7762" s="15">
        <v>46143</v>
      </c>
      <c r="B7762" t="s">
        <v>306</v>
      </c>
      <c r="C7762" t="s">
        <v>91</v>
      </c>
      <c r="D7762" t="s">
        <v>82</v>
      </c>
      <c r="E7762" t="s">
        <v>87</v>
      </c>
      <c r="F7762">
        <v>11700</v>
      </c>
      <c r="G7762" t="s">
        <v>331</v>
      </c>
      <c r="H7762" s="15">
        <v>45292</v>
      </c>
      <c r="I7762">
        <v>11700</v>
      </c>
      <c r="J7762">
        <v>0</v>
      </c>
    </row>
    <row r="7763" spans="1:10" x14ac:dyDescent="0.3">
      <c r="A7763" s="15">
        <v>46143</v>
      </c>
      <c r="B7763" t="s">
        <v>307</v>
      </c>
      <c r="C7763" t="s">
        <v>81</v>
      </c>
      <c r="D7763" t="s">
        <v>86</v>
      </c>
      <c r="E7763" t="s">
        <v>97</v>
      </c>
      <c r="F7763">
        <v>2600</v>
      </c>
      <c r="G7763" t="s">
        <v>331</v>
      </c>
      <c r="H7763" s="15">
        <v>45292</v>
      </c>
      <c r="I7763">
        <v>2600</v>
      </c>
      <c r="J7763">
        <v>0</v>
      </c>
    </row>
    <row r="7764" spans="1:10" x14ac:dyDescent="0.3">
      <c r="A7764" s="15">
        <v>46143</v>
      </c>
      <c r="B7764" t="s">
        <v>309</v>
      </c>
      <c r="C7764" t="s">
        <v>91</v>
      </c>
      <c r="D7764" t="s">
        <v>82</v>
      </c>
      <c r="E7764" t="s">
        <v>87</v>
      </c>
      <c r="F7764">
        <v>11800</v>
      </c>
      <c r="G7764" t="s">
        <v>331</v>
      </c>
      <c r="H7764" s="15">
        <v>45292</v>
      </c>
      <c r="I7764">
        <v>11800</v>
      </c>
      <c r="J7764">
        <v>0</v>
      </c>
    </row>
    <row r="7765" spans="1:10" x14ac:dyDescent="0.3">
      <c r="A7765" s="15">
        <v>46143</v>
      </c>
      <c r="B7765" t="s">
        <v>310</v>
      </c>
      <c r="C7765" t="s">
        <v>91</v>
      </c>
      <c r="D7765" t="s">
        <v>99</v>
      </c>
      <c r="E7765" t="s">
        <v>87</v>
      </c>
      <c r="F7765">
        <v>10000</v>
      </c>
      <c r="G7765" t="s">
        <v>331</v>
      </c>
      <c r="H7765" s="15">
        <v>45292</v>
      </c>
      <c r="I7765">
        <v>10000</v>
      </c>
      <c r="J7765">
        <v>0</v>
      </c>
    </row>
    <row r="7766" spans="1:10" x14ac:dyDescent="0.3">
      <c r="A7766" s="15">
        <v>46143</v>
      </c>
      <c r="B7766" t="s">
        <v>315</v>
      </c>
      <c r="C7766" t="s">
        <v>125</v>
      </c>
      <c r="D7766" t="s">
        <v>86</v>
      </c>
      <c r="E7766" t="s">
        <v>92</v>
      </c>
      <c r="F7766">
        <v>76200</v>
      </c>
      <c r="G7766" t="s">
        <v>331</v>
      </c>
      <c r="H7766" s="15">
        <v>45292</v>
      </c>
      <c r="I7766">
        <v>76200</v>
      </c>
      <c r="J7766">
        <v>0</v>
      </c>
    </row>
    <row r="7767" spans="1:10" x14ac:dyDescent="0.3">
      <c r="A7767" s="15">
        <v>46143</v>
      </c>
      <c r="B7767" t="s">
        <v>316</v>
      </c>
      <c r="C7767" t="s">
        <v>81</v>
      </c>
      <c r="D7767" t="s">
        <v>96</v>
      </c>
      <c r="E7767" t="s">
        <v>92</v>
      </c>
      <c r="F7767">
        <v>2000</v>
      </c>
      <c r="G7767" t="s">
        <v>331</v>
      </c>
      <c r="H7767" s="15">
        <v>45292</v>
      </c>
      <c r="I7767">
        <v>2000</v>
      </c>
      <c r="J7767">
        <v>0</v>
      </c>
    </row>
    <row r="7768" spans="1:10" x14ac:dyDescent="0.3">
      <c r="A7768" s="15">
        <v>46143</v>
      </c>
      <c r="B7768" t="s">
        <v>318</v>
      </c>
      <c r="C7768" t="s">
        <v>110</v>
      </c>
      <c r="D7768" t="s">
        <v>82</v>
      </c>
      <c r="E7768" t="s">
        <v>97</v>
      </c>
      <c r="F7768">
        <v>29600</v>
      </c>
      <c r="G7768" t="s">
        <v>331</v>
      </c>
      <c r="H7768" s="15">
        <v>45292</v>
      </c>
      <c r="I7768">
        <v>29600</v>
      </c>
      <c r="J7768">
        <v>0</v>
      </c>
    </row>
    <row r="7769" spans="1:10" x14ac:dyDescent="0.3">
      <c r="A7769" s="15">
        <v>46143</v>
      </c>
      <c r="B7769" t="s">
        <v>320</v>
      </c>
      <c r="C7769" t="s">
        <v>91</v>
      </c>
      <c r="D7769" t="s">
        <v>86</v>
      </c>
      <c r="E7769" t="s">
        <v>97</v>
      </c>
      <c r="F7769">
        <v>7700</v>
      </c>
      <c r="G7769" t="s">
        <v>331</v>
      </c>
      <c r="H7769" s="15">
        <v>45292</v>
      </c>
      <c r="I7769">
        <v>7700</v>
      </c>
      <c r="J7769">
        <v>0</v>
      </c>
    </row>
    <row r="7770" spans="1:10" x14ac:dyDescent="0.3">
      <c r="A7770" s="15">
        <v>46143</v>
      </c>
      <c r="B7770" t="s">
        <v>321</v>
      </c>
      <c r="C7770" t="s">
        <v>81</v>
      </c>
      <c r="D7770" t="s">
        <v>99</v>
      </c>
      <c r="E7770" t="s">
        <v>101</v>
      </c>
      <c r="F7770">
        <v>3500</v>
      </c>
      <c r="G7770" t="s">
        <v>331</v>
      </c>
      <c r="H7770" s="15">
        <v>45292</v>
      </c>
      <c r="I7770">
        <v>3500</v>
      </c>
      <c r="J7770">
        <v>0</v>
      </c>
    </row>
    <row r="7771" spans="1:10" x14ac:dyDescent="0.3">
      <c r="A7771" s="15">
        <v>46143</v>
      </c>
      <c r="B7771" t="s">
        <v>322</v>
      </c>
      <c r="C7771" t="s">
        <v>81</v>
      </c>
      <c r="D7771" t="s">
        <v>82</v>
      </c>
      <c r="E7771" t="s">
        <v>103</v>
      </c>
      <c r="F7771">
        <v>2000</v>
      </c>
      <c r="G7771" t="s">
        <v>331</v>
      </c>
      <c r="H7771" s="15">
        <v>45292</v>
      </c>
      <c r="I7771">
        <v>2000</v>
      </c>
      <c r="J7771">
        <v>0</v>
      </c>
    </row>
    <row r="7772" spans="1:10" x14ac:dyDescent="0.3">
      <c r="A7772" s="15">
        <v>46143</v>
      </c>
      <c r="B7772" t="s">
        <v>323</v>
      </c>
      <c r="C7772" t="s">
        <v>110</v>
      </c>
      <c r="D7772" t="s">
        <v>82</v>
      </c>
      <c r="E7772" t="s">
        <v>89</v>
      </c>
      <c r="F7772">
        <v>19600</v>
      </c>
      <c r="G7772" t="s">
        <v>331</v>
      </c>
      <c r="H7772" s="15">
        <v>45292</v>
      </c>
      <c r="I7772">
        <v>19600</v>
      </c>
      <c r="J7772">
        <v>0</v>
      </c>
    </row>
    <row r="7773" spans="1:10" x14ac:dyDescent="0.3">
      <c r="A7773" s="15">
        <v>46143</v>
      </c>
      <c r="B7773" t="s">
        <v>324</v>
      </c>
      <c r="C7773" t="s">
        <v>81</v>
      </c>
      <c r="D7773" t="s">
        <v>86</v>
      </c>
      <c r="E7773" t="s">
        <v>87</v>
      </c>
      <c r="F7773">
        <v>2400</v>
      </c>
      <c r="G7773" t="s">
        <v>331</v>
      </c>
      <c r="H7773" s="15">
        <v>45292</v>
      </c>
      <c r="I7773">
        <v>2400</v>
      </c>
      <c r="J7773">
        <v>0</v>
      </c>
    </row>
    <row r="7774" spans="1:10" x14ac:dyDescent="0.3">
      <c r="A7774" s="15">
        <v>46143</v>
      </c>
      <c r="B7774" t="s">
        <v>325</v>
      </c>
      <c r="C7774" t="s">
        <v>91</v>
      </c>
      <c r="D7774" t="s">
        <v>86</v>
      </c>
      <c r="E7774" t="s">
        <v>87</v>
      </c>
      <c r="F7774">
        <v>9400</v>
      </c>
      <c r="G7774" t="s">
        <v>331</v>
      </c>
      <c r="H7774" s="15">
        <v>45292</v>
      </c>
      <c r="I7774">
        <v>9400</v>
      </c>
      <c r="J7774">
        <v>0</v>
      </c>
    </row>
    <row r="7775" spans="1:10" x14ac:dyDescent="0.3">
      <c r="A7775" s="15">
        <v>46143</v>
      </c>
      <c r="B7775" t="s">
        <v>327</v>
      </c>
      <c r="C7775" t="s">
        <v>125</v>
      </c>
      <c r="D7775" t="s">
        <v>99</v>
      </c>
      <c r="E7775" t="s">
        <v>97</v>
      </c>
      <c r="F7775">
        <v>77500</v>
      </c>
      <c r="G7775" t="s">
        <v>331</v>
      </c>
      <c r="H7775" s="15">
        <v>45292</v>
      </c>
      <c r="I7775">
        <v>77500</v>
      </c>
      <c r="J7775">
        <v>0</v>
      </c>
    </row>
    <row r="7776" spans="1:10" x14ac:dyDescent="0.3">
      <c r="A7776" s="15">
        <v>46143</v>
      </c>
      <c r="B7776" t="s">
        <v>329</v>
      </c>
      <c r="C7776" t="s">
        <v>81</v>
      </c>
      <c r="D7776" t="s">
        <v>86</v>
      </c>
      <c r="E7776" t="s">
        <v>101</v>
      </c>
      <c r="F7776">
        <v>2200</v>
      </c>
      <c r="G7776" t="s">
        <v>331</v>
      </c>
      <c r="H7776" s="15">
        <v>45292</v>
      </c>
      <c r="I7776">
        <v>2200</v>
      </c>
      <c r="J7776">
        <v>0</v>
      </c>
    </row>
    <row r="7777" spans="1:10" x14ac:dyDescent="0.3">
      <c r="A7777" s="15">
        <v>46143</v>
      </c>
      <c r="B7777" t="s">
        <v>330</v>
      </c>
      <c r="C7777" t="s">
        <v>125</v>
      </c>
      <c r="D7777" t="s">
        <v>86</v>
      </c>
      <c r="E7777" t="s">
        <v>87</v>
      </c>
      <c r="F7777">
        <v>105400</v>
      </c>
      <c r="G7777" t="s">
        <v>331</v>
      </c>
      <c r="H7777" s="15">
        <v>45292</v>
      </c>
      <c r="I7777">
        <v>105400</v>
      </c>
      <c r="J7777">
        <v>0</v>
      </c>
    </row>
    <row r="7778" spans="1:10" x14ac:dyDescent="0.3">
      <c r="A7778" s="15">
        <v>46143</v>
      </c>
      <c r="B7778" t="s">
        <v>335</v>
      </c>
      <c r="C7778" t="s">
        <v>91</v>
      </c>
      <c r="D7778" t="s">
        <v>86</v>
      </c>
      <c r="E7778" t="s">
        <v>89</v>
      </c>
      <c r="F7778">
        <v>6500</v>
      </c>
      <c r="G7778" t="s">
        <v>331</v>
      </c>
      <c r="H7778" s="15">
        <v>45323</v>
      </c>
      <c r="I7778">
        <v>6500</v>
      </c>
      <c r="J7778">
        <v>0</v>
      </c>
    </row>
    <row r="7779" spans="1:10" x14ac:dyDescent="0.3">
      <c r="A7779" s="15">
        <v>46143</v>
      </c>
      <c r="B7779" t="s">
        <v>336</v>
      </c>
      <c r="C7779" t="s">
        <v>81</v>
      </c>
      <c r="D7779" t="s">
        <v>82</v>
      </c>
      <c r="E7779" t="s">
        <v>103</v>
      </c>
      <c r="F7779">
        <v>1400</v>
      </c>
      <c r="G7779" t="s">
        <v>334</v>
      </c>
      <c r="H7779" s="15">
        <v>45323</v>
      </c>
      <c r="I7779">
        <v>1500</v>
      </c>
      <c r="J7779">
        <v>-100</v>
      </c>
    </row>
    <row r="7780" spans="1:10" x14ac:dyDescent="0.3">
      <c r="A7780" s="15">
        <v>46143</v>
      </c>
      <c r="B7780" t="s">
        <v>339</v>
      </c>
      <c r="C7780" t="s">
        <v>81</v>
      </c>
      <c r="D7780" t="s">
        <v>82</v>
      </c>
      <c r="E7780" t="s">
        <v>103</v>
      </c>
      <c r="F7780">
        <v>1400</v>
      </c>
      <c r="G7780" t="s">
        <v>331</v>
      </c>
      <c r="H7780" s="15">
        <v>45323</v>
      </c>
      <c r="I7780">
        <v>1400</v>
      </c>
      <c r="J7780">
        <v>0</v>
      </c>
    </row>
    <row r="7781" spans="1:10" x14ac:dyDescent="0.3">
      <c r="A7781" s="15">
        <v>46143</v>
      </c>
      <c r="B7781" t="s">
        <v>341</v>
      </c>
      <c r="C7781" t="s">
        <v>110</v>
      </c>
      <c r="D7781" t="s">
        <v>82</v>
      </c>
      <c r="E7781" t="s">
        <v>92</v>
      </c>
      <c r="F7781">
        <v>18800</v>
      </c>
      <c r="G7781" t="s">
        <v>331</v>
      </c>
      <c r="H7781" s="15">
        <v>45323</v>
      </c>
      <c r="I7781">
        <v>18800</v>
      </c>
      <c r="J7781">
        <v>0</v>
      </c>
    </row>
    <row r="7782" spans="1:10" x14ac:dyDescent="0.3">
      <c r="A7782" s="15">
        <v>46143</v>
      </c>
      <c r="B7782" t="s">
        <v>342</v>
      </c>
      <c r="C7782" t="s">
        <v>91</v>
      </c>
      <c r="D7782" t="s">
        <v>82</v>
      </c>
      <c r="E7782" t="s">
        <v>83</v>
      </c>
      <c r="F7782">
        <v>6300</v>
      </c>
      <c r="G7782" t="s">
        <v>331</v>
      </c>
      <c r="H7782" s="15">
        <v>45352</v>
      </c>
      <c r="I7782">
        <v>6300</v>
      </c>
      <c r="J7782">
        <v>0</v>
      </c>
    </row>
    <row r="7783" spans="1:10" x14ac:dyDescent="0.3">
      <c r="A7783" s="15">
        <v>46143</v>
      </c>
      <c r="B7783" t="s">
        <v>343</v>
      </c>
      <c r="C7783" t="s">
        <v>81</v>
      </c>
      <c r="D7783" t="s">
        <v>82</v>
      </c>
      <c r="E7783" t="s">
        <v>89</v>
      </c>
      <c r="F7783">
        <v>2500</v>
      </c>
      <c r="G7783" t="s">
        <v>331</v>
      </c>
      <c r="H7783" s="15">
        <v>45352</v>
      </c>
      <c r="I7783">
        <v>2500</v>
      </c>
      <c r="J7783">
        <v>0</v>
      </c>
    </row>
    <row r="7784" spans="1:10" x14ac:dyDescent="0.3">
      <c r="A7784" s="15">
        <v>46143</v>
      </c>
      <c r="B7784" t="s">
        <v>344</v>
      </c>
      <c r="C7784" t="s">
        <v>110</v>
      </c>
      <c r="D7784" t="s">
        <v>86</v>
      </c>
      <c r="E7784" t="s">
        <v>89</v>
      </c>
      <c r="F7784">
        <v>25800</v>
      </c>
      <c r="G7784" t="s">
        <v>331</v>
      </c>
      <c r="H7784" s="15">
        <v>45352</v>
      </c>
      <c r="I7784">
        <v>25800</v>
      </c>
      <c r="J7784">
        <v>0</v>
      </c>
    </row>
    <row r="7785" spans="1:10" x14ac:dyDescent="0.3">
      <c r="A7785" s="15">
        <v>46143</v>
      </c>
      <c r="B7785" t="s">
        <v>345</v>
      </c>
      <c r="C7785" t="s">
        <v>91</v>
      </c>
      <c r="D7785" t="s">
        <v>86</v>
      </c>
      <c r="E7785" t="s">
        <v>83</v>
      </c>
      <c r="F7785">
        <v>7900</v>
      </c>
      <c r="G7785" t="s">
        <v>331</v>
      </c>
      <c r="H7785" s="15">
        <v>45352</v>
      </c>
      <c r="I7785">
        <v>7900</v>
      </c>
      <c r="J7785">
        <v>0</v>
      </c>
    </row>
    <row r="7786" spans="1:10" x14ac:dyDescent="0.3">
      <c r="A7786" s="15">
        <v>46143</v>
      </c>
      <c r="B7786" t="s">
        <v>346</v>
      </c>
      <c r="C7786" t="s">
        <v>81</v>
      </c>
      <c r="D7786" t="s">
        <v>86</v>
      </c>
      <c r="E7786" t="s">
        <v>97</v>
      </c>
      <c r="F7786">
        <v>1700</v>
      </c>
      <c r="G7786" t="s">
        <v>331</v>
      </c>
      <c r="H7786" s="15">
        <v>45352</v>
      </c>
      <c r="I7786">
        <v>1700</v>
      </c>
      <c r="J7786">
        <v>0</v>
      </c>
    </row>
    <row r="7787" spans="1:10" x14ac:dyDescent="0.3">
      <c r="A7787" s="15">
        <v>46143</v>
      </c>
      <c r="B7787" t="s">
        <v>347</v>
      </c>
      <c r="C7787" t="s">
        <v>91</v>
      </c>
      <c r="D7787" t="s">
        <v>82</v>
      </c>
      <c r="E7787" t="s">
        <v>83</v>
      </c>
      <c r="F7787">
        <v>4700</v>
      </c>
      <c r="G7787" t="s">
        <v>331</v>
      </c>
      <c r="H7787" s="15">
        <v>45383</v>
      </c>
      <c r="I7787">
        <v>4700</v>
      </c>
      <c r="J7787">
        <v>0</v>
      </c>
    </row>
    <row r="7788" spans="1:10" x14ac:dyDescent="0.3">
      <c r="A7788" s="15">
        <v>46143</v>
      </c>
      <c r="B7788" t="s">
        <v>350</v>
      </c>
      <c r="C7788" t="s">
        <v>91</v>
      </c>
      <c r="D7788" t="s">
        <v>82</v>
      </c>
      <c r="E7788" t="s">
        <v>83</v>
      </c>
      <c r="F7788">
        <v>4400</v>
      </c>
      <c r="G7788" t="s">
        <v>331</v>
      </c>
      <c r="H7788" s="15">
        <v>45383</v>
      </c>
      <c r="I7788">
        <v>4400</v>
      </c>
      <c r="J7788">
        <v>0</v>
      </c>
    </row>
    <row r="7789" spans="1:10" x14ac:dyDescent="0.3">
      <c r="A7789" s="15">
        <v>46143</v>
      </c>
      <c r="B7789" t="s">
        <v>351</v>
      </c>
      <c r="C7789" t="s">
        <v>81</v>
      </c>
      <c r="D7789" t="s">
        <v>86</v>
      </c>
      <c r="E7789" t="s">
        <v>83</v>
      </c>
      <c r="F7789">
        <v>2700</v>
      </c>
      <c r="G7789" t="s">
        <v>331</v>
      </c>
      <c r="H7789" s="15">
        <v>45383</v>
      </c>
      <c r="I7789">
        <v>2700</v>
      </c>
      <c r="J7789">
        <v>0</v>
      </c>
    </row>
    <row r="7790" spans="1:10" x14ac:dyDescent="0.3">
      <c r="A7790" s="15">
        <v>46143</v>
      </c>
      <c r="B7790" t="s">
        <v>352</v>
      </c>
      <c r="C7790" t="s">
        <v>91</v>
      </c>
      <c r="D7790" t="s">
        <v>82</v>
      </c>
      <c r="E7790" t="s">
        <v>89</v>
      </c>
      <c r="F7790">
        <v>8800</v>
      </c>
      <c r="G7790" t="s">
        <v>331</v>
      </c>
      <c r="H7790" s="15">
        <v>45383</v>
      </c>
      <c r="I7790">
        <v>8800</v>
      </c>
      <c r="J7790">
        <v>0</v>
      </c>
    </row>
    <row r="7791" spans="1:10" x14ac:dyDescent="0.3">
      <c r="A7791" s="15">
        <v>46143</v>
      </c>
      <c r="B7791" t="s">
        <v>353</v>
      </c>
      <c r="C7791" t="s">
        <v>81</v>
      </c>
      <c r="D7791" t="s">
        <v>99</v>
      </c>
      <c r="E7791" t="s">
        <v>103</v>
      </c>
      <c r="F7791">
        <v>1200</v>
      </c>
      <c r="G7791" t="s">
        <v>331</v>
      </c>
      <c r="H7791" s="15">
        <v>45383</v>
      </c>
      <c r="I7791">
        <v>1200</v>
      </c>
      <c r="J7791">
        <v>0</v>
      </c>
    </row>
    <row r="7792" spans="1:10" x14ac:dyDescent="0.3">
      <c r="A7792" s="15">
        <v>46143</v>
      </c>
      <c r="B7792" t="s">
        <v>354</v>
      </c>
      <c r="C7792" t="s">
        <v>81</v>
      </c>
      <c r="D7792" t="s">
        <v>82</v>
      </c>
      <c r="E7792" t="s">
        <v>92</v>
      </c>
      <c r="F7792">
        <v>1700</v>
      </c>
      <c r="G7792" t="s">
        <v>331</v>
      </c>
      <c r="H7792" s="15">
        <v>45413</v>
      </c>
      <c r="I7792">
        <v>1700</v>
      </c>
      <c r="J7792">
        <v>0</v>
      </c>
    </row>
    <row r="7793" spans="1:10" x14ac:dyDescent="0.3">
      <c r="A7793" s="15">
        <v>46143</v>
      </c>
      <c r="B7793" t="s">
        <v>355</v>
      </c>
      <c r="C7793" t="s">
        <v>81</v>
      </c>
      <c r="D7793" t="s">
        <v>86</v>
      </c>
      <c r="E7793" t="s">
        <v>97</v>
      </c>
      <c r="F7793">
        <v>2000</v>
      </c>
      <c r="G7793" t="s">
        <v>331</v>
      </c>
      <c r="H7793" s="15">
        <v>45413</v>
      </c>
      <c r="I7793">
        <v>2000</v>
      </c>
      <c r="J7793">
        <v>0</v>
      </c>
    </row>
    <row r="7794" spans="1:10" x14ac:dyDescent="0.3">
      <c r="A7794" s="15">
        <v>46143</v>
      </c>
      <c r="B7794" t="s">
        <v>356</v>
      </c>
      <c r="C7794" t="s">
        <v>110</v>
      </c>
      <c r="D7794" t="s">
        <v>82</v>
      </c>
      <c r="E7794" t="s">
        <v>97</v>
      </c>
      <c r="F7794">
        <v>33000</v>
      </c>
      <c r="G7794" t="s">
        <v>331</v>
      </c>
      <c r="H7794" s="15">
        <v>45413</v>
      </c>
      <c r="I7794">
        <v>33000</v>
      </c>
      <c r="J7794">
        <v>0</v>
      </c>
    </row>
    <row r="7795" spans="1:10" x14ac:dyDescent="0.3">
      <c r="A7795" s="15">
        <v>46143</v>
      </c>
      <c r="B7795" t="s">
        <v>357</v>
      </c>
      <c r="C7795" t="s">
        <v>125</v>
      </c>
      <c r="D7795" t="s">
        <v>86</v>
      </c>
      <c r="E7795" t="s">
        <v>97</v>
      </c>
      <c r="F7795">
        <v>0</v>
      </c>
      <c r="G7795" t="s">
        <v>333</v>
      </c>
      <c r="H7795" s="15">
        <v>45413</v>
      </c>
      <c r="I7795">
        <v>83400</v>
      </c>
      <c r="J7795">
        <v>-83400</v>
      </c>
    </row>
    <row r="7796" spans="1:10" x14ac:dyDescent="0.3">
      <c r="A7796" s="15">
        <v>46143</v>
      </c>
      <c r="B7796" t="s">
        <v>359</v>
      </c>
      <c r="C7796" t="s">
        <v>110</v>
      </c>
      <c r="D7796" t="s">
        <v>86</v>
      </c>
      <c r="E7796" t="s">
        <v>101</v>
      </c>
      <c r="F7796">
        <v>28900</v>
      </c>
      <c r="G7796" t="s">
        <v>331</v>
      </c>
      <c r="H7796" s="15">
        <v>45413</v>
      </c>
      <c r="I7796">
        <v>28900</v>
      </c>
      <c r="J7796">
        <v>0</v>
      </c>
    </row>
    <row r="7797" spans="1:10" x14ac:dyDescent="0.3">
      <c r="A7797" s="15">
        <v>46143</v>
      </c>
      <c r="B7797" t="s">
        <v>361</v>
      </c>
      <c r="C7797" t="s">
        <v>91</v>
      </c>
      <c r="D7797" t="s">
        <v>86</v>
      </c>
      <c r="E7797" t="s">
        <v>83</v>
      </c>
      <c r="F7797">
        <v>5700</v>
      </c>
      <c r="G7797" t="s">
        <v>331</v>
      </c>
      <c r="H7797" s="15">
        <v>45444</v>
      </c>
      <c r="I7797">
        <v>5700</v>
      </c>
      <c r="J7797">
        <v>0</v>
      </c>
    </row>
    <row r="7798" spans="1:10" x14ac:dyDescent="0.3">
      <c r="A7798" s="15">
        <v>46143</v>
      </c>
      <c r="B7798" t="s">
        <v>362</v>
      </c>
      <c r="C7798" t="s">
        <v>91</v>
      </c>
      <c r="D7798" t="s">
        <v>82</v>
      </c>
      <c r="E7798" t="s">
        <v>101</v>
      </c>
      <c r="F7798">
        <v>5700</v>
      </c>
      <c r="G7798" t="s">
        <v>331</v>
      </c>
      <c r="H7798" s="15">
        <v>45444</v>
      </c>
      <c r="I7798">
        <v>5700</v>
      </c>
      <c r="J7798">
        <v>0</v>
      </c>
    </row>
    <row r="7799" spans="1:10" x14ac:dyDescent="0.3">
      <c r="A7799" s="15">
        <v>46143</v>
      </c>
      <c r="B7799" t="s">
        <v>363</v>
      </c>
      <c r="C7799" t="s">
        <v>91</v>
      </c>
      <c r="D7799" t="s">
        <v>86</v>
      </c>
      <c r="E7799" t="s">
        <v>83</v>
      </c>
      <c r="F7799">
        <v>4400</v>
      </c>
      <c r="G7799" t="s">
        <v>331</v>
      </c>
      <c r="H7799" s="15">
        <v>45444</v>
      </c>
      <c r="I7799">
        <v>4400</v>
      </c>
      <c r="J7799">
        <v>0</v>
      </c>
    </row>
    <row r="7800" spans="1:10" x14ac:dyDescent="0.3">
      <c r="A7800" s="15">
        <v>46143</v>
      </c>
      <c r="B7800" t="s">
        <v>364</v>
      </c>
      <c r="C7800" t="s">
        <v>91</v>
      </c>
      <c r="D7800" t="s">
        <v>82</v>
      </c>
      <c r="E7800" t="s">
        <v>101</v>
      </c>
      <c r="F7800">
        <v>7600</v>
      </c>
      <c r="G7800" t="s">
        <v>331</v>
      </c>
      <c r="H7800" s="15">
        <v>45444</v>
      </c>
      <c r="I7800">
        <v>7600</v>
      </c>
      <c r="J7800">
        <v>0</v>
      </c>
    </row>
    <row r="7801" spans="1:10" x14ac:dyDescent="0.3">
      <c r="A7801" s="15">
        <v>46143</v>
      </c>
      <c r="B7801" t="s">
        <v>366</v>
      </c>
      <c r="C7801" t="s">
        <v>81</v>
      </c>
      <c r="D7801" t="s">
        <v>99</v>
      </c>
      <c r="E7801" t="s">
        <v>92</v>
      </c>
      <c r="F7801">
        <v>1600</v>
      </c>
      <c r="G7801" t="s">
        <v>331</v>
      </c>
      <c r="H7801" s="15">
        <v>45474</v>
      </c>
      <c r="I7801">
        <v>1600</v>
      </c>
      <c r="J7801">
        <v>0</v>
      </c>
    </row>
    <row r="7802" spans="1:10" x14ac:dyDescent="0.3">
      <c r="A7802" s="15">
        <v>46143</v>
      </c>
      <c r="B7802" t="s">
        <v>368</v>
      </c>
      <c r="C7802" t="s">
        <v>81</v>
      </c>
      <c r="D7802" t="s">
        <v>86</v>
      </c>
      <c r="E7802" t="s">
        <v>89</v>
      </c>
      <c r="F7802">
        <v>1200</v>
      </c>
      <c r="G7802" t="s">
        <v>331</v>
      </c>
      <c r="H7802" s="15">
        <v>45474</v>
      </c>
      <c r="I7802">
        <v>1200</v>
      </c>
      <c r="J7802">
        <v>0</v>
      </c>
    </row>
    <row r="7803" spans="1:10" x14ac:dyDescent="0.3">
      <c r="A7803" s="15">
        <v>46143</v>
      </c>
      <c r="B7803" t="s">
        <v>369</v>
      </c>
      <c r="C7803" t="s">
        <v>81</v>
      </c>
      <c r="D7803" t="s">
        <v>86</v>
      </c>
      <c r="E7803" t="s">
        <v>83</v>
      </c>
      <c r="F7803">
        <v>2300</v>
      </c>
      <c r="G7803" t="s">
        <v>331</v>
      </c>
      <c r="H7803" s="15">
        <v>45474</v>
      </c>
      <c r="I7803">
        <v>2300</v>
      </c>
      <c r="J7803">
        <v>0</v>
      </c>
    </row>
    <row r="7804" spans="1:10" x14ac:dyDescent="0.3">
      <c r="A7804" s="15">
        <v>46143</v>
      </c>
      <c r="B7804" t="s">
        <v>370</v>
      </c>
      <c r="C7804" t="s">
        <v>81</v>
      </c>
      <c r="D7804" t="s">
        <v>99</v>
      </c>
      <c r="E7804" t="s">
        <v>87</v>
      </c>
      <c r="F7804">
        <v>2300</v>
      </c>
      <c r="G7804" t="s">
        <v>331</v>
      </c>
      <c r="H7804" s="15">
        <v>45474</v>
      </c>
      <c r="I7804">
        <v>2300</v>
      </c>
      <c r="J7804">
        <v>0</v>
      </c>
    </row>
    <row r="7805" spans="1:10" x14ac:dyDescent="0.3">
      <c r="A7805" s="15">
        <v>46143</v>
      </c>
      <c r="B7805" t="s">
        <v>376</v>
      </c>
      <c r="C7805" t="s">
        <v>110</v>
      </c>
      <c r="D7805" t="s">
        <v>86</v>
      </c>
      <c r="E7805" t="s">
        <v>103</v>
      </c>
      <c r="F7805">
        <v>22900</v>
      </c>
      <c r="G7805" t="s">
        <v>331</v>
      </c>
      <c r="H7805" s="15">
        <v>45505</v>
      </c>
      <c r="I7805">
        <v>22900</v>
      </c>
      <c r="J7805">
        <v>0</v>
      </c>
    </row>
    <row r="7806" spans="1:10" x14ac:dyDescent="0.3">
      <c r="A7806" s="15">
        <v>46143</v>
      </c>
      <c r="B7806" t="s">
        <v>377</v>
      </c>
      <c r="C7806" t="s">
        <v>81</v>
      </c>
      <c r="D7806" t="s">
        <v>99</v>
      </c>
      <c r="E7806" t="s">
        <v>92</v>
      </c>
      <c r="F7806">
        <v>2300</v>
      </c>
      <c r="G7806" t="s">
        <v>331</v>
      </c>
      <c r="H7806" s="15">
        <v>45536</v>
      </c>
      <c r="I7806">
        <v>2300</v>
      </c>
      <c r="J7806">
        <v>0</v>
      </c>
    </row>
    <row r="7807" spans="1:10" x14ac:dyDescent="0.3">
      <c r="A7807" s="15">
        <v>46143</v>
      </c>
      <c r="B7807" t="s">
        <v>379</v>
      </c>
      <c r="C7807" t="s">
        <v>81</v>
      </c>
      <c r="D7807" t="s">
        <v>99</v>
      </c>
      <c r="E7807" t="s">
        <v>101</v>
      </c>
      <c r="F7807">
        <v>2200</v>
      </c>
      <c r="G7807" t="s">
        <v>331</v>
      </c>
      <c r="H7807" s="15">
        <v>45536</v>
      </c>
      <c r="I7807">
        <v>2200</v>
      </c>
      <c r="J7807">
        <v>0</v>
      </c>
    </row>
    <row r="7808" spans="1:10" x14ac:dyDescent="0.3">
      <c r="A7808" s="15">
        <v>46143</v>
      </c>
      <c r="B7808" t="s">
        <v>381</v>
      </c>
      <c r="C7808" t="s">
        <v>91</v>
      </c>
      <c r="D7808" t="s">
        <v>86</v>
      </c>
      <c r="E7808" t="s">
        <v>92</v>
      </c>
      <c r="F7808">
        <v>4600</v>
      </c>
      <c r="G7808" t="s">
        <v>331</v>
      </c>
      <c r="H7808" s="15">
        <v>45536</v>
      </c>
      <c r="I7808">
        <v>4600</v>
      </c>
      <c r="J7808">
        <v>0</v>
      </c>
    </row>
    <row r="7809" spans="1:10" x14ac:dyDescent="0.3">
      <c r="A7809" s="15">
        <v>46143</v>
      </c>
      <c r="B7809" t="s">
        <v>382</v>
      </c>
      <c r="C7809" t="s">
        <v>81</v>
      </c>
      <c r="D7809" t="s">
        <v>96</v>
      </c>
      <c r="E7809" t="s">
        <v>101</v>
      </c>
      <c r="F7809">
        <v>2100</v>
      </c>
      <c r="G7809" t="s">
        <v>331</v>
      </c>
      <c r="H7809" s="15">
        <v>45536</v>
      </c>
      <c r="I7809">
        <v>2100</v>
      </c>
      <c r="J7809">
        <v>0</v>
      </c>
    </row>
    <row r="7810" spans="1:10" x14ac:dyDescent="0.3">
      <c r="A7810" s="15">
        <v>46143</v>
      </c>
      <c r="B7810" t="s">
        <v>383</v>
      </c>
      <c r="C7810" t="s">
        <v>81</v>
      </c>
      <c r="D7810" t="s">
        <v>82</v>
      </c>
      <c r="E7810" t="s">
        <v>87</v>
      </c>
      <c r="F7810">
        <v>1600</v>
      </c>
      <c r="G7810" t="s">
        <v>331</v>
      </c>
      <c r="H7810" s="15">
        <v>45536</v>
      </c>
      <c r="I7810">
        <v>1600</v>
      </c>
      <c r="J7810">
        <v>0</v>
      </c>
    </row>
    <row r="7811" spans="1:10" x14ac:dyDescent="0.3">
      <c r="A7811" s="15">
        <v>46143</v>
      </c>
      <c r="B7811" t="s">
        <v>385</v>
      </c>
      <c r="C7811" t="s">
        <v>91</v>
      </c>
      <c r="D7811" t="s">
        <v>99</v>
      </c>
      <c r="E7811" t="s">
        <v>83</v>
      </c>
      <c r="F7811">
        <v>8300</v>
      </c>
      <c r="G7811" t="s">
        <v>331</v>
      </c>
      <c r="H7811" s="15">
        <v>45566</v>
      </c>
      <c r="I7811">
        <v>8300</v>
      </c>
      <c r="J7811">
        <v>0</v>
      </c>
    </row>
    <row r="7812" spans="1:10" x14ac:dyDescent="0.3">
      <c r="A7812" s="15">
        <v>46143</v>
      </c>
      <c r="B7812" t="s">
        <v>386</v>
      </c>
      <c r="C7812" t="s">
        <v>81</v>
      </c>
      <c r="D7812" t="s">
        <v>82</v>
      </c>
      <c r="E7812" t="s">
        <v>103</v>
      </c>
      <c r="F7812">
        <v>2200</v>
      </c>
      <c r="G7812" t="s">
        <v>331</v>
      </c>
      <c r="H7812" s="15">
        <v>45566</v>
      </c>
      <c r="I7812">
        <v>2200</v>
      </c>
      <c r="J7812">
        <v>0</v>
      </c>
    </row>
    <row r="7813" spans="1:10" x14ac:dyDescent="0.3">
      <c r="A7813" s="15">
        <v>46143</v>
      </c>
      <c r="B7813" t="s">
        <v>387</v>
      </c>
      <c r="C7813" t="s">
        <v>81</v>
      </c>
      <c r="D7813" t="s">
        <v>86</v>
      </c>
      <c r="E7813" t="s">
        <v>92</v>
      </c>
      <c r="F7813">
        <v>1500</v>
      </c>
      <c r="G7813" t="s">
        <v>331</v>
      </c>
      <c r="H7813" s="15">
        <v>45566</v>
      </c>
      <c r="I7813">
        <v>1500</v>
      </c>
      <c r="J7813">
        <v>0</v>
      </c>
    </row>
    <row r="7814" spans="1:10" x14ac:dyDescent="0.3">
      <c r="A7814" s="15">
        <v>46143</v>
      </c>
      <c r="B7814" t="s">
        <v>388</v>
      </c>
      <c r="C7814" t="s">
        <v>81</v>
      </c>
      <c r="D7814" t="s">
        <v>99</v>
      </c>
      <c r="E7814" t="s">
        <v>103</v>
      </c>
      <c r="F7814">
        <v>1800</v>
      </c>
      <c r="G7814" t="s">
        <v>331</v>
      </c>
      <c r="H7814" s="15">
        <v>45566</v>
      </c>
      <c r="I7814">
        <v>1800</v>
      </c>
      <c r="J7814">
        <v>0</v>
      </c>
    </row>
    <row r="7815" spans="1:10" x14ac:dyDescent="0.3">
      <c r="A7815" s="15">
        <v>46143</v>
      </c>
      <c r="B7815" t="s">
        <v>390</v>
      </c>
      <c r="C7815" t="s">
        <v>91</v>
      </c>
      <c r="D7815" t="s">
        <v>82</v>
      </c>
      <c r="E7815" t="s">
        <v>89</v>
      </c>
      <c r="F7815">
        <v>6200</v>
      </c>
      <c r="G7815" t="s">
        <v>331</v>
      </c>
      <c r="H7815" s="15">
        <v>45566</v>
      </c>
      <c r="I7815">
        <v>6200</v>
      </c>
      <c r="J7815">
        <v>0</v>
      </c>
    </row>
    <row r="7816" spans="1:10" x14ac:dyDescent="0.3">
      <c r="A7816" s="15">
        <v>46143</v>
      </c>
      <c r="B7816" t="s">
        <v>392</v>
      </c>
      <c r="C7816" t="s">
        <v>91</v>
      </c>
      <c r="D7816" t="s">
        <v>86</v>
      </c>
      <c r="E7816" t="s">
        <v>97</v>
      </c>
      <c r="F7816">
        <v>10000</v>
      </c>
      <c r="G7816" t="s">
        <v>331</v>
      </c>
      <c r="H7816" s="15">
        <v>45597</v>
      </c>
      <c r="I7816">
        <v>10000</v>
      </c>
      <c r="J7816">
        <v>0</v>
      </c>
    </row>
    <row r="7817" spans="1:10" x14ac:dyDescent="0.3">
      <c r="A7817" s="15">
        <v>46143</v>
      </c>
      <c r="B7817" t="s">
        <v>393</v>
      </c>
      <c r="C7817" t="s">
        <v>81</v>
      </c>
      <c r="D7817" t="s">
        <v>82</v>
      </c>
      <c r="E7817" t="s">
        <v>92</v>
      </c>
      <c r="F7817">
        <v>2100</v>
      </c>
      <c r="G7817" t="s">
        <v>331</v>
      </c>
      <c r="H7817" s="15">
        <v>45597</v>
      </c>
      <c r="I7817">
        <v>2100</v>
      </c>
      <c r="J7817">
        <v>0</v>
      </c>
    </row>
    <row r="7818" spans="1:10" x14ac:dyDescent="0.3">
      <c r="A7818" s="15">
        <v>46143</v>
      </c>
      <c r="B7818" t="s">
        <v>394</v>
      </c>
      <c r="C7818" t="s">
        <v>81</v>
      </c>
      <c r="D7818" t="s">
        <v>99</v>
      </c>
      <c r="E7818" t="s">
        <v>87</v>
      </c>
      <c r="F7818">
        <v>1500</v>
      </c>
      <c r="G7818" t="s">
        <v>331</v>
      </c>
      <c r="H7818" s="15">
        <v>45597</v>
      </c>
      <c r="I7818">
        <v>1500</v>
      </c>
      <c r="J7818">
        <v>0</v>
      </c>
    </row>
    <row r="7819" spans="1:10" x14ac:dyDescent="0.3">
      <c r="A7819" s="15">
        <v>46143</v>
      </c>
      <c r="B7819" t="s">
        <v>395</v>
      </c>
      <c r="C7819" t="s">
        <v>81</v>
      </c>
      <c r="D7819" t="s">
        <v>82</v>
      </c>
      <c r="E7819" t="s">
        <v>97</v>
      </c>
      <c r="F7819">
        <v>2200</v>
      </c>
      <c r="G7819" t="s">
        <v>331</v>
      </c>
      <c r="H7819" s="15">
        <v>45627</v>
      </c>
      <c r="I7819">
        <v>2200</v>
      </c>
      <c r="J7819">
        <v>0</v>
      </c>
    </row>
    <row r="7820" spans="1:10" x14ac:dyDescent="0.3">
      <c r="A7820" s="15">
        <v>46143</v>
      </c>
      <c r="B7820" t="s">
        <v>396</v>
      </c>
      <c r="C7820" t="s">
        <v>91</v>
      </c>
      <c r="D7820" t="s">
        <v>82</v>
      </c>
      <c r="E7820" t="s">
        <v>92</v>
      </c>
      <c r="F7820">
        <v>8800</v>
      </c>
      <c r="G7820" t="s">
        <v>331</v>
      </c>
      <c r="H7820" s="15">
        <v>45627</v>
      </c>
      <c r="I7820">
        <v>8800</v>
      </c>
      <c r="J7820">
        <v>0</v>
      </c>
    </row>
    <row r="7821" spans="1:10" x14ac:dyDescent="0.3">
      <c r="A7821" s="15">
        <v>46143</v>
      </c>
      <c r="B7821" t="s">
        <v>398</v>
      </c>
      <c r="C7821" t="s">
        <v>81</v>
      </c>
      <c r="D7821" t="s">
        <v>86</v>
      </c>
      <c r="E7821" t="s">
        <v>92</v>
      </c>
      <c r="F7821">
        <v>1400</v>
      </c>
      <c r="G7821" t="s">
        <v>331</v>
      </c>
      <c r="H7821" s="15">
        <v>45627</v>
      </c>
      <c r="I7821">
        <v>1400</v>
      </c>
      <c r="J7821">
        <v>0</v>
      </c>
    </row>
    <row r="7822" spans="1:10" x14ac:dyDescent="0.3">
      <c r="A7822" s="15">
        <v>46143</v>
      </c>
      <c r="B7822" t="s">
        <v>399</v>
      </c>
      <c r="C7822" t="s">
        <v>110</v>
      </c>
      <c r="D7822" t="s">
        <v>82</v>
      </c>
      <c r="E7822" t="s">
        <v>101</v>
      </c>
      <c r="F7822">
        <v>17400</v>
      </c>
      <c r="G7822" t="s">
        <v>331</v>
      </c>
      <c r="H7822" s="15">
        <v>45627</v>
      </c>
      <c r="I7822">
        <v>17400</v>
      </c>
      <c r="J7822">
        <v>0</v>
      </c>
    </row>
    <row r="7823" spans="1:10" x14ac:dyDescent="0.3">
      <c r="A7823" s="15">
        <v>46143</v>
      </c>
      <c r="B7823" t="s">
        <v>400</v>
      </c>
      <c r="C7823" t="s">
        <v>91</v>
      </c>
      <c r="D7823" t="s">
        <v>82</v>
      </c>
      <c r="E7823" t="s">
        <v>103</v>
      </c>
      <c r="F7823">
        <v>4600</v>
      </c>
      <c r="G7823" t="s">
        <v>331</v>
      </c>
      <c r="H7823" s="15">
        <v>45627</v>
      </c>
      <c r="I7823">
        <v>4600</v>
      </c>
      <c r="J7823">
        <v>0</v>
      </c>
    </row>
    <row r="7824" spans="1:10" x14ac:dyDescent="0.3">
      <c r="A7824" s="15">
        <v>46143</v>
      </c>
      <c r="B7824" t="s">
        <v>403</v>
      </c>
      <c r="C7824" t="s">
        <v>81</v>
      </c>
      <c r="D7824" t="s">
        <v>82</v>
      </c>
      <c r="E7824" t="s">
        <v>101</v>
      </c>
      <c r="F7824">
        <v>1900</v>
      </c>
      <c r="G7824" t="s">
        <v>331</v>
      </c>
      <c r="H7824" s="15">
        <v>45658</v>
      </c>
      <c r="I7824">
        <v>1900</v>
      </c>
      <c r="J7824">
        <v>0</v>
      </c>
    </row>
    <row r="7825" spans="1:10" x14ac:dyDescent="0.3">
      <c r="A7825" s="15">
        <v>46143</v>
      </c>
      <c r="B7825" t="s">
        <v>404</v>
      </c>
      <c r="C7825" t="s">
        <v>81</v>
      </c>
      <c r="D7825" t="s">
        <v>86</v>
      </c>
      <c r="E7825" t="s">
        <v>83</v>
      </c>
      <c r="F7825">
        <v>2100</v>
      </c>
      <c r="G7825" t="s">
        <v>331</v>
      </c>
      <c r="H7825" s="15">
        <v>45658</v>
      </c>
      <c r="I7825">
        <v>2100</v>
      </c>
      <c r="J7825">
        <v>0</v>
      </c>
    </row>
    <row r="7826" spans="1:10" x14ac:dyDescent="0.3">
      <c r="A7826" s="15">
        <v>46143</v>
      </c>
      <c r="B7826" t="s">
        <v>405</v>
      </c>
      <c r="C7826" t="s">
        <v>81</v>
      </c>
      <c r="D7826" t="s">
        <v>82</v>
      </c>
      <c r="E7826" t="s">
        <v>92</v>
      </c>
      <c r="F7826">
        <v>1600</v>
      </c>
      <c r="G7826" t="s">
        <v>331</v>
      </c>
      <c r="H7826" s="15">
        <v>45658</v>
      </c>
      <c r="I7826">
        <v>1600</v>
      </c>
      <c r="J7826">
        <v>0</v>
      </c>
    </row>
    <row r="7827" spans="1:10" x14ac:dyDescent="0.3">
      <c r="A7827" s="15">
        <v>46143</v>
      </c>
      <c r="B7827" t="s">
        <v>407</v>
      </c>
      <c r="C7827" t="s">
        <v>81</v>
      </c>
      <c r="D7827" t="s">
        <v>82</v>
      </c>
      <c r="E7827" t="s">
        <v>92</v>
      </c>
      <c r="F7827">
        <v>2400</v>
      </c>
      <c r="G7827" t="s">
        <v>331</v>
      </c>
      <c r="H7827" s="15">
        <v>45689</v>
      </c>
      <c r="I7827">
        <v>2400</v>
      </c>
      <c r="J7827">
        <v>0</v>
      </c>
    </row>
    <row r="7828" spans="1:10" x14ac:dyDescent="0.3">
      <c r="A7828" s="15">
        <v>46143</v>
      </c>
      <c r="B7828" t="s">
        <v>409</v>
      </c>
      <c r="C7828" t="s">
        <v>81</v>
      </c>
      <c r="D7828" t="s">
        <v>82</v>
      </c>
      <c r="E7828" t="s">
        <v>83</v>
      </c>
      <c r="F7828">
        <v>1700</v>
      </c>
      <c r="G7828" t="s">
        <v>331</v>
      </c>
      <c r="H7828" s="15">
        <v>45689</v>
      </c>
      <c r="I7828">
        <v>1700</v>
      </c>
      <c r="J7828">
        <v>0</v>
      </c>
    </row>
    <row r="7829" spans="1:10" x14ac:dyDescent="0.3">
      <c r="A7829" s="15">
        <v>46143</v>
      </c>
      <c r="B7829" t="s">
        <v>410</v>
      </c>
      <c r="C7829" t="s">
        <v>125</v>
      </c>
      <c r="D7829" t="s">
        <v>82</v>
      </c>
      <c r="E7829" t="s">
        <v>103</v>
      </c>
      <c r="F7829">
        <v>56400</v>
      </c>
      <c r="G7829" t="s">
        <v>331</v>
      </c>
      <c r="H7829" s="15">
        <v>45689</v>
      </c>
      <c r="I7829">
        <v>56400</v>
      </c>
      <c r="J7829">
        <v>0</v>
      </c>
    </row>
    <row r="7830" spans="1:10" x14ac:dyDescent="0.3">
      <c r="A7830" s="15">
        <v>46143</v>
      </c>
      <c r="B7830" t="s">
        <v>411</v>
      </c>
      <c r="C7830" t="s">
        <v>91</v>
      </c>
      <c r="D7830" t="s">
        <v>86</v>
      </c>
      <c r="E7830" t="s">
        <v>92</v>
      </c>
      <c r="F7830">
        <v>7700</v>
      </c>
      <c r="G7830" t="s">
        <v>331</v>
      </c>
      <c r="H7830" s="15">
        <v>45689</v>
      </c>
      <c r="I7830">
        <v>7700</v>
      </c>
      <c r="J7830">
        <v>0</v>
      </c>
    </row>
    <row r="7831" spans="1:10" x14ac:dyDescent="0.3">
      <c r="A7831" s="15">
        <v>46143</v>
      </c>
      <c r="B7831" t="s">
        <v>413</v>
      </c>
      <c r="C7831" t="s">
        <v>81</v>
      </c>
      <c r="D7831" t="s">
        <v>99</v>
      </c>
      <c r="E7831" t="s">
        <v>101</v>
      </c>
      <c r="F7831">
        <v>2000</v>
      </c>
      <c r="G7831" t="s">
        <v>331</v>
      </c>
      <c r="H7831" s="15">
        <v>45717</v>
      </c>
      <c r="I7831">
        <v>2000</v>
      </c>
      <c r="J7831">
        <v>0</v>
      </c>
    </row>
    <row r="7832" spans="1:10" x14ac:dyDescent="0.3">
      <c r="A7832" s="15">
        <v>46143</v>
      </c>
      <c r="B7832" t="s">
        <v>414</v>
      </c>
      <c r="C7832" t="s">
        <v>110</v>
      </c>
      <c r="D7832" t="s">
        <v>99</v>
      </c>
      <c r="E7832" t="s">
        <v>89</v>
      </c>
      <c r="F7832">
        <v>30900</v>
      </c>
      <c r="G7832" t="s">
        <v>331</v>
      </c>
      <c r="H7832" s="15">
        <v>45717</v>
      </c>
      <c r="I7832">
        <v>30900</v>
      </c>
      <c r="J7832">
        <v>0</v>
      </c>
    </row>
    <row r="7833" spans="1:10" x14ac:dyDescent="0.3">
      <c r="A7833" s="15">
        <v>46143</v>
      </c>
      <c r="B7833" t="s">
        <v>417</v>
      </c>
      <c r="C7833" t="s">
        <v>110</v>
      </c>
      <c r="D7833" t="s">
        <v>86</v>
      </c>
      <c r="E7833" t="s">
        <v>92</v>
      </c>
      <c r="F7833">
        <v>35600</v>
      </c>
      <c r="G7833" t="s">
        <v>331</v>
      </c>
      <c r="H7833" s="15">
        <v>45717</v>
      </c>
      <c r="I7833">
        <v>35600</v>
      </c>
      <c r="J7833">
        <v>0</v>
      </c>
    </row>
    <row r="7834" spans="1:10" x14ac:dyDescent="0.3">
      <c r="A7834" s="15">
        <v>46143</v>
      </c>
      <c r="B7834" t="s">
        <v>418</v>
      </c>
      <c r="C7834" t="s">
        <v>81</v>
      </c>
      <c r="D7834" t="s">
        <v>86</v>
      </c>
      <c r="E7834" t="s">
        <v>92</v>
      </c>
      <c r="F7834">
        <v>1800</v>
      </c>
      <c r="G7834" t="s">
        <v>331</v>
      </c>
      <c r="H7834" s="15">
        <v>45748</v>
      </c>
      <c r="I7834">
        <v>1800</v>
      </c>
      <c r="J7834">
        <v>0</v>
      </c>
    </row>
    <row r="7835" spans="1:10" x14ac:dyDescent="0.3">
      <c r="A7835" s="15">
        <v>46143</v>
      </c>
      <c r="B7835" t="s">
        <v>419</v>
      </c>
      <c r="C7835" t="s">
        <v>125</v>
      </c>
      <c r="D7835" t="s">
        <v>96</v>
      </c>
      <c r="E7835" t="s">
        <v>103</v>
      </c>
      <c r="F7835">
        <v>73300</v>
      </c>
      <c r="G7835" t="s">
        <v>331</v>
      </c>
      <c r="H7835" s="15">
        <v>45748</v>
      </c>
      <c r="I7835">
        <v>73300</v>
      </c>
      <c r="J7835">
        <v>0</v>
      </c>
    </row>
    <row r="7836" spans="1:10" x14ac:dyDescent="0.3">
      <c r="A7836" s="15">
        <v>46143</v>
      </c>
      <c r="B7836" t="s">
        <v>420</v>
      </c>
      <c r="C7836" t="s">
        <v>110</v>
      </c>
      <c r="D7836" t="s">
        <v>96</v>
      </c>
      <c r="E7836" t="s">
        <v>103</v>
      </c>
      <c r="F7836">
        <v>22900</v>
      </c>
      <c r="G7836" t="s">
        <v>331</v>
      </c>
      <c r="H7836" s="15">
        <v>45748</v>
      </c>
      <c r="I7836">
        <v>22900</v>
      </c>
      <c r="J7836">
        <v>0</v>
      </c>
    </row>
    <row r="7837" spans="1:10" x14ac:dyDescent="0.3">
      <c r="A7837" s="15">
        <v>46143</v>
      </c>
      <c r="B7837" t="s">
        <v>421</v>
      </c>
      <c r="C7837" t="s">
        <v>110</v>
      </c>
      <c r="D7837" t="s">
        <v>82</v>
      </c>
      <c r="E7837" t="s">
        <v>103</v>
      </c>
      <c r="F7837">
        <v>18800</v>
      </c>
      <c r="G7837" t="s">
        <v>331</v>
      </c>
      <c r="H7837" s="15">
        <v>45748</v>
      </c>
      <c r="I7837">
        <v>18800</v>
      </c>
      <c r="J7837">
        <v>0</v>
      </c>
    </row>
    <row r="7838" spans="1:10" x14ac:dyDescent="0.3">
      <c r="A7838" s="15">
        <v>46143</v>
      </c>
      <c r="B7838" t="s">
        <v>422</v>
      </c>
      <c r="C7838" t="s">
        <v>81</v>
      </c>
      <c r="D7838" t="s">
        <v>82</v>
      </c>
      <c r="E7838" t="s">
        <v>97</v>
      </c>
      <c r="F7838">
        <v>2300</v>
      </c>
      <c r="G7838" t="s">
        <v>331</v>
      </c>
      <c r="H7838" s="15">
        <v>45748</v>
      </c>
      <c r="I7838">
        <v>2300</v>
      </c>
      <c r="J7838">
        <v>0</v>
      </c>
    </row>
    <row r="7839" spans="1:10" x14ac:dyDescent="0.3">
      <c r="A7839" s="15">
        <v>46143</v>
      </c>
      <c r="B7839" t="s">
        <v>423</v>
      </c>
      <c r="C7839" t="s">
        <v>125</v>
      </c>
      <c r="D7839" t="s">
        <v>86</v>
      </c>
      <c r="E7839" t="s">
        <v>97</v>
      </c>
      <c r="F7839">
        <v>52800</v>
      </c>
      <c r="G7839" t="s">
        <v>331</v>
      </c>
      <c r="H7839" s="15">
        <v>45748</v>
      </c>
      <c r="I7839">
        <v>52800</v>
      </c>
      <c r="J7839">
        <v>0</v>
      </c>
    </row>
    <row r="7840" spans="1:10" x14ac:dyDescent="0.3">
      <c r="A7840" s="15">
        <v>46143</v>
      </c>
      <c r="B7840" t="s">
        <v>425</v>
      </c>
      <c r="C7840" t="s">
        <v>110</v>
      </c>
      <c r="D7840" t="s">
        <v>82</v>
      </c>
      <c r="E7840" t="s">
        <v>97</v>
      </c>
      <c r="F7840">
        <v>22700</v>
      </c>
      <c r="G7840" t="s">
        <v>331</v>
      </c>
      <c r="H7840" s="15">
        <v>45778</v>
      </c>
      <c r="I7840">
        <v>22700</v>
      </c>
      <c r="J7840">
        <v>0</v>
      </c>
    </row>
    <row r="7841" spans="1:10" x14ac:dyDescent="0.3">
      <c r="A7841" s="15">
        <v>46143</v>
      </c>
      <c r="B7841" t="s">
        <v>426</v>
      </c>
      <c r="C7841" t="s">
        <v>81</v>
      </c>
      <c r="D7841" t="s">
        <v>82</v>
      </c>
      <c r="E7841" t="s">
        <v>89</v>
      </c>
      <c r="F7841">
        <v>1900</v>
      </c>
      <c r="G7841" t="s">
        <v>331</v>
      </c>
      <c r="H7841" s="15">
        <v>45778</v>
      </c>
      <c r="I7841">
        <v>1900</v>
      </c>
      <c r="J7841">
        <v>0</v>
      </c>
    </row>
    <row r="7842" spans="1:10" x14ac:dyDescent="0.3">
      <c r="A7842" s="15">
        <v>46143</v>
      </c>
      <c r="B7842" t="s">
        <v>427</v>
      </c>
      <c r="C7842" t="s">
        <v>110</v>
      </c>
      <c r="D7842" t="s">
        <v>82</v>
      </c>
      <c r="E7842" t="s">
        <v>83</v>
      </c>
      <c r="F7842">
        <v>25300</v>
      </c>
      <c r="G7842" t="s">
        <v>331</v>
      </c>
      <c r="H7842" s="15">
        <v>45778</v>
      </c>
      <c r="I7842">
        <v>25300</v>
      </c>
      <c r="J7842">
        <v>0</v>
      </c>
    </row>
    <row r="7843" spans="1:10" x14ac:dyDescent="0.3">
      <c r="A7843" s="15">
        <v>46143</v>
      </c>
      <c r="B7843" t="s">
        <v>428</v>
      </c>
      <c r="C7843" t="s">
        <v>81</v>
      </c>
      <c r="D7843" t="s">
        <v>86</v>
      </c>
      <c r="E7843" t="s">
        <v>89</v>
      </c>
      <c r="F7843">
        <v>2300</v>
      </c>
      <c r="G7843" t="s">
        <v>331</v>
      </c>
      <c r="H7843" s="15">
        <v>45778</v>
      </c>
      <c r="I7843">
        <v>2300</v>
      </c>
      <c r="J7843">
        <v>0</v>
      </c>
    </row>
    <row r="7844" spans="1:10" x14ac:dyDescent="0.3">
      <c r="A7844" s="15">
        <v>46143</v>
      </c>
      <c r="B7844" t="s">
        <v>430</v>
      </c>
      <c r="C7844" t="s">
        <v>110</v>
      </c>
      <c r="D7844" t="s">
        <v>82</v>
      </c>
      <c r="E7844" t="s">
        <v>87</v>
      </c>
      <c r="F7844">
        <v>24300</v>
      </c>
      <c r="G7844" t="s">
        <v>331</v>
      </c>
      <c r="H7844" s="15">
        <v>45809</v>
      </c>
      <c r="I7844">
        <v>24300</v>
      </c>
      <c r="J7844">
        <v>0</v>
      </c>
    </row>
    <row r="7845" spans="1:10" x14ac:dyDescent="0.3">
      <c r="A7845" s="15">
        <v>46143</v>
      </c>
      <c r="B7845" t="s">
        <v>431</v>
      </c>
      <c r="C7845" t="s">
        <v>110</v>
      </c>
      <c r="D7845" t="s">
        <v>82</v>
      </c>
      <c r="E7845" t="s">
        <v>101</v>
      </c>
      <c r="F7845">
        <v>19800</v>
      </c>
      <c r="G7845" t="s">
        <v>331</v>
      </c>
      <c r="H7845" s="15">
        <v>45809</v>
      </c>
      <c r="I7845">
        <v>19800</v>
      </c>
      <c r="J7845">
        <v>0</v>
      </c>
    </row>
    <row r="7846" spans="1:10" x14ac:dyDescent="0.3">
      <c r="A7846" s="15">
        <v>46143</v>
      </c>
      <c r="B7846" t="s">
        <v>435</v>
      </c>
      <c r="C7846" t="s">
        <v>81</v>
      </c>
      <c r="D7846" t="s">
        <v>82</v>
      </c>
      <c r="E7846" t="s">
        <v>92</v>
      </c>
      <c r="F7846">
        <v>1400</v>
      </c>
      <c r="G7846" t="s">
        <v>331</v>
      </c>
      <c r="H7846" s="15">
        <v>45809</v>
      </c>
      <c r="I7846">
        <v>1400</v>
      </c>
      <c r="J7846">
        <v>0</v>
      </c>
    </row>
    <row r="7847" spans="1:10" x14ac:dyDescent="0.3">
      <c r="A7847" s="15">
        <v>46143</v>
      </c>
      <c r="B7847" t="s">
        <v>436</v>
      </c>
      <c r="C7847" t="s">
        <v>81</v>
      </c>
      <c r="D7847" t="s">
        <v>82</v>
      </c>
      <c r="E7847" t="s">
        <v>97</v>
      </c>
      <c r="F7847">
        <v>2100</v>
      </c>
      <c r="G7847" t="s">
        <v>331</v>
      </c>
      <c r="H7847" s="15">
        <v>45839</v>
      </c>
      <c r="I7847">
        <v>2100</v>
      </c>
      <c r="J7847">
        <v>0</v>
      </c>
    </row>
    <row r="7848" spans="1:10" x14ac:dyDescent="0.3">
      <c r="A7848" s="15">
        <v>46143</v>
      </c>
      <c r="B7848" t="s">
        <v>437</v>
      </c>
      <c r="C7848" t="s">
        <v>81</v>
      </c>
      <c r="D7848" t="s">
        <v>99</v>
      </c>
      <c r="E7848" t="s">
        <v>92</v>
      </c>
      <c r="F7848">
        <v>1600</v>
      </c>
      <c r="G7848" t="s">
        <v>331</v>
      </c>
      <c r="H7848" s="15">
        <v>45839</v>
      </c>
      <c r="I7848">
        <v>1600</v>
      </c>
      <c r="J7848">
        <v>0</v>
      </c>
    </row>
    <row r="7849" spans="1:10" x14ac:dyDescent="0.3">
      <c r="A7849" s="15">
        <v>46143</v>
      </c>
      <c r="B7849" t="s">
        <v>438</v>
      </c>
      <c r="C7849" t="s">
        <v>91</v>
      </c>
      <c r="D7849" t="s">
        <v>96</v>
      </c>
      <c r="E7849" t="s">
        <v>101</v>
      </c>
      <c r="F7849">
        <v>8600</v>
      </c>
      <c r="G7849" t="s">
        <v>331</v>
      </c>
      <c r="H7849" s="15">
        <v>45839</v>
      </c>
      <c r="I7849">
        <v>8600</v>
      </c>
      <c r="J7849">
        <v>0</v>
      </c>
    </row>
    <row r="7850" spans="1:10" x14ac:dyDescent="0.3">
      <c r="A7850" s="15">
        <v>46143</v>
      </c>
      <c r="B7850" t="s">
        <v>439</v>
      </c>
      <c r="C7850" t="s">
        <v>81</v>
      </c>
      <c r="D7850" t="s">
        <v>99</v>
      </c>
      <c r="E7850" t="s">
        <v>87</v>
      </c>
      <c r="F7850">
        <v>1700</v>
      </c>
      <c r="G7850" t="s">
        <v>331</v>
      </c>
      <c r="H7850" s="15">
        <v>45839</v>
      </c>
      <c r="I7850">
        <v>1700</v>
      </c>
      <c r="J7850">
        <v>0</v>
      </c>
    </row>
    <row r="7851" spans="1:10" x14ac:dyDescent="0.3">
      <c r="A7851" s="15">
        <v>46143</v>
      </c>
      <c r="B7851" t="s">
        <v>440</v>
      </c>
      <c r="C7851" t="s">
        <v>81</v>
      </c>
      <c r="D7851" t="s">
        <v>82</v>
      </c>
      <c r="E7851" t="s">
        <v>97</v>
      </c>
      <c r="F7851">
        <v>2200</v>
      </c>
      <c r="G7851" t="s">
        <v>331</v>
      </c>
      <c r="H7851" s="15">
        <v>45839</v>
      </c>
      <c r="I7851">
        <v>2200</v>
      </c>
      <c r="J7851">
        <v>0</v>
      </c>
    </row>
    <row r="7852" spans="1:10" x14ac:dyDescent="0.3">
      <c r="A7852" s="15">
        <v>46143</v>
      </c>
      <c r="B7852" t="s">
        <v>441</v>
      </c>
      <c r="C7852" t="s">
        <v>110</v>
      </c>
      <c r="D7852" t="s">
        <v>86</v>
      </c>
      <c r="E7852" t="s">
        <v>97</v>
      </c>
      <c r="F7852">
        <v>35800</v>
      </c>
      <c r="G7852" t="s">
        <v>331</v>
      </c>
      <c r="H7852" s="15">
        <v>45839</v>
      </c>
      <c r="I7852">
        <v>35800</v>
      </c>
      <c r="J7852">
        <v>0</v>
      </c>
    </row>
    <row r="7853" spans="1:10" x14ac:dyDescent="0.3">
      <c r="A7853" s="15">
        <v>46143</v>
      </c>
      <c r="B7853" t="s">
        <v>442</v>
      </c>
      <c r="C7853" t="s">
        <v>110</v>
      </c>
      <c r="D7853" t="s">
        <v>86</v>
      </c>
      <c r="E7853" t="s">
        <v>83</v>
      </c>
      <c r="F7853">
        <v>23900</v>
      </c>
      <c r="G7853" t="s">
        <v>331</v>
      </c>
      <c r="H7853" s="15">
        <v>45870</v>
      </c>
      <c r="I7853">
        <v>23900</v>
      </c>
      <c r="J7853">
        <v>0</v>
      </c>
    </row>
    <row r="7854" spans="1:10" x14ac:dyDescent="0.3">
      <c r="A7854" s="15">
        <v>46143</v>
      </c>
      <c r="B7854" t="s">
        <v>443</v>
      </c>
      <c r="C7854" t="s">
        <v>81</v>
      </c>
      <c r="D7854" t="s">
        <v>86</v>
      </c>
      <c r="E7854" t="s">
        <v>101</v>
      </c>
      <c r="F7854">
        <v>1800</v>
      </c>
      <c r="G7854" t="s">
        <v>331</v>
      </c>
      <c r="H7854" s="15">
        <v>45870</v>
      </c>
      <c r="I7854">
        <v>1800</v>
      </c>
      <c r="J7854">
        <v>0</v>
      </c>
    </row>
    <row r="7855" spans="1:10" x14ac:dyDescent="0.3">
      <c r="A7855" s="15">
        <v>46143</v>
      </c>
      <c r="B7855" t="s">
        <v>444</v>
      </c>
      <c r="C7855" t="s">
        <v>125</v>
      </c>
      <c r="D7855" t="s">
        <v>82</v>
      </c>
      <c r="E7855" t="s">
        <v>92</v>
      </c>
      <c r="F7855">
        <v>71600</v>
      </c>
      <c r="G7855" t="s">
        <v>331</v>
      </c>
      <c r="H7855" s="15">
        <v>45870</v>
      </c>
      <c r="I7855">
        <v>71600</v>
      </c>
      <c r="J7855">
        <v>0</v>
      </c>
    </row>
    <row r="7856" spans="1:10" x14ac:dyDescent="0.3">
      <c r="A7856" s="15">
        <v>46143</v>
      </c>
      <c r="B7856" t="s">
        <v>445</v>
      </c>
      <c r="C7856" t="s">
        <v>91</v>
      </c>
      <c r="D7856" t="s">
        <v>82</v>
      </c>
      <c r="E7856" t="s">
        <v>89</v>
      </c>
      <c r="F7856">
        <v>4700</v>
      </c>
      <c r="G7856" t="s">
        <v>331</v>
      </c>
      <c r="H7856" s="15">
        <v>45870</v>
      </c>
      <c r="I7856">
        <v>4700</v>
      </c>
      <c r="J7856">
        <v>0</v>
      </c>
    </row>
    <row r="7857" spans="1:10" x14ac:dyDescent="0.3">
      <c r="A7857" s="15">
        <v>46143</v>
      </c>
      <c r="B7857" t="s">
        <v>446</v>
      </c>
      <c r="C7857" t="s">
        <v>81</v>
      </c>
      <c r="D7857" t="s">
        <v>86</v>
      </c>
      <c r="E7857" t="s">
        <v>97</v>
      </c>
      <c r="F7857">
        <v>1600</v>
      </c>
      <c r="G7857" t="s">
        <v>331</v>
      </c>
      <c r="H7857" s="15">
        <v>45870</v>
      </c>
      <c r="I7857">
        <v>1600</v>
      </c>
      <c r="J7857">
        <v>0</v>
      </c>
    </row>
    <row r="7858" spans="1:10" x14ac:dyDescent="0.3">
      <c r="A7858" s="15">
        <v>46143</v>
      </c>
      <c r="B7858" t="s">
        <v>447</v>
      </c>
      <c r="C7858" t="s">
        <v>81</v>
      </c>
      <c r="D7858" t="s">
        <v>86</v>
      </c>
      <c r="E7858" t="s">
        <v>103</v>
      </c>
      <c r="F7858">
        <v>2300</v>
      </c>
      <c r="G7858" t="s">
        <v>331</v>
      </c>
      <c r="H7858" s="15">
        <v>45870</v>
      </c>
      <c r="I7858">
        <v>2300</v>
      </c>
      <c r="J7858">
        <v>0</v>
      </c>
    </row>
    <row r="7859" spans="1:10" x14ac:dyDescent="0.3">
      <c r="A7859" s="15">
        <v>46143</v>
      </c>
      <c r="B7859" t="s">
        <v>448</v>
      </c>
      <c r="C7859" t="s">
        <v>125</v>
      </c>
      <c r="D7859" t="s">
        <v>86</v>
      </c>
      <c r="E7859" t="s">
        <v>89</v>
      </c>
      <c r="F7859">
        <v>64000</v>
      </c>
      <c r="G7859" t="s">
        <v>331</v>
      </c>
      <c r="H7859" s="15">
        <v>45870</v>
      </c>
      <c r="I7859">
        <v>64000</v>
      </c>
      <c r="J7859">
        <v>0</v>
      </c>
    </row>
    <row r="7860" spans="1:10" x14ac:dyDescent="0.3">
      <c r="A7860" s="15">
        <v>46143</v>
      </c>
      <c r="B7860" t="s">
        <v>449</v>
      </c>
      <c r="C7860" t="s">
        <v>81</v>
      </c>
      <c r="D7860" t="s">
        <v>82</v>
      </c>
      <c r="E7860" t="s">
        <v>92</v>
      </c>
      <c r="F7860">
        <v>1600</v>
      </c>
      <c r="G7860" t="s">
        <v>331</v>
      </c>
      <c r="H7860" s="15">
        <v>45870</v>
      </c>
      <c r="I7860">
        <v>1600</v>
      </c>
      <c r="J7860">
        <v>0</v>
      </c>
    </row>
    <row r="7861" spans="1:10" x14ac:dyDescent="0.3">
      <c r="A7861" s="15">
        <v>46143</v>
      </c>
      <c r="B7861" t="s">
        <v>450</v>
      </c>
      <c r="C7861" t="s">
        <v>81</v>
      </c>
      <c r="D7861" t="s">
        <v>86</v>
      </c>
      <c r="E7861" t="s">
        <v>89</v>
      </c>
      <c r="F7861">
        <v>1900</v>
      </c>
      <c r="G7861" t="s">
        <v>331</v>
      </c>
      <c r="H7861" s="15">
        <v>45901</v>
      </c>
      <c r="I7861">
        <v>1900</v>
      </c>
      <c r="J7861">
        <v>0</v>
      </c>
    </row>
    <row r="7862" spans="1:10" x14ac:dyDescent="0.3">
      <c r="A7862" s="15">
        <v>46143</v>
      </c>
      <c r="B7862" t="s">
        <v>452</v>
      </c>
      <c r="C7862" t="s">
        <v>91</v>
      </c>
      <c r="D7862" t="s">
        <v>86</v>
      </c>
      <c r="E7862" t="s">
        <v>92</v>
      </c>
      <c r="F7862">
        <v>8600</v>
      </c>
      <c r="G7862" t="s">
        <v>331</v>
      </c>
      <c r="H7862" s="15">
        <v>45901</v>
      </c>
      <c r="I7862">
        <v>8600</v>
      </c>
      <c r="J7862">
        <v>0</v>
      </c>
    </row>
    <row r="7863" spans="1:10" x14ac:dyDescent="0.3">
      <c r="A7863" s="15">
        <v>46143</v>
      </c>
      <c r="B7863" t="s">
        <v>454</v>
      </c>
      <c r="C7863" t="s">
        <v>91</v>
      </c>
      <c r="D7863" t="s">
        <v>82</v>
      </c>
      <c r="E7863" t="s">
        <v>89</v>
      </c>
      <c r="F7863">
        <v>5400</v>
      </c>
      <c r="G7863" t="s">
        <v>331</v>
      </c>
      <c r="H7863" s="15">
        <v>45901</v>
      </c>
      <c r="I7863">
        <v>5400</v>
      </c>
      <c r="J7863">
        <v>0</v>
      </c>
    </row>
    <row r="7864" spans="1:10" x14ac:dyDescent="0.3">
      <c r="A7864" s="15">
        <v>46143</v>
      </c>
      <c r="B7864" t="s">
        <v>455</v>
      </c>
      <c r="C7864" t="s">
        <v>125</v>
      </c>
      <c r="D7864" t="s">
        <v>99</v>
      </c>
      <c r="E7864" t="s">
        <v>103</v>
      </c>
      <c r="F7864">
        <v>75900</v>
      </c>
      <c r="G7864" t="s">
        <v>331</v>
      </c>
      <c r="H7864" s="15">
        <v>45901</v>
      </c>
      <c r="I7864">
        <v>75900</v>
      </c>
      <c r="J7864">
        <v>0</v>
      </c>
    </row>
    <row r="7865" spans="1:10" x14ac:dyDescent="0.3">
      <c r="A7865" s="15">
        <v>46143</v>
      </c>
      <c r="B7865" t="s">
        <v>457</v>
      </c>
      <c r="C7865" t="s">
        <v>81</v>
      </c>
      <c r="D7865" t="s">
        <v>86</v>
      </c>
      <c r="E7865" t="s">
        <v>89</v>
      </c>
      <c r="F7865">
        <v>2200</v>
      </c>
      <c r="G7865" t="s">
        <v>331</v>
      </c>
      <c r="H7865" s="15">
        <v>45931</v>
      </c>
      <c r="I7865">
        <v>2200</v>
      </c>
      <c r="J7865">
        <v>0</v>
      </c>
    </row>
    <row r="7866" spans="1:10" x14ac:dyDescent="0.3">
      <c r="A7866" s="15">
        <v>46143</v>
      </c>
      <c r="B7866" t="s">
        <v>458</v>
      </c>
      <c r="C7866" t="s">
        <v>91</v>
      </c>
      <c r="D7866" t="s">
        <v>86</v>
      </c>
      <c r="E7866" t="s">
        <v>83</v>
      </c>
      <c r="F7866">
        <v>8900</v>
      </c>
      <c r="G7866" t="s">
        <v>332</v>
      </c>
      <c r="H7866" s="15">
        <v>45931</v>
      </c>
      <c r="I7866">
        <v>8300</v>
      </c>
      <c r="J7866">
        <v>600</v>
      </c>
    </row>
    <row r="7867" spans="1:10" x14ac:dyDescent="0.3">
      <c r="A7867" s="15">
        <v>46143</v>
      </c>
      <c r="B7867" t="s">
        <v>460</v>
      </c>
      <c r="C7867" t="s">
        <v>91</v>
      </c>
      <c r="D7867" t="s">
        <v>86</v>
      </c>
      <c r="E7867" t="s">
        <v>101</v>
      </c>
      <c r="F7867">
        <v>5300</v>
      </c>
      <c r="G7867" t="s">
        <v>331</v>
      </c>
      <c r="H7867" s="15">
        <v>45931</v>
      </c>
      <c r="I7867">
        <v>5300</v>
      </c>
      <c r="J7867">
        <v>0</v>
      </c>
    </row>
    <row r="7868" spans="1:10" x14ac:dyDescent="0.3">
      <c r="A7868" s="15">
        <v>46143</v>
      </c>
      <c r="B7868" t="s">
        <v>461</v>
      </c>
      <c r="C7868" t="s">
        <v>81</v>
      </c>
      <c r="D7868" t="s">
        <v>86</v>
      </c>
      <c r="E7868" t="s">
        <v>92</v>
      </c>
      <c r="F7868">
        <v>1700</v>
      </c>
      <c r="G7868" t="s">
        <v>331</v>
      </c>
      <c r="H7868" s="15">
        <v>45931</v>
      </c>
      <c r="I7868">
        <v>1700</v>
      </c>
      <c r="J7868">
        <v>0</v>
      </c>
    </row>
    <row r="7869" spans="1:10" x14ac:dyDescent="0.3">
      <c r="A7869" s="15">
        <v>46143</v>
      </c>
      <c r="B7869" t="s">
        <v>462</v>
      </c>
      <c r="C7869" t="s">
        <v>81</v>
      </c>
      <c r="D7869" t="s">
        <v>86</v>
      </c>
      <c r="E7869" t="s">
        <v>92</v>
      </c>
      <c r="F7869">
        <v>2200</v>
      </c>
      <c r="G7869" t="s">
        <v>331</v>
      </c>
      <c r="H7869" s="15">
        <v>45931</v>
      </c>
      <c r="I7869">
        <v>2200</v>
      </c>
      <c r="J7869">
        <v>0</v>
      </c>
    </row>
    <row r="7870" spans="1:10" x14ac:dyDescent="0.3">
      <c r="A7870" s="15">
        <v>46143</v>
      </c>
      <c r="B7870" t="s">
        <v>464</v>
      </c>
      <c r="C7870" t="s">
        <v>91</v>
      </c>
      <c r="D7870" t="s">
        <v>99</v>
      </c>
      <c r="E7870" t="s">
        <v>87</v>
      </c>
      <c r="F7870">
        <v>6000</v>
      </c>
      <c r="G7870" t="s">
        <v>331</v>
      </c>
      <c r="H7870" s="15">
        <v>45962</v>
      </c>
      <c r="I7870">
        <v>6000</v>
      </c>
      <c r="J7870">
        <v>0</v>
      </c>
    </row>
    <row r="7871" spans="1:10" x14ac:dyDescent="0.3">
      <c r="A7871" s="15">
        <v>46143</v>
      </c>
      <c r="B7871" t="s">
        <v>465</v>
      </c>
      <c r="C7871" t="s">
        <v>81</v>
      </c>
      <c r="D7871" t="s">
        <v>86</v>
      </c>
      <c r="E7871" t="s">
        <v>87</v>
      </c>
      <c r="F7871">
        <v>0</v>
      </c>
      <c r="G7871" t="s">
        <v>333</v>
      </c>
      <c r="H7871" s="15">
        <v>45962</v>
      </c>
      <c r="I7871">
        <v>2000</v>
      </c>
      <c r="J7871">
        <v>-2000</v>
      </c>
    </row>
    <row r="7872" spans="1:10" x14ac:dyDescent="0.3">
      <c r="A7872" s="15">
        <v>46143</v>
      </c>
      <c r="B7872" t="s">
        <v>466</v>
      </c>
      <c r="C7872" t="s">
        <v>81</v>
      </c>
      <c r="D7872" t="s">
        <v>99</v>
      </c>
      <c r="E7872" t="s">
        <v>92</v>
      </c>
      <c r="F7872">
        <v>1400</v>
      </c>
      <c r="G7872" t="s">
        <v>331</v>
      </c>
      <c r="H7872" s="15">
        <v>45962</v>
      </c>
      <c r="I7872">
        <v>1400</v>
      </c>
      <c r="J7872">
        <v>0</v>
      </c>
    </row>
    <row r="7873" spans="1:10" x14ac:dyDescent="0.3">
      <c r="A7873" s="15">
        <v>46143</v>
      </c>
      <c r="B7873" t="s">
        <v>467</v>
      </c>
      <c r="C7873" t="s">
        <v>91</v>
      </c>
      <c r="D7873" t="s">
        <v>86</v>
      </c>
      <c r="E7873" t="s">
        <v>89</v>
      </c>
      <c r="F7873">
        <v>8200</v>
      </c>
      <c r="G7873" t="s">
        <v>331</v>
      </c>
      <c r="H7873" s="15">
        <v>45962</v>
      </c>
      <c r="I7873">
        <v>8200</v>
      </c>
      <c r="J7873">
        <v>0</v>
      </c>
    </row>
    <row r="7874" spans="1:10" x14ac:dyDescent="0.3">
      <c r="A7874" s="15">
        <v>46143</v>
      </c>
      <c r="B7874" t="s">
        <v>469</v>
      </c>
      <c r="C7874" t="s">
        <v>81</v>
      </c>
      <c r="D7874" t="s">
        <v>86</v>
      </c>
      <c r="E7874" t="s">
        <v>87</v>
      </c>
      <c r="F7874">
        <v>2200</v>
      </c>
      <c r="G7874" t="s">
        <v>334</v>
      </c>
      <c r="H7874" s="15">
        <v>45992</v>
      </c>
      <c r="I7874">
        <v>2500</v>
      </c>
      <c r="J7874">
        <v>-300</v>
      </c>
    </row>
    <row r="7875" spans="1:10" x14ac:dyDescent="0.3">
      <c r="A7875" s="15">
        <v>46143</v>
      </c>
      <c r="B7875" t="s">
        <v>470</v>
      </c>
      <c r="C7875" t="s">
        <v>81</v>
      </c>
      <c r="D7875" t="s">
        <v>86</v>
      </c>
      <c r="E7875" t="s">
        <v>103</v>
      </c>
      <c r="F7875">
        <v>1600</v>
      </c>
      <c r="G7875" t="s">
        <v>331</v>
      </c>
      <c r="H7875" s="15">
        <v>45992</v>
      </c>
      <c r="I7875">
        <v>1600</v>
      </c>
      <c r="J7875">
        <v>0</v>
      </c>
    </row>
    <row r="7876" spans="1:10" x14ac:dyDescent="0.3">
      <c r="A7876" s="15">
        <v>46143</v>
      </c>
      <c r="B7876" t="s">
        <v>471</v>
      </c>
      <c r="C7876" t="s">
        <v>110</v>
      </c>
      <c r="D7876" t="s">
        <v>86</v>
      </c>
      <c r="E7876" t="s">
        <v>103</v>
      </c>
      <c r="F7876">
        <v>31000</v>
      </c>
      <c r="G7876" t="s">
        <v>331</v>
      </c>
      <c r="H7876" s="15">
        <v>45992</v>
      </c>
      <c r="I7876">
        <v>31000</v>
      </c>
      <c r="J7876">
        <v>0</v>
      </c>
    </row>
    <row r="7877" spans="1:10" x14ac:dyDescent="0.3">
      <c r="A7877" s="15">
        <v>46143</v>
      </c>
      <c r="B7877" t="s">
        <v>472</v>
      </c>
      <c r="C7877" t="s">
        <v>91</v>
      </c>
      <c r="D7877" t="s">
        <v>86</v>
      </c>
      <c r="E7877" t="s">
        <v>97</v>
      </c>
      <c r="F7877">
        <v>5100</v>
      </c>
      <c r="G7877" t="s">
        <v>331</v>
      </c>
      <c r="H7877" s="15">
        <v>45992</v>
      </c>
      <c r="I7877">
        <v>5100</v>
      </c>
      <c r="J7877">
        <v>0</v>
      </c>
    </row>
    <row r="7878" spans="1:10" x14ac:dyDescent="0.3">
      <c r="A7878" s="15">
        <v>46143</v>
      </c>
      <c r="B7878" t="s">
        <v>474</v>
      </c>
      <c r="C7878" t="s">
        <v>81</v>
      </c>
      <c r="D7878" t="s">
        <v>99</v>
      </c>
      <c r="E7878" t="s">
        <v>92</v>
      </c>
      <c r="F7878">
        <v>0</v>
      </c>
      <c r="G7878" t="s">
        <v>333</v>
      </c>
      <c r="H7878" s="15">
        <v>45992</v>
      </c>
      <c r="I7878">
        <v>1600</v>
      </c>
      <c r="J7878">
        <v>-1600</v>
      </c>
    </row>
    <row r="7879" spans="1:10" x14ac:dyDescent="0.3">
      <c r="A7879" s="15">
        <v>46143</v>
      </c>
      <c r="B7879" t="s">
        <v>475</v>
      </c>
      <c r="C7879" t="s">
        <v>110</v>
      </c>
      <c r="D7879" t="s">
        <v>82</v>
      </c>
      <c r="E7879" t="s">
        <v>101</v>
      </c>
      <c r="F7879">
        <v>35000</v>
      </c>
      <c r="G7879" t="s">
        <v>331</v>
      </c>
      <c r="H7879" s="15">
        <v>45992</v>
      </c>
      <c r="I7879">
        <v>35000</v>
      </c>
      <c r="J7879">
        <v>0</v>
      </c>
    </row>
    <row r="7880" spans="1:10" x14ac:dyDescent="0.3">
      <c r="A7880" s="15">
        <v>46143</v>
      </c>
      <c r="B7880" t="s">
        <v>476</v>
      </c>
      <c r="C7880" t="s">
        <v>81</v>
      </c>
      <c r="D7880" t="s">
        <v>82</v>
      </c>
      <c r="E7880" t="s">
        <v>89</v>
      </c>
      <c r="F7880">
        <v>2600</v>
      </c>
      <c r="G7880" t="s">
        <v>331</v>
      </c>
      <c r="H7880" s="15">
        <v>45992</v>
      </c>
      <c r="I7880">
        <v>2600</v>
      </c>
      <c r="J7880">
        <v>0</v>
      </c>
    </row>
    <row r="7881" spans="1:10" x14ac:dyDescent="0.3">
      <c r="A7881" s="15">
        <v>46143</v>
      </c>
      <c r="B7881" t="s">
        <v>477</v>
      </c>
      <c r="C7881" t="s">
        <v>81</v>
      </c>
      <c r="D7881" t="s">
        <v>82</v>
      </c>
      <c r="E7881" t="s">
        <v>92</v>
      </c>
      <c r="F7881">
        <v>2100</v>
      </c>
      <c r="G7881" t="s">
        <v>331</v>
      </c>
      <c r="H7881" s="15">
        <v>46023</v>
      </c>
      <c r="I7881">
        <v>2100</v>
      </c>
      <c r="J7881">
        <v>0</v>
      </c>
    </row>
    <row r="7882" spans="1:10" x14ac:dyDescent="0.3">
      <c r="A7882" s="15">
        <v>46143</v>
      </c>
      <c r="B7882" t="s">
        <v>478</v>
      </c>
      <c r="C7882" t="s">
        <v>91</v>
      </c>
      <c r="D7882" t="s">
        <v>82</v>
      </c>
      <c r="E7882" t="s">
        <v>97</v>
      </c>
      <c r="F7882">
        <v>6500</v>
      </c>
      <c r="G7882" t="s">
        <v>331</v>
      </c>
      <c r="H7882" s="15">
        <v>46023</v>
      </c>
      <c r="I7882">
        <v>6500</v>
      </c>
      <c r="J7882">
        <v>0</v>
      </c>
    </row>
    <row r="7883" spans="1:10" x14ac:dyDescent="0.3">
      <c r="A7883" s="15">
        <v>46143</v>
      </c>
      <c r="B7883" t="s">
        <v>479</v>
      </c>
      <c r="C7883" t="s">
        <v>81</v>
      </c>
      <c r="D7883" t="s">
        <v>82</v>
      </c>
      <c r="E7883" t="s">
        <v>87</v>
      </c>
      <c r="F7883">
        <v>1800</v>
      </c>
      <c r="G7883" t="s">
        <v>331</v>
      </c>
      <c r="H7883" s="15">
        <v>46023</v>
      </c>
      <c r="I7883">
        <v>1800</v>
      </c>
      <c r="J7883">
        <v>0</v>
      </c>
    </row>
    <row r="7884" spans="1:10" x14ac:dyDescent="0.3">
      <c r="A7884" s="15">
        <v>46143</v>
      </c>
      <c r="B7884" t="s">
        <v>480</v>
      </c>
      <c r="C7884" t="s">
        <v>81</v>
      </c>
      <c r="D7884" t="s">
        <v>86</v>
      </c>
      <c r="E7884" t="s">
        <v>103</v>
      </c>
      <c r="F7884">
        <v>1600</v>
      </c>
      <c r="G7884" t="s">
        <v>331</v>
      </c>
      <c r="H7884" s="15">
        <v>46023</v>
      </c>
      <c r="I7884">
        <v>1600</v>
      </c>
      <c r="J7884">
        <v>0</v>
      </c>
    </row>
    <row r="7885" spans="1:10" x14ac:dyDescent="0.3">
      <c r="A7885" s="15">
        <v>46143</v>
      </c>
      <c r="B7885" t="s">
        <v>481</v>
      </c>
      <c r="C7885" t="s">
        <v>81</v>
      </c>
      <c r="D7885" t="s">
        <v>82</v>
      </c>
      <c r="E7885" t="s">
        <v>103</v>
      </c>
      <c r="F7885">
        <v>1800</v>
      </c>
      <c r="G7885" t="s">
        <v>331</v>
      </c>
      <c r="H7885" s="15">
        <v>46023</v>
      </c>
      <c r="I7885">
        <v>1800</v>
      </c>
      <c r="J7885">
        <v>0</v>
      </c>
    </row>
    <row r="7886" spans="1:10" x14ac:dyDescent="0.3">
      <c r="A7886" s="15">
        <v>46143</v>
      </c>
      <c r="B7886" t="s">
        <v>482</v>
      </c>
      <c r="C7886" t="s">
        <v>110</v>
      </c>
      <c r="D7886" t="s">
        <v>82</v>
      </c>
      <c r="E7886" t="s">
        <v>83</v>
      </c>
      <c r="F7886">
        <v>18100</v>
      </c>
      <c r="G7886" t="s">
        <v>331</v>
      </c>
      <c r="H7886" s="15">
        <v>46023</v>
      </c>
      <c r="I7886">
        <v>18100</v>
      </c>
      <c r="J7886">
        <v>0</v>
      </c>
    </row>
    <row r="7887" spans="1:10" x14ac:dyDescent="0.3">
      <c r="A7887" s="15">
        <v>46143</v>
      </c>
      <c r="B7887" t="s">
        <v>483</v>
      </c>
      <c r="C7887" t="s">
        <v>81</v>
      </c>
      <c r="D7887" t="s">
        <v>82</v>
      </c>
      <c r="E7887" t="s">
        <v>89</v>
      </c>
      <c r="F7887">
        <v>2000</v>
      </c>
      <c r="G7887" t="s">
        <v>331</v>
      </c>
      <c r="H7887" s="15">
        <v>46023</v>
      </c>
      <c r="I7887">
        <v>2000</v>
      </c>
      <c r="J7887">
        <v>0</v>
      </c>
    </row>
    <row r="7888" spans="1:10" x14ac:dyDescent="0.3">
      <c r="A7888" s="15">
        <v>46143</v>
      </c>
      <c r="B7888" t="s">
        <v>484</v>
      </c>
      <c r="C7888" t="s">
        <v>110</v>
      </c>
      <c r="D7888" t="s">
        <v>99</v>
      </c>
      <c r="E7888" t="s">
        <v>101</v>
      </c>
      <c r="F7888">
        <v>21400</v>
      </c>
      <c r="G7888" t="s">
        <v>331</v>
      </c>
      <c r="H7888" s="15">
        <v>46054</v>
      </c>
      <c r="I7888">
        <v>21400</v>
      </c>
      <c r="J7888">
        <v>0</v>
      </c>
    </row>
    <row r="7889" spans="1:10" x14ac:dyDescent="0.3">
      <c r="A7889" s="15">
        <v>46143</v>
      </c>
      <c r="B7889" t="s">
        <v>485</v>
      </c>
      <c r="C7889" t="s">
        <v>125</v>
      </c>
      <c r="D7889" t="s">
        <v>82</v>
      </c>
      <c r="E7889" t="s">
        <v>89</v>
      </c>
      <c r="F7889">
        <v>65800</v>
      </c>
      <c r="G7889" t="s">
        <v>331</v>
      </c>
      <c r="H7889" s="15">
        <v>46054</v>
      </c>
      <c r="I7889">
        <v>65800</v>
      </c>
      <c r="J7889">
        <v>0</v>
      </c>
    </row>
    <row r="7890" spans="1:10" x14ac:dyDescent="0.3">
      <c r="A7890" s="15">
        <v>46143</v>
      </c>
      <c r="B7890" t="s">
        <v>486</v>
      </c>
      <c r="C7890" t="s">
        <v>81</v>
      </c>
      <c r="D7890" t="s">
        <v>82</v>
      </c>
      <c r="E7890" t="s">
        <v>87</v>
      </c>
      <c r="F7890">
        <v>1500</v>
      </c>
      <c r="G7890" t="s">
        <v>331</v>
      </c>
      <c r="H7890" s="15">
        <v>46054</v>
      </c>
      <c r="I7890">
        <v>1500</v>
      </c>
      <c r="J7890">
        <v>0</v>
      </c>
    </row>
    <row r="7891" spans="1:10" x14ac:dyDescent="0.3">
      <c r="A7891" s="15">
        <v>46143</v>
      </c>
      <c r="B7891" t="s">
        <v>487</v>
      </c>
      <c r="C7891" t="s">
        <v>81</v>
      </c>
      <c r="D7891" t="s">
        <v>86</v>
      </c>
      <c r="E7891" t="s">
        <v>83</v>
      </c>
      <c r="F7891">
        <v>1800</v>
      </c>
      <c r="G7891" t="s">
        <v>331</v>
      </c>
      <c r="H7891" s="15">
        <v>46054</v>
      </c>
      <c r="I7891">
        <v>1800</v>
      </c>
      <c r="J7891">
        <v>0</v>
      </c>
    </row>
    <row r="7892" spans="1:10" x14ac:dyDescent="0.3">
      <c r="A7892" s="15">
        <v>46143</v>
      </c>
      <c r="B7892" t="s">
        <v>488</v>
      </c>
      <c r="C7892" t="s">
        <v>91</v>
      </c>
      <c r="D7892" t="s">
        <v>86</v>
      </c>
      <c r="E7892" t="s">
        <v>89</v>
      </c>
      <c r="F7892">
        <v>6800</v>
      </c>
      <c r="G7892" t="s">
        <v>331</v>
      </c>
      <c r="H7892" s="15">
        <v>46054</v>
      </c>
      <c r="I7892">
        <v>6800</v>
      </c>
      <c r="J7892">
        <v>0</v>
      </c>
    </row>
    <row r="7893" spans="1:10" x14ac:dyDescent="0.3">
      <c r="A7893" s="15">
        <v>46143</v>
      </c>
      <c r="B7893" t="s">
        <v>489</v>
      </c>
      <c r="C7893" t="s">
        <v>81</v>
      </c>
      <c r="D7893" t="s">
        <v>96</v>
      </c>
      <c r="E7893" t="s">
        <v>97</v>
      </c>
      <c r="F7893">
        <v>1400</v>
      </c>
      <c r="G7893" t="s">
        <v>331</v>
      </c>
      <c r="H7893" s="15">
        <v>46054</v>
      </c>
      <c r="I7893">
        <v>1400</v>
      </c>
      <c r="J7893">
        <v>0</v>
      </c>
    </row>
    <row r="7894" spans="1:10" x14ac:dyDescent="0.3">
      <c r="A7894" s="15">
        <v>46143</v>
      </c>
      <c r="B7894" t="s">
        <v>490</v>
      </c>
      <c r="C7894" t="s">
        <v>81</v>
      </c>
      <c r="D7894" t="s">
        <v>86</v>
      </c>
      <c r="E7894" t="s">
        <v>103</v>
      </c>
      <c r="F7894">
        <v>1800</v>
      </c>
      <c r="G7894" t="s">
        <v>331</v>
      </c>
      <c r="H7894" s="15">
        <v>46054</v>
      </c>
      <c r="I7894">
        <v>1800</v>
      </c>
      <c r="J7894">
        <v>0</v>
      </c>
    </row>
    <row r="7895" spans="1:10" x14ac:dyDescent="0.3">
      <c r="A7895" s="15">
        <v>46143</v>
      </c>
      <c r="B7895" t="s">
        <v>491</v>
      </c>
      <c r="C7895" t="s">
        <v>81</v>
      </c>
      <c r="D7895" t="s">
        <v>96</v>
      </c>
      <c r="E7895" t="s">
        <v>92</v>
      </c>
      <c r="F7895">
        <v>1600</v>
      </c>
      <c r="G7895" t="s">
        <v>331</v>
      </c>
      <c r="H7895" s="15">
        <v>46054</v>
      </c>
      <c r="I7895">
        <v>1600</v>
      </c>
      <c r="J7895">
        <v>0</v>
      </c>
    </row>
    <row r="7896" spans="1:10" x14ac:dyDescent="0.3">
      <c r="A7896" s="15">
        <v>46143</v>
      </c>
      <c r="B7896" t="s">
        <v>492</v>
      </c>
      <c r="C7896" t="s">
        <v>81</v>
      </c>
      <c r="D7896" t="s">
        <v>99</v>
      </c>
      <c r="E7896" t="s">
        <v>92</v>
      </c>
      <c r="F7896">
        <v>1700</v>
      </c>
      <c r="G7896" t="s">
        <v>331</v>
      </c>
      <c r="H7896" s="15">
        <v>46082</v>
      </c>
      <c r="I7896">
        <v>1700</v>
      </c>
      <c r="J7896">
        <v>0</v>
      </c>
    </row>
    <row r="7897" spans="1:10" x14ac:dyDescent="0.3">
      <c r="A7897" s="15">
        <v>46143</v>
      </c>
      <c r="B7897" t="s">
        <v>493</v>
      </c>
      <c r="C7897" t="s">
        <v>81</v>
      </c>
      <c r="D7897" t="s">
        <v>96</v>
      </c>
      <c r="E7897" t="s">
        <v>101</v>
      </c>
      <c r="F7897">
        <v>1600</v>
      </c>
      <c r="G7897" t="s">
        <v>331</v>
      </c>
      <c r="H7897" s="15">
        <v>46082</v>
      </c>
      <c r="I7897">
        <v>1600</v>
      </c>
      <c r="J7897">
        <v>0</v>
      </c>
    </row>
    <row r="7898" spans="1:10" x14ac:dyDescent="0.3">
      <c r="A7898" s="15">
        <v>46143</v>
      </c>
      <c r="B7898" t="s">
        <v>494</v>
      </c>
      <c r="C7898" t="s">
        <v>110</v>
      </c>
      <c r="D7898" t="s">
        <v>82</v>
      </c>
      <c r="E7898" t="s">
        <v>103</v>
      </c>
      <c r="F7898">
        <v>21000</v>
      </c>
      <c r="G7898" t="s">
        <v>331</v>
      </c>
      <c r="H7898" s="15">
        <v>46082</v>
      </c>
      <c r="I7898">
        <v>21000</v>
      </c>
      <c r="J7898">
        <v>0</v>
      </c>
    </row>
    <row r="7899" spans="1:10" x14ac:dyDescent="0.3">
      <c r="A7899" s="15">
        <v>46143</v>
      </c>
      <c r="B7899" t="s">
        <v>495</v>
      </c>
      <c r="C7899" t="s">
        <v>81</v>
      </c>
      <c r="D7899" t="s">
        <v>86</v>
      </c>
      <c r="E7899" t="s">
        <v>87</v>
      </c>
      <c r="F7899">
        <v>1300</v>
      </c>
      <c r="G7899" t="s">
        <v>331</v>
      </c>
      <c r="H7899" s="15">
        <v>46082</v>
      </c>
      <c r="I7899">
        <v>1300</v>
      </c>
      <c r="J7899">
        <v>0</v>
      </c>
    </row>
    <row r="7900" spans="1:10" x14ac:dyDescent="0.3">
      <c r="A7900" s="15">
        <v>46143</v>
      </c>
      <c r="B7900" t="s">
        <v>496</v>
      </c>
      <c r="C7900" t="s">
        <v>110</v>
      </c>
      <c r="D7900" t="s">
        <v>99</v>
      </c>
      <c r="E7900" t="s">
        <v>97</v>
      </c>
      <c r="F7900">
        <v>16500</v>
      </c>
      <c r="G7900" t="s">
        <v>331</v>
      </c>
      <c r="H7900" s="15">
        <v>46082</v>
      </c>
      <c r="I7900">
        <v>16500</v>
      </c>
      <c r="J7900">
        <v>0</v>
      </c>
    </row>
    <row r="7901" spans="1:10" x14ac:dyDescent="0.3">
      <c r="A7901" s="15">
        <v>46143</v>
      </c>
      <c r="B7901" t="s">
        <v>497</v>
      </c>
      <c r="C7901" t="s">
        <v>91</v>
      </c>
      <c r="D7901" t="s">
        <v>86</v>
      </c>
      <c r="E7901" t="s">
        <v>97</v>
      </c>
      <c r="F7901">
        <v>4900</v>
      </c>
      <c r="G7901" t="s">
        <v>331</v>
      </c>
      <c r="H7901" s="15">
        <v>46082</v>
      </c>
      <c r="I7901">
        <v>4900</v>
      </c>
      <c r="J7901">
        <v>0</v>
      </c>
    </row>
    <row r="7902" spans="1:10" x14ac:dyDescent="0.3">
      <c r="A7902" s="15">
        <v>46143</v>
      </c>
      <c r="B7902" t="s">
        <v>498</v>
      </c>
      <c r="C7902" t="s">
        <v>91</v>
      </c>
      <c r="D7902" t="s">
        <v>82</v>
      </c>
      <c r="E7902" t="s">
        <v>83</v>
      </c>
      <c r="F7902">
        <v>7900</v>
      </c>
      <c r="G7902" t="s">
        <v>331</v>
      </c>
      <c r="H7902" s="15">
        <v>46113</v>
      </c>
      <c r="I7902">
        <v>7900</v>
      </c>
      <c r="J7902">
        <v>0</v>
      </c>
    </row>
    <row r="7903" spans="1:10" x14ac:dyDescent="0.3">
      <c r="A7903" s="15">
        <v>46143</v>
      </c>
      <c r="B7903" t="s">
        <v>499</v>
      </c>
      <c r="C7903" t="s">
        <v>91</v>
      </c>
      <c r="D7903" t="s">
        <v>82</v>
      </c>
      <c r="E7903" t="s">
        <v>101</v>
      </c>
      <c r="F7903">
        <v>7000</v>
      </c>
      <c r="G7903" t="s">
        <v>331</v>
      </c>
      <c r="H7903" s="15">
        <v>46113</v>
      </c>
      <c r="I7903">
        <v>7000</v>
      </c>
      <c r="J7903">
        <v>0</v>
      </c>
    </row>
    <row r="7904" spans="1:10" x14ac:dyDescent="0.3">
      <c r="A7904" s="15">
        <v>46143</v>
      </c>
      <c r="B7904" t="s">
        <v>500</v>
      </c>
      <c r="C7904" t="s">
        <v>81</v>
      </c>
      <c r="D7904" t="s">
        <v>86</v>
      </c>
      <c r="E7904" t="s">
        <v>83</v>
      </c>
      <c r="F7904">
        <v>2000</v>
      </c>
      <c r="G7904" t="s">
        <v>331</v>
      </c>
      <c r="H7904" s="15">
        <v>46113</v>
      </c>
      <c r="I7904">
        <v>2000</v>
      </c>
      <c r="J7904">
        <v>0</v>
      </c>
    </row>
    <row r="7905" spans="1:10" x14ac:dyDescent="0.3">
      <c r="A7905" s="15">
        <v>46143</v>
      </c>
      <c r="B7905" t="s">
        <v>501</v>
      </c>
      <c r="C7905" t="s">
        <v>110</v>
      </c>
      <c r="D7905" t="s">
        <v>86</v>
      </c>
      <c r="E7905" t="s">
        <v>97</v>
      </c>
      <c r="F7905">
        <v>27200</v>
      </c>
      <c r="G7905" t="s">
        <v>331</v>
      </c>
      <c r="H7905" s="15">
        <v>46113</v>
      </c>
      <c r="I7905">
        <v>27200</v>
      </c>
      <c r="J7905">
        <v>0</v>
      </c>
    </row>
    <row r="7906" spans="1:10" x14ac:dyDescent="0.3">
      <c r="A7906" s="15">
        <v>46143</v>
      </c>
      <c r="B7906" t="s">
        <v>502</v>
      </c>
      <c r="C7906" t="s">
        <v>81</v>
      </c>
      <c r="D7906" t="s">
        <v>99</v>
      </c>
      <c r="E7906" t="s">
        <v>83</v>
      </c>
      <c r="F7906">
        <v>2200</v>
      </c>
      <c r="G7906" t="s">
        <v>331</v>
      </c>
      <c r="H7906" s="15">
        <v>46113</v>
      </c>
      <c r="I7906">
        <v>2200</v>
      </c>
      <c r="J7906">
        <v>0</v>
      </c>
    </row>
    <row r="7907" spans="1:10" x14ac:dyDescent="0.3">
      <c r="A7907" s="15">
        <v>46143</v>
      </c>
      <c r="B7907" t="s">
        <v>503</v>
      </c>
      <c r="C7907" t="s">
        <v>110</v>
      </c>
      <c r="D7907" t="s">
        <v>86</v>
      </c>
      <c r="E7907" t="s">
        <v>87</v>
      </c>
      <c r="F7907">
        <v>40200</v>
      </c>
      <c r="G7907" t="s">
        <v>331</v>
      </c>
      <c r="H7907" s="15">
        <v>46113</v>
      </c>
      <c r="I7907">
        <v>40200</v>
      </c>
      <c r="J7907">
        <v>0</v>
      </c>
    </row>
    <row r="7908" spans="1:10" x14ac:dyDescent="0.3">
      <c r="A7908" s="15">
        <v>46143</v>
      </c>
      <c r="B7908" t="s">
        <v>504</v>
      </c>
      <c r="C7908" t="s">
        <v>81</v>
      </c>
      <c r="D7908" t="s">
        <v>86</v>
      </c>
      <c r="E7908" t="s">
        <v>103</v>
      </c>
      <c r="F7908">
        <v>1200</v>
      </c>
      <c r="G7908" t="s">
        <v>334</v>
      </c>
      <c r="H7908" s="15">
        <v>46113</v>
      </c>
      <c r="I7908">
        <v>1400</v>
      </c>
      <c r="J7908">
        <v>-200</v>
      </c>
    </row>
    <row r="7909" spans="1:10" x14ac:dyDescent="0.3">
      <c r="A7909" s="15">
        <v>46143</v>
      </c>
      <c r="B7909" t="s">
        <v>505</v>
      </c>
      <c r="C7909" t="s">
        <v>81</v>
      </c>
      <c r="D7909" t="s">
        <v>86</v>
      </c>
      <c r="E7909" t="s">
        <v>97</v>
      </c>
      <c r="F7909">
        <v>2100</v>
      </c>
      <c r="G7909" t="s">
        <v>331</v>
      </c>
      <c r="H7909" s="15">
        <v>46113</v>
      </c>
      <c r="I7909">
        <v>2100</v>
      </c>
      <c r="J7909">
        <v>0</v>
      </c>
    </row>
    <row r="7910" spans="1:10" x14ac:dyDescent="0.3">
      <c r="A7910" s="15">
        <v>46143</v>
      </c>
      <c r="B7910" t="s">
        <v>506</v>
      </c>
      <c r="C7910" t="s">
        <v>91</v>
      </c>
      <c r="D7910" t="s">
        <v>82</v>
      </c>
      <c r="E7910" t="s">
        <v>89</v>
      </c>
      <c r="F7910">
        <v>5100</v>
      </c>
      <c r="G7910" t="s">
        <v>331</v>
      </c>
      <c r="H7910" s="15">
        <v>46113</v>
      </c>
      <c r="I7910">
        <v>5100</v>
      </c>
      <c r="J7910">
        <v>0</v>
      </c>
    </row>
    <row r="7911" spans="1:10" x14ac:dyDescent="0.3">
      <c r="A7911" s="15">
        <v>46143</v>
      </c>
      <c r="B7911" t="s">
        <v>507</v>
      </c>
      <c r="C7911" t="s">
        <v>81</v>
      </c>
      <c r="D7911" t="s">
        <v>86</v>
      </c>
      <c r="E7911" t="s">
        <v>89</v>
      </c>
      <c r="F7911">
        <v>1400</v>
      </c>
      <c r="G7911" t="s">
        <v>84</v>
      </c>
      <c r="H7911" s="15">
        <v>46143</v>
      </c>
      <c r="I7911">
        <v>0</v>
      </c>
      <c r="J7911">
        <v>1400</v>
      </c>
    </row>
    <row r="7912" spans="1:10" x14ac:dyDescent="0.3">
      <c r="A7912" s="15">
        <v>46143</v>
      </c>
      <c r="B7912" t="s">
        <v>508</v>
      </c>
      <c r="C7912" t="s">
        <v>91</v>
      </c>
      <c r="D7912" t="s">
        <v>82</v>
      </c>
      <c r="E7912" t="s">
        <v>83</v>
      </c>
      <c r="F7912">
        <v>7500</v>
      </c>
      <c r="G7912" t="s">
        <v>84</v>
      </c>
      <c r="H7912" s="15">
        <v>46143</v>
      </c>
      <c r="I7912">
        <v>0</v>
      </c>
      <c r="J7912">
        <v>7500</v>
      </c>
    </row>
    <row r="7913" spans="1:10" x14ac:dyDescent="0.3">
      <c r="A7913" s="15">
        <v>46143</v>
      </c>
      <c r="B7913" t="s">
        <v>509</v>
      </c>
      <c r="C7913" t="s">
        <v>91</v>
      </c>
      <c r="D7913" t="s">
        <v>86</v>
      </c>
      <c r="E7913" t="s">
        <v>103</v>
      </c>
      <c r="F7913">
        <v>8300</v>
      </c>
      <c r="G7913" t="s">
        <v>84</v>
      </c>
      <c r="H7913" s="15">
        <v>46143</v>
      </c>
      <c r="I7913">
        <v>0</v>
      </c>
      <c r="J7913">
        <v>8300</v>
      </c>
    </row>
    <row r="7914" spans="1:10" x14ac:dyDescent="0.3">
      <c r="A7914" s="15">
        <v>46143</v>
      </c>
      <c r="B7914" t="s">
        <v>510</v>
      </c>
      <c r="C7914" t="s">
        <v>91</v>
      </c>
      <c r="D7914" t="s">
        <v>86</v>
      </c>
      <c r="E7914" t="s">
        <v>101</v>
      </c>
      <c r="F7914">
        <v>8100</v>
      </c>
      <c r="G7914" t="s">
        <v>84</v>
      </c>
      <c r="H7914" s="15">
        <v>46143</v>
      </c>
      <c r="I7914">
        <v>0</v>
      </c>
      <c r="J7914">
        <v>8100</v>
      </c>
    </row>
    <row r="7915" spans="1:10" x14ac:dyDescent="0.3">
      <c r="A7915" s="15">
        <v>46143</v>
      </c>
      <c r="B7915" t="s">
        <v>511</v>
      </c>
      <c r="C7915" t="s">
        <v>91</v>
      </c>
      <c r="D7915" t="s">
        <v>99</v>
      </c>
      <c r="E7915" t="s">
        <v>101</v>
      </c>
      <c r="F7915">
        <v>7500</v>
      </c>
      <c r="G7915" t="s">
        <v>84</v>
      </c>
      <c r="H7915" s="15">
        <v>46143</v>
      </c>
      <c r="I7915">
        <v>0</v>
      </c>
      <c r="J7915">
        <v>7500</v>
      </c>
    </row>
    <row r="7916" spans="1:10" x14ac:dyDescent="0.3">
      <c r="A7916" s="15">
        <v>46143</v>
      </c>
      <c r="B7916" t="s">
        <v>512</v>
      </c>
      <c r="C7916" t="s">
        <v>110</v>
      </c>
      <c r="D7916" t="s">
        <v>96</v>
      </c>
      <c r="E7916" t="s">
        <v>103</v>
      </c>
      <c r="F7916">
        <v>30900</v>
      </c>
      <c r="G7916" t="s">
        <v>84</v>
      </c>
      <c r="H7916" s="15">
        <v>46143</v>
      </c>
      <c r="I7916">
        <v>0</v>
      </c>
      <c r="J7916">
        <v>30900</v>
      </c>
    </row>
    <row r="7917" spans="1:10" x14ac:dyDescent="0.3">
      <c r="A7917" s="15">
        <v>46143</v>
      </c>
      <c r="B7917" t="s">
        <v>513</v>
      </c>
      <c r="C7917" t="s">
        <v>91</v>
      </c>
      <c r="D7917" t="s">
        <v>96</v>
      </c>
      <c r="E7917" t="s">
        <v>103</v>
      </c>
      <c r="F7917">
        <v>7700</v>
      </c>
      <c r="G7917" t="s">
        <v>84</v>
      </c>
      <c r="H7917" s="15">
        <v>46143</v>
      </c>
      <c r="I7917">
        <v>0</v>
      </c>
      <c r="J7917">
        <v>7700</v>
      </c>
    </row>
    <row r="7918" spans="1:10" x14ac:dyDescent="0.3">
      <c r="A7918" s="15">
        <v>46174</v>
      </c>
      <c r="B7918" t="s">
        <v>80</v>
      </c>
      <c r="C7918" t="s">
        <v>81</v>
      </c>
      <c r="D7918" t="s">
        <v>82</v>
      </c>
      <c r="E7918" t="s">
        <v>83</v>
      </c>
      <c r="F7918">
        <v>1900</v>
      </c>
      <c r="G7918" t="s">
        <v>331</v>
      </c>
      <c r="H7918" s="15">
        <v>45292</v>
      </c>
      <c r="I7918">
        <v>1900</v>
      </c>
      <c r="J7918">
        <v>0</v>
      </c>
    </row>
    <row r="7919" spans="1:10" x14ac:dyDescent="0.3">
      <c r="A7919" s="15">
        <v>46174</v>
      </c>
      <c r="B7919" t="s">
        <v>85</v>
      </c>
      <c r="C7919" t="s">
        <v>81</v>
      </c>
      <c r="D7919" t="s">
        <v>86</v>
      </c>
      <c r="E7919" t="s">
        <v>87</v>
      </c>
      <c r="F7919">
        <v>2200</v>
      </c>
      <c r="G7919" t="s">
        <v>331</v>
      </c>
      <c r="H7919" s="15">
        <v>45292</v>
      </c>
      <c r="I7919">
        <v>2200</v>
      </c>
      <c r="J7919">
        <v>0</v>
      </c>
    </row>
    <row r="7920" spans="1:10" x14ac:dyDescent="0.3">
      <c r="A7920" s="15">
        <v>46174</v>
      </c>
      <c r="B7920" t="s">
        <v>88</v>
      </c>
      <c r="C7920" t="s">
        <v>81</v>
      </c>
      <c r="D7920" t="s">
        <v>86</v>
      </c>
      <c r="E7920" t="s">
        <v>89</v>
      </c>
      <c r="F7920">
        <v>2400</v>
      </c>
      <c r="G7920" t="s">
        <v>331</v>
      </c>
      <c r="H7920" s="15">
        <v>45292</v>
      </c>
      <c r="I7920">
        <v>2400</v>
      </c>
      <c r="J7920">
        <v>0</v>
      </c>
    </row>
    <row r="7921" spans="1:10" x14ac:dyDescent="0.3">
      <c r="A7921" s="15">
        <v>46174</v>
      </c>
      <c r="B7921" t="s">
        <v>90</v>
      </c>
      <c r="C7921" t="s">
        <v>91</v>
      </c>
      <c r="D7921" t="s">
        <v>82</v>
      </c>
      <c r="E7921" t="s">
        <v>92</v>
      </c>
      <c r="F7921">
        <v>9200</v>
      </c>
      <c r="G7921" t="s">
        <v>331</v>
      </c>
      <c r="H7921" s="15">
        <v>45292</v>
      </c>
      <c r="I7921">
        <v>9200</v>
      </c>
      <c r="J7921">
        <v>0</v>
      </c>
    </row>
    <row r="7922" spans="1:10" x14ac:dyDescent="0.3">
      <c r="A7922" s="15">
        <v>46174</v>
      </c>
      <c r="B7922" t="s">
        <v>93</v>
      </c>
      <c r="C7922" t="s">
        <v>81</v>
      </c>
      <c r="D7922" t="s">
        <v>86</v>
      </c>
      <c r="E7922" t="s">
        <v>83</v>
      </c>
      <c r="F7922">
        <v>2600</v>
      </c>
      <c r="G7922" t="s">
        <v>331</v>
      </c>
      <c r="H7922" s="15">
        <v>45292</v>
      </c>
      <c r="I7922">
        <v>2600</v>
      </c>
      <c r="J7922">
        <v>0</v>
      </c>
    </row>
    <row r="7923" spans="1:10" x14ac:dyDescent="0.3">
      <c r="A7923" s="15">
        <v>46174</v>
      </c>
      <c r="B7923" t="s">
        <v>94</v>
      </c>
      <c r="C7923" t="s">
        <v>91</v>
      </c>
      <c r="D7923" t="s">
        <v>86</v>
      </c>
      <c r="E7923" t="s">
        <v>83</v>
      </c>
      <c r="F7923">
        <v>8500</v>
      </c>
      <c r="G7923" t="s">
        <v>331</v>
      </c>
      <c r="H7923" s="15">
        <v>45292</v>
      </c>
      <c r="I7923">
        <v>8500</v>
      </c>
      <c r="J7923">
        <v>0</v>
      </c>
    </row>
    <row r="7924" spans="1:10" x14ac:dyDescent="0.3">
      <c r="A7924" s="15">
        <v>46174</v>
      </c>
      <c r="B7924" t="s">
        <v>95</v>
      </c>
      <c r="C7924" t="s">
        <v>81</v>
      </c>
      <c r="D7924" t="s">
        <v>96</v>
      </c>
      <c r="E7924" t="s">
        <v>97</v>
      </c>
      <c r="F7924">
        <v>3100</v>
      </c>
      <c r="G7924" t="s">
        <v>331</v>
      </c>
      <c r="H7924" s="15">
        <v>45292</v>
      </c>
      <c r="I7924">
        <v>3100</v>
      </c>
      <c r="J7924">
        <v>0</v>
      </c>
    </row>
    <row r="7925" spans="1:10" x14ac:dyDescent="0.3">
      <c r="A7925" s="15">
        <v>46174</v>
      </c>
      <c r="B7925" t="s">
        <v>98</v>
      </c>
      <c r="C7925" t="s">
        <v>81</v>
      </c>
      <c r="D7925" t="s">
        <v>99</v>
      </c>
      <c r="E7925" t="s">
        <v>92</v>
      </c>
      <c r="F7925">
        <v>2000</v>
      </c>
      <c r="G7925" t="s">
        <v>331</v>
      </c>
      <c r="H7925" s="15">
        <v>45292</v>
      </c>
      <c r="I7925">
        <v>2000</v>
      </c>
      <c r="J7925">
        <v>0</v>
      </c>
    </row>
    <row r="7926" spans="1:10" x14ac:dyDescent="0.3">
      <c r="A7926" s="15">
        <v>46174</v>
      </c>
      <c r="B7926" t="s">
        <v>102</v>
      </c>
      <c r="C7926" t="s">
        <v>81</v>
      </c>
      <c r="D7926" t="s">
        <v>99</v>
      </c>
      <c r="E7926" t="s">
        <v>103</v>
      </c>
      <c r="F7926">
        <v>2500</v>
      </c>
      <c r="G7926" t="s">
        <v>334</v>
      </c>
      <c r="H7926" s="15">
        <v>45292</v>
      </c>
      <c r="I7926">
        <v>2900</v>
      </c>
      <c r="J7926">
        <v>-400</v>
      </c>
    </row>
    <row r="7927" spans="1:10" x14ac:dyDescent="0.3">
      <c r="A7927" s="15">
        <v>46174</v>
      </c>
      <c r="B7927" t="s">
        <v>105</v>
      </c>
      <c r="C7927" t="s">
        <v>91</v>
      </c>
      <c r="D7927" t="s">
        <v>86</v>
      </c>
      <c r="E7927" t="s">
        <v>89</v>
      </c>
      <c r="F7927">
        <v>12900</v>
      </c>
      <c r="G7927" t="s">
        <v>331</v>
      </c>
      <c r="H7927" s="15">
        <v>45292</v>
      </c>
      <c r="I7927">
        <v>12900</v>
      </c>
      <c r="J7927">
        <v>0</v>
      </c>
    </row>
    <row r="7928" spans="1:10" x14ac:dyDescent="0.3">
      <c r="A7928" s="15">
        <v>46174</v>
      </c>
      <c r="B7928" t="s">
        <v>106</v>
      </c>
      <c r="C7928" t="s">
        <v>81</v>
      </c>
      <c r="D7928" t="s">
        <v>99</v>
      </c>
      <c r="E7928" t="s">
        <v>92</v>
      </c>
      <c r="F7928">
        <v>2700</v>
      </c>
      <c r="G7928" t="s">
        <v>331</v>
      </c>
      <c r="H7928" s="15">
        <v>45292</v>
      </c>
      <c r="I7928">
        <v>2700</v>
      </c>
      <c r="J7928">
        <v>0</v>
      </c>
    </row>
    <row r="7929" spans="1:10" x14ac:dyDescent="0.3">
      <c r="A7929" s="15">
        <v>46174</v>
      </c>
      <c r="B7929" t="s">
        <v>109</v>
      </c>
      <c r="C7929" t="s">
        <v>110</v>
      </c>
      <c r="D7929" t="s">
        <v>82</v>
      </c>
      <c r="E7929" t="s">
        <v>103</v>
      </c>
      <c r="F7929">
        <v>37500</v>
      </c>
      <c r="G7929" t="s">
        <v>331</v>
      </c>
      <c r="H7929" s="15">
        <v>45292</v>
      </c>
      <c r="I7929">
        <v>37500</v>
      </c>
      <c r="J7929">
        <v>0</v>
      </c>
    </row>
    <row r="7930" spans="1:10" x14ac:dyDescent="0.3">
      <c r="A7930" s="15">
        <v>46174</v>
      </c>
      <c r="B7930" t="s">
        <v>111</v>
      </c>
      <c r="C7930" t="s">
        <v>91</v>
      </c>
      <c r="D7930" t="s">
        <v>82</v>
      </c>
      <c r="E7930" t="s">
        <v>83</v>
      </c>
      <c r="F7930">
        <v>8800</v>
      </c>
      <c r="G7930" t="s">
        <v>331</v>
      </c>
      <c r="H7930" s="15">
        <v>45292</v>
      </c>
      <c r="I7930">
        <v>8800</v>
      </c>
      <c r="J7930">
        <v>0</v>
      </c>
    </row>
    <row r="7931" spans="1:10" x14ac:dyDescent="0.3">
      <c r="A7931" s="15">
        <v>46174</v>
      </c>
      <c r="B7931" t="s">
        <v>112</v>
      </c>
      <c r="C7931" t="s">
        <v>91</v>
      </c>
      <c r="D7931" t="s">
        <v>82</v>
      </c>
      <c r="E7931" t="s">
        <v>92</v>
      </c>
      <c r="F7931">
        <v>8600</v>
      </c>
      <c r="G7931" t="s">
        <v>331</v>
      </c>
      <c r="H7931" s="15">
        <v>45292</v>
      </c>
      <c r="I7931">
        <v>8600</v>
      </c>
      <c r="J7931">
        <v>0</v>
      </c>
    </row>
    <row r="7932" spans="1:10" x14ac:dyDescent="0.3">
      <c r="A7932" s="15">
        <v>46174</v>
      </c>
      <c r="B7932" t="s">
        <v>113</v>
      </c>
      <c r="C7932" t="s">
        <v>81</v>
      </c>
      <c r="D7932" t="s">
        <v>96</v>
      </c>
      <c r="E7932" t="s">
        <v>89</v>
      </c>
      <c r="F7932">
        <v>2400</v>
      </c>
      <c r="G7932" t="s">
        <v>331</v>
      </c>
      <c r="H7932" s="15">
        <v>45292</v>
      </c>
      <c r="I7932">
        <v>2400</v>
      </c>
      <c r="J7932">
        <v>0</v>
      </c>
    </row>
    <row r="7933" spans="1:10" x14ac:dyDescent="0.3">
      <c r="A7933" s="15">
        <v>46174</v>
      </c>
      <c r="B7933" t="s">
        <v>114</v>
      </c>
      <c r="C7933" t="s">
        <v>110</v>
      </c>
      <c r="D7933" t="s">
        <v>99</v>
      </c>
      <c r="E7933" t="s">
        <v>97</v>
      </c>
      <c r="F7933">
        <v>39000</v>
      </c>
      <c r="G7933" t="s">
        <v>331</v>
      </c>
      <c r="H7933" s="15">
        <v>45292</v>
      </c>
      <c r="I7933">
        <v>39000</v>
      </c>
      <c r="J7933">
        <v>0</v>
      </c>
    </row>
    <row r="7934" spans="1:10" x14ac:dyDescent="0.3">
      <c r="A7934" s="15">
        <v>46174</v>
      </c>
      <c r="B7934" t="s">
        <v>115</v>
      </c>
      <c r="C7934" t="s">
        <v>81</v>
      </c>
      <c r="D7934" t="s">
        <v>82</v>
      </c>
      <c r="E7934" t="s">
        <v>101</v>
      </c>
      <c r="F7934">
        <v>2600</v>
      </c>
      <c r="G7934" t="s">
        <v>331</v>
      </c>
      <c r="H7934" s="15">
        <v>45292</v>
      </c>
      <c r="I7934">
        <v>2600</v>
      </c>
      <c r="J7934">
        <v>0</v>
      </c>
    </row>
    <row r="7935" spans="1:10" x14ac:dyDescent="0.3">
      <c r="A7935" s="15">
        <v>46174</v>
      </c>
      <c r="B7935" t="s">
        <v>116</v>
      </c>
      <c r="C7935" t="s">
        <v>81</v>
      </c>
      <c r="D7935" t="s">
        <v>86</v>
      </c>
      <c r="E7935" t="s">
        <v>87</v>
      </c>
      <c r="F7935">
        <v>2900</v>
      </c>
      <c r="G7935" t="s">
        <v>331</v>
      </c>
      <c r="H7935" s="15">
        <v>45292</v>
      </c>
      <c r="I7935">
        <v>2900</v>
      </c>
      <c r="J7935">
        <v>0</v>
      </c>
    </row>
    <row r="7936" spans="1:10" x14ac:dyDescent="0.3">
      <c r="A7936" s="15">
        <v>46174</v>
      </c>
      <c r="B7936" t="s">
        <v>117</v>
      </c>
      <c r="C7936" t="s">
        <v>81</v>
      </c>
      <c r="D7936" t="s">
        <v>86</v>
      </c>
      <c r="E7936" t="s">
        <v>103</v>
      </c>
      <c r="F7936">
        <v>2500</v>
      </c>
      <c r="G7936" t="s">
        <v>331</v>
      </c>
      <c r="H7936" s="15">
        <v>45292</v>
      </c>
      <c r="I7936">
        <v>2500</v>
      </c>
      <c r="J7936">
        <v>0</v>
      </c>
    </row>
    <row r="7937" spans="1:10" x14ac:dyDescent="0.3">
      <c r="A7937" s="15">
        <v>46174</v>
      </c>
      <c r="B7937" t="s">
        <v>120</v>
      </c>
      <c r="C7937" t="s">
        <v>81</v>
      </c>
      <c r="D7937" t="s">
        <v>86</v>
      </c>
      <c r="E7937" t="s">
        <v>101</v>
      </c>
      <c r="F7937">
        <v>2200</v>
      </c>
      <c r="G7937" t="s">
        <v>331</v>
      </c>
      <c r="H7937" s="15">
        <v>45292</v>
      </c>
      <c r="I7937">
        <v>2200</v>
      </c>
      <c r="J7937">
        <v>0</v>
      </c>
    </row>
    <row r="7938" spans="1:10" x14ac:dyDescent="0.3">
      <c r="A7938" s="15">
        <v>46174</v>
      </c>
      <c r="B7938" t="s">
        <v>123</v>
      </c>
      <c r="C7938" t="s">
        <v>81</v>
      </c>
      <c r="D7938" t="s">
        <v>82</v>
      </c>
      <c r="E7938" t="s">
        <v>92</v>
      </c>
      <c r="F7938">
        <v>1900</v>
      </c>
      <c r="G7938" t="s">
        <v>331</v>
      </c>
      <c r="H7938" s="15">
        <v>45292</v>
      </c>
      <c r="I7938">
        <v>1900</v>
      </c>
      <c r="J7938">
        <v>0</v>
      </c>
    </row>
    <row r="7939" spans="1:10" x14ac:dyDescent="0.3">
      <c r="A7939" s="15">
        <v>46174</v>
      </c>
      <c r="B7939" t="s">
        <v>124</v>
      </c>
      <c r="C7939" t="s">
        <v>125</v>
      </c>
      <c r="D7939" t="s">
        <v>82</v>
      </c>
      <c r="E7939" t="s">
        <v>97</v>
      </c>
      <c r="F7939">
        <v>67900</v>
      </c>
      <c r="G7939" t="s">
        <v>331</v>
      </c>
      <c r="H7939" s="15">
        <v>45292</v>
      </c>
      <c r="I7939">
        <v>67900</v>
      </c>
      <c r="J7939">
        <v>0</v>
      </c>
    </row>
    <row r="7940" spans="1:10" x14ac:dyDescent="0.3">
      <c r="A7940" s="15">
        <v>46174</v>
      </c>
      <c r="B7940" t="s">
        <v>126</v>
      </c>
      <c r="C7940" t="s">
        <v>91</v>
      </c>
      <c r="D7940" t="s">
        <v>82</v>
      </c>
      <c r="E7940" t="s">
        <v>83</v>
      </c>
      <c r="F7940">
        <v>8800</v>
      </c>
      <c r="G7940" t="s">
        <v>331</v>
      </c>
      <c r="H7940" s="15">
        <v>45292</v>
      </c>
      <c r="I7940">
        <v>8800</v>
      </c>
      <c r="J7940">
        <v>0</v>
      </c>
    </row>
    <row r="7941" spans="1:10" x14ac:dyDescent="0.3">
      <c r="A7941" s="15">
        <v>46174</v>
      </c>
      <c r="B7941" t="s">
        <v>127</v>
      </c>
      <c r="C7941" t="s">
        <v>81</v>
      </c>
      <c r="D7941" t="s">
        <v>82</v>
      </c>
      <c r="E7941" t="s">
        <v>101</v>
      </c>
      <c r="F7941">
        <v>2400</v>
      </c>
      <c r="G7941" t="s">
        <v>331</v>
      </c>
      <c r="H7941" s="15">
        <v>45292</v>
      </c>
      <c r="I7941">
        <v>2400</v>
      </c>
      <c r="J7941">
        <v>0</v>
      </c>
    </row>
    <row r="7942" spans="1:10" x14ac:dyDescent="0.3">
      <c r="A7942" s="15">
        <v>46174</v>
      </c>
      <c r="B7942" t="s">
        <v>128</v>
      </c>
      <c r="C7942" t="s">
        <v>81</v>
      </c>
      <c r="D7942" t="s">
        <v>82</v>
      </c>
      <c r="E7942" t="s">
        <v>92</v>
      </c>
      <c r="F7942">
        <v>1700</v>
      </c>
      <c r="G7942" t="s">
        <v>331</v>
      </c>
      <c r="H7942" s="15">
        <v>45292</v>
      </c>
      <c r="I7942">
        <v>1700</v>
      </c>
      <c r="J7942">
        <v>0</v>
      </c>
    </row>
    <row r="7943" spans="1:10" x14ac:dyDescent="0.3">
      <c r="A7943" s="15">
        <v>46174</v>
      </c>
      <c r="B7943" t="s">
        <v>129</v>
      </c>
      <c r="C7943" t="s">
        <v>110</v>
      </c>
      <c r="D7943" t="s">
        <v>86</v>
      </c>
      <c r="E7943" t="s">
        <v>92</v>
      </c>
      <c r="F7943">
        <v>40500</v>
      </c>
      <c r="G7943" t="s">
        <v>331</v>
      </c>
      <c r="H7943" s="15">
        <v>45292</v>
      </c>
      <c r="I7943">
        <v>40500</v>
      </c>
      <c r="J7943">
        <v>0</v>
      </c>
    </row>
    <row r="7944" spans="1:10" x14ac:dyDescent="0.3">
      <c r="A7944" s="15">
        <v>46174</v>
      </c>
      <c r="B7944" t="s">
        <v>133</v>
      </c>
      <c r="C7944" t="s">
        <v>81</v>
      </c>
      <c r="D7944" t="s">
        <v>96</v>
      </c>
      <c r="E7944" t="s">
        <v>87</v>
      </c>
      <c r="F7944">
        <v>2700</v>
      </c>
      <c r="G7944" t="s">
        <v>331</v>
      </c>
      <c r="H7944" s="15">
        <v>45292</v>
      </c>
      <c r="I7944">
        <v>2700</v>
      </c>
      <c r="J7944">
        <v>0</v>
      </c>
    </row>
    <row r="7945" spans="1:10" x14ac:dyDescent="0.3">
      <c r="A7945" s="15">
        <v>46174</v>
      </c>
      <c r="B7945" t="s">
        <v>134</v>
      </c>
      <c r="C7945" t="s">
        <v>81</v>
      </c>
      <c r="D7945" t="s">
        <v>82</v>
      </c>
      <c r="E7945" t="s">
        <v>92</v>
      </c>
      <c r="F7945">
        <v>2600</v>
      </c>
      <c r="G7945" t="s">
        <v>332</v>
      </c>
      <c r="H7945" s="15">
        <v>45292</v>
      </c>
      <c r="I7945">
        <v>2400</v>
      </c>
      <c r="J7945">
        <v>200</v>
      </c>
    </row>
    <row r="7946" spans="1:10" x14ac:dyDescent="0.3">
      <c r="A7946" s="15">
        <v>46174</v>
      </c>
      <c r="B7946" t="s">
        <v>135</v>
      </c>
      <c r="C7946" t="s">
        <v>81</v>
      </c>
      <c r="D7946" t="s">
        <v>82</v>
      </c>
      <c r="E7946" t="s">
        <v>103</v>
      </c>
      <c r="F7946">
        <v>2400</v>
      </c>
      <c r="G7946" t="s">
        <v>331</v>
      </c>
      <c r="H7946" s="15">
        <v>45292</v>
      </c>
      <c r="I7946">
        <v>2400</v>
      </c>
      <c r="J7946">
        <v>0</v>
      </c>
    </row>
    <row r="7947" spans="1:10" x14ac:dyDescent="0.3">
      <c r="A7947" s="15">
        <v>46174</v>
      </c>
      <c r="B7947" t="s">
        <v>136</v>
      </c>
      <c r="C7947" t="s">
        <v>81</v>
      </c>
      <c r="D7947" t="s">
        <v>82</v>
      </c>
      <c r="E7947" t="s">
        <v>101</v>
      </c>
      <c r="F7947">
        <v>2900</v>
      </c>
      <c r="G7947" t="s">
        <v>331</v>
      </c>
      <c r="H7947" s="15">
        <v>45292</v>
      </c>
      <c r="I7947">
        <v>2900</v>
      </c>
      <c r="J7947">
        <v>0</v>
      </c>
    </row>
    <row r="7948" spans="1:10" x14ac:dyDescent="0.3">
      <c r="A7948" s="15">
        <v>46174</v>
      </c>
      <c r="B7948" t="s">
        <v>138</v>
      </c>
      <c r="C7948" t="s">
        <v>81</v>
      </c>
      <c r="D7948" t="s">
        <v>86</v>
      </c>
      <c r="E7948" t="s">
        <v>97</v>
      </c>
      <c r="F7948">
        <v>3300</v>
      </c>
      <c r="G7948" t="s">
        <v>331</v>
      </c>
      <c r="H7948" s="15">
        <v>45292</v>
      </c>
      <c r="I7948">
        <v>3300</v>
      </c>
      <c r="J7948">
        <v>0</v>
      </c>
    </row>
    <row r="7949" spans="1:10" x14ac:dyDescent="0.3">
      <c r="A7949" s="15">
        <v>46174</v>
      </c>
      <c r="B7949" t="s">
        <v>139</v>
      </c>
      <c r="C7949" t="s">
        <v>91</v>
      </c>
      <c r="D7949" t="s">
        <v>82</v>
      </c>
      <c r="E7949" t="s">
        <v>103</v>
      </c>
      <c r="F7949">
        <v>6800</v>
      </c>
      <c r="G7949" t="s">
        <v>331</v>
      </c>
      <c r="H7949" s="15">
        <v>45292</v>
      </c>
      <c r="I7949">
        <v>6800</v>
      </c>
      <c r="J7949">
        <v>0</v>
      </c>
    </row>
    <row r="7950" spans="1:10" x14ac:dyDescent="0.3">
      <c r="A7950" s="15">
        <v>46174</v>
      </c>
      <c r="B7950" t="s">
        <v>141</v>
      </c>
      <c r="C7950" t="s">
        <v>125</v>
      </c>
      <c r="D7950" t="s">
        <v>99</v>
      </c>
      <c r="E7950" t="s">
        <v>103</v>
      </c>
      <c r="F7950">
        <v>127400</v>
      </c>
      <c r="G7950" t="s">
        <v>331</v>
      </c>
      <c r="H7950" s="15">
        <v>45292</v>
      </c>
      <c r="I7950">
        <v>127400</v>
      </c>
      <c r="J7950">
        <v>0</v>
      </c>
    </row>
    <row r="7951" spans="1:10" x14ac:dyDescent="0.3">
      <c r="A7951" s="15">
        <v>46174</v>
      </c>
      <c r="B7951" t="s">
        <v>142</v>
      </c>
      <c r="C7951" t="s">
        <v>125</v>
      </c>
      <c r="D7951" t="s">
        <v>82</v>
      </c>
      <c r="E7951" t="s">
        <v>92</v>
      </c>
      <c r="F7951">
        <v>114200</v>
      </c>
      <c r="G7951" t="s">
        <v>332</v>
      </c>
      <c r="H7951" s="15">
        <v>45292</v>
      </c>
      <c r="I7951">
        <v>103800</v>
      </c>
      <c r="J7951">
        <v>10400</v>
      </c>
    </row>
    <row r="7952" spans="1:10" x14ac:dyDescent="0.3">
      <c r="A7952" s="15">
        <v>46174</v>
      </c>
      <c r="B7952" t="s">
        <v>143</v>
      </c>
      <c r="C7952" t="s">
        <v>91</v>
      </c>
      <c r="D7952" t="s">
        <v>99</v>
      </c>
      <c r="E7952" t="s">
        <v>103</v>
      </c>
      <c r="F7952">
        <v>8000</v>
      </c>
      <c r="G7952" t="s">
        <v>331</v>
      </c>
      <c r="H7952" s="15">
        <v>45292</v>
      </c>
      <c r="I7952">
        <v>8000</v>
      </c>
      <c r="J7952">
        <v>0</v>
      </c>
    </row>
    <row r="7953" spans="1:10" x14ac:dyDescent="0.3">
      <c r="A7953" s="15">
        <v>46174</v>
      </c>
      <c r="B7953" t="s">
        <v>144</v>
      </c>
      <c r="C7953" t="s">
        <v>81</v>
      </c>
      <c r="D7953" t="s">
        <v>82</v>
      </c>
      <c r="E7953" t="s">
        <v>92</v>
      </c>
      <c r="F7953">
        <v>2700</v>
      </c>
      <c r="G7953" t="s">
        <v>331</v>
      </c>
      <c r="H7953" s="15">
        <v>45292</v>
      </c>
      <c r="I7953">
        <v>2700</v>
      </c>
      <c r="J7953">
        <v>0</v>
      </c>
    </row>
    <row r="7954" spans="1:10" x14ac:dyDescent="0.3">
      <c r="A7954" s="15">
        <v>46174</v>
      </c>
      <c r="B7954" t="s">
        <v>145</v>
      </c>
      <c r="C7954" t="s">
        <v>91</v>
      </c>
      <c r="D7954" t="s">
        <v>82</v>
      </c>
      <c r="E7954" t="s">
        <v>87</v>
      </c>
      <c r="F7954">
        <v>8200</v>
      </c>
      <c r="G7954" t="s">
        <v>331</v>
      </c>
      <c r="H7954" s="15">
        <v>45292</v>
      </c>
      <c r="I7954">
        <v>8200</v>
      </c>
      <c r="J7954">
        <v>0</v>
      </c>
    </row>
    <row r="7955" spans="1:10" x14ac:dyDescent="0.3">
      <c r="A7955" s="15">
        <v>46174</v>
      </c>
      <c r="B7955" t="s">
        <v>146</v>
      </c>
      <c r="C7955" t="s">
        <v>91</v>
      </c>
      <c r="D7955" t="s">
        <v>86</v>
      </c>
      <c r="E7955" t="s">
        <v>87</v>
      </c>
      <c r="F7955">
        <v>10100</v>
      </c>
      <c r="G7955" t="s">
        <v>331</v>
      </c>
      <c r="H7955" s="15">
        <v>45292</v>
      </c>
      <c r="I7955">
        <v>10100</v>
      </c>
      <c r="J7955">
        <v>0</v>
      </c>
    </row>
    <row r="7956" spans="1:10" x14ac:dyDescent="0.3">
      <c r="A7956" s="15">
        <v>46174</v>
      </c>
      <c r="B7956" t="s">
        <v>149</v>
      </c>
      <c r="C7956" t="s">
        <v>110</v>
      </c>
      <c r="D7956" t="s">
        <v>82</v>
      </c>
      <c r="E7956" t="s">
        <v>103</v>
      </c>
      <c r="F7956">
        <v>25500</v>
      </c>
      <c r="G7956" t="s">
        <v>331</v>
      </c>
      <c r="H7956" s="15">
        <v>45292</v>
      </c>
      <c r="I7956">
        <v>25500</v>
      </c>
      <c r="J7956">
        <v>0</v>
      </c>
    </row>
    <row r="7957" spans="1:10" x14ac:dyDescent="0.3">
      <c r="A7957" s="15">
        <v>46174</v>
      </c>
      <c r="B7957" t="s">
        <v>151</v>
      </c>
      <c r="C7957" t="s">
        <v>91</v>
      </c>
      <c r="D7957" t="s">
        <v>82</v>
      </c>
      <c r="E7957" t="s">
        <v>97</v>
      </c>
      <c r="F7957">
        <v>5600</v>
      </c>
      <c r="G7957" t="s">
        <v>331</v>
      </c>
      <c r="H7957" s="15">
        <v>45292</v>
      </c>
      <c r="I7957">
        <v>5600</v>
      </c>
      <c r="J7957">
        <v>0</v>
      </c>
    </row>
    <row r="7958" spans="1:10" x14ac:dyDescent="0.3">
      <c r="A7958" s="15">
        <v>46174</v>
      </c>
      <c r="B7958" t="s">
        <v>154</v>
      </c>
      <c r="C7958" t="s">
        <v>91</v>
      </c>
      <c r="D7958" t="s">
        <v>86</v>
      </c>
      <c r="E7958" t="s">
        <v>103</v>
      </c>
      <c r="F7958">
        <v>8300</v>
      </c>
      <c r="G7958" t="s">
        <v>331</v>
      </c>
      <c r="H7958" s="15">
        <v>45292</v>
      </c>
      <c r="I7958">
        <v>8300</v>
      </c>
      <c r="J7958">
        <v>0</v>
      </c>
    </row>
    <row r="7959" spans="1:10" x14ac:dyDescent="0.3">
      <c r="A7959" s="15">
        <v>46174</v>
      </c>
      <c r="B7959" t="s">
        <v>155</v>
      </c>
      <c r="C7959" t="s">
        <v>91</v>
      </c>
      <c r="D7959" t="s">
        <v>82</v>
      </c>
      <c r="E7959" t="s">
        <v>92</v>
      </c>
      <c r="F7959">
        <v>7300</v>
      </c>
      <c r="G7959" t="s">
        <v>331</v>
      </c>
      <c r="H7959" s="15">
        <v>45292</v>
      </c>
      <c r="I7959">
        <v>7300</v>
      </c>
      <c r="J7959">
        <v>0</v>
      </c>
    </row>
    <row r="7960" spans="1:10" x14ac:dyDescent="0.3">
      <c r="A7960" s="15">
        <v>46174</v>
      </c>
      <c r="B7960" t="s">
        <v>156</v>
      </c>
      <c r="C7960" t="s">
        <v>81</v>
      </c>
      <c r="D7960" t="s">
        <v>86</v>
      </c>
      <c r="E7960" t="s">
        <v>101</v>
      </c>
      <c r="F7960">
        <v>2300</v>
      </c>
      <c r="G7960" t="s">
        <v>331</v>
      </c>
      <c r="H7960" s="15">
        <v>45292</v>
      </c>
      <c r="I7960">
        <v>2300</v>
      </c>
      <c r="J7960">
        <v>0</v>
      </c>
    </row>
    <row r="7961" spans="1:10" x14ac:dyDescent="0.3">
      <c r="A7961" s="15">
        <v>46174</v>
      </c>
      <c r="B7961" t="s">
        <v>157</v>
      </c>
      <c r="C7961" t="s">
        <v>81</v>
      </c>
      <c r="D7961" t="s">
        <v>82</v>
      </c>
      <c r="E7961" t="s">
        <v>92</v>
      </c>
      <c r="F7961">
        <v>1800</v>
      </c>
      <c r="G7961" t="s">
        <v>331</v>
      </c>
      <c r="H7961" s="15">
        <v>45292</v>
      </c>
      <c r="I7961">
        <v>1800</v>
      </c>
      <c r="J7961">
        <v>0</v>
      </c>
    </row>
    <row r="7962" spans="1:10" x14ac:dyDescent="0.3">
      <c r="A7962" s="15">
        <v>46174</v>
      </c>
      <c r="B7962" t="s">
        <v>158</v>
      </c>
      <c r="C7962" t="s">
        <v>91</v>
      </c>
      <c r="D7962" t="s">
        <v>96</v>
      </c>
      <c r="E7962" t="s">
        <v>83</v>
      </c>
      <c r="F7962">
        <v>12600</v>
      </c>
      <c r="G7962" t="s">
        <v>331</v>
      </c>
      <c r="H7962" s="15">
        <v>45292</v>
      </c>
      <c r="I7962">
        <v>12600</v>
      </c>
      <c r="J7962">
        <v>0</v>
      </c>
    </row>
    <row r="7963" spans="1:10" x14ac:dyDescent="0.3">
      <c r="A7963" s="15">
        <v>46174</v>
      </c>
      <c r="B7963" t="s">
        <v>159</v>
      </c>
      <c r="C7963" t="s">
        <v>81</v>
      </c>
      <c r="D7963" t="s">
        <v>86</v>
      </c>
      <c r="E7963" t="s">
        <v>87</v>
      </c>
      <c r="F7963">
        <v>2400</v>
      </c>
      <c r="G7963" t="s">
        <v>331</v>
      </c>
      <c r="H7963" s="15">
        <v>45292</v>
      </c>
      <c r="I7963">
        <v>2400</v>
      </c>
      <c r="J7963">
        <v>0</v>
      </c>
    </row>
    <row r="7964" spans="1:10" x14ac:dyDescent="0.3">
      <c r="A7964" s="15">
        <v>46174</v>
      </c>
      <c r="B7964" t="s">
        <v>161</v>
      </c>
      <c r="C7964" t="s">
        <v>91</v>
      </c>
      <c r="D7964" t="s">
        <v>99</v>
      </c>
      <c r="E7964" t="s">
        <v>83</v>
      </c>
      <c r="F7964">
        <v>11700</v>
      </c>
      <c r="G7964" t="s">
        <v>331</v>
      </c>
      <c r="H7964" s="15">
        <v>45292</v>
      </c>
      <c r="I7964">
        <v>11700</v>
      </c>
      <c r="J7964">
        <v>0</v>
      </c>
    </row>
    <row r="7965" spans="1:10" x14ac:dyDescent="0.3">
      <c r="A7965" s="15">
        <v>46174</v>
      </c>
      <c r="B7965" t="s">
        <v>164</v>
      </c>
      <c r="C7965" t="s">
        <v>81</v>
      </c>
      <c r="D7965" t="s">
        <v>99</v>
      </c>
      <c r="E7965" t="s">
        <v>89</v>
      </c>
      <c r="F7965">
        <v>2800</v>
      </c>
      <c r="G7965" t="s">
        <v>331</v>
      </c>
      <c r="H7965" s="15">
        <v>45292</v>
      </c>
      <c r="I7965">
        <v>2800</v>
      </c>
      <c r="J7965">
        <v>0</v>
      </c>
    </row>
    <row r="7966" spans="1:10" x14ac:dyDescent="0.3">
      <c r="A7966" s="15">
        <v>46174</v>
      </c>
      <c r="B7966" t="s">
        <v>166</v>
      </c>
      <c r="C7966" t="s">
        <v>81</v>
      </c>
      <c r="D7966" t="s">
        <v>99</v>
      </c>
      <c r="E7966" t="s">
        <v>103</v>
      </c>
      <c r="F7966">
        <v>2600</v>
      </c>
      <c r="G7966" t="s">
        <v>331</v>
      </c>
      <c r="H7966" s="15">
        <v>45292</v>
      </c>
      <c r="I7966">
        <v>2600</v>
      </c>
      <c r="J7966">
        <v>0</v>
      </c>
    </row>
    <row r="7967" spans="1:10" x14ac:dyDescent="0.3">
      <c r="A7967" s="15">
        <v>46174</v>
      </c>
      <c r="B7967" t="s">
        <v>167</v>
      </c>
      <c r="C7967" t="s">
        <v>81</v>
      </c>
      <c r="D7967" t="s">
        <v>82</v>
      </c>
      <c r="E7967" t="s">
        <v>97</v>
      </c>
      <c r="F7967">
        <v>2000</v>
      </c>
      <c r="G7967" t="s">
        <v>331</v>
      </c>
      <c r="H7967" s="15">
        <v>45292</v>
      </c>
      <c r="I7967">
        <v>2000</v>
      </c>
      <c r="J7967">
        <v>0</v>
      </c>
    </row>
    <row r="7968" spans="1:10" x14ac:dyDescent="0.3">
      <c r="A7968" s="15">
        <v>46174</v>
      </c>
      <c r="B7968" t="s">
        <v>168</v>
      </c>
      <c r="C7968" t="s">
        <v>91</v>
      </c>
      <c r="D7968" t="s">
        <v>86</v>
      </c>
      <c r="E7968" t="s">
        <v>103</v>
      </c>
      <c r="F7968">
        <v>10700</v>
      </c>
      <c r="G7968" t="s">
        <v>334</v>
      </c>
      <c r="H7968" s="15">
        <v>45292</v>
      </c>
      <c r="I7968">
        <v>12200</v>
      </c>
      <c r="J7968">
        <v>-1500</v>
      </c>
    </row>
    <row r="7969" spans="1:10" x14ac:dyDescent="0.3">
      <c r="A7969" s="15">
        <v>46174</v>
      </c>
      <c r="B7969" t="s">
        <v>170</v>
      </c>
      <c r="C7969" t="s">
        <v>91</v>
      </c>
      <c r="D7969" t="s">
        <v>99</v>
      </c>
      <c r="E7969" t="s">
        <v>83</v>
      </c>
      <c r="F7969">
        <v>6500</v>
      </c>
      <c r="G7969" t="s">
        <v>331</v>
      </c>
      <c r="H7969" s="15">
        <v>45292</v>
      </c>
      <c r="I7969">
        <v>6500</v>
      </c>
      <c r="J7969">
        <v>0</v>
      </c>
    </row>
    <row r="7970" spans="1:10" x14ac:dyDescent="0.3">
      <c r="A7970" s="15">
        <v>46174</v>
      </c>
      <c r="B7970" t="s">
        <v>171</v>
      </c>
      <c r="C7970" t="s">
        <v>81</v>
      </c>
      <c r="D7970" t="s">
        <v>99</v>
      </c>
      <c r="E7970" t="s">
        <v>97</v>
      </c>
      <c r="F7970">
        <v>1700</v>
      </c>
      <c r="G7970" t="s">
        <v>331</v>
      </c>
      <c r="H7970" s="15">
        <v>45292</v>
      </c>
      <c r="I7970">
        <v>1700</v>
      </c>
      <c r="J7970">
        <v>0</v>
      </c>
    </row>
    <row r="7971" spans="1:10" x14ac:dyDescent="0.3">
      <c r="A7971" s="15">
        <v>46174</v>
      </c>
      <c r="B7971" t="s">
        <v>174</v>
      </c>
      <c r="C7971" t="s">
        <v>81</v>
      </c>
      <c r="D7971" t="s">
        <v>82</v>
      </c>
      <c r="E7971" t="s">
        <v>92</v>
      </c>
      <c r="F7971">
        <v>2400</v>
      </c>
      <c r="G7971" t="s">
        <v>331</v>
      </c>
      <c r="H7971" s="15">
        <v>45292</v>
      </c>
      <c r="I7971">
        <v>2400</v>
      </c>
      <c r="J7971">
        <v>0</v>
      </c>
    </row>
    <row r="7972" spans="1:10" x14ac:dyDescent="0.3">
      <c r="A7972" s="15">
        <v>46174</v>
      </c>
      <c r="B7972" t="s">
        <v>175</v>
      </c>
      <c r="C7972" t="s">
        <v>91</v>
      </c>
      <c r="D7972" t="s">
        <v>96</v>
      </c>
      <c r="E7972" t="s">
        <v>83</v>
      </c>
      <c r="F7972">
        <v>8800</v>
      </c>
      <c r="G7972" t="s">
        <v>331</v>
      </c>
      <c r="H7972" s="15">
        <v>45292</v>
      </c>
      <c r="I7972">
        <v>8800</v>
      </c>
      <c r="J7972">
        <v>0</v>
      </c>
    </row>
    <row r="7973" spans="1:10" x14ac:dyDescent="0.3">
      <c r="A7973" s="15">
        <v>46174</v>
      </c>
      <c r="B7973" t="s">
        <v>176</v>
      </c>
      <c r="C7973" t="s">
        <v>81</v>
      </c>
      <c r="D7973" t="s">
        <v>99</v>
      </c>
      <c r="E7973" t="s">
        <v>92</v>
      </c>
      <c r="F7973">
        <v>2900</v>
      </c>
      <c r="G7973" t="s">
        <v>331</v>
      </c>
      <c r="H7973" s="15">
        <v>45292</v>
      </c>
      <c r="I7973">
        <v>2900</v>
      </c>
      <c r="J7973">
        <v>0</v>
      </c>
    </row>
    <row r="7974" spans="1:10" x14ac:dyDescent="0.3">
      <c r="A7974" s="15">
        <v>46174</v>
      </c>
      <c r="B7974" t="s">
        <v>177</v>
      </c>
      <c r="C7974" t="s">
        <v>81</v>
      </c>
      <c r="D7974" t="s">
        <v>96</v>
      </c>
      <c r="E7974" t="s">
        <v>83</v>
      </c>
      <c r="F7974">
        <v>2900</v>
      </c>
      <c r="G7974" t="s">
        <v>331</v>
      </c>
      <c r="H7974" s="15">
        <v>45292</v>
      </c>
      <c r="I7974">
        <v>2900</v>
      </c>
      <c r="J7974">
        <v>0</v>
      </c>
    </row>
    <row r="7975" spans="1:10" x14ac:dyDescent="0.3">
      <c r="A7975" s="15">
        <v>46174</v>
      </c>
      <c r="B7975" t="s">
        <v>178</v>
      </c>
      <c r="C7975" t="s">
        <v>91</v>
      </c>
      <c r="D7975" t="s">
        <v>82</v>
      </c>
      <c r="E7975" t="s">
        <v>89</v>
      </c>
      <c r="F7975">
        <v>8400</v>
      </c>
      <c r="G7975" t="s">
        <v>331</v>
      </c>
      <c r="H7975" s="15">
        <v>45292</v>
      </c>
      <c r="I7975">
        <v>8400</v>
      </c>
      <c r="J7975">
        <v>0</v>
      </c>
    </row>
    <row r="7976" spans="1:10" x14ac:dyDescent="0.3">
      <c r="A7976" s="15">
        <v>46174</v>
      </c>
      <c r="B7976" t="s">
        <v>179</v>
      </c>
      <c r="C7976" t="s">
        <v>110</v>
      </c>
      <c r="D7976" t="s">
        <v>86</v>
      </c>
      <c r="E7976" t="s">
        <v>87</v>
      </c>
      <c r="F7976">
        <v>30000</v>
      </c>
      <c r="G7976" t="s">
        <v>331</v>
      </c>
      <c r="H7976" s="15">
        <v>45292</v>
      </c>
      <c r="I7976">
        <v>30000</v>
      </c>
      <c r="J7976">
        <v>0</v>
      </c>
    </row>
    <row r="7977" spans="1:10" x14ac:dyDescent="0.3">
      <c r="A7977" s="15">
        <v>46174</v>
      </c>
      <c r="B7977" t="s">
        <v>180</v>
      </c>
      <c r="C7977" t="s">
        <v>91</v>
      </c>
      <c r="D7977" t="s">
        <v>86</v>
      </c>
      <c r="E7977" t="s">
        <v>83</v>
      </c>
      <c r="F7977">
        <v>8500</v>
      </c>
      <c r="G7977" t="s">
        <v>331</v>
      </c>
      <c r="H7977" s="15">
        <v>45292</v>
      </c>
      <c r="I7977">
        <v>8500</v>
      </c>
      <c r="J7977">
        <v>0</v>
      </c>
    </row>
    <row r="7978" spans="1:10" x14ac:dyDescent="0.3">
      <c r="A7978" s="15">
        <v>46174</v>
      </c>
      <c r="B7978" t="s">
        <v>181</v>
      </c>
      <c r="C7978" t="s">
        <v>91</v>
      </c>
      <c r="D7978" t="s">
        <v>82</v>
      </c>
      <c r="E7978" t="s">
        <v>97</v>
      </c>
      <c r="F7978">
        <v>10100</v>
      </c>
      <c r="G7978" t="s">
        <v>331</v>
      </c>
      <c r="H7978" s="15">
        <v>45292</v>
      </c>
      <c r="I7978">
        <v>10100</v>
      </c>
      <c r="J7978">
        <v>0</v>
      </c>
    </row>
    <row r="7979" spans="1:10" x14ac:dyDescent="0.3">
      <c r="A7979" s="15">
        <v>46174</v>
      </c>
      <c r="B7979" t="s">
        <v>182</v>
      </c>
      <c r="C7979" t="s">
        <v>125</v>
      </c>
      <c r="D7979" t="s">
        <v>82</v>
      </c>
      <c r="E7979" t="s">
        <v>92</v>
      </c>
      <c r="F7979">
        <v>100200</v>
      </c>
      <c r="G7979" t="s">
        <v>331</v>
      </c>
      <c r="H7979" s="15">
        <v>45292</v>
      </c>
      <c r="I7979">
        <v>100200</v>
      </c>
      <c r="J7979">
        <v>0</v>
      </c>
    </row>
    <row r="7980" spans="1:10" x14ac:dyDescent="0.3">
      <c r="A7980" s="15">
        <v>46174</v>
      </c>
      <c r="B7980" t="s">
        <v>183</v>
      </c>
      <c r="C7980" t="s">
        <v>91</v>
      </c>
      <c r="D7980" t="s">
        <v>96</v>
      </c>
      <c r="E7980" t="s">
        <v>92</v>
      </c>
      <c r="F7980">
        <v>9500</v>
      </c>
      <c r="G7980" t="s">
        <v>331</v>
      </c>
      <c r="H7980" s="15">
        <v>45292</v>
      </c>
      <c r="I7980">
        <v>9500</v>
      </c>
      <c r="J7980">
        <v>0</v>
      </c>
    </row>
    <row r="7981" spans="1:10" x14ac:dyDescent="0.3">
      <c r="A7981" s="15">
        <v>46174</v>
      </c>
      <c r="B7981" t="s">
        <v>184</v>
      </c>
      <c r="C7981" t="s">
        <v>81</v>
      </c>
      <c r="D7981" t="s">
        <v>82</v>
      </c>
      <c r="E7981" t="s">
        <v>83</v>
      </c>
      <c r="F7981">
        <v>2400</v>
      </c>
      <c r="G7981" t="s">
        <v>331</v>
      </c>
      <c r="H7981" s="15">
        <v>45292</v>
      </c>
      <c r="I7981">
        <v>2400</v>
      </c>
      <c r="J7981">
        <v>0</v>
      </c>
    </row>
    <row r="7982" spans="1:10" x14ac:dyDescent="0.3">
      <c r="A7982" s="15">
        <v>46174</v>
      </c>
      <c r="B7982" t="s">
        <v>185</v>
      </c>
      <c r="C7982" t="s">
        <v>81</v>
      </c>
      <c r="D7982" t="s">
        <v>96</v>
      </c>
      <c r="E7982" t="s">
        <v>97</v>
      </c>
      <c r="F7982">
        <v>1900</v>
      </c>
      <c r="G7982" t="s">
        <v>331</v>
      </c>
      <c r="H7982" s="15">
        <v>45292</v>
      </c>
      <c r="I7982">
        <v>1900</v>
      </c>
      <c r="J7982">
        <v>0</v>
      </c>
    </row>
    <row r="7983" spans="1:10" x14ac:dyDescent="0.3">
      <c r="A7983" s="15">
        <v>46174</v>
      </c>
      <c r="B7983" t="s">
        <v>186</v>
      </c>
      <c r="C7983" t="s">
        <v>91</v>
      </c>
      <c r="D7983" t="s">
        <v>82</v>
      </c>
      <c r="E7983" t="s">
        <v>103</v>
      </c>
      <c r="F7983">
        <v>13900</v>
      </c>
      <c r="G7983" t="s">
        <v>331</v>
      </c>
      <c r="H7983" s="15">
        <v>45292</v>
      </c>
      <c r="I7983">
        <v>13900</v>
      </c>
      <c r="J7983">
        <v>0</v>
      </c>
    </row>
    <row r="7984" spans="1:10" x14ac:dyDescent="0.3">
      <c r="A7984" s="15">
        <v>46174</v>
      </c>
      <c r="B7984" t="s">
        <v>187</v>
      </c>
      <c r="C7984" t="s">
        <v>110</v>
      </c>
      <c r="D7984" t="s">
        <v>86</v>
      </c>
      <c r="E7984" t="s">
        <v>97</v>
      </c>
      <c r="F7984">
        <v>30100</v>
      </c>
      <c r="G7984" t="s">
        <v>331</v>
      </c>
      <c r="H7984" s="15">
        <v>45292</v>
      </c>
      <c r="I7984">
        <v>30100</v>
      </c>
      <c r="J7984">
        <v>0</v>
      </c>
    </row>
    <row r="7985" spans="1:10" x14ac:dyDescent="0.3">
      <c r="A7985" s="15">
        <v>46174</v>
      </c>
      <c r="B7985" t="s">
        <v>188</v>
      </c>
      <c r="C7985" t="s">
        <v>91</v>
      </c>
      <c r="D7985" t="s">
        <v>82</v>
      </c>
      <c r="E7985" t="s">
        <v>92</v>
      </c>
      <c r="F7985">
        <v>12800</v>
      </c>
      <c r="G7985" t="s">
        <v>331</v>
      </c>
      <c r="H7985" s="15">
        <v>45292</v>
      </c>
      <c r="I7985">
        <v>12800</v>
      </c>
      <c r="J7985">
        <v>0</v>
      </c>
    </row>
    <row r="7986" spans="1:10" x14ac:dyDescent="0.3">
      <c r="A7986" s="15">
        <v>46174</v>
      </c>
      <c r="B7986" t="s">
        <v>189</v>
      </c>
      <c r="C7986" t="s">
        <v>81</v>
      </c>
      <c r="D7986" t="s">
        <v>86</v>
      </c>
      <c r="E7986" t="s">
        <v>103</v>
      </c>
      <c r="F7986">
        <v>2000</v>
      </c>
      <c r="G7986" t="s">
        <v>331</v>
      </c>
      <c r="H7986" s="15">
        <v>45292</v>
      </c>
      <c r="I7986">
        <v>2000</v>
      </c>
      <c r="J7986">
        <v>0</v>
      </c>
    </row>
    <row r="7987" spans="1:10" x14ac:dyDescent="0.3">
      <c r="A7987" s="15">
        <v>46174</v>
      </c>
      <c r="B7987" t="s">
        <v>190</v>
      </c>
      <c r="C7987" t="s">
        <v>81</v>
      </c>
      <c r="D7987" t="s">
        <v>99</v>
      </c>
      <c r="E7987" t="s">
        <v>89</v>
      </c>
      <c r="F7987">
        <v>1900</v>
      </c>
      <c r="G7987" t="s">
        <v>331</v>
      </c>
      <c r="H7987" s="15">
        <v>45292</v>
      </c>
      <c r="I7987">
        <v>1900</v>
      </c>
      <c r="J7987">
        <v>0</v>
      </c>
    </row>
    <row r="7988" spans="1:10" x14ac:dyDescent="0.3">
      <c r="A7988" s="15">
        <v>46174</v>
      </c>
      <c r="B7988" t="s">
        <v>191</v>
      </c>
      <c r="C7988" t="s">
        <v>91</v>
      </c>
      <c r="D7988" t="s">
        <v>86</v>
      </c>
      <c r="E7988" t="s">
        <v>87</v>
      </c>
      <c r="F7988">
        <v>6900</v>
      </c>
      <c r="G7988" t="s">
        <v>331</v>
      </c>
      <c r="H7988" s="15">
        <v>45292</v>
      </c>
      <c r="I7988">
        <v>6900</v>
      </c>
      <c r="J7988">
        <v>0</v>
      </c>
    </row>
    <row r="7989" spans="1:10" x14ac:dyDescent="0.3">
      <c r="A7989" s="15">
        <v>46174</v>
      </c>
      <c r="B7989" t="s">
        <v>192</v>
      </c>
      <c r="C7989" t="s">
        <v>81</v>
      </c>
      <c r="D7989" t="s">
        <v>82</v>
      </c>
      <c r="E7989" t="s">
        <v>97</v>
      </c>
      <c r="F7989">
        <v>0</v>
      </c>
      <c r="G7989" t="s">
        <v>333</v>
      </c>
      <c r="H7989" s="15">
        <v>45292</v>
      </c>
      <c r="I7989">
        <v>2300</v>
      </c>
      <c r="J7989">
        <v>-2300</v>
      </c>
    </row>
    <row r="7990" spans="1:10" x14ac:dyDescent="0.3">
      <c r="A7990" s="15">
        <v>46174</v>
      </c>
      <c r="B7990" t="s">
        <v>193</v>
      </c>
      <c r="C7990" t="s">
        <v>81</v>
      </c>
      <c r="D7990" t="s">
        <v>82</v>
      </c>
      <c r="E7990" t="s">
        <v>87</v>
      </c>
      <c r="F7990">
        <v>3200</v>
      </c>
      <c r="G7990" t="s">
        <v>331</v>
      </c>
      <c r="H7990" s="15">
        <v>45292</v>
      </c>
      <c r="I7990">
        <v>3200</v>
      </c>
      <c r="J7990">
        <v>0</v>
      </c>
    </row>
    <row r="7991" spans="1:10" x14ac:dyDescent="0.3">
      <c r="A7991" s="15">
        <v>46174</v>
      </c>
      <c r="B7991" t="s">
        <v>194</v>
      </c>
      <c r="C7991" t="s">
        <v>91</v>
      </c>
      <c r="D7991" t="s">
        <v>82</v>
      </c>
      <c r="E7991" t="s">
        <v>101</v>
      </c>
      <c r="F7991">
        <v>11200</v>
      </c>
      <c r="G7991" t="s">
        <v>331</v>
      </c>
      <c r="H7991" s="15">
        <v>45292</v>
      </c>
      <c r="I7991">
        <v>11200</v>
      </c>
      <c r="J7991">
        <v>0</v>
      </c>
    </row>
    <row r="7992" spans="1:10" x14ac:dyDescent="0.3">
      <c r="A7992" s="15">
        <v>46174</v>
      </c>
      <c r="B7992" t="s">
        <v>195</v>
      </c>
      <c r="C7992" t="s">
        <v>91</v>
      </c>
      <c r="D7992" t="s">
        <v>86</v>
      </c>
      <c r="E7992" t="s">
        <v>97</v>
      </c>
      <c r="F7992">
        <v>6800</v>
      </c>
      <c r="G7992" t="s">
        <v>331</v>
      </c>
      <c r="H7992" s="15">
        <v>45292</v>
      </c>
      <c r="I7992">
        <v>6800</v>
      </c>
      <c r="J7992">
        <v>0</v>
      </c>
    </row>
    <row r="7993" spans="1:10" x14ac:dyDescent="0.3">
      <c r="A7993" s="15">
        <v>46174</v>
      </c>
      <c r="B7993" t="s">
        <v>197</v>
      </c>
      <c r="C7993" t="s">
        <v>91</v>
      </c>
      <c r="D7993" t="s">
        <v>82</v>
      </c>
      <c r="E7993" t="s">
        <v>89</v>
      </c>
      <c r="F7993">
        <v>12000</v>
      </c>
      <c r="G7993" t="s">
        <v>331</v>
      </c>
      <c r="H7993" s="15">
        <v>45292</v>
      </c>
      <c r="I7993">
        <v>12000</v>
      </c>
      <c r="J7993">
        <v>0</v>
      </c>
    </row>
    <row r="7994" spans="1:10" x14ac:dyDescent="0.3">
      <c r="A7994" s="15">
        <v>46174</v>
      </c>
      <c r="B7994" t="s">
        <v>198</v>
      </c>
      <c r="C7994" t="s">
        <v>81</v>
      </c>
      <c r="D7994" t="s">
        <v>82</v>
      </c>
      <c r="E7994" t="s">
        <v>89</v>
      </c>
      <c r="F7994">
        <v>2900</v>
      </c>
      <c r="G7994" t="s">
        <v>331</v>
      </c>
      <c r="H7994" s="15">
        <v>45292</v>
      </c>
      <c r="I7994">
        <v>2900</v>
      </c>
      <c r="J7994">
        <v>0</v>
      </c>
    </row>
    <row r="7995" spans="1:10" x14ac:dyDescent="0.3">
      <c r="A7995" s="15">
        <v>46174</v>
      </c>
      <c r="B7995" t="s">
        <v>199</v>
      </c>
      <c r="C7995" t="s">
        <v>81</v>
      </c>
      <c r="D7995" t="s">
        <v>86</v>
      </c>
      <c r="E7995" t="s">
        <v>89</v>
      </c>
      <c r="F7995">
        <v>2200</v>
      </c>
      <c r="G7995" t="s">
        <v>331</v>
      </c>
      <c r="H7995" s="15">
        <v>45292</v>
      </c>
      <c r="I7995">
        <v>2200</v>
      </c>
      <c r="J7995">
        <v>0</v>
      </c>
    </row>
    <row r="7996" spans="1:10" x14ac:dyDescent="0.3">
      <c r="A7996" s="15">
        <v>46174</v>
      </c>
      <c r="B7996" t="s">
        <v>200</v>
      </c>
      <c r="C7996" t="s">
        <v>91</v>
      </c>
      <c r="D7996" t="s">
        <v>86</v>
      </c>
      <c r="E7996" t="s">
        <v>92</v>
      </c>
      <c r="F7996">
        <v>8800</v>
      </c>
      <c r="G7996" t="s">
        <v>331</v>
      </c>
      <c r="H7996" s="15">
        <v>45292</v>
      </c>
      <c r="I7996">
        <v>8800</v>
      </c>
      <c r="J7996">
        <v>0</v>
      </c>
    </row>
    <row r="7997" spans="1:10" x14ac:dyDescent="0.3">
      <c r="A7997" s="15">
        <v>46174</v>
      </c>
      <c r="B7997" t="s">
        <v>201</v>
      </c>
      <c r="C7997" t="s">
        <v>81</v>
      </c>
      <c r="D7997" t="s">
        <v>86</v>
      </c>
      <c r="E7997" t="s">
        <v>83</v>
      </c>
      <c r="F7997">
        <v>1500</v>
      </c>
      <c r="G7997" t="s">
        <v>331</v>
      </c>
      <c r="H7997" s="15">
        <v>45292</v>
      </c>
      <c r="I7997">
        <v>1500</v>
      </c>
      <c r="J7997">
        <v>0</v>
      </c>
    </row>
    <row r="7998" spans="1:10" x14ac:dyDescent="0.3">
      <c r="A7998" s="15">
        <v>46174</v>
      </c>
      <c r="B7998" t="s">
        <v>202</v>
      </c>
      <c r="C7998" t="s">
        <v>91</v>
      </c>
      <c r="D7998" t="s">
        <v>82</v>
      </c>
      <c r="E7998" t="s">
        <v>92</v>
      </c>
      <c r="F7998">
        <v>12700</v>
      </c>
      <c r="G7998" t="s">
        <v>331</v>
      </c>
      <c r="H7998" s="15">
        <v>45292</v>
      </c>
      <c r="I7998">
        <v>12700</v>
      </c>
      <c r="J7998">
        <v>0</v>
      </c>
    </row>
    <row r="7999" spans="1:10" x14ac:dyDescent="0.3">
      <c r="A7999" s="15">
        <v>46174</v>
      </c>
      <c r="B7999" t="s">
        <v>204</v>
      </c>
      <c r="C7999" t="s">
        <v>81</v>
      </c>
      <c r="D7999" t="s">
        <v>82</v>
      </c>
      <c r="E7999" t="s">
        <v>87</v>
      </c>
      <c r="F7999">
        <v>1900</v>
      </c>
      <c r="G7999" t="s">
        <v>331</v>
      </c>
      <c r="H7999" s="15">
        <v>45292</v>
      </c>
      <c r="I7999">
        <v>1900</v>
      </c>
      <c r="J7999">
        <v>0</v>
      </c>
    </row>
    <row r="8000" spans="1:10" x14ac:dyDescent="0.3">
      <c r="A8000" s="15">
        <v>46174</v>
      </c>
      <c r="B8000" t="s">
        <v>205</v>
      </c>
      <c r="C8000" t="s">
        <v>91</v>
      </c>
      <c r="D8000" t="s">
        <v>86</v>
      </c>
      <c r="E8000" t="s">
        <v>103</v>
      </c>
      <c r="F8000">
        <v>9800</v>
      </c>
      <c r="G8000" t="s">
        <v>331</v>
      </c>
      <c r="H8000" s="15">
        <v>45292</v>
      </c>
      <c r="I8000">
        <v>9800</v>
      </c>
      <c r="J8000">
        <v>0</v>
      </c>
    </row>
    <row r="8001" spans="1:10" x14ac:dyDescent="0.3">
      <c r="A8001" s="15">
        <v>46174</v>
      </c>
      <c r="B8001" t="s">
        <v>206</v>
      </c>
      <c r="C8001" t="s">
        <v>81</v>
      </c>
      <c r="D8001" t="s">
        <v>86</v>
      </c>
      <c r="E8001" t="s">
        <v>89</v>
      </c>
      <c r="F8001">
        <v>3000</v>
      </c>
      <c r="G8001" t="s">
        <v>331</v>
      </c>
      <c r="H8001" s="15">
        <v>45292</v>
      </c>
      <c r="I8001">
        <v>3000</v>
      </c>
      <c r="J8001">
        <v>0</v>
      </c>
    </row>
    <row r="8002" spans="1:10" x14ac:dyDescent="0.3">
      <c r="A8002" s="15">
        <v>46174</v>
      </c>
      <c r="B8002" t="s">
        <v>207</v>
      </c>
      <c r="C8002" t="s">
        <v>81</v>
      </c>
      <c r="D8002" t="s">
        <v>82</v>
      </c>
      <c r="E8002" t="s">
        <v>89</v>
      </c>
      <c r="F8002">
        <v>3500</v>
      </c>
      <c r="G8002" t="s">
        <v>331</v>
      </c>
      <c r="H8002" s="15">
        <v>45292</v>
      </c>
      <c r="I8002">
        <v>3500</v>
      </c>
      <c r="J8002">
        <v>0</v>
      </c>
    </row>
    <row r="8003" spans="1:10" x14ac:dyDescent="0.3">
      <c r="A8003" s="15">
        <v>46174</v>
      </c>
      <c r="B8003" t="s">
        <v>208</v>
      </c>
      <c r="C8003" t="s">
        <v>91</v>
      </c>
      <c r="D8003" t="s">
        <v>99</v>
      </c>
      <c r="E8003" t="s">
        <v>89</v>
      </c>
      <c r="F8003">
        <v>7700</v>
      </c>
      <c r="G8003" t="s">
        <v>331</v>
      </c>
      <c r="H8003" s="15">
        <v>45292</v>
      </c>
      <c r="I8003">
        <v>7700</v>
      </c>
      <c r="J8003">
        <v>0</v>
      </c>
    </row>
    <row r="8004" spans="1:10" x14ac:dyDescent="0.3">
      <c r="A8004" s="15">
        <v>46174</v>
      </c>
      <c r="B8004" t="s">
        <v>209</v>
      </c>
      <c r="C8004" t="s">
        <v>81</v>
      </c>
      <c r="D8004" t="s">
        <v>86</v>
      </c>
      <c r="E8004" t="s">
        <v>83</v>
      </c>
      <c r="F8004">
        <v>3000</v>
      </c>
      <c r="G8004" t="s">
        <v>334</v>
      </c>
      <c r="H8004" s="15">
        <v>45292</v>
      </c>
      <c r="I8004">
        <v>3300</v>
      </c>
      <c r="J8004">
        <v>-300</v>
      </c>
    </row>
    <row r="8005" spans="1:10" x14ac:dyDescent="0.3">
      <c r="A8005" s="15">
        <v>46174</v>
      </c>
      <c r="B8005" t="s">
        <v>210</v>
      </c>
      <c r="C8005" t="s">
        <v>125</v>
      </c>
      <c r="D8005" t="s">
        <v>96</v>
      </c>
      <c r="E8005" t="s">
        <v>89</v>
      </c>
      <c r="F8005">
        <v>98600</v>
      </c>
      <c r="G8005" t="s">
        <v>331</v>
      </c>
      <c r="H8005" s="15">
        <v>45292</v>
      </c>
      <c r="I8005">
        <v>98600</v>
      </c>
      <c r="J8005">
        <v>0</v>
      </c>
    </row>
    <row r="8006" spans="1:10" x14ac:dyDescent="0.3">
      <c r="A8006" s="15">
        <v>46174</v>
      </c>
      <c r="B8006" t="s">
        <v>213</v>
      </c>
      <c r="C8006" t="s">
        <v>81</v>
      </c>
      <c r="D8006" t="s">
        <v>82</v>
      </c>
      <c r="E8006" t="s">
        <v>97</v>
      </c>
      <c r="F8006">
        <v>3300</v>
      </c>
      <c r="G8006" t="s">
        <v>331</v>
      </c>
      <c r="H8006" s="15">
        <v>45292</v>
      </c>
      <c r="I8006">
        <v>3300</v>
      </c>
      <c r="J8006">
        <v>0</v>
      </c>
    </row>
    <row r="8007" spans="1:10" x14ac:dyDescent="0.3">
      <c r="A8007" s="15">
        <v>46174</v>
      </c>
      <c r="B8007" t="s">
        <v>214</v>
      </c>
      <c r="C8007" t="s">
        <v>91</v>
      </c>
      <c r="D8007" t="s">
        <v>82</v>
      </c>
      <c r="E8007" t="s">
        <v>89</v>
      </c>
      <c r="F8007">
        <v>8700</v>
      </c>
      <c r="G8007" t="s">
        <v>331</v>
      </c>
      <c r="H8007" s="15">
        <v>45292</v>
      </c>
      <c r="I8007">
        <v>8700</v>
      </c>
      <c r="J8007">
        <v>0</v>
      </c>
    </row>
    <row r="8008" spans="1:10" x14ac:dyDescent="0.3">
      <c r="A8008" s="15">
        <v>46174</v>
      </c>
      <c r="B8008" t="s">
        <v>216</v>
      </c>
      <c r="C8008" t="s">
        <v>81</v>
      </c>
      <c r="D8008" t="s">
        <v>82</v>
      </c>
      <c r="E8008" t="s">
        <v>97</v>
      </c>
      <c r="F8008">
        <v>3500</v>
      </c>
      <c r="G8008" t="s">
        <v>331</v>
      </c>
      <c r="H8008" s="15">
        <v>45292</v>
      </c>
      <c r="I8008">
        <v>3500</v>
      </c>
      <c r="J8008">
        <v>0</v>
      </c>
    </row>
    <row r="8009" spans="1:10" x14ac:dyDescent="0.3">
      <c r="A8009" s="15">
        <v>46174</v>
      </c>
      <c r="B8009" t="s">
        <v>218</v>
      </c>
      <c r="C8009" t="s">
        <v>110</v>
      </c>
      <c r="D8009" t="s">
        <v>99</v>
      </c>
      <c r="E8009" t="s">
        <v>92</v>
      </c>
      <c r="F8009">
        <v>32200</v>
      </c>
      <c r="G8009" t="s">
        <v>331</v>
      </c>
      <c r="H8009" s="15">
        <v>45292</v>
      </c>
      <c r="I8009">
        <v>32200</v>
      </c>
      <c r="J8009">
        <v>0</v>
      </c>
    </row>
    <row r="8010" spans="1:10" x14ac:dyDescent="0.3">
      <c r="A8010" s="15">
        <v>46174</v>
      </c>
      <c r="B8010" t="s">
        <v>220</v>
      </c>
      <c r="C8010" t="s">
        <v>110</v>
      </c>
      <c r="D8010" t="s">
        <v>82</v>
      </c>
      <c r="E8010" t="s">
        <v>89</v>
      </c>
      <c r="F8010">
        <v>30800</v>
      </c>
      <c r="G8010" t="s">
        <v>331</v>
      </c>
      <c r="H8010" s="15">
        <v>45292</v>
      </c>
      <c r="I8010">
        <v>30800</v>
      </c>
      <c r="J8010">
        <v>0</v>
      </c>
    </row>
    <row r="8011" spans="1:10" x14ac:dyDescent="0.3">
      <c r="A8011" s="15">
        <v>46174</v>
      </c>
      <c r="B8011" t="s">
        <v>224</v>
      </c>
      <c r="C8011" t="s">
        <v>91</v>
      </c>
      <c r="D8011" t="s">
        <v>82</v>
      </c>
      <c r="E8011" t="s">
        <v>101</v>
      </c>
      <c r="F8011">
        <v>10000</v>
      </c>
      <c r="G8011" t="s">
        <v>334</v>
      </c>
      <c r="H8011" s="15">
        <v>45292</v>
      </c>
      <c r="I8011">
        <v>12000</v>
      </c>
      <c r="J8011">
        <v>-2000</v>
      </c>
    </row>
    <row r="8012" spans="1:10" x14ac:dyDescent="0.3">
      <c r="A8012" s="15">
        <v>46174</v>
      </c>
      <c r="B8012" t="s">
        <v>225</v>
      </c>
      <c r="C8012" t="s">
        <v>110</v>
      </c>
      <c r="D8012" t="s">
        <v>99</v>
      </c>
      <c r="E8012" t="s">
        <v>103</v>
      </c>
      <c r="F8012">
        <v>42200</v>
      </c>
      <c r="G8012" t="s">
        <v>331</v>
      </c>
      <c r="H8012" s="15">
        <v>45292</v>
      </c>
      <c r="I8012">
        <v>42200</v>
      </c>
      <c r="J8012">
        <v>0</v>
      </c>
    </row>
    <row r="8013" spans="1:10" x14ac:dyDescent="0.3">
      <c r="A8013" s="15">
        <v>46174</v>
      </c>
      <c r="B8013" t="s">
        <v>226</v>
      </c>
      <c r="C8013" t="s">
        <v>91</v>
      </c>
      <c r="D8013" t="s">
        <v>82</v>
      </c>
      <c r="E8013" t="s">
        <v>103</v>
      </c>
      <c r="F8013">
        <v>5900</v>
      </c>
      <c r="G8013" t="s">
        <v>331</v>
      </c>
      <c r="H8013" s="15">
        <v>45292</v>
      </c>
      <c r="I8013">
        <v>5900</v>
      </c>
      <c r="J8013">
        <v>0</v>
      </c>
    </row>
    <row r="8014" spans="1:10" x14ac:dyDescent="0.3">
      <c r="A8014" s="15">
        <v>46174</v>
      </c>
      <c r="B8014" t="s">
        <v>227</v>
      </c>
      <c r="C8014" t="s">
        <v>110</v>
      </c>
      <c r="D8014" t="s">
        <v>86</v>
      </c>
      <c r="E8014" t="s">
        <v>87</v>
      </c>
      <c r="F8014">
        <v>27900</v>
      </c>
      <c r="G8014" t="s">
        <v>331</v>
      </c>
      <c r="H8014" s="15">
        <v>45292</v>
      </c>
      <c r="I8014">
        <v>27900</v>
      </c>
      <c r="J8014">
        <v>0</v>
      </c>
    </row>
    <row r="8015" spans="1:10" x14ac:dyDescent="0.3">
      <c r="A8015" s="15">
        <v>46174</v>
      </c>
      <c r="B8015" t="s">
        <v>228</v>
      </c>
      <c r="C8015" t="s">
        <v>91</v>
      </c>
      <c r="D8015" t="s">
        <v>96</v>
      </c>
      <c r="E8015" t="s">
        <v>89</v>
      </c>
      <c r="F8015">
        <v>12000</v>
      </c>
      <c r="G8015" t="s">
        <v>331</v>
      </c>
      <c r="H8015" s="15">
        <v>45292</v>
      </c>
      <c r="I8015">
        <v>12000</v>
      </c>
      <c r="J8015">
        <v>0</v>
      </c>
    </row>
    <row r="8016" spans="1:10" x14ac:dyDescent="0.3">
      <c r="A8016" s="15">
        <v>46174</v>
      </c>
      <c r="B8016" t="s">
        <v>229</v>
      </c>
      <c r="C8016" t="s">
        <v>81</v>
      </c>
      <c r="D8016" t="s">
        <v>82</v>
      </c>
      <c r="E8016" t="s">
        <v>83</v>
      </c>
      <c r="F8016">
        <v>3700</v>
      </c>
      <c r="G8016" t="s">
        <v>331</v>
      </c>
      <c r="H8016" s="15">
        <v>45292</v>
      </c>
      <c r="I8016">
        <v>3700</v>
      </c>
      <c r="J8016">
        <v>0</v>
      </c>
    </row>
    <row r="8017" spans="1:10" x14ac:dyDescent="0.3">
      <c r="A8017" s="15">
        <v>46174</v>
      </c>
      <c r="B8017" t="s">
        <v>230</v>
      </c>
      <c r="C8017" t="s">
        <v>81</v>
      </c>
      <c r="D8017" t="s">
        <v>86</v>
      </c>
      <c r="E8017" t="s">
        <v>101</v>
      </c>
      <c r="F8017">
        <v>3400</v>
      </c>
      <c r="G8017" t="s">
        <v>331</v>
      </c>
      <c r="H8017" s="15">
        <v>45292</v>
      </c>
      <c r="I8017">
        <v>3400</v>
      </c>
      <c r="J8017">
        <v>0</v>
      </c>
    </row>
    <row r="8018" spans="1:10" x14ac:dyDescent="0.3">
      <c r="A8018" s="15">
        <v>46174</v>
      </c>
      <c r="B8018" t="s">
        <v>231</v>
      </c>
      <c r="C8018" t="s">
        <v>91</v>
      </c>
      <c r="D8018" t="s">
        <v>82</v>
      </c>
      <c r="E8018" t="s">
        <v>92</v>
      </c>
      <c r="F8018">
        <v>6900</v>
      </c>
      <c r="G8018" t="s">
        <v>331</v>
      </c>
      <c r="H8018" s="15">
        <v>45292</v>
      </c>
      <c r="I8018">
        <v>6900</v>
      </c>
      <c r="J8018">
        <v>0</v>
      </c>
    </row>
    <row r="8019" spans="1:10" x14ac:dyDescent="0.3">
      <c r="A8019" s="15">
        <v>46174</v>
      </c>
      <c r="B8019" t="s">
        <v>232</v>
      </c>
      <c r="C8019" t="s">
        <v>125</v>
      </c>
      <c r="D8019" t="s">
        <v>86</v>
      </c>
      <c r="E8019" t="s">
        <v>83</v>
      </c>
      <c r="F8019">
        <v>121100</v>
      </c>
      <c r="G8019" t="s">
        <v>331</v>
      </c>
      <c r="H8019" s="15">
        <v>45292</v>
      </c>
      <c r="I8019">
        <v>121100</v>
      </c>
      <c r="J8019">
        <v>0</v>
      </c>
    </row>
    <row r="8020" spans="1:10" x14ac:dyDescent="0.3">
      <c r="A8020" s="15">
        <v>46174</v>
      </c>
      <c r="B8020" t="s">
        <v>233</v>
      </c>
      <c r="C8020" t="s">
        <v>81</v>
      </c>
      <c r="D8020" t="s">
        <v>82</v>
      </c>
      <c r="E8020" t="s">
        <v>87</v>
      </c>
      <c r="F8020">
        <v>3300</v>
      </c>
      <c r="G8020" t="s">
        <v>331</v>
      </c>
      <c r="H8020" s="15">
        <v>45292</v>
      </c>
      <c r="I8020">
        <v>3300</v>
      </c>
      <c r="J8020">
        <v>0</v>
      </c>
    </row>
    <row r="8021" spans="1:10" x14ac:dyDescent="0.3">
      <c r="A8021" s="15">
        <v>46174</v>
      </c>
      <c r="B8021" t="s">
        <v>235</v>
      </c>
      <c r="C8021" t="s">
        <v>91</v>
      </c>
      <c r="D8021" t="s">
        <v>96</v>
      </c>
      <c r="E8021" t="s">
        <v>103</v>
      </c>
      <c r="F8021">
        <v>11100</v>
      </c>
      <c r="G8021" t="s">
        <v>331</v>
      </c>
      <c r="H8021" s="15">
        <v>45292</v>
      </c>
      <c r="I8021">
        <v>11100</v>
      </c>
      <c r="J8021">
        <v>0</v>
      </c>
    </row>
    <row r="8022" spans="1:10" x14ac:dyDescent="0.3">
      <c r="A8022" s="15">
        <v>46174</v>
      </c>
      <c r="B8022" t="s">
        <v>237</v>
      </c>
      <c r="C8022" t="s">
        <v>91</v>
      </c>
      <c r="D8022" t="s">
        <v>82</v>
      </c>
      <c r="E8022" t="s">
        <v>83</v>
      </c>
      <c r="F8022">
        <v>6900</v>
      </c>
      <c r="G8022" t="s">
        <v>331</v>
      </c>
      <c r="H8022" s="15">
        <v>45292</v>
      </c>
      <c r="I8022">
        <v>6900</v>
      </c>
      <c r="J8022">
        <v>0</v>
      </c>
    </row>
    <row r="8023" spans="1:10" x14ac:dyDescent="0.3">
      <c r="A8023" s="15">
        <v>46174</v>
      </c>
      <c r="B8023" t="s">
        <v>238</v>
      </c>
      <c r="C8023" t="s">
        <v>81</v>
      </c>
      <c r="D8023" t="s">
        <v>99</v>
      </c>
      <c r="E8023" t="s">
        <v>97</v>
      </c>
      <c r="F8023">
        <v>2300</v>
      </c>
      <c r="G8023" t="s">
        <v>331</v>
      </c>
      <c r="H8023" s="15">
        <v>45292</v>
      </c>
      <c r="I8023">
        <v>2300</v>
      </c>
      <c r="J8023">
        <v>0</v>
      </c>
    </row>
    <row r="8024" spans="1:10" x14ac:dyDescent="0.3">
      <c r="A8024" s="15">
        <v>46174</v>
      </c>
      <c r="B8024" t="s">
        <v>239</v>
      </c>
      <c r="C8024" t="s">
        <v>81</v>
      </c>
      <c r="D8024" t="s">
        <v>82</v>
      </c>
      <c r="E8024" t="s">
        <v>103</v>
      </c>
      <c r="F8024">
        <v>2500</v>
      </c>
      <c r="G8024" t="s">
        <v>331</v>
      </c>
      <c r="H8024" s="15">
        <v>45292</v>
      </c>
      <c r="I8024">
        <v>2500</v>
      </c>
      <c r="J8024">
        <v>0</v>
      </c>
    </row>
    <row r="8025" spans="1:10" x14ac:dyDescent="0.3">
      <c r="A8025" s="15">
        <v>46174</v>
      </c>
      <c r="B8025" t="s">
        <v>240</v>
      </c>
      <c r="C8025" t="s">
        <v>81</v>
      </c>
      <c r="D8025" t="s">
        <v>99</v>
      </c>
      <c r="E8025" t="s">
        <v>103</v>
      </c>
      <c r="F8025">
        <v>2300</v>
      </c>
      <c r="G8025" t="s">
        <v>331</v>
      </c>
      <c r="H8025" s="15">
        <v>45292</v>
      </c>
      <c r="I8025">
        <v>2300</v>
      </c>
      <c r="J8025">
        <v>0</v>
      </c>
    </row>
    <row r="8026" spans="1:10" x14ac:dyDescent="0.3">
      <c r="A8026" s="15">
        <v>46174</v>
      </c>
      <c r="B8026" t="s">
        <v>241</v>
      </c>
      <c r="C8026" t="s">
        <v>91</v>
      </c>
      <c r="D8026" t="s">
        <v>96</v>
      </c>
      <c r="E8026" t="s">
        <v>87</v>
      </c>
      <c r="F8026">
        <v>13000</v>
      </c>
      <c r="G8026" t="s">
        <v>332</v>
      </c>
      <c r="H8026" s="15">
        <v>45292</v>
      </c>
      <c r="I8026">
        <v>12100</v>
      </c>
      <c r="J8026">
        <v>900</v>
      </c>
    </row>
    <row r="8027" spans="1:10" x14ac:dyDescent="0.3">
      <c r="A8027" s="15">
        <v>46174</v>
      </c>
      <c r="B8027" t="s">
        <v>242</v>
      </c>
      <c r="C8027" t="s">
        <v>110</v>
      </c>
      <c r="D8027" t="s">
        <v>99</v>
      </c>
      <c r="E8027" t="s">
        <v>101</v>
      </c>
      <c r="F8027">
        <v>34800</v>
      </c>
      <c r="G8027" t="s">
        <v>331</v>
      </c>
      <c r="H8027" s="15">
        <v>45292</v>
      </c>
      <c r="I8027">
        <v>34800</v>
      </c>
      <c r="J8027">
        <v>0</v>
      </c>
    </row>
    <row r="8028" spans="1:10" x14ac:dyDescent="0.3">
      <c r="A8028" s="15">
        <v>46174</v>
      </c>
      <c r="B8028" t="s">
        <v>244</v>
      </c>
      <c r="C8028" t="s">
        <v>91</v>
      </c>
      <c r="D8028" t="s">
        <v>82</v>
      </c>
      <c r="E8028" t="s">
        <v>92</v>
      </c>
      <c r="F8028">
        <v>7800</v>
      </c>
      <c r="G8028" t="s">
        <v>331</v>
      </c>
      <c r="H8028" s="15">
        <v>45292</v>
      </c>
      <c r="I8028">
        <v>7800</v>
      </c>
      <c r="J8028">
        <v>0</v>
      </c>
    </row>
    <row r="8029" spans="1:10" x14ac:dyDescent="0.3">
      <c r="A8029" s="15">
        <v>46174</v>
      </c>
      <c r="B8029" t="s">
        <v>245</v>
      </c>
      <c r="C8029" t="s">
        <v>81</v>
      </c>
      <c r="D8029" t="s">
        <v>99</v>
      </c>
      <c r="E8029" t="s">
        <v>97</v>
      </c>
      <c r="F8029">
        <v>2900</v>
      </c>
      <c r="G8029" t="s">
        <v>331</v>
      </c>
      <c r="H8029" s="15">
        <v>45292</v>
      </c>
      <c r="I8029">
        <v>2900</v>
      </c>
      <c r="J8029">
        <v>0</v>
      </c>
    </row>
    <row r="8030" spans="1:10" x14ac:dyDescent="0.3">
      <c r="A8030" s="15">
        <v>46174</v>
      </c>
      <c r="B8030" t="s">
        <v>246</v>
      </c>
      <c r="C8030" t="s">
        <v>91</v>
      </c>
      <c r="D8030" t="s">
        <v>86</v>
      </c>
      <c r="E8030" t="s">
        <v>103</v>
      </c>
      <c r="F8030">
        <v>10100</v>
      </c>
      <c r="G8030" t="s">
        <v>331</v>
      </c>
      <c r="H8030" s="15">
        <v>45292</v>
      </c>
      <c r="I8030">
        <v>10100</v>
      </c>
      <c r="J8030">
        <v>0</v>
      </c>
    </row>
    <row r="8031" spans="1:10" x14ac:dyDescent="0.3">
      <c r="A8031" s="15">
        <v>46174</v>
      </c>
      <c r="B8031" t="s">
        <v>247</v>
      </c>
      <c r="C8031" t="s">
        <v>91</v>
      </c>
      <c r="D8031" t="s">
        <v>86</v>
      </c>
      <c r="E8031" t="s">
        <v>89</v>
      </c>
      <c r="F8031">
        <v>8800</v>
      </c>
      <c r="G8031" t="s">
        <v>332</v>
      </c>
      <c r="H8031" s="15">
        <v>45292</v>
      </c>
      <c r="I8031">
        <v>7800</v>
      </c>
      <c r="J8031">
        <v>1000</v>
      </c>
    </row>
    <row r="8032" spans="1:10" x14ac:dyDescent="0.3">
      <c r="A8032" s="15">
        <v>46174</v>
      </c>
      <c r="B8032" t="s">
        <v>248</v>
      </c>
      <c r="C8032" t="s">
        <v>81</v>
      </c>
      <c r="D8032" t="s">
        <v>82</v>
      </c>
      <c r="E8032" t="s">
        <v>103</v>
      </c>
      <c r="F8032">
        <v>2100</v>
      </c>
      <c r="G8032" t="s">
        <v>331</v>
      </c>
      <c r="H8032" s="15">
        <v>45292</v>
      </c>
      <c r="I8032">
        <v>2100</v>
      </c>
      <c r="J8032">
        <v>0</v>
      </c>
    </row>
    <row r="8033" spans="1:10" x14ac:dyDescent="0.3">
      <c r="A8033" s="15">
        <v>46174</v>
      </c>
      <c r="B8033" t="s">
        <v>250</v>
      </c>
      <c r="C8033" t="s">
        <v>81</v>
      </c>
      <c r="D8033" t="s">
        <v>86</v>
      </c>
      <c r="E8033" t="s">
        <v>87</v>
      </c>
      <c r="F8033">
        <v>2800</v>
      </c>
      <c r="G8033" t="s">
        <v>331</v>
      </c>
      <c r="H8033" s="15">
        <v>45292</v>
      </c>
      <c r="I8033">
        <v>2800</v>
      </c>
      <c r="J8033">
        <v>0</v>
      </c>
    </row>
    <row r="8034" spans="1:10" x14ac:dyDescent="0.3">
      <c r="A8034" s="15">
        <v>46174</v>
      </c>
      <c r="B8034" t="s">
        <v>251</v>
      </c>
      <c r="C8034" t="s">
        <v>91</v>
      </c>
      <c r="D8034" t="s">
        <v>99</v>
      </c>
      <c r="E8034" t="s">
        <v>103</v>
      </c>
      <c r="F8034">
        <v>8800</v>
      </c>
      <c r="G8034" t="s">
        <v>331</v>
      </c>
      <c r="H8034" s="15">
        <v>45292</v>
      </c>
      <c r="I8034">
        <v>8800</v>
      </c>
      <c r="J8034">
        <v>0</v>
      </c>
    </row>
    <row r="8035" spans="1:10" x14ac:dyDescent="0.3">
      <c r="A8035" s="15">
        <v>46174</v>
      </c>
      <c r="B8035" t="s">
        <v>252</v>
      </c>
      <c r="C8035" t="s">
        <v>81</v>
      </c>
      <c r="D8035" t="s">
        <v>99</v>
      </c>
      <c r="E8035" t="s">
        <v>92</v>
      </c>
      <c r="F8035">
        <v>3400</v>
      </c>
      <c r="G8035" t="s">
        <v>331</v>
      </c>
      <c r="H8035" s="15">
        <v>45292</v>
      </c>
      <c r="I8035">
        <v>3400</v>
      </c>
      <c r="J8035">
        <v>0</v>
      </c>
    </row>
    <row r="8036" spans="1:10" x14ac:dyDescent="0.3">
      <c r="A8036" s="15">
        <v>46174</v>
      </c>
      <c r="B8036" t="s">
        <v>253</v>
      </c>
      <c r="C8036" t="s">
        <v>81</v>
      </c>
      <c r="D8036" t="s">
        <v>96</v>
      </c>
      <c r="E8036" t="s">
        <v>89</v>
      </c>
      <c r="F8036">
        <v>2400</v>
      </c>
      <c r="G8036" t="s">
        <v>331</v>
      </c>
      <c r="H8036" s="15">
        <v>45292</v>
      </c>
      <c r="I8036">
        <v>2400</v>
      </c>
      <c r="J8036">
        <v>0</v>
      </c>
    </row>
    <row r="8037" spans="1:10" x14ac:dyDescent="0.3">
      <c r="A8037" s="15">
        <v>46174</v>
      </c>
      <c r="B8037" t="s">
        <v>255</v>
      </c>
      <c r="C8037" t="s">
        <v>91</v>
      </c>
      <c r="D8037" t="s">
        <v>86</v>
      </c>
      <c r="E8037" t="s">
        <v>89</v>
      </c>
      <c r="F8037">
        <v>9700</v>
      </c>
      <c r="G8037" t="s">
        <v>331</v>
      </c>
      <c r="H8037" s="15">
        <v>45292</v>
      </c>
      <c r="I8037">
        <v>9700</v>
      </c>
      <c r="J8037">
        <v>0</v>
      </c>
    </row>
    <row r="8038" spans="1:10" x14ac:dyDescent="0.3">
      <c r="A8038" s="15">
        <v>46174</v>
      </c>
      <c r="B8038" t="s">
        <v>256</v>
      </c>
      <c r="C8038" t="s">
        <v>81</v>
      </c>
      <c r="D8038" t="s">
        <v>82</v>
      </c>
      <c r="E8038" t="s">
        <v>103</v>
      </c>
      <c r="F8038">
        <v>1800</v>
      </c>
      <c r="G8038" t="s">
        <v>331</v>
      </c>
      <c r="H8038" s="15">
        <v>45292</v>
      </c>
      <c r="I8038">
        <v>1800</v>
      </c>
      <c r="J8038">
        <v>0</v>
      </c>
    </row>
    <row r="8039" spans="1:10" x14ac:dyDescent="0.3">
      <c r="A8039" s="15">
        <v>46174</v>
      </c>
      <c r="B8039" t="s">
        <v>258</v>
      </c>
      <c r="C8039" t="s">
        <v>125</v>
      </c>
      <c r="D8039" t="s">
        <v>86</v>
      </c>
      <c r="E8039" t="s">
        <v>83</v>
      </c>
      <c r="F8039">
        <v>96300</v>
      </c>
      <c r="G8039" t="s">
        <v>331</v>
      </c>
      <c r="H8039" s="15">
        <v>45292</v>
      </c>
      <c r="I8039">
        <v>96300</v>
      </c>
      <c r="J8039">
        <v>0</v>
      </c>
    </row>
    <row r="8040" spans="1:10" x14ac:dyDescent="0.3">
      <c r="A8040" s="15">
        <v>46174</v>
      </c>
      <c r="B8040" t="s">
        <v>259</v>
      </c>
      <c r="C8040" t="s">
        <v>81</v>
      </c>
      <c r="D8040" t="s">
        <v>86</v>
      </c>
      <c r="E8040" t="s">
        <v>89</v>
      </c>
      <c r="F8040">
        <v>1900</v>
      </c>
      <c r="G8040" t="s">
        <v>331</v>
      </c>
      <c r="H8040" s="15">
        <v>45292</v>
      </c>
      <c r="I8040">
        <v>1900</v>
      </c>
      <c r="J8040">
        <v>0</v>
      </c>
    </row>
    <row r="8041" spans="1:10" x14ac:dyDescent="0.3">
      <c r="A8041" s="15">
        <v>46174</v>
      </c>
      <c r="B8041" t="s">
        <v>260</v>
      </c>
      <c r="C8041" t="s">
        <v>81</v>
      </c>
      <c r="D8041" t="s">
        <v>86</v>
      </c>
      <c r="E8041" t="s">
        <v>97</v>
      </c>
      <c r="F8041">
        <v>2000</v>
      </c>
      <c r="G8041" t="s">
        <v>331</v>
      </c>
      <c r="H8041" s="15">
        <v>45292</v>
      </c>
      <c r="I8041">
        <v>2000</v>
      </c>
      <c r="J8041">
        <v>0</v>
      </c>
    </row>
    <row r="8042" spans="1:10" x14ac:dyDescent="0.3">
      <c r="A8042" s="15">
        <v>46174</v>
      </c>
      <c r="B8042" t="s">
        <v>262</v>
      </c>
      <c r="C8042" t="s">
        <v>91</v>
      </c>
      <c r="D8042" t="s">
        <v>82</v>
      </c>
      <c r="E8042" t="s">
        <v>92</v>
      </c>
      <c r="F8042">
        <v>10800</v>
      </c>
      <c r="G8042" t="s">
        <v>331</v>
      </c>
      <c r="H8042" s="15">
        <v>45292</v>
      </c>
      <c r="I8042">
        <v>10800</v>
      </c>
      <c r="J8042">
        <v>0</v>
      </c>
    </row>
    <row r="8043" spans="1:10" x14ac:dyDescent="0.3">
      <c r="A8043" s="15">
        <v>46174</v>
      </c>
      <c r="B8043" t="s">
        <v>264</v>
      </c>
      <c r="C8043" t="s">
        <v>110</v>
      </c>
      <c r="D8043" t="s">
        <v>86</v>
      </c>
      <c r="E8043" t="s">
        <v>97</v>
      </c>
      <c r="F8043">
        <v>31500</v>
      </c>
      <c r="G8043" t="s">
        <v>331</v>
      </c>
      <c r="H8043" s="15">
        <v>45292</v>
      </c>
      <c r="I8043">
        <v>31500</v>
      </c>
      <c r="J8043">
        <v>0</v>
      </c>
    </row>
    <row r="8044" spans="1:10" x14ac:dyDescent="0.3">
      <c r="A8044" s="15">
        <v>46174</v>
      </c>
      <c r="B8044" t="s">
        <v>265</v>
      </c>
      <c r="C8044" t="s">
        <v>125</v>
      </c>
      <c r="D8044" t="s">
        <v>86</v>
      </c>
      <c r="E8044" t="s">
        <v>101</v>
      </c>
      <c r="F8044">
        <v>76700</v>
      </c>
      <c r="G8044" t="s">
        <v>331</v>
      </c>
      <c r="H8044" s="15">
        <v>45292</v>
      </c>
      <c r="I8044">
        <v>76700</v>
      </c>
      <c r="J8044">
        <v>0</v>
      </c>
    </row>
    <row r="8045" spans="1:10" x14ac:dyDescent="0.3">
      <c r="A8045" s="15">
        <v>46174</v>
      </c>
      <c r="B8045" t="s">
        <v>266</v>
      </c>
      <c r="C8045" t="s">
        <v>81</v>
      </c>
      <c r="D8045" t="s">
        <v>82</v>
      </c>
      <c r="E8045" t="s">
        <v>83</v>
      </c>
      <c r="F8045">
        <v>2200</v>
      </c>
      <c r="G8045" t="s">
        <v>331</v>
      </c>
      <c r="H8045" s="15">
        <v>45292</v>
      </c>
      <c r="I8045">
        <v>2200</v>
      </c>
      <c r="J8045">
        <v>0</v>
      </c>
    </row>
    <row r="8046" spans="1:10" x14ac:dyDescent="0.3">
      <c r="A8046" s="15">
        <v>46174</v>
      </c>
      <c r="B8046" t="s">
        <v>267</v>
      </c>
      <c r="C8046" t="s">
        <v>91</v>
      </c>
      <c r="D8046" t="s">
        <v>82</v>
      </c>
      <c r="E8046" t="s">
        <v>97</v>
      </c>
      <c r="F8046">
        <v>7300</v>
      </c>
      <c r="G8046" t="s">
        <v>331</v>
      </c>
      <c r="H8046" s="15">
        <v>45292</v>
      </c>
      <c r="I8046">
        <v>7300</v>
      </c>
      <c r="J8046">
        <v>0</v>
      </c>
    </row>
    <row r="8047" spans="1:10" x14ac:dyDescent="0.3">
      <c r="A8047" s="15">
        <v>46174</v>
      </c>
      <c r="B8047" t="s">
        <v>272</v>
      </c>
      <c r="C8047" t="s">
        <v>125</v>
      </c>
      <c r="D8047" t="s">
        <v>96</v>
      </c>
      <c r="E8047" t="s">
        <v>103</v>
      </c>
      <c r="F8047">
        <v>101100</v>
      </c>
      <c r="G8047" t="s">
        <v>331</v>
      </c>
      <c r="H8047" s="15">
        <v>45292</v>
      </c>
      <c r="I8047">
        <v>101100</v>
      </c>
      <c r="J8047">
        <v>0</v>
      </c>
    </row>
    <row r="8048" spans="1:10" x14ac:dyDescent="0.3">
      <c r="A8048" s="15">
        <v>46174</v>
      </c>
      <c r="B8048" t="s">
        <v>273</v>
      </c>
      <c r="C8048" t="s">
        <v>81</v>
      </c>
      <c r="D8048" t="s">
        <v>82</v>
      </c>
      <c r="E8048" t="s">
        <v>101</v>
      </c>
      <c r="F8048">
        <v>3300</v>
      </c>
      <c r="G8048" t="s">
        <v>331</v>
      </c>
      <c r="H8048" s="15">
        <v>45292</v>
      </c>
      <c r="I8048">
        <v>3300</v>
      </c>
      <c r="J8048">
        <v>0</v>
      </c>
    </row>
    <row r="8049" spans="1:10" x14ac:dyDescent="0.3">
      <c r="A8049" s="15">
        <v>46174</v>
      </c>
      <c r="B8049" t="s">
        <v>274</v>
      </c>
      <c r="C8049" t="s">
        <v>91</v>
      </c>
      <c r="D8049" t="s">
        <v>99</v>
      </c>
      <c r="E8049" t="s">
        <v>87</v>
      </c>
      <c r="F8049">
        <v>11400</v>
      </c>
      <c r="G8049" t="s">
        <v>331</v>
      </c>
      <c r="H8049" s="15">
        <v>45292</v>
      </c>
      <c r="I8049">
        <v>11400</v>
      </c>
      <c r="J8049">
        <v>0</v>
      </c>
    </row>
    <row r="8050" spans="1:10" x14ac:dyDescent="0.3">
      <c r="A8050" s="15">
        <v>46174</v>
      </c>
      <c r="B8050" t="s">
        <v>276</v>
      </c>
      <c r="C8050" t="s">
        <v>81</v>
      </c>
      <c r="D8050" t="s">
        <v>82</v>
      </c>
      <c r="E8050" t="s">
        <v>103</v>
      </c>
      <c r="F8050">
        <v>3300</v>
      </c>
      <c r="G8050" t="s">
        <v>331</v>
      </c>
      <c r="H8050" s="15">
        <v>45292</v>
      </c>
      <c r="I8050">
        <v>3300</v>
      </c>
      <c r="J8050">
        <v>0</v>
      </c>
    </row>
    <row r="8051" spans="1:10" x14ac:dyDescent="0.3">
      <c r="A8051" s="15">
        <v>46174</v>
      </c>
      <c r="B8051" t="s">
        <v>277</v>
      </c>
      <c r="C8051" t="s">
        <v>91</v>
      </c>
      <c r="D8051" t="s">
        <v>86</v>
      </c>
      <c r="E8051" t="s">
        <v>97</v>
      </c>
      <c r="F8051">
        <v>9900</v>
      </c>
      <c r="G8051" t="s">
        <v>331</v>
      </c>
      <c r="H8051" s="15">
        <v>45292</v>
      </c>
      <c r="I8051">
        <v>9900</v>
      </c>
      <c r="J8051">
        <v>0</v>
      </c>
    </row>
    <row r="8052" spans="1:10" x14ac:dyDescent="0.3">
      <c r="A8052" s="15">
        <v>46174</v>
      </c>
      <c r="B8052" t="s">
        <v>279</v>
      </c>
      <c r="C8052" t="s">
        <v>91</v>
      </c>
      <c r="D8052" t="s">
        <v>99</v>
      </c>
      <c r="E8052" t="s">
        <v>89</v>
      </c>
      <c r="F8052">
        <v>9800</v>
      </c>
      <c r="G8052" t="s">
        <v>331</v>
      </c>
      <c r="H8052" s="15">
        <v>45292</v>
      </c>
      <c r="I8052">
        <v>9800</v>
      </c>
      <c r="J8052">
        <v>0</v>
      </c>
    </row>
    <row r="8053" spans="1:10" x14ac:dyDescent="0.3">
      <c r="A8053" s="15">
        <v>46174</v>
      </c>
      <c r="B8053" t="s">
        <v>282</v>
      </c>
      <c r="C8053" t="s">
        <v>91</v>
      </c>
      <c r="D8053" t="s">
        <v>86</v>
      </c>
      <c r="E8053" t="s">
        <v>92</v>
      </c>
      <c r="F8053">
        <v>6100</v>
      </c>
      <c r="G8053" t="s">
        <v>331</v>
      </c>
      <c r="H8053" s="15">
        <v>45292</v>
      </c>
      <c r="I8053">
        <v>6100</v>
      </c>
      <c r="J8053">
        <v>0</v>
      </c>
    </row>
    <row r="8054" spans="1:10" x14ac:dyDescent="0.3">
      <c r="A8054" s="15">
        <v>46174</v>
      </c>
      <c r="B8054" t="s">
        <v>283</v>
      </c>
      <c r="C8054" t="s">
        <v>110</v>
      </c>
      <c r="D8054" t="s">
        <v>82</v>
      </c>
      <c r="E8054" t="s">
        <v>87</v>
      </c>
      <c r="F8054">
        <v>34200</v>
      </c>
      <c r="G8054" t="s">
        <v>331</v>
      </c>
      <c r="H8054" s="15">
        <v>45292</v>
      </c>
      <c r="I8054">
        <v>34200</v>
      </c>
      <c r="J8054">
        <v>0</v>
      </c>
    </row>
    <row r="8055" spans="1:10" x14ac:dyDescent="0.3">
      <c r="A8055" s="15">
        <v>46174</v>
      </c>
      <c r="B8055" t="s">
        <v>285</v>
      </c>
      <c r="C8055" t="s">
        <v>91</v>
      </c>
      <c r="D8055" t="s">
        <v>82</v>
      </c>
      <c r="E8055" t="s">
        <v>83</v>
      </c>
      <c r="F8055">
        <v>9600</v>
      </c>
      <c r="G8055" t="s">
        <v>331</v>
      </c>
      <c r="H8055" s="15">
        <v>45292</v>
      </c>
      <c r="I8055">
        <v>9600</v>
      </c>
      <c r="J8055">
        <v>0</v>
      </c>
    </row>
    <row r="8056" spans="1:10" x14ac:dyDescent="0.3">
      <c r="A8056" s="15">
        <v>46174</v>
      </c>
      <c r="B8056" t="s">
        <v>286</v>
      </c>
      <c r="C8056" t="s">
        <v>125</v>
      </c>
      <c r="D8056" t="s">
        <v>86</v>
      </c>
      <c r="E8056" t="s">
        <v>92</v>
      </c>
      <c r="F8056">
        <v>92400</v>
      </c>
      <c r="G8056" t="s">
        <v>331</v>
      </c>
      <c r="H8056" s="15">
        <v>45292</v>
      </c>
      <c r="I8056">
        <v>92400</v>
      </c>
      <c r="J8056">
        <v>0</v>
      </c>
    </row>
    <row r="8057" spans="1:10" x14ac:dyDescent="0.3">
      <c r="A8057" s="15">
        <v>46174</v>
      </c>
      <c r="B8057" t="s">
        <v>287</v>
      </c>
      <c r="C8057" t="s">
        <v>81</v>
      </c>
      <c r="D8057" t="s">
        <v>99</v>
      </c>
      <c r="E8057" t="s">
        <v>87</v>
      </c>
      <c r="F8057">
        <v>2400</v>
      </c>
      <c r="G8057" t="s">
        <v>331</v>
      </c>
      <c r="H8057" s="15">
        <v>45292</v>
      </c>
      <c r="I8057">
        <v>2400</v>
      </c>
      <c r="J8057">
        <v>0</v>
      </c>
    </row>
    <row r="8058" spans="1:10" x14ac:dyDescent="0.3">
      <c r="A8058" s="15">
        <v>46174</v>
      </c>
      <c r="B8058" t="s">
        <v>288</v>
      </c>
      <c r="C8058" t="s">
        <v>81</v>
      </c>
      <c r="D8058" t="s">
        <v>99</v>
      </c>
      <c r="E8058" t="s">
        <v>97</v>
      </c>
      <c r="F8058">
        <v>2900</v>
      </c>
      <c r="G8058" t="s">
        <v>331</v>
      </c>
      <c r="H8058" s="15">
        <v>45292</v>
      </c>
      <c r="I8058">
        <v>2900</v>
      </c>
      <c r="J8058">
        <v>0</v>
      </c>
    </row>
    <row r="8059" spans="1:10" x14ac:dyDescent="0.3">
      <c r="A8059" s="15">
        <v>46174</v>
      </c>
      <c r="B8059" t="s">
        <v>289</v>
      </c>
      <c r="C8059" t="s">
        <v>91</v>
      </c>
      <c r="D8059" t="s">
        <v>86</v>
      </c>
      <c r="E8059" t="s">
        <v>101</v>
      </c>
      <c r="F8059">
        <v>9400</v>
      </c>
      <c r="G8059" t="s">
        <v>331</v>
      </c>
      <c r="H8059" s="15">
        <v>45292</v>
      </c>
      <c r="I8059">
        <v>9400</v>
      </c>
      <c r="J8059">
        <v>0</v>
      </c>
    </row>
    <row r="8060" spans="1:10" x14ac:dyDescent="0.3">
      <c r="A8060" s="15">
        <v>46174</v>
      </c>
      <c r="B8060" t="s">
        <v>290</v>
      </c>
      <c r="C8060" t="s">
        <v>81</v>
      </c>
      <c r="D8060" t="s">
        <v>82</v>
      </c>
      <c r="E8060" t="s">
        <v>103</v>
      </c>
      <c r="F8060">
        <v>2800</v>
      </c>
      <c r="G8060" t="s">
        <v>331</v>
      </c>
      <c r="H8060" s="15">
        <v>45292</v>
      </c>
      <c r="I8060">
        <v>2800</v>
      </c>
      <c r="J8060">
        <v>0</v>
      </c>
    </row>
    <row r="8061" spans="1:10" x14ac:dyDescent="0.3">
      <c r="A8061" s="15">
        <v>46174</v>
      </c>
      <c r="B8061" t="s">
        <v>291</v>
      </c>
      <c r="C8061" t="s">
        <v>81</v>
      </c>
      <c r="D8061" t="s">
        <v>82</v>
      </c>
      <c r="E8061" t="s">
        <v>83</v>
      </c>
      <c r="F8061">
        <v>3100</v>
      </c>
      <c r="G8061" t="s">
        <v>331</v>
      </c>
      <c r="H8061" s="15">
        <v>45292</v>
      </c>
      <c r="I8061">
        <v>3100</v>
      </c>
      <c r="J8061">
        <v>0</v>
      </c>
    </row>
    <row r="8062" spans="1:10" x14ac:dyDescent="0.3">
      <c r="A8062" s="15">
        <v>46174</v>
      </c>
      <c r="B8062" t="s">
        <v>292</v>
      </c>
      <c r="C8062" t="s">
        <v>91</v>
      </c>
      <c r="D8062" t="s">
        <v>86</v>
      </c>
      <c r="E8062" t="s">
        <v>89</v>
      </c>
      <c r="F8062">
        <v>9900</v>
      </c>
      <c r="G8062" t="s">
        <v>331</v>
      </c>
      <c r="H8062" s="15">
        <v>45292</v>
      </c>
      <c r="I8062">
        <v>9900</v>
      </c>
      <c r="J8062">
        <v>0</v>
      </c>
    </row>
    <row r="8063" spans="1:10" x14ac:dyDescent="0.3">
      <c r="A8063" s="15">
        <v>46174</v>
      </c>
      <c r="B8063" t="s">
        <v>293</v>
      </c>
      <c r="C8063" t="s">
        <v>81</v>
      </c>
      <c r="D8063" t="s">
        <v>86</v>
      </c>
      <c r="E8063" t="s">
        <v>103</v>
      </c>
      <c r="F8063">
        <v>2200</v>
      </c>
      <c r="G8063" t="s">
        <v>331</v>
      </c>
      <c r="H8063" s="15">
        <v>45292</v>
      </c>
      <c r="I8063">
        <v>2200</v>
      </c>
      <c r="J8063">
        <v>0</v>
      </c>
    </row>
    <row r="8064" spans="1:10" x14ac:dyDescent="0.3">
      <c r="A8064" s="15">
        <v>46174</v>
      </c>
      <c r="B8064" t="s">
        <v>294</v>
      </c>
      <c r="C8064" t="s">
        <v>91</v>
      </c>
      <c r="D8064" t="s">
        <v>82</v>
      </c>
      <c r="E8064" t="s">
        <v>97</v>
      </c>
      <c r="F8064">
        <v>8200</v>
      </c>
      <c r="G8064" t="s">
        <v>334</v>
      </c>
      <c r="H8064" s="15">
        <v>45292</v>
      </c>
      <c r="I8064">
        <v>9100</v>
      </c>
      <c r="J8064">
        <v>-900</v>
      </c>
    </row>
    <row r="8065" spans="1:10" x14ac:dyDescent="0.3">
      <c r="A8065" s="15">
        <v>46174</v>
      </c>
      <c r="B8065" t="s">
        <v>295</v>
      </c>
      <c r="C8065" t="s">
        <v>81</v>
      </c>
      <c r="D8065" t="s">
        <v>82</v>
      </c>
      <c r="E8065" t="s">
        <v>103</v>
      </c>
      <c r="F8065">
        <v>2000</v>
      </c>
      <c r="G8065" t="s">
        <v>331</v>
      </c>
      <c r="H8065" s="15">
        <v>45292</v>
      </c>
      <c r="I8065">
        <v>2000</v>
      </c>
      <c r="J8065">
        <v>0</v>
      </c>
    </row>
    <row r="8066" spans="1:10" x14ac:dyDescent="0.3">
      <c r="A8066" s="15">
        <v>46174</v>
      </c>
      <c r="B8066" t="s">
        <v>298</v>
      </c>
      <c r="C8066" t="s">
        <v>81</v>
      </c>
      <c r="D8066" t="s">
        <v>86</v>
      </c>
      <c r="E8066" t="s">
        <v>89</v>
      </c>
      <c r="F8066">
        <v>2700</v>
      </c>
      <c r="G8066" t="s">
        <v>331</v>
      </c>
      <c r="H8066" s="15">
        <v>45292</v>
      </c>
      <c r="I8066">
        <v>2700</v>
      </c>
      <c r="J8066">
        <v>0</v>
      </c>
    </row>
    <row r="8067" spans="1:10" x14ac:dyDescent="0.3">
      <c r="A8067" s="15">
        <v>46174</v>
      </c>
      <c r="B8067" t="s">
        <v>299</v>
      </c>
      <c r="C8067" t="s">
        <v>81</v>
      </c>
      <c r="D8067" t="s">
        <v>99</v>
      </c>
      <c r="E8067" t="s">
        <v>103</v>
      </c>
      <c r="F8067">
        <v>2900</v>
      </c>
      <c r="G8067" t="s">
        <v>331</v>
      </c>
      <c r="H8067" s="15">
        <v>45292</v>
      </c>
      <c r="I8067">
        <v>2900</v>
      </c>
      <c r="J8067">
        <v>0</v>
      </c>
    </row>
    <row r="8068" spans="1:10" x14ac:dyDescent="0.3">
      <c r="A8068" s="15">
        <v>46174</v>
      </c>
      <c r="B8068" t="s">
        <v>300</v>
      </c>
      <c r="C8068" t="s">
        <v>91</v>
      </c>
      <c r="D8068" t="s">
        <v>82</v>
      </c>
      <c r="E8068" t="s">
        <v>89</v>
      </c>
      <c r="F8068">
        <v>11500</v>
      </c>
      <c r="G8068" t="s">
        <v>331</v>
      </c>
      <c r="H8068" s="15">
        <v>45292</v>
      </c>
      <c r="I8068">
        <v>11500</v>
      </c>
      <c r="J8068">
        <v>0</v>
      </c>
    </row>
    <row r="8069" spans="1:10" x14ac:dyDescent="0.3">
      <c r="A8069" s="15">
        <v>46174</v>
      </c>
      <c r="B8069" t="s">
        <v>303</v>
      </c>
      <c r="C8069" t="s">
        <v>81</v>
      </c>
      <c r="D8069" t="s">
        <v>82</v>
      </c>
      <c r="E8069" t="s">
        <v>83</v>
      </c>
      <c r="F8069">
        <v>1500</v>
      </c>
      <c r="G8069" t="s">
        <v>331</v>
      </c>
      <c r="H8069" s="15">
        <v>45292</v>
      </c>
      <c r="I8069">
        <v>1500</v>
      </c>
      <c r="J8069">
        <v>0</v>
      </c>
    </row>
    <row r="8070" spans="1:10" x14ac:dyDescent="0.3">
      <c r="A8070" s="15">
        <v>46174</v>
      </c>
      <c r="B8070" t="s">
        <v>304</v>
      </c>
      <c r="C8070" t="s">
        <v>81</v>
      </c>
      <c r="D8070" t="s">
        <v>86</v>
      </c>
      <c r="E8070" t="s">
        <v>92</v>
      </c>
      <c r="F8070">
        <v>2100</v>
      </c>
      <c r="G8070" t="s">
        <v>331</v>
      </c>
      <c r="H8070" s="15">
        <v>45292</v>
      </c>
      <c r="I8070">
        <v>2100</v>
      </c>
      <c r="J8070">
        <v>0</v>
      </c>
    </row>
    <row r="8071" spans="1:10" x14ac:dyDescent="0.3">
      <c r="A8071" s="15">
        <v>46174</v>
      </c>
      <c r="B8071" t="s">
        <v>306</v>
      </c>
      <c r="C8071" t="s">
        <v>91</v>
      </c>
      <c r="D8071" t="s">
        <v>82</v>
      </c>
      <c r="E8071" t="s">
        <v>87</v>
      </c>
      <c r="F8071">
        <v>13200</v>
      </c>
      <c r="G8071" t="s">
        <v>332</v>
      </c>
      <c r="H8071" s="15">
        <v>45292</v>
      </c>
      <c r="I8071">
        <v>11700</v>
      </c>
      <c r="J8071">
        <v>1500</v>
      </c>
    </row>
    <row r="8072" spans="1:10" x14ac:dyDescent="0.3">
      <c r="A8072" s="15">
        <v>46174</v>
      </c>
      <c r="B8072" t="s">
        <v>307</v>
      </c>
      <c r="C8072" t="s">
        <v>81</v>
      </c>
      <c r="D8072" t="s">
        <v>86</v>
      </c>
      <c r="E8072" t="s">
        <v>97</v>
      </c>
      <c r="F8072">
        <v>2600</v>
      </c>
      <c r="G8072" t="s">
        <v>331</v>
      </c>
      <c r="H8072" s="15">
        <v>45292</v>
      </c>
      <c r="I8072">
        <v>2600</v>
      </c>
      <c r="J8072">
        <v>0</v>
      </c>
    </row>
    <row r="8073" spans="1:10" x14ac:dyDescent="0.3">
      <c r="A8073" s="15">
        <v>46174</v>
      </c>
      <c r="B8073" t="s">
        <v>309</v>
      </c>
      <c r="C8073" t="s">
        <v>91</v>
      </c>
      <c r="D8073" t="s">
        <v>82</v>
      </c>
      <c r="E8073" t="s">
        <v>87</v>
      </c>
      <c r="F8073">
        <v>11800</v>
      </c>
      <c r="G8073" t="s">
        <v>331</v>
      </c>
      <c r="H8073" s="15">
        <v>45292</v>
      </c>
      <c r="I8073">
        <v>11800</v>
      </c>
      <c r="J8073">
        <v>0</v>
      </c>
    </row>
    <row r="8074" spans="1:10" x14ac:dyDescent="0.3">
      <c r="A8074" s="15">
        <v>46174</v>
      </c>
      <c r="B8074" t="s">
        <v>310</v>
      </c>
      <c r="C8074" t="s">
        <v>91</v>
      </c>
      <c r="D8074" t="s">
        <v>99</v>
      </c>
      <c r="E8074" t="s">
        <v>87</v>
      </c>
      <c r="F8074">
        <v>10000</v>
      </c>
      <c r="G8074" t="s">
        <v>331</v>
      </c>
      <c r="H8074" s="15">
        <v>45292</v>
      </c>
      <c r="I8074">
        <v>10000</v>
      </c>
      <c r="J8074">
        <v>0</v>
      </c>
    </row>
    <row r="8075" spans="1:10" x14ac:dyDescent="0.3">
      <c r="A8075" s="15">
        <v>46174</v>
      </c>
      <c r="B8075" t="s">
        <v>315</v>
      </c>
      <c r="C8075" t="s">
        <v>125</v>
      </c>
      <c r="D8075" t="s">
        <v>86</v>
      </c>
      <c r="E8075" t="s">
        <v>92</v>
      </c>
      <c r="F8075">
        <v>76200</v>
      </c>
      <c r="G8075" t="s">
        <v>331</v>
      </c>
      <c r="H8075" s="15">
        <v>45292</v>
      </c>
      <c r="I8075">
        <v>76200</v>
      </c>
      <c r="J8075">
        <v>0</v>
      </c>
    </row>
    <row r="8076" spans="1:10" x14ac:dyDescent="0.3">
      <c r="A8076" s="15">
        <v>46174</v>
      </c>
      <c r="B8076" t="s">
        <v>316</v>
      </c>
      <c r="C8076" t="s">
        <v>81</v>
      </c>
      <c r="D8076" t="s">
        <v>96</v>
      </c>
      <c r="E8076" t="s">
        <v>92</v>
      </c>
      <c r="F8076">
        <v>2000</v>
      </c>
      <c r="G8076" t="s">
        <v>331</v>
      </c>
      <c r="H8076" s="15">
        <v>45292</v>
      </c>
      <c r="I8076">
        <v>2000</v>
      </c>
      <c r="J8076">
        <v>0</v>
      </c>
    </row>
    <row r="8077" spans="1:10" x14ac:dyDescent="0.3">
      <c r="A8077" s="15">
        <v>46174</v>
      </c>
      <c r="B8077" t="s">
        <v>318</v>
      </c>
      <c r="C8077" t="s">
        <v>110</v>
      </c>
      <c r="D8077" t="s">
        <v>82</v>
      </c>
      <c r="E8077" t="s">
        <v>97</v>
      </c>
      <c r="F8077">
        <v>29600</v>
      </c>
      <c r="G8077" t="s">
        <v>331</v>
      </c>
      <c r="H8077" s="15">
        <v>45292</v>
      </c>
      <c r="I8077">
        <v>29600</v>
      </c>
      <c r="J8077">
        <v>0</v>
      </c>
    </row>
    <row r="8078" spans="1:10" x14ac:dyDescent="0.3">
      <c r="A8078" s="15">
        <v>46174</v>
      </c>
      <c r="B8078" t="s">
        <v>320</v>
      </c>
      <c r="C8078" t="s">
        <v>91</v>
      </c>
      <c r="D8078" t="s">
        <v>86</v>
      </c>
      <c r="E8078" t="s">
        <v>97</v>
      </c>
      <c r="F8078">
        <v>7700</v>
      </c>
      <c r="G8078" t="s">
        <v>331</v>
      </c>
      <c r="H8078" s="15">
        <v>45292</v>
      </c>
      <c r="I8078">
        <v>7700</v>
      </c>
      <c r="J8078">
        <v>0</v>
      </c>
    </row>
    <row r="8079" spans="1:10" x14ac:dyDescent="0.3">
      <c r="A8079" s="15">
        <v>46174</v>
      </c>
      <c r="B8079" t="s">
        <v>321</v>
      </c>
      <c r="C8079" t="s">
        <v>81</v>
      </c>
      <c r="D8079" t="s">
        <v>99</v>
      </c>
      <c r="E8079" t="s">
        <v>101</v>
      </c>
      <c r="F8079">
        <v>3500</v>
      </c>
      <c r="G8079" t="s">
        <v>331</v>
      </c>
      <c r="H8079" s="15">
        <v>45292</v>
      </c>
      <c r="I8079">
        <v>3500</v>
      </c>
      <c r="J8079">
        <v>0</v>
      </c>
    </row>
    <row r="8080" spans="1:10" x14ac:dyDescent="0.3">
      <c r="A8080" s="15">
        <v>46174</v>
      </c>
      <c r="B8080" t="s">
        <v>322</v>
      </c>
      <c r="C8080" t="s">
        <v>81</v>
      </c>
      <c r="D8080" t="s">
        <v>82</v>
      </c>
      <c r="E8080" t="s">
        <v>103</v>
      </c>
      <c r="F8080">
        <v>2000</v>
      </c>
      <c r="G8080" t="s">
        <v>331</v>
      </c>
      <c r="H8080" s="15">
        <v>45292</v>
      </c>
      <c r="I8080">
        <v>2000</v>
      </c>
      <c r="J8080">
        <v>0</v>
      </c>
    </row>
    <row r="8081" spans="1:10" x14ac:dyDescent="0.3">
      <c r="A8081" s="15">
        <v>46174</v>
      </c>
      <c r="B8081" t="s">
        <v>323</v>
      </c>
      <c r="C8081" t="s">
        <v>110</v>
      </c>
      <c r="D8081" t="s">
        <v>82</v>
      </c>
      <c r="E8081" t="s">
        <v>89</v>
      </c>
      <c r="F8081">
        <v>19600</v>
      </c>
      <c r="G8081" t="s">
        <v>331</v>
      </c>
      <c r="H8081" s="15">
        <v>45292</v>
      </c>
      <c r="I8081">
        <v>19600</v>
      </c>
      <c r="J8081">
        <v>0</v>
      </c>
    </row>
    <row r="8082" spans="1:10" x14ac:dyDescent="0.3">
      <c r="A8082" s="15">
        <v>46174</v>
      </c>
      <c r="B8082" t="s">
        <v>324</v>
      </c>
      <c r="C8082" t="s">
        <v>81</v>
      </c>
      <c r="D8082" t="s">
        <v>86</v>
      </c>
      <c r="E8082" t="s">
        <v>87</v>
      </c>
      <c r="F8082">
        <v>2400</v>
      </c>
      <c r="G8082" t="s">
        <v>331</v>
      </c>
      <c r="H8082" s="15">
        <v>45292</v>
      </c>
      <c r="I8082">
        <v>2400</v>
      </c>
      <c r="J8082">
        <v>0</v>
      </c>
    </row>
    <row r="8083" spans="1:10" x14ac:dyDescent="0.3">
      <c r="A8083" s="15">
        <v>46174</v>
      </c>
      <c r="B8083" t="s">
        <v>325</v>
      </c>
      <c r="C8083" t="s">
        <v>91</v>
      </c>
      <c r="D8083" t="s">
        <v>86</v>
      </c>
      <c r="E8083" t="s">
        <v>87</v>
      </c>
      <c r="F8083">
        <v>9400</v>
      </c>
      <c r="G8083" t="s">
        <v>331</v>
      </c>
      <c r="H8083" s="15">
        <v>45292</v>
      </c>
      <c r="I8083">
        <v>9400</v>
      </c>
      <c r="J8083">
        <v>0</v>
      </c>
    </row>
    <row r="8084" spans="1:10" x14ac:dyDescent="0.3">
      <c r="A8084" s="15">
        <v>46174</v>
      </c>
      <c r="B8084" t="s">
        <v>327</v>
      </c>
      <c r="C8084" t="s">
        <v>125</v>
      </c>
      <c r="D8084" t="s">
        <v>99</v>
      </c>
      <c r="E8084" t="s">
        <v>97</v>
      </c>
      <c r="F8084">
        <v>77500</v>
      </c>
      <c r="G8084" t="s">
        <v>331</v>
      </c>
      <c r="H8084" s="15">
        <v>45292</v>
      </c>
      <c r="I8084">
        <v>77500</v>
      </c>
      <c r="J8084">
        <v>0</v>
      </c>
    </row>
    <row r="8085" spans="1:10" x14ac:dyDescent="0.3">
      <c r="A8085" s="15">
        <v>46174</v>
      </c>
      <c r="B8085" t="s">
        <v>329</v>
      </c>
      <c r="C8085" t="s">
        <v>81</v>
      </c>
      <c r="D8085" t="s">
        <v>86</v>
      </c>
      <c r="E8085" t="s">
        <v>101</v>
      </c>
      <c r="F8085">
        <v>2200</v>
      </c>
      <c r="G8085" t="s">
        <v>331</v>
      </c>
      <c r="H8085" s="15">
        <v>45292</v>
      </c>
      <c r="I8085">
        <v>2200</v>
      </c>
      <c r="J8085">
        <v>0</v>
      </c>
    </row>
    <row r="8086" spans="1:10" x14ac:dyDescent="0.3">
      <c r="A8086" s="15">
        <v>46174</v>
      </c>
      <c r="B8086" t="s">
        <v>330</v>
      </c>
      <c r="C8086" t="s">
        <v>125</v>
      </c>
      <c r="D8086" t="s">
        <v>86</v>
      </c>
      <c r="E8086" t="s">
        <v>87</v>
      </c>
      <c r="F8086">
        <v>105400</v>
      </c>
      <c r="G8086" t="s">
        <v>331</v>
      </c>
      <c r="H8086" s="15">
        <v>45292</v>
      </c>
      <c r="I8086">
        <v>105400</v>
      </c>
      <c r="J8086">
        <v>0</v>
      </c>
    </row>
    <row r="8087" spans="1:10" x14ac:dyDescent="0.3">
      <c r="A8087" s="15">
        <v>46174</v>
      </c>
      <c r="B8087" t="s">
        <v>335</v>
      </c>
      <c r="C8087" t="s">
        <v>91</v>
      </c>
      <c r="D8087" t="s">
        <v>86</v>
      </c>
      <c r="E8087" t="s">
        <v>89</v>
      </c>
      <c r="F8087">
        <v>6500</v>
      </c>
      <c r="G8087" t="s">
        <v>331</v>
      </c>
      <c r="H8087" s="15">
        <v>45323</v>
      </c>
      <c r="I8087">
        <v>6500</v>
      </c>
      <c r="J8087">
        <v>0</v>
      </c>
    </row>
    <row r="8088" spans="1:10" x14ac:dyDescent="0.3">
      <c r="A8088" s="15">
        <v>46174</v>
      </c>
      <c r="B8088" t="s">
        <v>336</v>
      </c>
      <c r="C8088" t="s">
        <v>81</v>
      </c>
      <c r="D8088" t="s">
        <v>82</v>
      </c>
      <c r="E8088" t="s">
        <v>103</v>
      </c>
      <c r="F8088">
        <v>1400</v>
      </c>
      <c r="G8088" t="s">
        <v>331</v>
      </c>
      <c r="H8088" s="15">
        <v>45323</v>
      </c>
      <c r="I8088">
        <v>1400</v>
      </c>
      <c r="J8088">
        <v>0</v>
      </c>
    </row>
    <row r="8089" spans="1:10" x14ac:dyDescent="0.3">
      <c r="A8089" s="15">
        <v>46174</v>
      </c>
      <c r="B8089" t="s">
        <v>339</v>
      </c>
      <c r="C8089" t="s">
        <v>81</v>
      </c>
      <c r="D8089" t="s">
        <v>82</v>
      </c>
      <c r="E8089" t="s">
        <v>103</v>
      </c>
      <c r="F8089">
        <v>1400</v>
      </c>
      <c r="G8089" t="s">
        <v>331</v>
      </c>
      <c r="H8089" s="15">
        <v>45323</v>
      </c>
      <c r="I8089">
        <v>1400</v>
      </c>
      <c r="J8089">
        <v>0</v>
      </c>
    </row>
    <row r="8090" spans="1:10" x14ac:dyDescent="0.3">
      <c r="A8090" s="15">
        <v>46174</v>
      </c>
      <c r="B8090" t="s">
        <v>341</v>
      </c>
      <c r="C8090" t="s">
        <v>110</v>
      </c>
      <c r="D8090" t="s">
        <v>82</v>
      </c>
      <c r="E8090" t="s">
        <v>92</v>
      </c>
      <c r="F8090">
        <v>18800</v>
      </c>
      <c r="G8090" t="s">
        <v>331</v>
      </c>
      <c r="H8090" s="15">
        <v>45323</v>
      </c>
      <c r="I8090">
        <v>18800</v>
      </c>
      <c r="J8090">
        <v>0</v>
      </c>
    </row>
    <row r="8091" spans="1:10" x14ac:dyDescent="0.3">
      <c r="A8091" s="15">
        <v>46174</v>
      </c>
      <c r="B8091" t="s">
        <v>342</v>
      </c>
      <c r="C8091" t="s">
        <v>91</v>
      </c>
      <c r="D8091" t="s">
        <v>82</v>
      </c>
      <c r="E8091" t="s">
        <v>83</v>
      </c>
      <c r="F8091">
        <v>7300</v>
      </c>
      <c r="G8091" t="s">
        <v>332</v>
      </c>
      <c r="H8091" s="15">
        <v>45352</v>
      </c>
      <c r="I8091">
        <v>6300</v>
      </c>
      <c r="J8091">
        <v>1000</v>
      </c>
    </row>
    <row r="8092" spans="1:10" x14ac:dyDescent="0.3">
      <c r="A8092" s="15">
        <v>46174</v>
      </c>
      <c r="B8092" t="s">
        <v>343</v>
      </c>
      <c r="C8092" t="s">
        <v>81</v>
      </c>
      <c r="D8092" t="s">
        <v>82</v>
      </c>
      <c r="E8092" t="s">
        <v>89</v>
      </c>
      <c r="F8092">
        <v>2500</v>
      </c>
      <c r="G8092" t="s">
        <v>331</v>
      </c>
      <c r="H8092" s="15">
        <v>45352</v>
      </c>
      <c r="I8092">
        <v>2500</v>
      </c>
      <c r="J8092">
        <v>0</v>
      </c>
    </row>
    <row r="8093" spans="1:10" x14ac:dyDescent="0.3">
      <c r="A8093" s="15">
        <v>46174</v>
      </c>
      <c r="B8093" t="s">
        <v>344</v>
      </c>
      <c r="C8093" t="s">
        <v>110</v>
      </c>
      <c r="D8093" t="s">
        <v>86</v>
      </c>
      <c r="E8093" t="s">
        <v>89</v>
      </c>
      <c r="F8093">
        <v>25800</v>
      </c>
      <c r="G8093" t="s">
        <v>331</v>
      </c>
      <c r="H8093" s="15">
        <v>45352</v>
      </c>
      <c r="I8093">
        <v>25800</v>
      </c>
      <c r="J8093">
        <v>0</v>
      </c>
    </row>
    <row r="8094" spans="1:10" x14ac:dyDescent="0.3">
      <c r="A8094" s="15">
        <v>46174</v>
      </c>
      <c r="B8094" t="s">
        <v>345</v>
      </c>
      <c r="C8094" t="s">
        <v>91</v>
      </c>
      <c r="D8094" t="s">
        <v>86</v>
      </c>
      <c r="E8094" t="s">
        <v>83</v>
      </c>
      <c r="F8094">
        <v>7900</v>
      </c>
      <c r="G8094" t="s">
        <v>331</v>
      </c>
      <c r="H8094" s="15">
        <v>45352</v>
      </c>
      <c r="I8094">
        <v>7900</v>
      </c>
      <c r="J8094">
        <v>0</v>
      </c>
    </row>
    <row r="8095" spans="1:10" x14ac:dyDescent="0.3">
      <c r="A8095" s="15">
        <v>46174</v>
      </c>
      <c r="B8095" t="s">
        <v>346</v>
      </c>
      <c r="C8095" t="s">
        <v>81</v>
      </c>
      <c r="D8095" t="s">
        <v>86</v>
      </c>
      <c r="E8095" t="s">
        <v>97</v>
      </c>
      <c r="F8095">
        <v>1700</v>
      </c>
      <c r="G8095" t="s">
        <v>331</v>
      </c>
      <c r="H8095" s="15">
        <v>45352</v>
      </c>
      <c r="I8095">
        <v>1700</v>
      </c>
      <c r="J8095">
        <v>0</v>
      </c>
    </row>
    <row r="8096" spans="1:10" x14ac:dyDescent="0.3">
      <c r="A8096" s="15">
        <v>46174</v>
      </c>
      <c r="B8096" t="s">
        <v>347</v>
      </c>
      <c r="C8096" t="s">
        <v>91</v>
      </c>
      <c r="D8096" t="s">
        <v>82</v>
      </c>
      <c r="E8096" t="s">
        <v>83</v>
      </c>
      <c r="F8096">
        <v>4700</v>
      </c>
      <c r="G8096" t="s">
        <v>331</v>
      </c>
      <c r="H8096" s="15">
        <v>45383</v>
      </c>
      <c r="I8096">
        <v>4700</v>
      </c>
      <c r="J8096">
        <v>0</v>
      </c>
    </row>
    <row r="8097" spans="1:10" x14ac:dyDescent="0.3">
      <c r="A8097" s="15">
        <v>46174</v>
      </c>
      <c r="B8097" t="s">
        <v>350</v>
      </c>
      <c r="C8097" t="s">
        <v>91</v>
      </c>
      <c r="D8097" t="s">
        <v>82</v>
      </c>
      <c r="E8097" t="s">
        <v>83</v>
      </c>
      <c r="F8097">
        <v>4400</v>
      </c>
      <c r="G8097" t="s">
        <v>331</v>
      </c>
      <c r="H8097" s="15">
        <v>45383</v>
      </c>
      <c r="I8097">
        <v>4400</v>
      </c>
      <c r="J8097">
        <v>0</v>
      </c>
    </row>
    <row r="8098" spans="1:10" x14ac:dyDescent="0.3">
      <c r="A8098" s="15">
        <v>46174</v>
      </c>
      <c r="B8098" t="s">
        <v>351</v>
      </c>
      <c r="C8098" t="s">
        <v>81</v>
      </c>
      <c r="D8098" t="s">
        <v>86</v>
      </c>
      <c r="E8098" t="s">
        <v>83</v>
      </c>
      <c r="F8098">
        <v>2700</v>
      </c>
      <c r="G8098" t="s">
        <v>331</v>
      </c>
      <c r="H8098" s="15">
        <v>45383</v>
      </c>
      <c r="I8098">
        <v>2700</v>
      </c>
      <c r="J8098">
        <v>0</v>
      </c>
    </row>
    <row r="8099" spans="1:10" x14ac:dyDescent="0.3">
      <c r="A8099" s="15">
        <v>46174</v>
      </c>
      <c r="B8099" t="s">
        <v>352</v>
      </c>
      <c r="C8099" t="s">
        <v>91</v>
      </c>
      <c r="D8099" t="s">
        <v>82</v>
      </c>
      <c r="E8099" t="s">
        <v>89</v>
      </c>
      <c r="F8099">
        <v>8800</v>
      </c>
      <c r="G8099" t="s">
        <v>331</v>
      </c>
      <c r="H8099" s="15">
        <v>45383</v>
      </c>
      <c r="I8099">
        <v>8800</v>
      </c>
      <c r="J8099">
        <v>0</v>
      </c>
    </row>
    <row r="8100" spans="1:10" x14ac:dyDescent="0.3">
      <c r="A8100" s="15">
        <v>46174</v>
      </c>
      <c r="B8100" t="s">
        <v>353</v>
      </c>
      <c r="C8100" t="s">
        <v>81</v>
      </c>
      <c r="D8100" t="s">
        <v>99</v>
      </c>
      <c r="E8100" t="s">
        <v>103</v>
      </c>
      <c r="F8100">
        <v>1200</v>
      </c>
      <c r="G8100" t="s">
        <v>331</v>
      </c>
      <c r="H8100" s="15">
        <v>45383</v>
      </c>
      <c r="I8100">
        <v>1200</v>
      </c>
      <c r="J8100">
        <v>0</v>
      </c>
    </row>
    <row r="8101" spans="1:10" x14ac:dyDescent="0.3">
      <c r="A8101" s="15">
        <v>46174</v>
      </c>
      <c r="B8101" t="s">
        <v>354</v>
      </c>
      <c r="C8101" t="s">
        <v>81</v>
      </c>
      <c r="D8101" t="s">
        <v>82</v>
      </c>
      <c r="E8101" t="s">
        <v>92</v>
      </c>
      <c r="F8101">
        <v>1700</v>
      </c>
      <c r="G8101" t="s">
        <v>331</v>
      </c>
      <c r="H8101" s="15">
        <v>45413</v>
      </c>
      <c r="I8101">
        <v>1700</v>
      </c>
      <c r="J8101">
        <v>0</v>
      </c>
    </row>
    <row r="8102" spans="1:10" x14ac:dyDescent="0.3">
      <c r="A8102" s="15">
        <v>46174</v>
      </c>
      <c r="B8102" t="s">
        <v>355</v>
      </c>
      <c r="C8102" t="s">
        <v>81</v>
      </c>
      <c r="D8102" t="s">
        <v>86</v>
      </c>
      <c r="E8102" t="s">
        <v>97</v>
      </c>
      <c r="F8102">
        <v>2000</v>
      </c>
      <c r="G8102" t="s">
        <v>331</v>
      </c>
      <c r="H8102" s="15">
        <v>45413</v>
      </c>
      <c r="I8102">
        <v>2000</v>
      </c>
      <c r="J8102">
        <v>0</v>
      </c>
    </row>
    <row r="8103" spans="1:10" x14ac:dyDescent="0.3">
      <c r="A8103" s="15">
        <v>46174</v>
      </c>
      <c r="B8103" t="s">
        <v>356</v>
      </c>
      <c r="C8103" t="s">
        <v>110</v>
      </c>
      <c r="D8103" t="s">
        <v>82</v>
      </c>
      <c r="E8103" t="s">
        <v>97</v>
      </c>
      <c r="F8103">
        <v>33000</v>
      </c>
      <c r="G8103" t="s">
        <v>331</v>
      </c>
      <c r="H8103" s="15">
        <v>45413</v>
      </c>
      <c r="I8103">
        <v>33000</v>
      </c>
      <c r="J8103">
        <v>0</v>
      </c>
    </row>
    <row r="8104" spans="1:10" x14ac:dyDescent="0.3">
      <c r="A8104" s="15">
        <v>46174</v>
      </c>
      <c r="B8104" t="s">
        <v>359</v>
      </c>
      <c r="C8104" t="s">
        <v>110</v>
      </c>
      <c r="D8104" t="s">
        <v>86</v>
      </c>
      <c r="E8104" t="s">
        <v>101</v>
      </c>
      <c r="F8104">
        <v>28900</v>
      </c>
      <c r="G8104" t="s">
        <v>331</v>
      </c>
      <c r="H8104" s="15">
        <v>45413</v>
      </c>
      <c r="I8104">
        <v>28900</v>
      </c>
      <c r="J8104">
        <v>0</v>
      </c>
    </row>
    <row r="8105" spans="1:10" x14ac:dyDescent="0.3">
      <c r="A8105" s="15">
        <v>46174</v>
      </c>
      <c r="B8105" t="s">
        <v>361</v>
      </c>
      <c r="C8105" t="s">
        <v>91</v>
      </c>
      <c r="D8105" t="s">
        <v>86</v>
      </c>
      <c r="E8105" t="s">
        <v>83</v>
      </c>
      <c r="F8105">
        <v>5700</v>
      </c>
      <c r="G8105" t="s">
        <v>331</v>
      </c>
      <c r="H8105" s="15">
        <v>45444</v>
      </c>
      <c r="I8105">
        <v>5700</v>
      </c>
      <c r="J8105">
        <v>0</v>
      </c>
    </row>
    <row r="8106" spans="1:10" x14ac:dyDescent="0.3">
      <c r="A8106" s="15">
        <v>46174</v>
      </c>
      <c r="B8106" t="s">
        <v>362</v>
      </c>
      <c r="C8106" t="s">
        <v>91</v>
      </c>
      <c r="D8106" t="s">
        <v>82</v>
      </c>
      <c r="E8106" t="s">
        <v>101</v>
      </c>
      <c r="F8106">
        <v>5700</v>
      </c>
      <c r="G8106" t="s">
        <v>331</v>
      </c>
      <c r="H8106" s="15">
        <v>45444</v>
      </c>
      <c r="I8106">
        <v>5700</v>
      </c>
      <c r="J8106">
        <v>0</v>
      </c>
    </row>
    <row r="8107" spans="1:10" x14ac:dyDescent="0.3">
      <c r="A8107" s="15">
        <v>46174</v>
      </c>
      <c r="B8107" t="s">
        <v>363</v>
      </c>
      <c r="C8107" t="s">
        <v>91</v>
      </c>
      <c r="D8107" t="s">
        <v>86</v>
      </c>
      <c r="E8107" t="s">
        <v>83</v>
      </c>
      <c r="F8107">
        <v>4400</v>
      </c>
      <c r="G8107" t="s">
        <v>331</v>
      </c>
      <c r="H8107" s="15">
        <v>45444</v>
      </c>
      <c r="I8107">
        <v>4400</v>
      </c>
      <c r="J8107">
        <v>0</v>
      </c>
    </row>
    <row r="8108" spans="1:10" x14ac:dyDescent="0.3">
      <c r="A8108" s="15">
        <v>46174</v>
      </c>
      <c r="B8108" t="s">
        <v>364</v>
      </c>
      <c r="C8108" t="s">
        <v>91</v>
      </c>
      <c r="D8108" t="s">
        <v>82</v>
      </c>
      <c r="E8108" t="s">
        <v>101</v>
      </c>
      <c r="F8108">
        <v>7600</v>
      </c>
      <c r="G8108" t="s">
        <v>331</v>
      </c>
      <c r="H8108" s="15">
        <v>45444</v>
      </c>
      <c r="I8108">
        <v>7600</v>
      </c>
      <c r="J8108">
        <v>0</v>
      </c>
    </row>
    <row r="8109" spans="1:10" x14ac:dyDescent="0.3">
      <c r="A8109" s="15">
        <v>46174</v>
      </c>
      <c r="B8109" t="s">
        <v>366</v>
      </c>
      <c r="C8109" t="s">
        <v>81</v>
      </c>
      <c r="D8109" t="s">
        <v>99</v>
      </c>
      <c r="E8109" t="s">
        <v>92</v>
      </c>
      <c r="F8109">
        <v>1600</v>
      </c>
      <c r="G8109" t="s">
        <v>331</v>
      </c>
      <c r="H8109" s="15">
        <v>45474</v>
      </c>
      <c r="I8109">
        <v>1600</v>
      </c>
      <c r="J8109">
        <v>0</v>
      </c>
    </row>
    <row r="8110" spans="1:10" x14ac:dyDescent="0.3">
      <c r="A8110" s="15">
        <v>46174</v>
      </c>
      <c r="B8110" t="s">
        <v>368</v>
      </c>
      <c r="C8110" t="s">
        <v>81</v>
      </c>
      <c r="D8110" t="s">
        <v>86</v>
      </c>
      <c r="E8110" t="s">
        <v>89</v>
      </c>
      <c r="F8110">
        <v>1200</v>
      </c>
      <c r="G8110" t="s">
        <v>331</v>
      </c>
      <c r="H8110" s="15">
        <v>45474</v>
      </c>
      <c r="I8110">
        <v>1200</v>
      </c>
      <c r="J8110">
        <v>0</v>
      </c>
    </row>
    <row r="8111" spans="1:10" x14ac:dyDescent="0.3">
      <c r="A8111" s="15">
        <v>46174</v>
      </c>
      <c r="B8111" t="s">
        <v>369</v>
      </c>
      <c r="C8111" t="s">
        <v>81</v>
      </c>
      <c r="D8111" t="s">
        <v>86</v>
      </c>
      <c r="E8111" t="s">
        <v>83</v>
      </c>
      <c r="F8111">
        <v>2300</v>
      </c>
      <c r="G8111" t="s">
        <v>331</v>
      </c>
      <c r="H8111" s="15">
        <v>45474</v>
      </c>
      <c r="I8111">
        <v>2300</v>
      </c>
      <c r="J8111">
        <v>0</v>
      </c>
    </row>
    <row r="8112" spans="1:10" x14ac:dyDescent="0.3">
      <c r="A8112" s="15">
        <v>46174</v>
      </c>
      <c r="B8112" t="s">
        <v>370</v>
      </c>
      <c r="C8112" t="s">
        <v>81</v>
      </c>
      <c r="D8112" t="s">
        <v>99</v>
      </c>
      <c r="E8112" t="s">
        <v>87</v>
      </c>
      <c r="F8112">
        <v>2300</v>
      </c>
      <c r="G8112" t="s">
        <v>331</v>
      </c>
      <c r="H8112" s="15">
        <v>45474</v>
      </c>
      <c r="I8112">
        <v>2300</v>
      </c>
      <c r="J8112">
        <v>0</v>
      </c>
    </row>
    <row r="8113" spans="1:10" x14ac:dyDescent="0.3">
      <c r="A8113" s="15">
        <v>46174</v>
      </c>
      <c r="B8113" t="s">
        <v>376</v>
      </c>
      <c r="C8113" t="s">
        <v>110</v>
      </c>
      <c r="D8113" t="s">
        <v>86</v>
      </c>
      <c r="E8113" t="s">
        <v>103</v>
      </c>
      <c r="F8113">
        <v>22900</v>
      </c>
      <c r="G8113" t="s">
        <v>331</v>
      </c>
      <c r="H8113" s="15">
        <v>45505</v>
      </c>
      <c r="I8113">
        <v>22900</v>
      </c>
      <c r="J8113">
        <v>0</v>
      </c>
    </row>
    <row r="8114" spans="1:10" x14ac:dyDescent="0.3">
      <c r="A8114" s="15">
        <v>46174</v>
      </c>
      <c r="B8114" t="s">
        <v>377</v>
      </c>
      <c r="C8114" t="s">
        <v>81</v>
      </c>
      <c r="D8114" t="s">
        <v>99</v>
      </c>
      <c r="E8114" t="s">
        <v>92</v>
      </c>
      <c r="F8114">
        <v>2300</v>
      </c>
      <c r="G8114" t="s">
        <v>331</v>
      </c>
      <c r="H8114" s="15">
        <v>45536</v>
      </c>
      <c r="I8114">
        <v>2300</v>
      </c>
      <c r="J8114">
        <v>0</v>
      </c>
    </row>
    <row r="8115" spans="1:10" x14ac:dyDescent="0.3">
      <c r="A8115" s="15">
        <v>46174</v>
      </c>
      <c r="B8115" t="s">
        <v>379</v>
      </c>
      <c r="C8115" t="s">
        <v>81</v>
      </c>
      <c r="D8115" t="s">
        <v>99</v>
      </c>
      <c r="E8115" t="s">
        <v>101</v>
      </c>
      <c r="F8115">
        <v>2200</v>
      </c>
      <c r="G8115" t="s">
        <v>331</v>
      </c>
      <c r="H8115" s="15">
        <v>45536</v>
      </c>
      <c r="I8115">
        <v>2200</v>
      </c>
      <c r="J8115">
        <v>0</v>
      </c>
    </row>
    <row r="8116" spans="1:10" x14ac:dyDescent="0.3">
      <c r="A8116" s="15">
        <v>46174</v>
      </c>
      <c r="B8116" t="s">
        <v>381</v>
      </c>
      <c r="C8116" t="s">
        <v>91</v>
      </c>
      <c r="D8116" t="s">
        <v>86</v>
      </c>
      <c r="E8116" t="s">
        <v>92</v>
      </c>
      <c r="F8116">
        <v>4600</v>
      </c>
      <c r="G8116" t="s">
        <v>331</v>
      </c>
      <c r="H8116" s="15">
        <v>45536</v>
      </c>
      <c r="I8116">
        <v>4600</v>
      </c>
      <c r="J8116">
        <v>0</v>
      </c>
    </row>
    <row r="8117" spans="1:10" x14ac:dyDescent="0.3">
      <c r="A8117" s="15">
        <v>46174</v>
      </c>
      <c r="B8117" t="s">
        <v>382</v>
      </c>
      <c r="C8117" t="s">
        <v>81</v>
      </c>
      <c r="D8117" t="s">
        <v>96</v>
      </c>
      <c r="E8117" t="s">
        <v>101</v>
      </c>
      <c r="F8117">
        <v>2100</v>
      </c>
      <c r="G8117" t="s">
        <v>331</v>
      </c>
      <c r="H8117" s="15">
        <v>45536</v>
      </c>
      <c r="I8117">
        <v>2100</v>
      </c>
      <c r="J8117">
        <v>0</v>
      </c>
    </row>
    <row r="8118" spans="1:10" x14ac:dyDescent="0.3">
      <c r="A8118" s="15">
        <v>46174</v>
      </c>
      <c r="B8118" t="s">
        <v>383</v>
      </c>
      <c r="C8118" t="s">
        <v>81</v>
      </c>
      <c r="D8118" t="s">
        <v>82</v>
      </c>
      <c r="E8118" t="s">
        <v>87</v>
      </c>
      <c r="F8118">
        <v>1600</v>
      </c>
      <c r="G8118" t="s">
        <v>331</v>
      </c>
      <c r="H8118" s="15">
        <v>45536</v>
      </c>
      <c r="I8118">
        <v>1600</v>
      </c>
      <c r="J8118">
        <v>0</v>
      </c>
    </row>
    <row r="8119" spans="1:10" x14ac:dyDescent="0.3">
      <c r="A8119" s="15">
        <v>46174</v>
      </c>
      <c r="B8119" t="s">
        <v>385</v>
      </c>
      <c r="C8119" t="s">
        <v>91</v>
      </c>
      <c r="D8119" t="s">
        <v>99</v>
      </c>
      <c r="E8119" t="s">
        <v>83</v>
      </c>
      <c r="F8119">
        <v>8300</v>
      </c>
      <c r="G8119" t="s">
        <v>331</v>
      </c>
      <c r="H8119" s="15">
        <v>45566</v>
      </c>
      <c r="I8119">
        <v>8300</v>
      </c>
      <c r="J8119">
        <v>0</v>
      </c>
    </row>
    <row r="8120" spans="1:10" x14ac:dyDescent="0.3">
      <c r="A8120" s="15">
        <v>46174</v>
      </c>
      <c r="B8120" t="s">
        <v>386</v>
      </c>
      <c r="C8120" t="s">
        <v>81</v>
      </c>
      <c r="D8120" t="s">
        <v>82</v>
      </c>
      <c r="E8120" t="s">
        <v>103</v>
      </c>
      <c r="F8120">
        <v>2200</v>
      </c>
      <c r="G8120" t="s">
        <v>331</v>
      </c>
      <c r="H8120" s="15">
        <v>45566</v>
      </c>
      <c r="I8120">
        <v>2200</v>
      </c>
      <c r="J8120">
        <v>0</v>
      </c>
    </row>
    <row r="8121" spans="1:10" x14ac:dyDescent="0.3">
      <c r="A8121" s="15">
        <v>46174</v>
      </c>
      <c r="B8121" t="s">
        <v>387</v>
      </c>
      <c r="C8121" t="s">
        <v>81</v>
      </c>
      <c r="D8121" t="s">
        <v>86</v>
      </c>
      <c r="E8121" t="s">
        <v>92</v>
      </c>
      <c r="F8121">
        <v>1500</v>
      </c>
      <c r="G8121" t="s">
        <v>331</v>
      </c>
      <c r="H8121" s="15">
        <v>45566</v>
      </c>
      <c r="I8121">
        <v>1500</v>
      </c>
      <c r="J8121">
        <v>0</v>
      </c>
    </row>
    <row r="8122" spans="1:10" x14ac:dyDescent="0.3">
      <c r="A8122" s="15">
        <v>46174</v>
      </c>
      <c r="B8122" t="s">
        <v>388</v>
      </c>
      <c r="C8122" t="s">
        <v>81</v>
      </c>
      <c r="D8122" t="s">
        <v>99</v>
      </c>
      <c r="E8122" t="s">
        <v>103</v>
      </c>
      <c r="F8122">
        <v>1800</v>
      </c>
      <c r="G8122" t="s">
        <v>331</v>
      </c>
      <c r="H8122" s="15">
        <v>45566</v>
      </c>
      <c r="I8122">
        <v>1800</v>
      </c>
      <c r="J8122">
        <v>0</v>
      </c>
    </row>
    <row r="8123" spans="1:10" x14ac:dyDescent="0.3">
      <c r="A8123" s="15">
        <v>46174</v>
      </c>
      <c r="B8123" t="s">
        <v>390</v>
      </c>
      <c r="C8123" t="s">
        <v>91</v>
      </c>
      <c r="D8123" t="s">
        <v>82</v>
      </c>
      <c r="E8123" t="s">
        <v>89</v>
      </c>
      <c r="F8123">
        <v>6200</v>
      </c>
      <c r="G8123" t="s">
        <v>331</v>
      </c>
      <c r="H8123" s="15">
        <v>45566</v>
      </c>
      <c r="I8123">
        <v>6200</v>
      </c>
      <c r="J8123">
        <v>0</v>
      </c>
    </row>
    <row r="8124" spans="1:10" x14ac:dyDescent="0.3">
      <c r="A8124" s="15">
        <v>46174</v>
      </c>
      <c r="B8124" t="s">
        <v>392</v>
      </c>
      <c r="C8124" t="s">
        <v>91</v>
      </c>
      <c r="D8124" t="s">
        <v>86</v>
      </c>
      <c r="E8124" t="s">
        <v>97</v>
      </c>
      <c r="F8124">
        <v>10000</v>
      </c>
      <c r="G8124" t="s">
        <v>331</v>
      </c>
      <c r="H8124" s="15">
        <v>45597</v>
      </c>
      <c r="I8124">
        <v>10000</v>
      </c>
      <c r="J8124">
        <v>0</v>
      </c>
    </row>
    <row r="8125" spans="1:10" x14ac:dyDescent="0.3">
      <c r="A8125" s="15">
        <v>46174</v>
      </c>
      <c r="B8125" t="s">
        <v>393</v>
      </c>
      <c r="C8125" t="s">
        <v>81</v>
      </c>
      <c r="D8125" t="s">
        <v>82</v>
      </c>
      <c r="E8125" t="s">
        <v>92</v>
      </c>
      <c r="F8125">
        <v>2100</v>
      </c>
      <c r="G8125" t="s">
        <v>331</v>
      </c>
      <c r="H8125" s="15">
        <v>45597</v>
      </c>
      <c r="I8125">
        <v>2100</v>
      </c>
      <c r="J8125">
        <v>0</v>
      </c>
    </row>
    <row r="8126" spans="1:10" x14ac:dyDescent="0.3">
      <c r="A8126" s="15">
        <v>46174</v>
      </c>
      <c r="B8126" t="s">
        <v>394</v>
      </c>
      <c r="C8126" t="s">
        <v>81</v>
      </c>
      <c r="D8126" t="s">
        <v>99</v>
      </c>
      <c r="E8126" t="s">
        <v>87</v>
      </c>
      <c r="F8126">
        <v>1500</v>
      </c>
      <c r="G8126" t="s">
        <v>331</v>
      </c>
      <c r="H8126" s="15">
        <v>45597</v>
      </c>
      <c r="I8126">
        <v>1500</v>
      </c>
      <c r="J8126">
        <v>0</v>
      </c>
    </row>
    <row r="8127" spans="1:10" x14ac:dyDescent="0.3">
      <c r="A8127" s="15">
        <v>46174</v>
      </c>
      <c r="B8127" t="s">
        <v>395</v>
      </c>
      <c r="C8127" t="s">
        <v>81</v>
      </c>
      <c r="D8127" t="s">
        <v>82</v>
      </c>
      <c r="E8127" t="s">
        <v>97</v>
      </c>
      <c r="F8127">
        <v>2200</v>
      </c>
      <c r="G8127" t="s">
        <v>331</v>
      </c>
      <c r="H8127" s="15">
        <v>45627</v>
      </c>
      <c r="I8127">
        <v>2200</v>
      </c>
      <c r="J8127">
        <v>0</v>
      </c>
    </row>
    <row r="8128" spans="1:10" x14ac:dyDescent="0.3">
      <c r="A8128" s="15">
        <v>46174</v>
      </c>
      <c r="B8128" t="s">
        <v>396</v>
      </c>
      <c r="C8128" t="s">
        <v>91</v>
      </c>
      <c r="D8128" t="s">
        <v>82</v>
      </c>
      <c r="E8128" t="s">
        <v>92</v>
      </c>
      <c r="F8128">
        <v>0</v>
      </c>
      <c r="G8128" t="s">
        <v>333</v>
      </c>
      <c r="H8128" s="15">
        <v>45627</v>
      </c>
      <c r="I8128">
        <v>8800</v>
      </c>
      <c r="J8128">
        <v>-8800</v>
      </c>
    </row>
    <row r="8129" spans="1:10" x14ac:dyDescent="0.3">
      <c r="A8129" s="15">
        <v>46174</v>
      </c>
      <c r="B8129" t="s">
        <v>398</v>
      </c>
      <c r="C8129" t="s">
        <v>81</v>
      </c>
      <c r="D8129" t="s">
        <v>86</v>
      </c>
      <c r="E8129" t="s">
        <v>92</v>
      </c>
      <c r="F8129">
        <v>1400</v>
      </c>
      <c r="G8129" t="s">
        <v>331</v>
      </c>
      <c r="H8129" s="15">
        <v>45627</v>
      </c>
      <c r="I8129">
        <v>1400</v>
      </c>
      <c r="J8129">
        <v>0</v>
      </c>
    </row>
    <row r="8130" spans="1:10" x14ac:dyDescent="0.3">
      <c r="A8130" s="15">
        <v>46174</v>
      </c>
      <c r="B8130" t="s">
        <v>399</v>
      </c>
      <c r="C8130" t="s">
        <v>110</v>
      </c>
      <c r="D8130" t="s">
        <v>82</v>
      </c>
      <c r="E8130" t="s">
        <v>101</v>
      </c>
      <c r="F8130">
        <v>17400</v>
      </c>
      <c r="G8130" t="s">
        <v>331</v>
      </c>
      <c r="H8130" s="15">
        <v>45627</v>
      </c>
      <c r="I8130">
        <v>17400</v>
      </c>
      <c r="J8130">
        <v>0</v>
      </c>
    </row>
    <row r="8131" spans="1:10" x14ac:dyDescent="0.3">
      <c r="A8131" s="15">
        <v>46174</v>
      </c>
      <c r="B8131" t="s">
        <v>400</v>
      </c>
      <c r="C8131" t="s">
        <v>91</v>
      </c>
      <c r="D8131" t="s">
        <v>82</v>
      </c>
      <c r="E8131" t="s">
        <v>103</v>
      </c>
      <c r="F8131">
        <v>4600</v>
      </c>
      <c r="G8131" t="s">
        <v>331</v>
      </c>
      <c r="H8131" s="15">
        <v>45627</v>
      </c>
      <c r="I8131">
        <v>4600</v>
      </c>
      <c r="J8131">
        <v>0</v>
      </c>
    </row>
    <row r="8132" spans="1:10" x14ac:dyDescent="0.3">
      <c r="A8132" s="15">
        <v>46174</v>
      </c>
      <c r="B8132" t="s">
        <v>403</v>
      </c>
      <c r="C8132" t="s">
        <v>81</v>
      </c>
      <c r="D8132" t="s">
        <v>82</v>
      </c>
      <c r="E8132" t="s">
        <v>101</v>
      </c>
      <c r="F8132">
        <v>1900</v>
      </c>
      <c r="G8132" t="s">
        <v>331</v>
      </c>
      <c r="H8132" s="15">
        <v>45658</v>
      </c>
      <c r="I8132">
        <v>1900</v>
      </c>
      <c r="J8132">
        <v>0</v>
      </c>
    </row>
    <row r="8133" spans="1:10" x14ac:dyDescent="0.3">
      <c r="A8133" s="15">
        <v>46174</v>
      </c>
      <c r="B8133" t="s">
        <v>404</v>
      </c>
      <c r="C8133" t="s">
        <v>81</v>
      </c>
      <c r="D8133" t="s">
        <v>86</v>
      </c>
      <c r="E8133" t="s">
        <v>83</v>
      </c>
      <c r="F8133">
        <v>2100</v>
      </c>
      <c r="G8133" t="s">
        <v>331</v>
      </c>
      <c r="H8133" s="15">
        <v>45658</v>
      </c>
      <c r="I8133">
        <v>2100</v>
      </c>
      <c r="J8133">
        <v>0</v>
      </c>
    </row>
    <row r="8134" spans="1:10" x14ac:dyDescent="0.3">
      <c r="A8134" s="15">
        <v>46174</v>
      </c>
      <c r="B8134" t="s">
        <v>405</v>
      </c>
      <c r="C8134" t="s">
        <v>81</v>
      </c>
      <c r="D8134" t="s">
        <v>82</v>
      </c>
      <c r="E8134" t="s">
        <v>92</v>
      </c>
      <c r="F8134">
        <v>1600</v>
      </c>
      <c r="G8134" t="s">
        <v>331</v>
      </c>
      <c r="H8134" s="15">
        <v>45658</v>
      </c>
      <c r="I8134">
        <v>1600</v>
      </c>
      <c r="J8134">
        <v>0</v>
      </c>
    </row>
    <row r="8135" spans="1:10" x14ac:dyDescent="0.3">
      <c r="A8135" s="15">
        <v>46174</v>
      </c>
      <c r="B8135" t="s">
        <v>407</v>
      </c>
      <c r="C8135" t="s">
        <v>81</v>
      </c>
      <c r="D8135" t="s">
        <v>82</v>
      </c>
      <c r="E8135" t="s">
        <v>92</v>
      </c>
      <c r="F8135">
        <v>2400</v>
      </c>
      <c r="G8135" t="s">
        <v>331</v>
      </c>
      <c r="H8135" s="15">
        <v>45689</v>
      </c>
      <c r="I8135">
        <v>2400</v>
      </c>
      <c r="J8135">
        <v>0</v>
      </c>
    </row>
    <row r="8136" spans="1:10" x14ac:dyDescent="0.3">
      <c r="A8136" s="15">
        <v>46174</v>
      </c>
      <c r="B8136" t="s">
        <v>409</v>
      </c>
      <c r="C8136" t="s">
        <v>81</v>
      </c>
      <c r="D8136" t="s">
        <v>82</v>
      </c>
      <c r="E8136" t="s">
        <v>83</v>
      </c>
      <c r="F8136">
        <v>1700</v>
      </c>
      <c r="G8136" t="s">
        <v>331</v>
      </c>
      <c r="H8136" s="15">
        <v>45689</v>
      </c>
      <c r="I8136">
        <v>1700</v>
      </c>
      <c r="J8136">
        <v>0</v>
      </c>
    </row>
    <row r="8137" spans="1:10" x14ac:dyDescent="0.3">
      <c r="A8137" s="15">
        <v>46174</v>
      </c>
      <c r="B8137" t="s">
        <v>410</v>
      </c>
      <c r="C8137" t="s">
        <v>125</v>
      </c>
      <c r="D8137" t="s">
        <v>82</v>
      </c>
      <c r="E8137" t="s">
        <v>103</v>
      </c>
      <c r="F8137">
        <v>56400</v>
      </c>
      <c r="G8137" t="s">
        <v>331</v>
      </c>
      <c r="H8137" s="15">
        <v>45689</v>
      </c>
      <c r="I8137">
        <v>56400</v>
      </c>
      <c r="J8137">
        <v>0</v>
      </c>
    </row>
    <row r="8138" spans="1:10" x14ac:dyDescent="0.3">
      <c r="A8138" s="15">
        <v>46174</v>
      </c>
      <c r="B8138" t="s">
        <v>411</v>
      </c>
      <c r="C8138" t="s">
        <v>91</v>
      </c>
      <c r="D8138" t="s">
        <v>86</v>
      </c>
      <c r="E8138" t="s">
        <v>92</v>
      </c>
      <c r="F8138">
        <v>7700</v>
      </c>
      <c r="G8138" t="s">
        <v>331</v>
      </c>
      <c r="H8138" s="15">
        <v>45689</v>
      </c>
      <c r="I8138">
        <v>7700</v>
      </c>
      <c r="J8138">
        <v>0</v>
      </c>
    </row>
    <row r="8139" spans="1:10" x14ac:dyDescent="0.3">
      <c r="A8139" s="15">
        <v>46174</v>
      </c>
      <c r="B8139" t="s">
        <v>413</v>
      </c>
      <c r="C8139" t="s">
        <v>81</v>
      </c>
      <c r="D8139" t="s">
        <v>99</v>
      </c>
      <c r="E8139" t="s">
        <v>101</v>
      </c>
      <c r="F8139">
        <v>2000</v>
      </c>
      <c r="G8139" t="s">
        <v>331</v>
      </c>
      <c r="H8139" s="15">
        <v>45717</v>
      </c>
      <c r="I8139">
        <v>2000</v>
      </c>
      <c r="J8139">
        <v>0</v>
      </c>
    </row>
    <row r="8140" spans="1:10" x14ac:dyDescent="0.3">
      <c r="A8140" s="15">
        <v>46174</v>
      </c>
      <c r="B8140" t="s">
        <v>414</v>
      </c>
      <c r="C8140" t="s">
        <v>110</v>
      </c>
      <c r="D8140" t="s">
        <v>99</v>
      </c>
      <c r="E8140" t="s">
        <v>89</v>
      </c>
      <c r="F8140">
        <v>30900</v>
      </c>
      <c r="G8140" t="s">
        <v>331</v>
      </c>
      <c r="H8140" s="15">
        <v>45717</v>
      </c>
      <c r="I8140">
        <v>30900</v>
      </c>
      <c r="J8140">
        <v>0</v>
      </c>
    </row>
    <row r="8141" spans="1:10" x14ac:dyDescent="0.3">
      <c r="A8141" s="15">
        <v>46174</v>
      </c>
      <c r="B8141" t="s">
        <v>417</v>
      </c>
      <c r="C8141" t="s">
        <v>110</v>
      </c>
      <c r="D8141" t="s">
        <v>86</v>
      </c>
      <c r="E8141" t="s">
        <v>92</v>
      </c>
      <c r="F8141">
        <v>35600</v>
      </c>
      <c r="G8141" t="s">
        <v>331</v>
      </c>
      <c r="H8141" s="15">
        <v>45717</v>
      </c>
      <c r="I8141">
        <v>35600</v>
      </c>
      <c r="J8141">
        <v>0</v>
      </c>
    </row>
    <row r="8142" spans="1:10" x14ac:dyDescent="0.3">
      <c r="A8142" s="15">
        <v>46174</v>
      </c>
      <c r="B8142" t="s">
        <v>418</v>
      </c>
      <c r="C8142" t="s">
        <v>81</v>
      </c>
      <c r="D8142" t="s">
        <v>86</v>
      </c>
      <c r="E8142" t="s">
        <v>92</v>
      </c>
      <c r="F8142">
        <v>1800</v>
      </c>
      <c r="G8142" t="s">
        <v>331</v>
      </c>
      <c r="H8142" s="15">
        <v>45748</v>
      </c>
      <c r="I8142">
        <v>1800</v>
      </c>
      <c r="J8142">
        <v>0</v>
      </c>
    </row>
    <row r="8143" spans="1:10" x14ac:dyDescent="0.3">
      <c r="A8143" s="15">
        <v>46174</v>
      </c>
      <c r="B8143" t="s">
        <v>419</v>
      </c>
      <c r="C8143" t="s">
        <v>125</v>
      </c>
      <c r="D8143" t="s">
        <v>96</v>
      </c>
      <c r="E8143" t="s">
        <v>103</v>
      </c>
      <c r="F8143">
        <v>73300</v>
      </c>
      <c r="G8143" t="s">
        <v>331</v>
      </c>
      <c r="H8143" s="15">
        <v>45748</v>
      </c>
      <c r="I8143">
        <v>73300</v>
      </c>
      <c r="J8143">
        <v>0</v>
      </c>
    </row>
    <row r="8144" spans="1:10" x14ac:dyDescent="0.3">
      <c r="A8144" s="15">
        <v>46174</v>
      </c>
      <c r="B8144" t="s">
        <v>420</v>
      </c>
      <c r="C8144" t="s">
        <v>110</v>
      </c>
      <c r="D8144" t="s">
        <v>96</v>
      </c>
      <c r="E8144" t="s">
        <v>103</v>
      </c>
      <c r="F8144">
        <v>22900</v>
      </c>
      <c r="G8144" t="s">
        <v>331</v>
      </c>
      <c r="H8144" s="15">
        <v>45748</v>
      </c>
      <c r="I8144">
        <v>22900</v>
      </c>
      <c r="J8144">
        <v>0</v>
      </c>
    </row>
    <row r="8145" spans="1:10" x14ac:dyDescent="0.3">
      <c r="A8145" s="15">
        <v>46174</v>
      </c>
      <c r="B8145" t="s">
        <v>421</v>
      </c>
      <c r="C8145" t="s">
        <v>110</v>
      </c>
      <c r="D8145" t="s">
        <v>82</v>
      </c>
      <c r="E8145" t="s">
        <v>103</v>
      </c>
      <c r="F8145">
        <v>18800</v>
      </c>
      <c r="G8145" t="s">
        <v>331</v>
      </c>
      <c r="H8145" s="15">
        <v>45748</v>
      </c>
      <c r="I8145">
        <v>18800</v>
      </c>
      <c r="J8145">
        <v>0</v>
      </c>
    </row>
    <row r="8146" spans="1:10" x14ac:dyDescent="0.3">
      <c r="A8146" s="15">
        <v>46174</v>
      </c>
      <c r="B8146" t="s">
        <v>422</v>
      </c>
      <c r="C8146" t="s">
        <v>81</v>
      </c>
      <c r="D8146" t="s">
        <v>82</v>
      </c>
      <c r="E8146" t="s">
        <v>97</v>
      </c>
      <c r="F8146">
        <v>2300</v>
      </c>
      <c r="G8146" t="s">
        <v>331</v>
      </c>
      <c r="H8146" s="15">
        <v>45748</v>
      </c>
      <c r="I8146">
        <v>2300</v>
      </c>
      <c r="J8146">
        <v>0</v>
      </c>
    </row>
    <row r="8147" spans="1:10" x14ac:dyDescent="0.3">
      <c r="A8147" s="15">
        <v>46174</v>
      </c>
      <c r="B8147" t="s">
        <v>423</v>
      </c>
      <c r="C8147" t="s">
        <v>125</v>
      </c>
      <c r="D8147" t="s">
        <v>86</v>
      </c>
      <c r="E8147" t="s">
        <v>97</v>
      </c>
      <c r="F8147">
        <v>52800</v>
      </c>
      <c r="G8147" t="s">
        <v>331</v>
      </c>
      <c r="H8147" s="15">
        <v>45748</v>
      </c>
      <c r="I8147">
        <v>52800</v>
      </c>
      <c r="J8147">
        <v>0</v>
      </c>
    </row>
    <row r="8148" spans="1:10" x14ac:dyDescent="0.3">
      <c r="A8148" s="15">
        <v>46174</v>
      </c>
      <c r="B8148" t="s">
        <v>425</v>
      </c>
      <c r="C8148" t="s">
        <v>110</v>
      </c>
      <c r="D8148" t="s">
        <v>82</v>
      </c>
      <c r="E8148" t="s">
        <v>97</v>
      </c>
      <c r="F8148">
        <v>22700</v>
      </c>
      <c r="G8148" t="s">
        <v>331</v>
      </c>
      <c r="H8148" s="15">
        <v>45778</v>
      </c>
      <c r="I8148">
        <v>22700</v>
      </c>
      <c r="J8148">
        <v>0</v>
      </c>
    </row>
    <row r="8149" spans="1:10" x14ac:dyDescent="0.3">
      <c r="A8149" s="15">
        <v>46174</v>
      </c>
      <c r="B8149" t="s">
        <v>426</v>
      </c>
      <c r="C8149" t="s">
        <v>81</v>
      </c>
      <c r="D8149" t="s">
        <v>82</v>
      </c>
      <c r="E8149" t="s">
        <v>89</v>
      </c>
      <c r="F8149">
        <v>1600</v>
      </c>
      <c r="G8149" t="s">
        <v>334</v>
      </c>
      <c r="H8149" s="15">
        <v>45778</v>
      </c>
      <c r="I8149">
        <v>1900</v>
      </c>
      <c r="J8149">
        <v>-300</v>
      </c>
    </row>
    <row r="8150" spans="1:10" x14ac:dyDescent="0.3">
      <c r="A8150" s="15">
        <v>46174</v>
      </c>
      <c r="B8150" t="s">
        <v>427</v>
      </c>
      <c r="C8150" t="s">
        <v>110</v>
      </c>
      <c r="D8150" t="s">
        <v>82</v>
      </c>
      <c r="E8150" t="s">
        <v>83</v>
      </c>
      <c r="F8150">
        <v>25300</v>
      </c>
      <c r="G8150" t="s">
        <v>331</v>
      </c>
      <c r="H8150" s="15">
        <v>45778</v>
      </c>
      <c r="I8150">
        <v>25300</v>
      </c>
      <c r="J8150">
        <v>0</v>
      </c>
    </row>
    <row r="8151" spans="1:10" x14ac:dyDescent="0.3">
      <c r="A8151" s="15">
        <v>46174</v>
      </c>
      <c r="B8151" t="s">
        <v>428</v>
      </c>
      <c r="C8151" t="s">
        <v>81</v>
      </c>
      <c r="D8151" t="s">
        <v>86</v>
      </c>
      <c r="E8151" t="s">
        <v>89</v>
      </c>
      <c r="F8151">
        <v>2300</v>
      </c>
      <c r="G8151" t="s">
        <v>331</v>
      </c>
      <c r="H8151" s="15">
        <v>45778</v>
      </c>
      <c r="I8151">
        <v>2300</v>
      </c>
      <c r="J8151">
        <v>0</v>
      </c>
    </row>
    <row r="8152" spans="1:10" x14ac:dyDescent="0.3">
      <c r="A8152" s="15">
        <v>46174</v>
      </c>
      <c r="B8152" t="s">
        <v>430</v>
      </c>
      <c r="C8152" t="s">
        <v>110</v>
      </c>
      <c r="D8152" t="s">
        <v>82</v>
      </c>
      <c r="E8152" t="s">
        <v>87</v>
      </c>
      <c r="F8152">
        <v>24300</v>
      </c>
      <c r="G8152" t="s">
        <v>331</v>
      </c>
      <c r="H8152" s="15">
        <v>45809</v>
      </c>
      <c r="I8152">
        <v>24300</v>
      </c>
      <c r="J8152">
        <v>0</v>
      </c>
    </row>
    <row r="8153" spans="1:10" x14ac:dyDescent="0.3">
      <c r="A8153" s="15">
        <v>46174</v>
      </c>
      <c r="B8153" t="s">
        <v>431</v>
      </c>
      <c r="C8153" t="s">
        <v>110</v>
      </c>
      <c r="D8153" t="s">
        <v>82</v>
      </c>
      <c r="E8153" t="s">
        <v>101</v>
      </c>
      <c r="F8153">
        <v>19800</v>
      </c>
      <c r="G8153" t="s">
        <v>331</v>
      </c>
      <c r="H8153" s="15">
        <v>45809</v>
      </c>
      <c r="I8153">
        <v>19800</v>
      </c>
      <c r="J8153">
        <v>0</v>
      </c>
    </row>
    <row r="8154" spans="1:10" x14ac:dyDescent="0.3">
      <c r="A8154" s="15">
        <v>46174</v>
      </c>
      <c r="B8154" t="s">
        <v>435</v>
      </c>
      <c r="C8154" t="s">
        <v>81</v>
      </c>
      <c r="D8154" t="s">
        <v>82</v>
      </c>
      <c r="E8154" t="s">
        <v>92</v>
      </c>
      <c r="F8154">
        <v>1400</v>
      </c>
      <c r="G8154" t="s">
        <v>331</v>
      </c>
      <c r="H8154" s="15">
        <v>45809</v>
      </c>
      <c r="I8154">
        <v>1400</v>
      </c>
      <c r="J8154">
        <v>0</v>
      </c>
    </row>
    <row r="8155" spans="1:10" x14ac:dyDescent="0.3">
      <c r="A8155" s="15">
        <v>46174</v>
      </c>
      <c r="B8155" t="s">
        <v>436</v>
      </c>
      <c r="C8155" t="s">
        <v>81</v>
      </c>
      <c r="D8155" t="s">
        <v>82</v>
      </c>
      <c r="E8155" t="s">
        <v>97</v>
      </c>
      <c r="F8155">
        <v>2100</v>
      </c>
      <c r="G8155" t="s">
        <v>331</v>
      </c>
      <c r="H8155" s="15">
        <v>45839</v>
      </c>
      <c r="I8155">
        <v>2100</v>
      </c>
      <c r="J8155">
        <v>0</v>
      </c>
    </row>
    <row r="8156" spans="1:10" x14ac:dyDescent="0.3">
      <c r="A8156" s="15">
        <v>46174</v>
      </c>
      <c r="B8156" t="s">
        <v>437</v>
      </c>
      <c r="C8156" t="s">
        <v>81</v>
      </c>
      <c r="D8156" t="s">
        <v>99</v>
      </c>
      <c r="E8156" t="s">
        <v>92</v>
      </c>
      <c r="F8156">
        <v>1800</v>
      </c>
      <c r="G8156" t="s">
        <v>332</v>
      </c>
      <c r="H8156" s="15">
        <v>45839</v>
      </c>
      <c r="I8156">
        <v>1600</v>
      </c>
      <c r="J8156">
        <v>200</v>
      </c>
    </row>
    <row r="8157" spans="1:10" x14ac:dyDescent="0.3">
      <c r="A8157" s="15">
        <v>46174</v>
      </c>
      <c r="B8157" t="s">
        <v>438</v>
      </c>
      <c r="C8157" t="s">
        <v>91</v>
      </c>
      <c r="D8157" t="s">
        <v>96</v>
      </c>
      <c r="E8157" t="s">
        <v>101</v>
      </c>
      <c r="F8157">
        <v>8600</v>
      </c>
      <c r="G8157" t="s">
        <v>331</v>
      </c>
      <c r="H8157" s="15">
        <v>45839</v>
      </c>
      <c r="I8157">
        <v>8600</v>
      </c>
      <c r="J8157">
        <v>0</v>
      </c>
    </row>
    <row r="8158" spans="1:10" x14ac:dyDescent="0.3">
      <c r="A8158" s="15">
        <v>46174</v>
      </c>
      <c r="B8158" t="s">
        <v>439</v>
      </c>
      <c r="C8158" t="s">
        <v>81</v>
      </c>
      <c r="D8158" t="s">
        <v>99</v>
      </c>
      <c r="E8158" t="s">
        <v>87</v>
      </c>
      <c r="F8158">
        <v>1700</v>
      </c>
      <c r="G8158" t="s">
        <v>331</v>
      </c>
      <c r="H8158" s="15">
        <v>45839</v>
      </c>
      <c r="I8158">
        <v>1700</v>
      </c>
      <c r="J8158">
        <v>0</v>
      </c>
    </row>
    <row r="8159" spans="1:10" x14ac:dyDescent="0.3">
      <c r="A8159" s="15">
        <v>46174</v>
      </c>
      <c r="B8159" t="s">
        <v>440</v>
      </c>
      <c r="C8159" t="s">
        <v>81</v>
      </c>
      <c r="D8159" t="s">
        <v>82</v>
      </c>
      <c r="E8159" t="s">
        <v>97</v>
      </c>
      <c r="F8159">
        <v>2200</v>
      </c>
      <c r="G8159" t="s">
        <v>331</v>
      </c>
      <c r="H8159" s="15">
        <v>45839</v>
      </c>
      <c r="I8159">
        <v>2200</v>
      </c>
      <c r="J8159">
        <v>0</v>
      </c>
    </row>
    <row r="8160" spans="1:10" x14ac:dyDescent="0.3">
      <c r="A8160" s="15">
        <v>46174</v>
      </c>
      <c r="B8160" t="s">
        <v>441</v>
      </c>
      <c r="C8160" t="s">
        <v>110</v>
      </c>
      <c r="D8160" t="s">
        <v>86</v>
      </c>
      <c r="E8160" t="s">
        <v>97</v>
      </c>
      <c r="F8160">
        <v>35800</v>
      </c>
      <c r="G8160" t="s">
        <v>331</v>
      </c>
      <c r="H8160" s="15">
        <v>45839</v>
      </c>
      <c r="I8160">
        <v>35800</v>
      </c>
      <c r="J8160">
        <v>0</v>
      </c>
    </row>
    <row r="8161" spans="1:10" x14ac:dyDescent="0.3">
      <c r="A8161" s="15">
        <v>46174</v>
      </c>
      <c r="B8161" t="s">
        <v>442</v>
      </c>
      <c r="C8161" t="s">
        <v>110</v>
      </c>
      <c r="D8161" t="s">
        <v>86</v>
      </c>
      <c r="E8161" t="s">
        <v>83</v>
      </c>
      <c r="F8161">
        <v>23900</v>
      </c>
      <c r="G8161" t="s">
        <v>331</v>
      </c>
      <c r="H8161" s="15">
        <v>45870</v>
      </c>
      <c r="I8161">
        <v>23900</v>
      </c>
      <c r="J8161">
        <v>0</v>
      </c>
    </row>
    <row r="8162" spans="1:10" x14ac:dyDescent="0.3">
      <c r="A8162" s="15">
        <v>46174</v>
      </c>
      <c r="B8162" t="s">
        <v>443</v>
      </c>
      <c r="C8162" t="s">
        <v>81</v>
      </c>
      <c r="D8162" t="s">
        <v>86</v>
      </c>
      <c r="E8162" t="s">
        <v>101</v>
      </c>
      <c r="F8162">
        <v>1800</v>
      </c>
      <c r="G8162" t="s">
        <v>331</v>
      </c>
      <c r="H8162" s="15">
        <v>45870</v>
      </c>
      <c r="I8162">
        <v>1800</v>
      </c>
      <c r="J8162">
        <v>0</v>
      </c>
    </row>
    <row r="8163" spans="1:10" x14ac:dyDescent="0.3">
      <c r="A8163" s="15">
        <v>46174</v>
      </c>
      <c r="B8163" t="s">
        <v>444</v>
      </c>
      <c r="C8163" t="s">
        <v>125</v>
      </c>
      <c r="D8163" t="s">
        <v>82</v>
      </c>
      <c r="E8163" t="s">
        <v>92</v>
      </c>
      <c r="F8163">
        <v>71600</v>
      </c>
      <c r="G8163" t="s">
        <v>331</v>
      </c>
      <c r="H8163" s="15">
        <v>45870</v>
      </c>
      <c r="I8163">
        <v>71600</v>
      </c>
      <c r="J8163">
        <v>0</v>
      </c>
    </row>
    <row r="8164" spans="1:10" x14ac:dyDescent="0.3">
      <c r="A8164" s="15">
        <v>46174</v>
      </c>
      <c r="B8164" t="s">
        <v>445</v>
      </c>
      <c r="C8164" t="s">
        <v>91</v>
      </c>
      <c r="D8164" t="s">
        <v>82</v>
      </c>
      <c r="E8164" t="s">
        <v>89</v>
      </c>
      <c r="F8164">
        <v>4700</v>
      </c>
      <c r="G8164" t="s">
        <v>331</v>
      </c>
      <c r="H8164" s="15">
        <v>45870</v>
      </c>
      <c r="I8164">
        <v>4700</v>
      </c>
      <c r="J8164">
        <v>0</v>
      </c>
    </row>
    <row r="8165" spans="1:10" x14ac:dyDescent="0.3">
      <c r="A8165" s="15">
        <v>46174</v>
      </c>
      <c r="B8165" t="s">
        <v>446</v>
      </c>
      <c r="C8165" t="s">
        <v>81</v>
      </c>
      <c r="D8165" t="s">
        <v>86</v>
      </c>
      <c r="E8165" t="s">
        <v>97</v>
      </c>
      <c r="F8165">
        <v>1600</v>
      </c>
      <c r="G8165" t="s">
        <v>331</v>
      </c>
      <c r="H8165" s="15">
        <v>45870</v>
      </c>
      <c r="I8165">
        <v>1600</v>
      </c>
      <c r="J8165">
        <v>0</v>
      </c>
    </row>
    <row r="8166" spans="1:10" x14ac:dyDescent="0.3">
      <c r="A8166" s="15">
        <v>46174</v>
      </c>
      <c r="B8166" t="s">
        <v>447</v>
      </c>
      <c r="C8166" t="s">
        <v>81</v>
      </c>
      <c r="D8166" t="s">
        <v>86</v>
      </c>
      <c r="E8166" t="s">
        <v>103</v>
      </c>
      <c r="F8166">
        <v>2300</v>
      </c>
      <c r="G8166" t="s">
        <v>331</v>
      </c>
      <c r="H8166" s="15">
        <v>45870</v>
      </c>
      <c r="I8166">
        <v>2300</v>
      </c>
      <c r="J8166">
        <v>0</v>
      </c>
    </row>
    <row r="8167" spans="1:10" x14ac:dyDescent="0.3">
      <c r="A8167" s="15">
        <v>46174</v>
      </c>
      <c r="B8167" t="s">
        <v>448</v>
      </c>
      <c r="C8167" t="s">
        <v>125</v>
      </c>
      <c r="D8167" t="s">
        <v>86</v>
      </c>
      <c r="E8167" t="s">
        <v>89</v>
      </c>
      <c r="F8167">
        <v>64000</v>
      </c>
      <c r="G8167" t="s">
        <v>331</v>
      </c>
      <c r="H8167" s="15">
        <v>45870</v>
      </c>
      <c r="I8167">
        <v>64000</v>
      </c>
      <c r="J8167">
        <v>0</v>
      </c>
    </row>
    <row r="8168" spans="1:10" x14ac:dyDescent="0.3">
      <c r="A8168" s="15">
        <v>46174</v>
      </c>
      <c r="B8168" t="s">
        <v>449</v>
      </c>
      <c r="C8168" t="s">
        <v>81</v>
      </c>
      <c r="D8168" t="s">
        <v>82</v>
      </c>
      <c r="E8168" t="s">
        <v>92</v>
      </c>
      <c r="F8168">
        <v>1600</v>
      </c>
      <c r="G8168" t="s">
        <v>331</v>
      </c>
      <c r="H8168" s="15">
        <v>45870</v>
      </c>
      <c r="I8168">
        <v>1600</v>
      </c>
      <c r="J8168">
        <v>0</v>
      </c>
    </row>
    <row r="8169" spans="1:10" x14ac:dyDescent="0.3">
      <c r="A8169" s="15">
        <v>46174</v>
      </c>
      <c r="B8169" t="s">
        <v>450</v>
      </c>
      <c r="C8169" t="s">
        <v>81</v>
      </c>
      <c r="D8169" t="s">
        <v>86</v>
      </c>
      <c r="E8169" t="s">
        <v>89</v>
      </c>
      <c r="F8169">
        <v>1900</v>
      </c>
      <c r="G8169" t="s">
        <v>331</v>
      </c>
      <c r="H8169" s="15">
        <v>45901</v>
      </c>
      <c r="I8169">
        <v>1900</v>
      </c>
      <c r="J8169">
        <v>0</v>
      </c>
    </row>
    <row r="8170" spans="1:10" x14ac:dyDescent="0.3">
      <c r="A8170" s="15">
        <v>46174</v>
      </c>
      <c r="B8170" t="s">
        <v>452</v>
      </c>
      <c r="C8170" t="s">
        <v>91</v>
      </c>
      <c r="D8170" t="s">
        <v>86</v>
      </c>
      <c r="E8170" t="s">
        <v>92</v>
      </c>
      <c r="F8170">
        <v>8600</v>
      </c>
      <c r="G8170" t="s">
        <v>331</v>
      </c>
      <c r="H8170" s="15">
        <v>45901</v>
      </c>
      <c r="I8170">
        <v>8600</v>
      </c>
      <c r="J8170">
        <v>0</v>
      </c>
    </row>
    <row r="8171" spans="1:10" x14ac:dyDescent="0.3">
      <c r="A8171" s="15">
        <v>46174</v>
      </c>
      <c r="B8171" t="s">
        <v>454</v>
      </c>
      <c r="C8171" t="s">
        <v>91</v>
      </c>
      <c r="D8171" t="s">
        <v>82</v>
      </c>
      <c r="E8171" t="s">
        <v>89</v>
      </c>
      <c r="F8171">
        <v>6200</v>
      </c>
      <c r="G8171" t="s">
        <v>332</v>
      </c>
      <c r="H8171" s="15">
        <v>45901</v>
      </c>
      <c r="I8171">
        <v>5400</v>
      </c>
      <c r="J8171">
        <v>800</v>
      </c>
    </row>
    <row r="8172" spans="1:10" x14ac:dyDescent="0.3">
      <c r="A8172" s="15">
        <v>46174</v>
      </c>
      <c r="B8172" t="s">
        <v>455</v>
      </c>
      <c r="C8172" t="s">
        <v>125</v>
      </c>
      <c r="D8172" t="s">
        <v>99</v>
      </c>
      <c r="E8172" t="s">
        <v>103</v>
      </c>
      <c r="F8172">
        <v>75900</v>
      </c>
      <c r="G8172" t="s">
        <v>331</v>
      </c>
      <c r="H8172" s="15">
        <v>45901</v>
      </c>
      <c r="I8172">
        <v>75900</v>
      </c>
      <c r="J8172">
        <v>0</v>
      </c>
    </row>
    <row r="8173" spans="1:10" x14ac:dyDescent="0.3">
      <c r="A8173" s="15">
        <v>46174</v>
      </c>
      <c r="B8173" t="s">
        <v>457</v>
      </c>
      <c r="C8173" t="s">
        <v>81</v>
      </c>
      <c r="D8173" t="s">
        <v>86</v>
      </c>
      <c r="E8173" t="s">
        <v>89</v>
      </c>
      <c r="F8173">
        <v>2200</v>
      </c>
      <c r="G8173" t="s">
        <v>331</v>
      </c>
      <c r="H8173" s="15">
        <v>45931</v>
      </c>
      <c r="I8173">
        <v>2200</v>
      </c>
      <c r="J8173">
        <v>0</v>
      </c>
    </row>
    <row r="8174" spans="1:10" x14ac:dyDescent="0.3">
      <c r="A8174" s="15">
        <v>46174</v>
      </c>
      <c r="B8174" t="s">
        <v>458</v>
      </c>
      <c r="C8174" t="s">
        <v>91</v>
      </c>
      <c r="D8174" t="s">
        <v>86</v>
      </c>
      <c r="E8174" t="s">
        <v>83</v>
      </c>
      <c r="F8174">
        <v>8900</v>
      </c>
      <c r="G8174" t="s">
        <v>331</v>
      </c>
      <c r="H8174" s="15">
        <v>45931</v>
      </c>
      <c r="I8174">
        <v>8900</v>
      </c>
      <c r="J8174">
        <v>0</v>
      </c>
    </row>
    <row r="8175" spans="1:10" x14ac:dyDescent="0.3">
      <c r="A8175" s="15">
        <v>46174</v>
      </c>
      <c r="B8175" t="s">
        <v>460</v>
      </c>
      <c r="C8175" t="s">
        <v>91</v>
      </c>
      <c r="D8175" t="s">
        <v>86</v>
      </c>
      <c r="E8175" t="s">
        <v>101</v>
      </c>
      <c r="F8175">
        <v>0</v>
      </c>
      <c r="G8175" t="s">
        <v>333</v>
      </c>
      <c r="H8175" s="15">
        <v>45931</v>
      </c>
      <c r="I8175">
        <v>5300</v>
      </c>
      <c r="J8175">
        <v>-5300</v>
      </c>
    </row>
    <row r="8176" spans="1:10" x14ac:dyDescent="0.3">
      <c r="A8176" s="15">
        <v>46174</v>
      </c>
      <c r="B8176" t="s">
        <v>461</v>
      </c>
      <c r="C8176" t="s">
        <v>81</v>
      </c>
      <c r="D8176" t="s">
        <v>86</v>
      </c>
      <c r="E8176" t="s">
        <v>92</v>
      </c>
      <c r="F8176">
        <v>1700</v>
      </c>
      <c r="G8176" t="s">
        <v>331</v>
      </c>
      <c r="H8176" s="15">
        <v>45931</v>
      </c>
      <c r="I8176">
        <v>1700</v>
      </c>
      <c r="J8176">
        <v>0</v>
      </c>
    </row>
    <row r="8177" spans="1:10" x14ac:dyDescent="0.3">
      <c r="A8177" s="15">
        <v>46174</v>
      </c>
      <c r="B8177" t="s">
        <v>462</v>
      </c>
      <c r="C8177" t="s">
        <v>81</v>
      </c>
      <c r="D8177" t="s">
        <v>86</v>
      </c>
      <c r="E8177" t="s">
        <v>92</v>
      </c>
      <c r="F8177">
        <v>2200</v>
      </c>
      <c r="G8177" t="s">
        <v>331</v>
      </c>
      <c r="H8177" s="15">
        <v>45931</v>
      </c>
      <c r="I8177">
        <v>2200</v>
      </c>
      <c r="J8177">
        <v>0</v>
      </c>
    </row>
    <row r="8178" spans="1:10" x14ac:dyDescent="0.3">
      <c r="A8178" s="15">
        <v>46174</v>
      </c>
      <c r="B8178" t="s">
        <v>464</v>
      </c>
      <c r="C8178" t="s">
        <v>91</v>
      </c>
      <c r="D8178" t="s">
        <v>99</v>
      </c>
      <c r="E8178" t="s">
        <v>87</v>
      </c>
      <c r="F8178">
        <v>6000</v>
      </c>
      <c r="G8178" t="s">
        <v>331</v>
      </c>
      <c r="H8178" s="15">
        <v>45962</v>
      </c>
      <c r="I8178">
        <v>6000</v>
      </c>
      <c r="J8178">
        <v>0</v>
      </c>
    </row>
    <row r="8179" spans="1:10" x14ac:dyDescent="0.3">
      <c r="A8179" s="15">
        <v>46174</v>
      </c>
      <c r="B8179" t="s">
        <v>466</v>
      </c>
      <c r="C8179" t="s">
        <v>81</v>
      </c>
      <c r="D8179" t="s">
        <v>99</v>
      </c>
      <c r="E8179" t="s">
        <v>92</v>
      </c>
      <c r="F8179">
        <v>1400</v>
      </c>
      <c r="G8179" t="s">
        <v>331</v>
      </c>
      <c r="H8179" s="15">
        <v>45962</v>
      </c>
      <c r="I8179">
        <v>1400</v>
      </c>
      <c r="J8179">
        <v>0</v>
      </c>
    </row>
    <row r="8180" spans="1:10" x14ac:dyDescent="0.3">
      <c r="A8180" s="15">
        <v>46174</v>
      </c>
      <c r="B8180" t="s">
        <v>467</v>
      </c>
      <c r="C8180" t="s">
        <v>91</v>
      </c>
      <c r="D8180" t="s">
        <v>86</v>
      </c>
      <c r="E8180" t="s">
        <v>89</v>
      </c>
      <c r="F8180">
        <v>8200</v>
      </c>
      <c r="G8180" t="s">
        <v>331</v>
      </c>
      <c r="H8180" s="15">
        <v>45962</v>
      </c>
      <c r="I8180">
        <v>8200</v>
      </c>
      <c r="J8180">
        <v>0</v>
      </c>
    </row>
    <row r="8181" spans="1:10" x14ac:dyDescent="0.3">
      <c r="A8181" s="15">
        <v>46174</v>
      </c>
      <c r="B8181" t="s">
        <v>469</v>
      </c>
      <c r="C8181" t="s">
        <v>81</v>
      </c>
      <c r="D8181" t="s">
        <v>86</v>
      </c>
      <c r="E8181" t="s">
        <v>87</v>
      </c>
      <c r="F8181">
        <v>2200</v>
      </c>
      <c r="G8181" t="s">
        <v>331</v>
      </c>
      <c r="H8181" s="15">
        <v>45992</v>
      </c>
      <c r="I8181">
        <v>2200</v>
      </c>
      <c r="J8181">
        <v>0</v>
      </c>
    </row>
    <row r="8182" spans="1:10" x14ac:dyDescent="0.3">
      <c r="A8182" s="15">
        <v>46174</v>
      </c>
      <c r="B8182" t="s">
        <v>470</v>
      </c>
      <c r="C8182" t="s">
        <v>81</v>
      </c>
      <c r="D8182" t="s">
        <v>86</v>
      </c>
      <c r="E8182" t="s">
        <v>103</v>
      </c>
      <c r="F8182">
        <v>1600</v>
      </c>
      <c r="G8182" t="s">
        <v>331</v>
      </c>
      <c r="H8182" s="15">
        <v>45992</v>
      </c>
      <c r="I8182">
        <v>1600</v>
      </c>
      <c r="J8182">
        <v>0</v>
      </c>
    </row>
    <row r="8183" spans="1:10" x14ac:dyDescent="0.3">
      <c r="A8183" s="15">
        <v>46174</v>
      </c>
      <c r="B8183" t="s">
        <v>471</v>
      </c>
      <c r="C8183" t="s">
        <v>110</v>
      </c>
      <c r="D8183" t="s">
        <v>86</v>
      </c>
      <c r="E8183" t="s">
        <v>103</v>
      </c>
      <c r="F8183">
        <v>31000</v>
      </c>
      <c r="G8183" t="s">
        <v>331</v>
      </c>
      <c r="H8183" s="15">
        <v>45992</v>
      </c>
      <c r="I8183">
        <v>31000</v>
      </c>
      <c r="J8183">
        <v>0</v>
      </c>
    </row>
    <row r="8184" spans="1:10" x14ac:dyDescent="0.3">
      <c r="A8184" s="15">
        <v>46174</v>
      </c>
      <c r="B8184" t="s">
        <v>472</v>
      </c>
      <c r="C8184" t="s">
        <v>91</v>
      </c>
      <c r="D8184" t="s">
        <v>86</v>
      </c>
      <c r="E8184" t="s">
        <v>97</v>
      </c>
      <c r="F8184">
        <v>5100</v>
      </c>
      <c r="G8184" t="s">
        <v>331</v>
      </c>
      <c r="H8184" s="15">
        <v>45992</v>
      </c>
      <c r="I8184">
        <v>5100</v>
      </c>
      <c r="J8184">
        <v>0</v>
      </c>
    </row>
    <row r="8185" spans="1:10" x14ac:dyDescent="0.3">
      <c r="A8185" s="15">
        <v>46174</v>
      </c>
      <c r="B8185" t="s">
        <v>475</v>
      </c>
      <c r="C8185" t="s">
        <v>110</v>
      </c>
      <c r="D8185" t="s">
        <v>82</v>
      </c>
      <c r="E8185" t="s">
        <v>101</v>
      </c>
      <c r="F8185">
        <v>35000</v>
      </c>
      <c r="G8185" t="s">
        <v>331</v>
      </c>
      <c r="H8185" s="15">
        <v>45992</v>
      </c>
      <c r="I8185">
        <v>35000</v>
      </c>
      <c r="J8185">
        <v>0</v>
      </c>
    </row>
    <row r="8186" spans="1:10" x14ac:dyDescent="0.3">
      <c r="A8186" s="15">
        <v>46174</v>
      </c>
      <c r="B8186" t="s">
        <v>476</v>
      </c>
      <c r="C8186" t="s">
        <v>81</v>
      </c>
      <c r="D8186" t="s">
        <v>82</v>
      </c>
      <c r="E8186" t="s">
        <v>89</v>
      </c>
      <c r="F8186">
        <v>2600</v>
      </c>
      <c r="G8186" t="s">
        <v>331</v>
      </c>
      <c r="H8186" s="15">
        <v>45992</v>
      </c>
      <c r="I8186">
        <v>2600</v>
      </c>
      <c r="J8186">
        <v>0</v>
      </c>
    </row>
    <row r="8187" spans="1:10" x14ac:dyDescent="0.3">
      <c r="A8187" s="15">
        <v>46174</v>
      </c>
      <c r="B8187" t="s">
        <v>477</v>
      </c>
      <c r="C8187" t="s">
        <v>81</v>
      </c>
      <c r="D8187" t="s">
        <v>82</v>
      </c>
      <c r="E8187" t="s">
        <v>92</v>
      </c>
      <c r="F8187">
        <v>2100</v>
      </c>
      <c r="G8187" t="s">
        <v>331</v>
      </c>
      <c r="H8187" s="15">
        <v>46023</v>
      </c>
      <c r="I8187">
        <v>2100</v>
      </c>
      <c r="J8187">
        <v>0</v>
      </c>
    </row>
    <row r="8188" spans="1:10" x14ac:dyDescent="0.3">
      <c r="A8188" s="15">
        <v>46174</v>
      </c>
      <c r="B8188" t="s">
        <v>478</v>
      </c>
      <c r="C8188" t="s">
        <v>91</v>
      </c>
      <c r="D8188" t="s">
        <v>82</v>
      </c>
      <c r="E8188" t="s">
        <v>97</v>
      </c>
      <c r="F8188">
        <v>6500</v>
      </c>
      <c r="G8188" t="s">
        <v>331</v>
      </c>
      <c r="H8188" s="15">
        <v>46023</v>
      </c>
      <c r="I8188">
        <v>6500</v>
      </c>
      <c r="J8188">
        <v>0</v>
      </c>
    </row>
    <row r="8189" spans="1:10" x14ac:dyDescent="0.3">
      <c r="A8189" s="15">
        <v>46174</v>
      </c>
      <c r="B8189" t="s">
        <v>479</v>
      </c>
      <c r="C8189" t="s">
        <v>81</v>
      </c>
      <c r="D8189" t="s">
        <v>82</v>
      </c>
      <c r="E8189" t="s">
        <v>87</v>
      </c>
      <c r="F8189">
        <v>1800</v>
      </c>
      <c r="G8189" t="s">
        <v>331</v>
      </c>
      <c r="H8189" s="15">
        <v>46023</v>
      </c>
      <c r="I8189">
        <v>1800</v>
      </c>
      <c r="J8189">
        <v>0</v>
      </c>
    </row>
    <row r="8190" spans="1:10" x14ac:dyDescent="0.3">
      <c r="A8190" s="15">
        <v>46174</v>
      </c>
      <c r="B8190" t="s">
        <v>480</v>
      </c>
      <c r="C8190" t="s">
        <v>81</v>
      </c>
      <c r="D8190" t="s">
        <v>86</v>
      </c>
      <c r="E8190" t="s">
        <v>103</v>
      </c>
      <c r="F8190">
        <v>1600</v>
      </c>
      <c r="G8190" t="s">
        <v>331</v>
      </c>
      <c r="H8190" s="15">
        <v>46023</v>
      </c>
      <c r="I8190">
        <v>1600</v>
      </c>
      <c r="J8190">
        <v>0</v>
      </c>
    </row>
    <row r="8191" spans="1:10" x14ac:dyDescent="0.3">
      <c r="A8191" s="15">
        <v>46174</v>
      </c>
      <c r="B8191" t="s">
        <v>481</v>
      </c>
      <c r="C8191" t="s">
        <v>81</v>
      </c>
      <c r="D8191" t="s">
        <v>82</v>
      </c>
      <c r="E8191" t="s">
        <v>103</v>
      </c>
      <c r="F8191">
        <v>1800</v>
      </c>
      <c r="G8191" t="s">
        <v>331</v>
      </c>
      <c r="H8191" s="15">
        <v>46023</v>
      </c>
      <c r="I8191">
        <v>1800</v>
      </c>
      <c r="J8191">
        <v>0</v>
      </c>
    </row>
    <row r="8192" spans="1:10" x14ac:dyDescent="0.3">
      <c r="A8192" s="15">
        <v>46174</v>
      </c>
      <c r="B8192" t="s">
        <v>482</v>
      </c>
      <c r="C8192" t="s">
        <v>110</v>
      </c>
      <c r="D8192" t="s">
        <v>82</v>
      </c>
      <c r="E8192" t="s">
        <v>83</v>
      </c>
      <c r="F8192">
        <v>18100</v>
      </c>
      <c r="G8192" t="s">
        <v>331</v>
      </c>
      <c r="H8192" s="15">
        <v>46023</v>
      </c>
      <c r="I8192">
        <v>18100</v>
      </c>
      <c r="J8192">
        <v>0</v>
      </c>
    </row>
    <row r="8193" spans="1:10" x14ac:dyDescent="0.3">
      <c r="A8193" s="15">
        <v>46174</v>
      </c>
      <c r="B8193" t="s">
        <v>483</v>
      </c>
      <c r="C8193" t="s">
        <v>81</v>
      </c>
      <c r="D8193" t="s">
        <v>82</v>
      </c>
      <c r="E8193" t="s">
        <v>89</v>
      </c>
      <c r="F8193">
        <v>2000</v>
      </c>
      <c r="G8193" t="s">
        <v>331</v>
      </c>
      <c r="H8193" s="15">
        <v>46023</v>
      </c>
      <c r="I8193">
        <v>2000</v>
      </c>
      <c r="J8193">
        <v>0</v>
      </c>
    </row>
    <row r="8194" spans="1:10" x14ac:dyDescent="0.3">
      <c r="A8194" s="15">
        <v>46174</v>
      </c>
      <c r="B8194" t="s">
        <v>484</v>
      </c>
      <c r="C8194" t="s">
        <v>110</v>
      </c>
      <c r="D8194" t="s">
        <v>99</v>
      </c>
      <c r="E8194" t="s">
        <v>101</v>
      </c>
      <c r="F8194">
        <v>21400</v>
      </c>
      <c r="G8194" t="s">
        <v>331</v>
      </c>
      <c r="H8194" s="15">
        <v>46054</v>
      </c>
      <c r="I8194">
        <v>21400</v>
      </c>
      <c r="J8194">
        <v>0</v>
      </c>
    </row>
    <row r="8195" spans="1:10" x14ac:dyDescent="0.3">
      <c r="A8195" s="15">
        <v>46174</v>
      </c>
      <c r="B8195" t="s">
        <v>485</v>
      </c>
      <c r="C8195" t="s">
        <v>125</v>
      </c>
      <c r="D8195" t="s">
        <v>82</v>
      </c>
      <c r="E8195" t="s">
        <v>89</v>
      </c>
      <c r="F8195">
        <v>65800</v>
      </c>
      <c r="G8195" t="s">
        <v>331</v>
      </c>
      <c r="H8195" s="15">
        <v>46054</v>
      </c>
      <c r="I8195">
        <v>65800</v>
      </c>
      <c r="J8195">
        <v>0</v>
      </c>
    </row>
    <row r="8196" spans="1:10" x14ac:dyDescent="0.3">
      <c r="A8196" s="15">
        <v>46174</v>
      </c>
      <c r="B8196" t="s">
        <v>486</v>
      </c>
      <c r="C8196" t="s">
        <v>81</v>
      </c>
      <c r="D8196" t="s">
        <v>82</v>
      </c>
      <c r="E8196" t="s">
        <v>87</v>
      </c>
      <c r="F8196">
        <v>1500</v>
      </c>
      <c r="G8196" t="s">
        <v>331</v>
      </c>
      <c r="H8196" s="15">
        <v>46054</v>
      </c>
      <c r="I8196">
        <v>1500</v>
      </c>
      <c r="J8196">
        <v>0</v>
      </c>
    </row>
    <row r="8197" spans="1:10" x14ac:dyDescent="0.3">
      <c r="A8197" s="15">
        <v>46174</v>
      </c>
      <c r="B8197" t="s">
        <v>487</v>
      </c>
      <c r="C8197" t="s">
        <v>81</v>
      </c>
      <c r="D8197" t="s">
        <v>86</v>
      </c>
      <c r="E8197" t="s">
        <v>83</v>
      </c>
      <c r="F8197">
        <v>1800</v>
      </c>
      <c r="G8197" t="s">
        <v>331</v>
      </c>
      <c r="H8197" s="15">
        <v>46054</v>
      </c>
      <c r="I8197">
        <v>1800</v>
      </c>
      <c r="J8197">
        <v>0</v>
      </c>
    </row>
    <row r="8198" spans="1:10" x14ac:dyDescent="0.3">
      <c r="A8198" s="15">
        <v>46174</v>
      </c>
      <c r="B8198" t="s">
        <v>488</v>
      </c>
      <c r="C8198" t="s">
        <v>91</v>
      </c>
      <c r="D8198" t="s">
        <v>86</v>
      </c>
      <c r="E8198" t="s">
        <v>89</v>
      </c>
      <c r="F8198">
        <v>6800</v>
      </c>
      <c r="G8198" t="s">
        <v>331</v>
      </c>
      <c r="H8198" s="15">
        <v>46054</v>
      </c>
      <c r="I8198">
        <v>6800</v>
      </c>
      <c r="J8198">
        <v>0</v>
      </c>
    </row>
    <row r="8199" spans="1:10" x14ac:dyDescent="0.3">
      <c r="A8199" s="15">
        <v>46174</v>
      </c>
      <c r="B8199" t="s">
        <v>489</v>
      </c>
      <c r="C8199" t="s">
        <v>81</v>
      </c>
      <c r="D8199" t="s">
        <v>96</v>
      </c>
      <c r="E8199" t="s">
        <v>97</v>
      </c>
      <c r="F8199">
        <v>1400</v>
      </c>
      <c r="G8199" t="s">
        <v>331</v>
      </c>
      <c r="H8199" s="15">
        <v>46054</v>
      </c>
      <c r="I8199">
        <v>1400</v>
      </c>
      <c r="J8199">
        <v>0</v>
      </c>
    </row>
    <row r="8200" spans="1:10" x14ac:dyDescent="0.3">
      <c r="A8200" s="15">
        <v>46174</v>
      </c>
      <c r="B8200" t="s">
        <v>490</v>
      </c>
      <c r="C8200" t="s">
        <v>81</v>
      </c>
      <c r="D8200" t="s">
        <v>86</v>
      </c>
      <c r="E8200" t="s">
        <v>103</v>
      </c>
      <c r="F8200">
        <v>1800</v>
      </c>
      <c r="G8200" t="s">
        <v>331</v>
      </c>
      <c r="H8200" s="15">
        <v>46054</v>
      </c>
      <c r="I8200">
        <v>1800</v>
      </c>
      <c r="J8200">
        <v>0</v>
      </c>
    </row>
    <row r="8201" spans="1:10" x14ac:dyDescent="0.3">
      <c r="A8201" s="15">
        <v>46174</v>
      </c>
      <c r="B8201" t="s">
        <v>491</v>
      </c>
      <c r="C8201" t="s">
        <v>81</v>
      </c>
      <c r="D8201" t="s">
        <v>96</v>
      </c>
      <c r="E8201" t="s">
        <v>92</v>
      </c>
      <c r="F8201">
        <v>1600</v>
      </c>
      <c r="G8201" t="s">
        <v>331</v>
      </c>
      <c r="H8201" s="15">
        <v>46054</v>
      </c>
      <c r="I8201">
        <v>1600</v>
      </c>
      <c r="J8201">
        <v>0</v>
      </c>
    </row>
    <row r="8202" spans="1:10" x14ac:dyDescent="0.3">
      <c r="A8202" s="15">
        <v>46174</v>
      </c>
      <c r="B8202" t="s">
        <v>492</v>
      </c>
      <c r="C8202" t="s">
        <v>81</v>
      </c>
      <c r="D8202" t="s">
        <v>99</v>
      </c>
      <c r="E8202" t="s">
        <v>92</v>
      </c>
      <c r="F8202">
        <v>1700</v>
      </c>
      <c r="G8202" t="s">
        <v>331</v>
      </c>
      <c r="H8202" s="15">
        <v>46082</v>
      </c>
      <c r="I8202">
        <v>1700</v>
      </c>
      <c r="J8202">
        <v>0</v>
      </c>
    </row>
    <row r="8203" spans="1:10" x14ac:dyDescent="0.3">
      <c r="A8203" s="15">
        <v>46174</v>
      </c>
      <c r="B8203" t="s">
        <v>493</v>
      </c>
      <c r="C8203" t="s">
        <v>81</v>
      </c>
      <c r="D8203" t="s">
        <v>96</v>
      </c>
      <c r="E8203" t="s">
        <v>101</v>
      </c>
      <c r="F8203">
        <v>1600</v>
      </c>
      <c r="G8203" t="s">
        <v>331</v>
      </c>
      <c r="H8203" s="15">
        <v>46082</v>
      </c>
      <c r="I8203">
        <v>1600</v>
      </c>
      <c r="J8203">
        <v>0</v>
      </c>
    </row>
    <row r="8204" spans="1:10" x14ac:dyDescent="0.3">
      <c r="A8204" s="15">
        <v>46174</v>
      </c>
      <c r="B8204" t="s">
        <v>494</v>
      </c>
      <c r="C8204" t="s">
        <v>110</v>
      </c>
      <c r="D8204" t="s">
        <v>82</v>
      </c>
      <c r="E8204" t="s">
        <v>103</v>
      </c>
      <c r="F8204">
        <v>21000</v>
      </c>
      <c r="G8204" t="s">
        <v>331</v>
      </c>
      <c r="H8204" s="15">
        <v>46082</v>
      </c>
      <c r="I8204">
        <v>21000</v>
      </c>
      <c r="J8204">
        <v>0</v>
      </c>
    </row>
    <row r="8205" spans="1:10" x14ac:dyDescent="0.3">
      <c r="A8205" s="15">
        <v>46174</v>
      </c>
      <c r="B8205" t="s">
        <v>495</v>
      </c>
      <c r="C8205" t="s">
        <v>81</v>
      </c>
      <c r="D8205" t="s">
        <v>86</v>
      </c>
      <c r="E8205" t="s">
        <v>87</v>
      </c>
      <c r="F8205">
        <v>1300</v>
      </c>
      <c r="G8205" t="s">
        <v>331</v>
      </c>
      <c r="H8205" s="15">
        <v>46082</v>
      </c>
      <c r="I8205">
        <v>1300</v>
      </c>
      <c r="J8205">
        <v>0</v>
      </c>
    </row>
    <row r="8206" spans="1:10" x14ac:dyDescent="0.3">
      <c r="A8206" s="15">
        <v>46174</v>
      </c>
      <c r="B8206" t="s">
        <v>496</v>
      </c>
      <c r="C8206" t="s">
        <v>110</v>
      </c>
      <c r="D8206" t="s">
        <v>99</v>
      </c>
      <c r="E8206" t="s">
        <v>97</v>
      </c>
      <c r="F8206">
        <v>16500</v>
      </c>
      <c r="G8206" t="s">
        <v>331</v>
      </c>
      <c r="H8206" s="15">
        <v>46082</v>
      </c>
      <c r="I8206">
        <v>16500</v>
      </c>
      <c r="J8206">
        <v>0</v>
      </c>
    </row>
    <row r="8207" spans="1:10" x14ac:dyDescent="0.3">
      <c r="A8207" s="15">
        <v>46174</v>
      </c>
      <c r="B8207" t="s">
        <v>497</v>
      </c>
      <c r="C8207" t="s">
        <v>91</v>
      </c>
      <c r="D8207" t="s">
        <v>86</v>
      </c>
      <c r="E8207" t="s">
        <v>97</v>
      </c>
      <c r="F8207">
        <v>4900</v>
      </c>
      <c r="G8207" t="s">
        <v>331</v>
      </c>
      <c r="H8207" s="15">
        <v>46082</v>
      </c>
      <c r="I8207">
        <v>4900</v>
      </c>
      <c r="J8207">
        <v>0</v>
      </c>
    </row>
    <row r="8208" spans="1:10" x14ac:dyDescent="0.3">
      <c r="A8208" s="15">
        <v>46174</v>
      </c>
      <c r="B8208" t="s">
        <v>498</v>
      </c>
      <c r="C8208" t="s">
        <v>91</v>
      </c>
      <c r="D8208" t="s">
        <v>82</v>
      </c>
      <c r="E8208" t="s">
        <v>83</v>
      </c>
      <c r="F8208">
        <v>7900</v>
      </c>
      <c r="G8208" t="s">
        <v>331</v>
      </c>
      <c r="H8208" s="15">
        <v>46113</v>
      </c>
      <c r="I8208">
        <v>7900</v>
      </c>
      <c r="J8208">
        <v>0</v>
      </c>
    </row>
    <row r="8209" spans="1:10" x14ac:dyDescent="0.3">
      <c r="A8209" s="15">
        <v>46174</v>
      </c>
      <c r="B8209" t="s">
        <v>499</v>
      </c>
      <c r="C8209" t="s">
        <v>91</v>
      </c>
      <c r="D8209" t="s">
        <v>82</v>
      </c>
      <c r="E8209" t="s">
        <v>101</v>
      </c>
      <c r="F8209">
        <v>7000</v>
      </c>
      <c r="G8209" t="s">
        <v>331</v>
      </c>
      <c r="H8209" s="15">
        <v>46113</v>
      </c>
      <c r="I8209">
        <v>7000</v>
      </c>
      <c r="J8209">
        <v>0</v>
      </c>
    </row>
    <row r="8210" spans="1:10" x14ac:dyDescent="0.3">
      <c r="A8210" s="15">
        <v>46174</v>
      </c>
      <c r="B8210" t="s">
        <v>500</v>
      </c>
      <c r="C8210" t="s">
        <v>81</v>
      </c>
      <c r="D8210" t="s">
        <v>86</v>
      </c>
      <c r="E8210" t="s">
        <v>83</v>
      </c>
      <c r="F8210">
        <v>2000</v>
      </c>
      <c r="G8210" t="s">
        <v>331</v>
      </c>
      <c r="H8210" s="15">
        <v>46113</v>
      </c>
      <c r="I8210">
        <v>2000</v>
      </c>
      <c r="J8210">
        <v>0</v>
      </c>
    </row>
    <row r="8211" spans="1:10" x14ac:dyDescent="0.3">
      <c r="A8211" s="15">
        <v>46174</v>
      </c>
      <c r="B8211" t="s">
        <v>501</v>
      </c>
      <c r="C8211" t="s">
        <v>110</v>
      </c>
      <c r="D8211" t="s">
        <v>86</v>
      </c>
      <c r="E8211" t="s">
        <v>97</v>
      </c>
      <c r="F8211">
        <v>27200</v>
      </c>
      <c r="G8211" t="s">
        <v>331</v>
      </c>
      <c r="H8211" s="15">
        <v>46113</v>
      </c>
      <c r="I8211">
        <v>27200</v>
      </c>
      <c r="J8211">
        <v>0</v>
      </c>
    </row>
    <row r="8212" spans="1:10" x14ac:dyDescent="0.3">
      <c r="A8212" s="15">
        <v>46174</v>
      </c>
      <c r="B8212" t="s">
        <v>502</v>
      </c>
      <c r="C8212" t="s">
        <v>81</v>
      </c>
      <c r="D8212" t="s">
        <v>99</v>
      </c>
      <c r="E8212" t="s">
        <v>83</v>
      </c>
      <c r="F8212">
        <v>2200</v>
      </c>
      <c r="G8212" t="s">
        <v>331</v>
      </c>
      <c r="H8212" s="15">
        <v>46113</v>
      </c>
      <c r="I8212">
        <v>2200</v>
      </c>
      <c r="J8212">
        <v>0</v>
      </c>
    </row>
    <row r="8213" spans="1:10" x14ac:dyDescent="0.3">
      <c r="A8213" s="15">
        <v>46174</v>
      </c>
      <c r="B8213" t="s">
        <v>503</v>
      </c>
      <c r="C8213" t="s">
        <v>110</v>
      </c>
      <c r="D8213" t="s">
        <v>86</v>
      </c>
      <c r="E8213" t="s">
        <v>87</v>
      </c>
      <c r="F8213">
        <v>40200</v>
      </c>
      <c r="G8213" t="s">
        <v>331</v>
      </c>
      <c r="H8213" s="15">
        <v>46113</v>
      </c>
      <c r="I8213">
        <v>40200</v>
      </c>
      <c r="J8213">
        <v>0</v>
      </c>
    </row>
    <row r="8214" spans="1:10" x14ac:dyDescent="0.3">
      <c r="A8214" s="15">
        <v>46174</v>
      </c>
      <c r="B8214" t="s">
        <v>504</v>
      </c>
      <c r="C8214" t="s">
        <v>81</v>
      </c>
      <c r="D8214" t="s">
        <v>86</v>
      </c>
      <c r="E8214" t="s">
        <v>103</v>
      </c>
      <c r="F8214">
        <v>1200</v>
      </c>
      <c r="G8214" t="s">
        <v>331</v>
      </c>
      <c r="H8214" s="15">
        <v>46113</v>
      </c>
      <c r="I8214">
        <v>1200</v>
      </c>
      <c r="J8214">
        <v>0</v>
      </c>
    </row>
    <row r="8215" spans="1:10" x14ac:dyDescent="0.3">
      <c r="A8215" s="15">
        <v>46174</v>
      </c>
      <c r="B8215" t="s">
        <v>505</v>
      </c>
      <c r="C8215" t="s">
        <v>81</v>
      </c>
      <c r="D8215" t="s">
        <v>86</v>
      </c>
      <c r="E8215" t="s">
        <v>97</v>
      </c>
      <c r="F8215">
        <v>2100</v>
      </c>
      <c r="G8215" t="s">
        <v>331</v>
      </c>
      <c r="H8215" s="15">
        <v>46113</v>
      </c>
      <c r="I8215">
        <v>2100</v>
      </c>
      <c r="J8215">
        <v>0</v>
      </c>
    </row>
    <row r="8216" spans="1:10" x14ac:dyDescent="0.3">
      <c r="A8216" s="15">
        <v>46174</v>
      </c>
      <c r="B8216" t="s">
        <v>506</v>
      </c>
      <c r="C8216" t="s">
        <v>91</v>
      </c>
      <c r="D8216" t="s">
        <v>82</v>
      </c>
      <c r="E8216" t="s">
        <v>89</v>
      </c>
      <c r="F8216">
        <v>5100</v>
      </c>
      <c r="G8216" t="s">
        <v>331</v>
      </c>
      <c r="H8216" s="15">
        <v>46113</v>
      </c>
      <c r="I8216">
        <v>5100</v>
      </c>
      <c r="J8216">
        <v>0</v>
      </c>
    </row>
    <row r="8217" spans="1:10" x14ac:dyDescent="0.3">
      <c r="A8217" s="15">
        <v>46174</v>
      </c>
      <c r="B8217" t="s">
        <v>507</v>
      </c>
      <c r="C8217" t="s">
        <v>81</v>
      </c>
      <c r="D8217" t="s">
        <v>86</v>
      </c>
      <c r="E8217" t="s">
        <v>89</v>
      </c>
      <c r="F8217">
        <v>1400</v>
      </c>
      <c r="G8217" t="s">
        <v>331</v>
      </c>
      <c r="H8217" s="15">
        <v>46143</v>
      </c>
      <c r="I8217">
        <v>1400</v>
      </c>
      <c r="J8217">
        <v>0</v>
      </c>
    </row>
    <row r="8218" spans="1:10" x14ac:dyDescent="0.3">
      <c r="A8218" s="15">
        <v>46174</v>
      </c>
      <c r="B8218" t="s">
        <v>508</v>
      </c>
      <c r="C8218" t="s">
        <v>91</v>
      </c>
      <c r="D8218" t="s">
        <v>82</v>
      </c>
      <c r="E8218" t="s">
        <v>83</v>
      </c>
      <c r="F8218">
        <v>7500</v>
      </c>
      <c r="G8218" t="s">
        <v>331</v>
      </c>
      <c r="H8218" s="15">
        <v>46143</v>
      </c>
      <c r="I8218">
        <v>7500</v>
      </c>
      <c r="J8218">
        <v>0</v>
      </c>
    </row>
    <row r="8219" spans="1:10" x14ac:dyDescent="0.3">
      <c r="A8219" s="15">
        <v>46174</v>
      </c>
      <c r="B8219" t="s">
        <v>509</v>
      </c>
      <c r="C8219" t="s">
        <v>91</v>
      </c>
      <c r="D8219" t="s">
        <v>86</v>
      </c>
      <c r="E8219" t="s">
        <v>103</v>
      </c>
      <c r="F8219">
        <v>8300</v>
      </c>
      <c r="G8219" t="s">
        <v>331</v>
      </c>
      <c r="H8219" s="15">
        <v>46143</v>
      </c>
      <c r="I8219">
        <v>8300</v>
      </c>
      <c r="J8219">
        <v>0</v>
      </c>
    </row>
    <row r="8220" spans="1:10" x14ac:dyDescent="0.3">
      <c r="A8220" s="15">
        <v>46174</v>
      </c>
      <c r="B8220" t="s">
        <v>510</v>
      </c>
      <c r="C8220" t="s">
        <v>91</v>
      </c>
      <c r="D8220" t="s">
        <v>86</v>
      </c>
      <c r="E8220" t="s">
        <v>101</v>
      </c>
      <c r="F8220">
        <v>8100</v>
      </c>
      <c r="G8220" t="s">
        <v>331</v>
      </c>
      <c r="H8220" s="15">
        <v>46143</v>
      </c>
      <c r="I8220">
        <v>8100</v>
      </c>
      <c r="J8220">
        <v>0</v>
      </c>
    </row>
    <row r="8221" spans="1:10" x14ac:dyDescent="0.3">
      <c r="A8221" s="15">
        <v>46174</v>
      </c>
      <c r="B8221" t="s">
        <v>511</v>
      </c>
      <c r="C8221" t="s">
        <v>91</v>
      </c>
      <c r="D8221" t="s">
        <v>99</v>
      </c>
      <c r="E8221" t="s">
        <v>101</v>
      </c>
      <c r="F8221">
        <v>7500</v>
      </c>
      <c r="G8221" t="s">
        <v>331</v>
      </c>
      <c r="H8221" s="15">
        <v>46143</v>
      </c>
      <c r="I8221">
        <v>7500</v>
      </c>
      <c r="J8221">
        <v>0</v>
      </c>
    </row>
    <row r="8222" spans="1:10" x14ac:dyDescent="0.3">
      <c r="A8222" s="15">
        <v>46174</v>
      </c>
      <c r="B8222" t="s">
        <v>512</v>
      </c>
      <c r="C8222" t="s">
        <v>110</v>
      </c>
      <c r="D8222" t="s">
        <v>96</v>
      </c>
      <c r="E8222" t="s">
        <v>103</v>
      </c>
      <c r="F8222">
        <v>30900</v>
      </c>
      <c r="G8222" t="s">
        <v>331</v>
      </c>
      <c r="H8222" s="15">
        <v>46143</v>
      </c>
      <c r="I8222">
        <v>30900</v>
      </c>
      <c r="J8222">
        <v>0</v>
      </c>
    </row>
    <row r="8223" spans="1:10" x14ac:dyDescent="0.3">
      <c r="A8223" s="15">
        <v>46174</v>
      </c>
      <c r="B8223" t="s">
        <v>513</v>
      </c>
      <c r="C8223" t="s">
        <v>91</v>
      </c>
      <c r="D8223" t="s">
        <v>96</v>
      </c>
      <c r="E8223" t="s">
        <v>103</v>
      </c>
      <c r="F8223">
        <v>7700</v>
      </c>
      <c r="G8223" t="s">
        <v>331</v>
      </c>
      <c r="H8223" s="15">
        <v>46143</v>
      </c>
      <c r="I8223">
        <v>7700</v>
      </c>
      <c r="J8223">
        <v>0</v>
      </c>
    </row>
    <row r="8224" spans="1:10" x14ac:dyDescent="0.3">
      <c r="A8224" s="15">
        <v>46174</v>
      </c>
      <c r="B8224" t="s">
        <v>514</v>
      </c>
      <c r="C8224" t="s">
        <v>81</v>
      </c>
      <c r="D8224" t="s">
        <v>99</v>
      </c>
      <c r="E8224" t="s">
        <v>92</v>
      </c>
      <c r="F8224">
        <v>2900</v>
      </c>
      <c r="G8224" t="s">
        <v>84</v>
      </c>
      <c r="H8224" s="15">
        <v>46174</v>
      </c>
      <c r="I8224">
        <v>0</v>
      </c>
      <c r="J8224">
        <v>2900</v>
      </c>
    </row>
    <row r="8225" spans="1:10" x14ac:dyDescent="0.3">
      <c r="A8225" s="15">
        <v>46174</v>
      </c>
      <c r="B8225" t="s">
        <v>515</v>
      </c>
      <c r="C8225" t="s">
        <v>110</v>
      </c>
      <c r="D8225" t="s">
        <v>86</v>
      </c>
      <c r="E8225" t="s">
        <v>101</v>
      </c>
      <c r="F8225">
        <v>32300</v>
      </c>
      <c r="G8225" t="s">
        <v>84</v>
      </c>
      <c r="H8225" s="15">
        <v>46174</v>
      </c>
      <c r="I8225">
        <v>0</v>
      </c>
      <c r="J8225">
        <v>32300</v>
      </c>
    </row>
    <row r="8226" spans="1:10" x14ac:dyDescent="0.3">
      <c r="A8226" s="15">
        <v>46174</v>
      </c>
      <c r="B8226" t="s">
        <v>516</v>
      </c>
      <c r="C8226" t="s">
        <v>81</v>
      </c>
      <c r="D8226" t="s">
        <v>99</v>
      </c>
      <c r="E8226" t="s">
        <v>89</v>
      </c>
      <c r="F8226">
        <v>1600</v>
      </c>
      <c r="G8226" t="s">
        <v>84</v>
      </c>
      <c r="H8226" s="15">
        <v>46174</v>
      </c>
      <c r="I8226">
        <v>0</v>
      </c>
      <c r="J8226">
        <v>1600</v>
      </c>
    </row>
    <row r="8227" spans="1:10" x14ac:dyDescent="0.3">
      <c r="A8227" s="15">
        <v>46174</v>
      </c>
      <c r="B8227" t="s">
        <v>517</v>
      </c>
      <c r="C8227" t="s">
        <v>91</v>
      </c>
      <c r="D8227" t="s">
        <v>82</v>
      </c>
      <c r="E8227" t="s">
        <v>97</v>
      </c>
      <c r="F8227">
        <v>6100</v>
      </c>
      <c r="G8227" t="s">
        <v>84</v>
      </c>
      <c r="H8227" s="15">
        <v>46174</v>
      </c>
      <c r="I8227">
        <v>0</v>
      </c>
      <c r="J8227">
        <v>6100</v>
      </c>
    </row>
    <row r="8228" spans="1:10" x14ac:dyDescent="0.3">
      <c r="A8228" s="15">
        <v>46174</v>
      </c>
      <c r="B8228" t="s">
        <v>518</v>
      </c>
      <c r="C8228" t="s">
        <v>110</v>
      </c>
      <c r="D8228" t="s">
        <v>96</v>
      </c>
      <c r="E8228" t="s">
        <v>103</v>
      </c>
      <c r="F8228">
        <v>24400</v>
      </c>
      <c r="G8228" t="s">
        <v>84</v>
      </c>
      <c r="H8228" s="15">
        <v>46174</v>
      </c>
      <c r="I8228">
        <v>0</v>
      </c>
      <c r="J8228">
        <v>24400</v>
      </c>
    </row>
    <row r="8229" spans="1:10" x14ac:dyDescent="0.3">
      <c r="A8229" s="15">
        <v>46174</v>
      </c>
      <c r="B8229" t="s">
        <v>519</v>
      </c>
      <c r="C8229" t="s">
        <v>91</v>
      </c>
      <c r="D8229" t="s">
        <v>86</v>
      </c>
      <c r="E8229" t="s">
        <v>89</v>
      </c>
      <c r="F8229">
        <v>7400</v>
      </c>
      <c r="G8229" t="s">
        <v>84</v>
      </c>
      <c r="H8229" s="15">
        <v>46174</v>
      </c>
      <c r="I8229">
        <v>0</v>
      </c>
      <c r="J8229">
        <v>7400</v>
      </c>
    </row>
    <row r="8230" spans="1:10" x14ac:dyDescent="0.3">
      <c r="A8230" s="15">
        <v>46174</v>
      </c>
      <c r="B8230" t="s">
        <v>520</v>
      </c>
      <c r="C8230" t="s">
        <v>91</v>
      </c>
      <c r="D8230" t="s">
        <v>86</v>
      </c>
      <c r="E8230" t="s">
        <v>101</v>
      </c>
      <c r="F8230">
        <v>5900</v>
      </c>
      <c r="G8230" t="s">
        <v>84</v>
      </c>
      <c r="H8230" s="15">
        <v>46174</v>
      </c>
      <c r="I8230">
        <v>0</v>
      </c>
      <c r="J8230">
        <v>5900</v>
      </c>
    </row>
    <row r="8231" spans="1:10" x14ac:dyDescent="0.3">
      <c r="A8231" s="15">
        <v>46174</v>
      </c>
      <c r="B8231" t="s">
        <v>521</v>
      </c>
      <c r="C8231" t="s">
        <v>81</v>
      </c>
      <c r="D8231" t="s">
        <v>86</v>
      </c>
      <c r="E8231" t="s">
        <v>97</v>
      </c>
      <c r="F8231">
        <v>1800</v>
      </c>
      <c r="G8231" t="s">
        <v>84</v>
      </c>
      <c r="H8231" s="15">
        <v>46174</v>
      </c>
      <c r="I8231">
        <v>0</v>
      </c>
      <c r="J8231">
        <v>1800</v>
      </c>
    </row>
    <row r="8232" spans="1:10" x14ac:dyDescent="0.3">
      <c r="A8232" s="15">
        <v>46174</v>
      </c>
      <c r="B8232" t="s">
        <v>522</v>
      </c>
      <c r="C8232" t="s">
        <v>91</v>
      </c>
      <c r="D8232" t="s">
        <v>86</v>
      </c>
      <c r="E8232" t="s">
        <v>92</v>
      </c>
      <c r="F8232">
        <v>4600</v>
      </c>
      <c r="G8232" t="s">
        <v>84</v>
      </c>
      <c r="H8232" s="15">
        <v>46174</v>
      </c>
      <c r="I8232">
        <v>0</v>
      </c>
      <c r="J8232">
        <v>4600</v>
      </c>
    </row>
    <row r="8233" spans="1:10" x14ac:dyDescent="0.3">
      <c r="A8233" s="15">
        <v>46174</v>
      </c>
      <c r="B8233" t="s">
        <v>523</v>
      </c>
      <c r="C8233" t="s">
        <v>91</v>
      </c>
      <c r="D8233" t="s">
        <v>82</v>
      </c>
      <c r="E8233" t="s">
        <v>97</v>
      </c>
      <c r="F8233">
        <v>6900</v>
      </c>
      <c r="G8233" t="s">
        <v>84</v>
      </c>
      <c r="H8233" s="15">
        <v>46174</v>
      </c>
      <c r="I8233">
        <v>0</v>
      </c>
      <c r="J8233">
        <v>6900</v>
      </c>
    </row>
    <row r="8234" spans="1:10" x14ac:dyDescent="0.3">
      <c r="A8234" s="15">
        <v>46204</v>
      </c>
      <c r="B8234" t="s">
        <v>80</v>
      </c>
      <c r="C8234" t="s">
        <v>81</v>
      </c>
      <c r="D8234" t="s">
        <v>82</v>
      </c>
      <c r="E8234" t="s">
        <v>83</v>
      </c>
      <c r="F8234">
        <v>1900</v>
      </c>
      <c r="G8234" t="s">
        <v>331</v>
      </c>
      <c r="H8234" s="15">
        <v>45292</v>
      </c>
      <c r="I8234">
        <v>1900</v>
      </c>
      <c r="J8234">
        <v>0</v>
      </c>
    </row>
    <row r="8235" spans="1:10" x14ac:dyDescent="0.3">
      <c r="A8235" s="15">
        <v>46204</v>
      </c>
      <c r="B8235" t="s">
        <v>85</v>
      </c>
      <c r="C8235" t="s">
        <v>81</v>
      </c>
      <c r="D8235" t="s">
        <v>86</v>
      </c>
      <c r="E8235" t="s">
        <v>87</v>
      </c>
      <c r="F8235">
        <v>2200</v>
      </c>
      <c r="G8235" t="s">
        <v>331</v>
      </c>
      <c r="H8235" s="15">
        <v>45292</v>
      </c>
      <c r="I8235">
        <v>2200</v>
      </c>
      <c r="J8235">
        <v>0</v>
      </c>
    </row>
    <row r="8236" spans="1:10" x14ac:dyDescent="0.3">
      <c r="A8236" s="15">
        <v>46204</v>
      </c>
      <c r="B8236" t="s">
        <v>88</v>
      </c>
      <c r="C8236" t="s">
        <v>81</v>
      </c>
      <c r="D8236" t="s">
        <v>86</v>
      </c>
      <c r="E8236" t="s">
        <v>89</v>
      </c>
      <c r="F8236">
        <v>2400</v>
      </c>
      <c r="G8236" t="s">
        <v>331</v>
      </c>
      <c r="H8236" s="15">
        <v>45292</v>
      </c>
      <c r="I8236">
        <v>2400</v>
      </c>
      <c r="J8236">
        <v>0</v>
      </c>
    </row>
    <row r="8237" spans="1:10" x14ac:dyDescent="0.3">
      <c r="A8237" s="15">
        <v>46204</v>
      </c>
      <c r="B8237" t="s">
        <v>90</v>
      </c>
      <c r="C8237" t="s">
        <v>91</v>
      </c>
      <c r="D8237" t="s">
        <v>82</v>
      </c>
      <c r="E8237" t="s">
        <v>92</v>
      </c>
      <c r="F8237">
        <v>9200</v>
      </c>
      <c r="G8237" t="s">
        <v>331</v>
      </c>
      <c r="H8237" s="15">
        <v>45292</v>
      </c>
      <c r="I8237">
        <v>9200</v>
      </c>
      <c r="J8237">
        <v>0</v>
      </c>
    </row>
    <row r="8238" spans="1:10" x14ac:dyDescent="0.3">
      <c r="A8238" s="15">
        <v>46204</v>
      </c>
      <c r="B8238" t="s">
        <v>93</v>
      </c>
      <c r="C8238" t="s">
        <v>81</v>
      </c>
      <c r="D8238" t="s">
        <v>86</v>
      </c>
      <c r="E8238" t="s">
        <v>83</v>
      </c>
      <c r="F8238">
        <v>2600</v>
      </c>
      <c r="G8238" t="s">
        <v>331</v>
      </c>
      <c r="H8238" s="15">
        <v>45292</v>
      </c>
      <c r="I8238">
        <v>2600</v>
      </c>
      <c r="J8238">
        <v>0</v>
      </c>
    </row>
    <row r="8239" spans="1:10" x14ac:dyDescent="0.3">
      <c r="A8239" s="15">
        <v>46204</v>
      </c>
      <c r="B8239" t="s">
        <v>94</v>
      </c>
      <c r="C8239" t="s">
        <v>91</v>
      </c>
      <c r="D8239" t="s">
        <v>86</v>
      </c>
      <c r="E8239" t="s">
        <v>83</v>
      </c>
      <c r="F8239">
        <v>8500</v>
      </c>
      <c r="G8239" t="s">
        <v>331</v>
      </c>
      <c r="H8239" s="15">
        <v>45292</v>
      </c>
      <c r="I8239">
        <v>8500</v>
      </c>
      <c r="J8239">
        <v>0</v>
      </c>
    </row>
    <row r="8240" spans="1:10" x14ac:dyDescent="0.3">
      <c r="A8240" s="15">
        <v>46204</v>
      </c>
      <c r="B8240" t="s">
        <v>95</v>
      </c>
      <c r="C8240" t="s">
        <v>81</v>
      </c>
      <c r="D8240" t="s">
        <v>96</v>
      </c>
      <c r="E8240" t="s">
        <v>97</v>
      </c>
      <c r="F8240">
        <v>3100</v>
      </c>
      <c r="G8240" t="s">
        <v>331</v>
      </c>
      <c r="H8240" s="15">
        <v>45292</v>
      </c>
      <c r="I8240">
        <v>3100</v>
      </c>
      <c r="J8240">
        <v>0</v>
      </c>
    </row>
    <row r="8241" spans="1:10" x14ac:dyDescent="0.3">
      <c r="A8241" s="15">
        <v>46204</v>
      </c>
      <c r="B8241" t="s">
        <v>98</v>
      </c>
      <c r="C8241" t="s">
        <v>81</v>
      </c>
      <c r="D8241" t="s">
        <v>99</v>
      </c>
      <c r="E8241" t="s">
        <v>92</v>
      </c>
      <c r="F8241">
        <v>2000</v>
      </c>
      <c r="G8241" t="s">
        <v>331</v>
      </c>
      <c r="H8241" s="15">
        <v>45292</v>
      </c>
      <c r="I8241">
        <v>2000</v>
      </c>
      <c r="J8241">
        <v>0</v>
      </c>
    </row>
    <row r="8242" spans="1:10" x14ac:dyDescent="0.3">
      <c r="A8242" s="15">
        <v>46204</v>
      </c>
      <c r="B8242" t="s">
        <v>102</v>
      </c>
      <c r="C8242" t="s">
        <v>81</v>
      </c>
      <c r="D8242" t="s">
        <v>99</v>
      </c>
      <c r="E8242" t="s">
        <v>103</v>
      </c>
      <c r="F8242">
        <v>2500</v>
      </c>
      <c r="G8242" t="s">
        <v>331</v>
      </c>
      <c r="H8242" s="15">
        <v>45292</v>
      </c>
      <c r="I8242">
        <v>2500</v>
      </c>
      <c r="J8242">
        <v>0</v>
      </c>
    </row>
    <row r="8243" spans="1:10" x14ac:dyDescent="0.3">
      <c r="A8243" s="15">
        <v>46204</v>
      </c>
      <c r="B8243" t="s">
        <v>105</v>
      </c>
      <c r="C8243" t="s">
        <v>91</v>
      </c>
      <c r="D8243" t="s">
        <v>86</v>
      </c>
      <c r="E8243" t="s">
        <v>89</v>
      </c>
      <c r="F8243">
        <v>12900</v>
      </c>
      <c r="G8243" t="s">
        <v>331</v>
      </c>
      <c r="H8243" s="15">
        <v>45292</v>
      </c>
      <c r="I8243">
        <v>12900</v>
      </c>
      <c r="J8243">
        <v>0</v>
      </c>
    </row>
    <row r="8244" spans="1:10" x14ac:dyDescent="0.3">
      <c r="A8244" s="15">
        <v>46204</v>
      </c>
      <c r="B8244" t="s">
        <v>106</v>
      </c>
      <c r="C8244" t="s">
        <v>81</v>
      </c>
      <c r="D8244" t="s">
        <v>99</v>
      </c>
      <c r="E8244" t="s">
        <v>92</v>
      </c>
      <c r="F8244">
        <v>2700</v>
      </c>
      <c r="G8244" t="s">
        <v>331</v>
      </c>
      <c r="H8244" s="15">
        <v>45292</v>
      </c>
      <c r="I8244">
        <v>2700</v>
      </c>
      <c r="J8244">
        <v>0</v>
      </c>
    </row>
    <row r="8245" spans="1:10" x14ac:dyDescent="0.3">
      <c r="A8245" s="15">
        <v>46204</v>
      </c>
      <c r="B8245" t="s">
        <v>109</v>
      </c>
      <c r="C8245" t="s">
        <v>110</v>
      </c>
      <c r="D8245" t="s">
        <v>82</v>
      </c>
      <c r="E8245" t="s">
        <v>103</v>
      </c>
      <c r="F8245">
        <v>37500</v>
      </c>
      <c r="G8245" t="s">
        <v>331</v>
      </c>
      <c r="H8245" s="15">
        <v>45292</v>
      </c>
      <c r="I8245">
        <v>37500</v>
      </c>
      <c r="J8245">
        <v>0</v>
      </c>
    </row>
    <row r="8246" spans="1:10" x14ac:dyDescent="0.3">
      <c r="A8246" s="15">
        <v>46204</v>
      </c>
      <c r="B8246" t="s">
        <v>111</v>
      </c>
      <c r="C8246" t="s">
        <v>91</v>
      </c>
      <c r="D8246" t="s">
        <v>82</v>
      </c>
      <c r="E8246" t="s">
        <v>83</v>
      </c>
      <c r="F8246">
        <v>8800</v>
      </c>
      <c r="G8246" t="s">
        <v>331</v>
      </c>
      <c r="H8246" s="15">
        <v>45292</v>
      </c>
      <c r="I8246">
        <v>8800</v>
      </c>
      <c r="J8246">
        <v>0</v>
      </c>
    </row>
    <row r="8247" spans="1:10" x14ac:dyDescent="0.3">
      <c r="A8247" s="15">
        <v>46204</v>
      </c>
      <c r="B8247" t="s">
        <v>112</v>
      </c>
      <c r="C8247" t="s">
        <v>91</v>
      </c>
      <c r="D8247" t="s">
        <v>82</v>
      </c>
      <c r="E8247" t="s">
        <v>92</v>
      </c>
      <c r="F8247">
        <v>8600</v>
      </c>
      <c r="G8247" t="s">
        <v>331</v>
      </c>
      <c r="H8247" s="15">
        <v>45292</v>
      </c>
      <c r="I8247">
        <v>8600</v>
      </c>
      <c r="J8247">
        <v>0</v>
      </c>
    </row>
    <row r="8248" spans="1:10" x14ac:dyDescent="0.3">
      <c r="A8248" s="15">
        <v>46204</v>
      </c>
      <c r="B8248" t="s">
        <v>113</v>
      </c>
      <c r="C8248" t="s">
        <v>81</v>
      </c>
      <c r="D8248" t="s">
        <v>96</v>
      </c>
      <c r="E8248" t="s">
        <v>89</v>
      </c>
      <c r="F8248">
        <v>2400</v>
      </c>
      <c r="G8248" t="s">
        <v>331</v>
      </c>
      <c r="H8248" s="15">
        <v>45292</v>
      </c>
      <c r="I8248">
        <v>2400</v>
      </c>
      <c r="J8248">
        <v>0</v>
      </c>
    </row>
    <row r="8249" spans="1:10" x14ac:dyDescent="0.3">
      <c r="A8249" s="15">
        <v>46204</v>
      </c>
      <c r="B8249" t="s">
        <v>114</v>
      </c>
      <c r="C8249" t="s">
        <v>110</v>
      </c>
      <c r="D8249" t="s">
        <v>99</v>
      </c>
      <c r="E8249" t="s">
        <v>97</v>
      </c>
      <c r="F8249">
        <v>39000</v>
      </c>
      <c r="G8249" t="s">
        <v>331</v>
      </c>
      <c r="H8249" s="15">
        <v>45292</v>
      </c>
      <c r="I8249">
        <v>39000</v>
      </c>
      <c r="J8249">
        <v>0</v>
      </c>
    </row>
    <row r="8250" spans="1:10" x14ac:dyDescent="0.3">
      <c r="A8250" s="15">
        <v>46204</v>
      </c>
      <c r="B8250" t="s">
        <v>115</v>
      </c>
      <c r="C8250" t="s">
        <v>81</v>
      </c>
      <c r="D8250" t="s">
        <v>82</v>
      </c>
      <c r="E8250" t="s">
        <v>101</v>
      </c>
      <c r="F8250">
        <v>2600</v>
      </c>
      <c r="G8250" t="s">
        <v>331</v>
      </c>
      <c r="H8250" s="15">
        <v>45292</v>
      </c>
      <c r="I8250">
        <v>2600</v>
      </c>
      <c r="J8250">
        <v>0</v>
      </c>
    </row>
    <row r="8251" spans="1:10" x14ac:dyDescent="0.3">
      <c r="A8251" s="15">
        <v>46204</v>
      </c>
      <c r="B8251" t="s">
        <v>116</v>
      </c>
      <c r="C8251" t="s">
        <v>81</v>
      </c>
      <c r="D8251" t="s">
        <v>86</v>
      </c>
      <c r="E8251" t="s">
        <v>87</v>
      </c>
      <c r="F8251">
        <v>2900</v>
      </c>
      <c r="G8251" t="s">
        <v>331</v>
      </c>
      <c r="H8251" s="15">
        <v>45292</v>
      </c>
      <c r="I8251">
        <v>2900</v>
      </c>
      <c r="J8251">
        <v>0</v>
      </c>
    </row>
    <row r="8252" spans="1:10" x14ac:dyDescent="0.3">
      <c r="A8252" s="15">
        <v>46204</v>
      </c>
      <c r="B8252" t="s">
        <v>117</v>
      </c>
      <c r="C8252" t="s">
        <v>81</v>
      </c>
      <c r="D8252" t="s">
        <v>86</v>
      </c>
      <c r="E8252" t="s">
        <v>103</v>
      </c>
      <c r="F8252">
        <v>2500</v>
      </c>
      <c r="G8252" t="s">
        <v>331</v>
      </c>
      <c r="H8252" s="15">
        <v>45292</v>
      </c>
      <c r="I8252">
        <v>2500</v>
      </c>
      <c r="J8252">
        <v>0</v>
      </c>
    </row>
    <row r="8253" spans="1:10" x14ac:dyDescent="0.3">
      <c r="A8253" s="15">
        <v>46204</v>
      </c>
      <c r="B8253" t="s">
        <v>120</v>
      </c>
      <c r="C8253" t="s">
        <v>81</v>
      </c>
      <c r="D8253" t="s">
        <v>86</v>
      </c>
      <c r="E8253" t="s">
        <v>101</v>
      </c>
      <c r="F8253">
        <v>2200</v>
      </c>
      <c r="G8253" t="s">
        <v>331</v>
      </c>
      <c r="H8253" s="15">
        <v>45292</v>
      </c>
      <c r="I8253">
        <v>2200</v>
      </c>
      <c r="J8253">
        <v>0</v>
      </c>
    </row>
    <row r="8254" spans="1:10" x14ac:dyDescent="0.3">
      <c r="A8254" s="15">
        <v>46204</v>
      </c>
      <c r="B8254" t="s">
        <v>123</v>
      </c>
      <c r="C8254" t="s">
        <v>81</v>
      </c>
      <c r="D8254" t="s">
        <v>82</v>
      </c>
      <c r="E8254" t="s">
        <v>92</v>
      </c>
      <c r="F8254">
        <v>1900</v>
      </c>
      <c r="G8254" t="s">
        <v>331</v>
      </c>
      <c r="H8254" s="15">
        <v>45292</v>
      </c>
      <c r="I8254">
        <v>1900</v>
      </c>
      <c r="J8254">
        <v>0</v>
      </c>
    </row>
    <row r="8255" spans="1:10" x14ac:dyDescent="0.3">
      <c r="A8255" s="15">
        <v>46204</v>
      </c>
      <c r="B8255" t="s">
        <v>124</v>
      </c>
      <c r="C8255" t="s">
        <v>125</v>
      </c>
      <c r="D8255" t="s">
        <v>82</v>
      </c>
      <c r="E8255" t="s">
        <v>97</v>
      </c>
      <c r="F8255">
        <v>67900</v>
      </c>
      <c r="G8255" t="s">
        <v>331</v>
      </c>
      <c r="H8255" s="15">
        <v>45292</v>
      </c>
      <c r="I8255">
        <v>67900</v>
      </c>
      <c r="J8255">
        <v>0</v>
      </c>
    </row>
    <row r="8256" spans="1:10" x14ac:dyDescent="0.3">
      <c r="A8256" s="15">
        <v>46204</v>
      </c>
      <c r="B8256" t="s">
        <v>126</v>
      </c>
      <c r="C8256" t="s">
        <v>91</v>
      </c>
      <c r="D8256" t="s">
        <v>82</v>
      </c>
      <c r="E8256" t="s">
        <v>83</v>
      </c>
      <c r="F8256">
        <v>8800</v>
      </c>
      <c r="G8256" t="s">
        <v>331</v>
      </c>
      <c r="H8256" s="15">
        <v>45292</v>
      </c>
      <c r="I8256">
        <v>8800</v>
      </c>
      <c r="J8256">
        <v>0</v>
      </c>
    </row>
    <row r="8257" spans="1:10" x14ac:dyDescent="0.3">
      <c r="A8257" s="15">
        <v>46204</v>
      </c>
      <c r="B8257" t="s">
        <v>127</v>
      </c>
      <c r="C8257" t="s">
        <v>81</v>
      </c>
      <c r="D8257" t="s">
        <v>82</v>
      </c>
      <c r="E8257" t="s">
        <v>101</v>
      </c>
      <c r="F8257">
        <v>2400</v>
      </c>
      <c r="G8257" t="s">
        <v>331</v>
      </c>
      <c r="H8257" s="15">
        <v>45292</v>
      </c>
      <c r="I8257">
        <v>2400</v>
      </c>
      <c r="J8257">
        <v>0</v>
      </c>
    </row>
    <row r="8258" spans="1:10" x14ac:dyDescent="0.3">
      <c r="A8258" s="15">
        <v>46204</v>
      </c>
      <c r="B8258" t="s">
        <v>128</v>
      </c>
      <c r="C8258" t="s">
        <v>81</v>
      </c>
      <c r="D8258" t="s">
        <v>82</v>
      </c>
      <c r="E8258" t="s">
        <v>92</v>
      </c>
      <c r="F8258">
        <v>1700</v>
      </c>
      <c r="G8258" t="s">
        <v>331</v>
      </c>
      <c r="H8258" s="15">
        <v>45292</v>
      </c>
      <c r="I8258">
        <v>1700</v>
      </c>
      <c r="J8258">
        <v>0</v>
      </c>
    </row>
    <row r="8259" spans="1:10" x14ac:dyDescent="0.3">
      <c r="A8259" s="15">
        <v>46204</v>
      </c>
      <c r="B8259" t="s">
        <v>129</v>
      </c>
      <c r="C8259" t="s">
        <v>110</v>
      </c>
      <c r="D8259" t="s">
        <v>86</v>
      </c>
      <c r="E8259" t="s">
        <v>92</v>
      </c>
      <c r="F8259">
        <v>40500</v>
      </c>
      <c r="G8259" t="s">
        <v>331</v>
      </c>
      <c r="H8259" s="15">
        <v>45292</v>
      </c>
      <c r="I8259">
        <v>40500</v>
      </c>
      <c r="J8259">
        <v>0</v>
      </c>
    </row>
    <row r="8260" spans="1:10" x14ac:dyDescent="0.3">
      <c r="A8260" s="15">
        <v>46204</v>
      </c>
      <c r="B8260" t="s">
        <v>133</v>
      </c>
      <c r="C8260" t="s">
        <v>81</v>
      </c>
      <c r="D8260" t="s">
        <v>96</v>
      </c>
      <c r="E8260" t="s">
        <v>87</v>
      </c>
      <c r="F8260">
        <v>2700</v>
      </c>
      <c r="G8260" t="s">
        <v>331</v>
      </c>
      <c r="H8260" s="15">
        <v>45292</v>
      </c>
      <c r="I8260">
        <v>2700</v>
      </c>
      <c r="J8260">
        <v>0</v>
      </c>
    </row>
    <row r="8261" spans="1:10" x14ac:dyDescent="0.3">
      <c r="A8261" s="15">
        <v>46204</v>
      </c>
      <c r="B8261" t="s">
        <v>134</v>
      </c>
      <c r="C8261" t="s">
        <v>81</v>
      </c>
      <c r="D8261" t="s">
        <v>82</v>
      </c>
      <c r="E8261" t="s">
        <v>92</v>
      </c>
      <c r="F8261">
        <v>2600</v>
      </c>
      <c r="G8261" t="s">
        <v>331</v>
      </c>
      <c r="H8261" s="15">
        <v>45292</v>
      </c>
      <c r="I8261">
        <v>2600</v>
      </c>
      <c r="J8261">
        <v>0</v>
      </c>
    </row>
    <row r="8262" spans="1:10" x14ac:dyDescent="0.3">
      <c r="A8262" s="15">
        <v>46204</v>
      </c>
      <c r="B8262" t="s">
        <v>135</v>
      </c>
      <c r="C8262" t="s">
        <v>81</v>
      </c>
      <c r="D8262" t="s">
        <v>82</v>
      </c>
      <c r="E8262" t="s">
        <v>103</v>
      </c>
      <c r="F8262">
        <v>2400</v>
      </c>
      <c r="G8262" t="s">
        <v>331</v>
      </c>
      <c r="H8262" s="15">
        <v>45292</v>
      </c>
      <c r="I8262">
        <v>2400</v>
      </c>
      <c r="J8262">
        <v>0</v>
      </c>
    </row>
    <row r="8263" spans="1:10" x14ac:dyDescent="0.3">
      <c r="A8263" s="15">
        <v>46204</v>
      </c>
      <c r="B8263" t="s">
        <v>136</v>
      </c>
      <c r="C8263" t="s">
        <v>81</v>
      </c>
      <c r="D8263" t="s">
        <v>82</v>
      </c>
      <c r="E8263" t="s">
        <v>101</v>
      </c>
      <c r="F8263">
        <v>2900</v>
      </c>
      <c r="G8263" t="s">
        <v>331</v>
      </c>
      <c r="H8263" s="15">
        <v>45292</v>
      </c>
      <c r="I8263">
        <v>2900</v>
      </c>
      <c r="J8263">
        <v>0</v>
      </c>
    </row>
    <row r="8264" spans="1:10" x14ac:dyDescent="0.3">
      <c r="A8264" s="15">
        <v>46204</v>
      </c>
      <c r="B8264" t="s">
        <v>138</v>
      </c>
      <c r="C8264" t="s">
        <v>81</v>
      </c>
      <c r="D8264" t="s">
        <v>86</v>
      </c>
      <c r="E8264" t="s">
        <v>97</v>
      </c>
      <c r="F8264">
        <v>3300</v>
      </c>
      <c r="G8264" t="s">
        <v>331</v>
      </c>
      <c r="H8264" s="15">
        <v>45292</v>
      </c>
      <c r="I8264">
        <v>3300</v>
      </c>
      <c r="J8264">
        <v>0</v>
      </c>
    </row>
    <row r="8265" spans="1:10" x14ac:dyDescent="0.3">
      <c r="A8265" s="15">
        <v>46204</v>
      </c>
      <c r="B8265" t="s">
        <v>139</v>
      </c>
      <c r="C8265" t="s">
        <v>91</v>
      </c>
      <c r="D8265" t="s">
        <v>82</v>
      </c>
      <c r="E8265" t="s">
        <v>103</v>
      </c>
      <c r="F8265">
        <v>6800</v>
      </c>
      <c r="G8265" t="s">
        <v>331</v>
      </c>
      <c r="H8265" s="15">
        <v>45292</v>
      </c>
      <c r="I8265">
        <v>6800</v>
      </c>
      <c r="J8265">
        <v>0</v>
      </c>
    </row>
    <row r="8266" spans="1:10" x14ac:dyDescent="0.3">
      <c r="A8266" s="15">
        <v>46204</v>
      </c>
      <c r="B8266" t="s">
        <v>141</v>
      </c>
      <c r="C8266" t="s">
        <v>125</v>
      </c>
      <c r="D8266" t="s">
        <v>99</v>
      </c>
      <c r="E8266" t="s">
        <v>103</v>
      </c>
      <c r="F8266">
        <v>127400</v>
      </c>
      <c r="G8266" t="s">
        <v>331</v>
      </c>
      <c r="H8266" s="15">
        <v>45292</v>
      </c>
      <c r="I8266">
        <v>127400</v>
      </c>
      <c r="J8266">
        <v>0</v>
      </c>
    </row>
    <row r="8267" spans="1:10" x14ac:dyDescent="0.3">
      <c r="A8267" s="15">
        <v>46204</v>
      </c>
      <c r="B8267" t="s">
        <v>142</v>
      </c>
      <c r="C8267" t="s">
        <v>125</v>
      </c>
      <c r="D8267" t="s">
        <v>82</v>
      </c>
      <c r="E8267" t="s">
        <v>92</v>
      </c>
      <c r="F8267">
        <v>114200</v>
      </c>
      <c r="G8267" t="s">
        <v>331</v>
      </c>
      <c r="H8267" s="15">
        <v>45292</v>
      </c>
      <c r="I8267">
        <v>114200</v>
      </c>
      <c r="J8267">
        <v>0</v>
      </c>
    </row>
    <row r="8268" spans="1:10" x14ac:dyDescent="0.3">
      <c r="A8268" s="15">
        <v>46204</v>
      </c>
      <c r="B8268" t="s">
        <v>143</v>
      </c>
      <c r="C8268" t="s">
        <v>91</v>
      </c>
      <c r="D8268" t="s">
        <v>99</v>
      </c>
      <c r="E8268" t="s">
        <v>103</v>
      </c>
      <c r="F8268">
        <v>8000</v>
      </c>
      <c r="G8268" t="s">
        <v>331</v>
      </c>
      <c r="H8268" s="15">
        <v>45292</v>
      </c>
      <c r="I8268">
        <v>8000</v>
      </c>
      <c r="J8268">
        <v>0</v>
      </c>
    </row>
    <row r="8269" spans="1:10" x14ac:dyDescent="0.3">
      <c r="A8269" s="15">
        <v>46204</v>
      </c>
      <c r="B8269" t="s">
        <v>144</v>
      </c>
      <c r="C8269" t="s">
        <v>81</v>
      </c>
      <c r="D8269" t="s">
        <v>82</v>
      </c>
      <c r="E8269" t="s">
        <v>92</v>
      </c>
      <c r="F8269">
        <v>2500</v>
      </c>
      <c r="G8269" t="s">
        <v>334</v>
      </c>
      <c r="H8269" s="15">
        <v>45292</v>
      </c>
      <c r="I8269">
        <v>2700</v>
      </c>
      <c r="J8269">
        <v>-200</v>
      </c>
    </row>
    <row r="8270" spans="1:10" x14ac:dyDescent="0.3">
      <c r="A8270" s="15">
        <v>46204</v>
      </c>
      <c r="B8270" t="s">
        <v>145</v>
      </c>
      <c r="C8270" t="s">
        <v>91</v>
      </c>
      <c r="D8270" t="s">
        <v>82</v>
      </c>
      <c r="E8270" t="s">
        <v>87</v>
      </c>
      <c r="F8270">
        <v>7400</v>
      </c>
      <c r="G8270" t="s">
        <v>334</v>
      </c>
      <c r="H8270" s="15">
        <v>45292</v>
      </c>
      <c r="I8270">
        <v>8200</v>
      </c>
      <c r="J8270">
        <v>-800</v>
      </c>
    </row>
    <row r="8271" spans="1:10" x14ac:dyDescent="0.3">
      <c r="A8271" s="15">
        <v>46204</v>
      </c>
      <c r="B8271" t="s">
        <v>146</v>
      </c>
      <c r="C8271" t="s">
        <v>91</v>
      </c>
      <c r="D8271" t="s">
        <v>86</v>
      </c>
      <c r="E8271" t="s">
        <v>87</v>
      </c>
      <c r="F8271">
        <v>10100</v>
      </c>
      <c r="G8271" t="s">
        <v>331</v>
      </c>
      <c r="H8271" s="15">
        <v>45292</v>
      </c>
      <c r="I8271">
        <v>10100</v>
      </c>
      <c r="J8271">
        <v>0</v>
      </c>
    </row>
    <row r="8272" spans="1:10" x14ac:dyDescent="0.3">
      <c r="A8272" s="15">
        <v>46204</v>
      </c>
      <c r="B8272" t="s">
        <v>149</v>
      </c>
      <c r="C8272" t="s">
        <v>110</v>
      </c>
      <c r="D8272" t="s">
        <v>82</v>
      </c>
      <c r="E8272" t="s">
        <v>103</v>
      </c>
      <c r="F8272">
        <v>25500</v>
      </c>
      <c r="G8272" t="s">
        <v>331</v>
      </c>
      <c r="H8272" s="15">
        <v>45292</v>
      </c>
      <c r="I8272">
        <v>25500</v>
      </c>
      <c r="J8272">
        <v>0</v>
      </c>
    </row>
    <row r="8273" spans="1:10" x14ac:dyDescent="0.3">
      <c r="A8273" s="15">
        <v>46204</v>
      </c>
      <c r="B8273" t="s">
        <v>151</v>
      </c>
      <c r="C8273" t="s">
        <v>91</v>
      </c>
      <c r="D8273" t="s">
        <v>82</v>
      </c>
      <c r="E8273" t="s">
        <v>97</v>
      </c>
      <c r="F8273">
        <v>5600</v>
      </c>
      <c r="G8273" t="s">
        <v>331</v>
      </c>
      <c r="H8273" s="15">
        <v>45292</v>
      </c>
      <c r="I8273">
        <v>5600</v>
      </c>
      <c r="J8273">
        <v>0</v>
      </c>
    </row>
    <row r="8274" spans="1:10" x14ac:dyDescent="0.3">
      <c r="A8274" s="15">
        <v>46204</v>
      </c>
      <c r="B8274" t="s">
        <v>154</v>
      </c>
      <c r="C8274" t="s">
        <v>91</v>
      </c>
      <c r="D8274" t="s">
        <v>86</v>
      </c>
      <c r="E8274" t="s">
        <v>103</v>
      </c>
      <c r="F8274">
        <v>8300</v>
      </c>
      <c r="G8274" t="s">
        <v>331</v>
      </c>
      <c r="H8274" s="15">
        <v>45292</v>
      </c>
      <c r="I8274">
        <v>8300</v>
      </c>
      <c r="J8274">
        <v>0</v>
      </c>
    </row>
    <row r="8275" spans="1:10" x14ac:dyDescent="0.3">
      <c r="A8275" s="15">
        <v>46204</v>
      </c>
      <c r="B8275" t="s">
        <v>155</v>
      </c>
      <c r="C8275" t="s">
        <v>91</v>
      </c>
      <c r="D8275" t="s">
        <v>82</v>
      </c>
      <c r="E8275" t="s">
        <v>92</v>
      </c>
      <c r="F8275">
        <v>7300</v>
      </c>
      <c r="G8275" t="s">
        <v>331</v>
      </c>
      <c r="H8275" s="15">
        <v>45292</v>
      </c>
      <c r="I8275">
        <v>7300</v>
      </c>
      <c r="J8275">
        <v>0</v>
      </c>
    </row>
    <row r="8276" spans="1:10" x14ac:dyDescent="0.3">
      <c r="A8276" s="15">
        <v>46204</v>
      </c>
      <c r="B8276" t="s">
        <v>156</v>
      </c>
      <c r="C8276" t="s">
        <v>81</v>
      </c>
      <c r="D8276" t="s">
        <v>86</v>
      </c>
      <c r="E8276" t="s">
        <v>101</v>
      </c>
      <c r="F8276">
        <v>2500</v>
      </c>
      <c r="G8276" t="s">
        <v>332</v>
      </c>
      <c r="H8276" s="15">
        <v>45292</v>
      </c>
      <c r="I8276">
        <v>2300</v>
      </c>
      <c r="J8276">
        <v>200</v>
      </c>
    </row>
    <row r="8277" spans="1:10" x14ac:dyDescent="0.3">
      <c r="A8277" s="15">
        <v>46204</v>
      </c>
      <c r="B8277" t="s">
        <v>157</v>
      </c>
      <c r="C8277" t="s">
        <v>81</v>
      </c>
      <c r="D8277" t="s">
        <v>82</v>
      </c>
      <c r="E8277" t="s">
        <v>92</v>
      </c>
      <c r="F8277">
        <v>1800</v>
      </c>
      <c r="G8277" t="s">
        <v>331</v>
      </c>
      <c r="H8277" s="15">
        <v>45292</v>
      </c>
      <c r="I8277">
        <v>1800</v>
      </c>
      <c r="J8277">
        <v>0</v>
      </c>
    </row>
    <row r="8278" spans="1:10" x14ac:dyDescent="0.3">
      <c r="A8278" s="15">
        <v>46204</v>
      </c>
      <c r="B8278" t="s">
        <v>158</v>
      </c>
      <c r="C8278" t="s">
        <v>91</v>
      </c>
      <c r="D8278" t="s">
        <v>96</v>
      </c>
      <c r="E8278" t="s">
        <v>83</v>
      </c>
      <c r="F8278">
        <v>12600</v>
      </c>
      <c r="G8278" t="s">
        <v>331</v>
      </c>
      <c r="H8278" s="15">
        <v>45292</v>
      </c>
      <c r="I8278">
        <v>12600</v>
      </c>
      <c r="J8278">
        <v>0</v>
      </c>
    </row>
    <row r="8279" spans="1:10" x14ac:dyDescent="0.3">
      <c r="A8279" s="15">
        <v>46204</v>
      </c>
      <c r="B8279" t="s">
        <v>159</v>
      </c>
      <c r="C8279" t="s">
        <v>81</v>
      </c>
      <c r="D8279" t="s">
        <v>86</v>
      </c>
      <c r="E8279" t="s">
        <v>87</v>
      </c>
      <c r="F8279">
        <v>2400</v>
      </c>
      <c r="G8279" t="s">
        <v>331</v>
      </c>
      <c r="H8279" s="15">
        <v>45292</v>
      </c>
      <c r="I8279">
        <v>2400</v>
      </c>
      <c r="J8279">
        <v>0</v>
      </c>
    </row>
    <row r="8280" spans="1:10" x14ac:dyDescent="0.3">
      <c r="A8280" s="15">
        <v>46204</v>
      </c>
      <c r="B8280" t="s">
        <v>161</v>
      </c>
      <c r="C8280" t="s">
        <v>91</v>
      </c>
      <c r="D8280" t="s">
        <v>99</v>
      </c>
      <c r="E8280" t="s">
        <v>83</v>
      </c>
      <c r="F8280">
        <v>10900</v>
      </c>
      <c r="G8280" t="s">
        <v>334</v>
      </c>
      <c r="H8280" s="15">
        <v>45292</v>
      </c>
      <c r="I8280">
        <v>11700</v>
      </c>
      <c r="J8280">
        <v>-800</v>
      </c>
    </row>
    <row r="8281" spans="1:10" x14ac:dyDescent="0.3">
      <c r="A8281" s="15">
        <v>46204</v>
      </c>
      <c r="B8281" t="s">
        <v>164</v>
      </c>
      <c r="C8281" t="s">
        <v>81</v>
      </c>
      <c r="D8281" t="s">
        <v>99</v>
      </c>
      <c r="E8281" t="s">
        <v>89</v>
      </c>
      <c r="F8281">
        <v>2800</v>
      </c>
      <c r="G8281" t="s">
        <v>331</v>
      </c>
      <c r="H8281" s="15">
        <v>45292</v>
      </c>
      <c r="I8281">
        <v>2800</v>
      </c>
      <c r="J8281">
        <v>0</v>
      </c>
    </row>
    <row r="8282" spans="1:10" x14ac:dyDescent="0.3">
      <c r="A8282" s="15">
        <v>46204</v>
      </c>
      <c r="B8282" t="s">
        <v>166</v>
      </c>
      <c r="C8282" t="s">
        <v>81</v>
      </c>
      <c r="D8282" t="s">
        <v>99</v>
      </c>
      <c r="E8282" t="s">
        <v>103</v>
      </c>
      <c r="F8282">
        <v>2600</v>
      </c>
      <c r="G8282" t="s">
        <v>331</v>
      </c>
      <c r="H8282" s="15">
        <v>45292</v>
      </c>
      <c r="I8282">
        <v>2600</v>
      </c>
      <c r="J8282">
        <v>0</v>
      </c>
    </row>
    <row r="8283" spans="1:10" x14ac:dyDescent="0.3">
      <c r="A8283" s="15">
        <v>46204</v>
      </c>
      <c r="B8283" t="s">
        <v>167</v>
      </c>
      <c r="C8283" t="s">
        <v>81</v>
      </c>
      <c r="D8283" t="s">
        <v>82</v>
      </c>
      <c r="E8283" t="s">
        <v>97</v>
      </c>
      <c r="F8283">
        <v>2000</v>
      </c>
      <c r="G8283" t="s">
        <v>331</v>
      </c>
      <c r="H8283" s="15">
        <v>45292</v>
      </c>
      <c r="I8283">
        <v>2000</v>
      </c>
      <c r="J8283">
        <v>0</v>
      </c>
    </row>
    <row r="8284" spans="1:10" x14ac:dyDescent="0.3">
      <c r="A8284" s="15">
        <v>46204</v>
      </c>
      <c r="B8284" t="s">
        <v>168</v>
      </c>
      <c r="C8284" t="s">
        <v>91</v>
      </c>
      <c r="D8284" t="s">
        <v>86</v>
      </c>
      <c r="E8284" t="s">
        <v>103</v>
      </c>
      <c r="F8284">
        <v>10700</v>
      </c>
      <c r="G8284" t="s">
        <v>331</v>
      </c>
      <c r="H8284" s="15">
        <v>45292</v>
      </c>
      <c r="I8284">
        <v>10700</v>
      </c>
      <c r="J8284">
        <v>0</v>
      </c>
    </row>
    <row r="8285" spans="1:10" x14ac:dyDescent="0.3">
      <c r="A8285" s="15">
        <v>46204</v>
      </c>
      <c r="B8285" t="s">
        <v>170</v>
      </c>
      <c r="C8285" t="s">
        <v>91</v>
      </c>
      <c r="D8285" t="s">
        <v>99</v>
      </c>
      <c r="E8285" t="s">
        <v>83</v>
      </c>
      <c r="F8285">
        <v>5500</v>
      </c>
      <c r="G8285" t="s">
        <v>334</v>
      </c>
      <c r="H8285" s="15">
        <v>45292</v>
      </c>
      <c r="I8285">
        <v>6500</v>
      </c>
      <c r="J8285">
        <v>-1000</v>
      </c>
    </row>
    <row r="8286" spans="1:10" x14ac:dyDescent="0.3">
      <c r="A8286" s="15">
        <v>46204</v>
      </c>
      <c r="B8286" t="s">
        <v>171</v>
      </c>
      <c r="C8286" t="s">
        <v>81</v>
      </c>
      <c r="D8286" t="s">
        <v>99</v>
      </c>
      <c r="E8286" t="s">
        <v>97</v>
      </c>
      <c r="F8286">
        <v>1700</v>
      </c>
      <c r="G8286" t="s">
        <v>331</v>
      </c>
      <c r="H8286" s="15">
        <v>45292</v>
      </c>
      <c r="I8286">
        <v>1700</v>
      </c>
      <c r="J8286">
        <v>0</v>
      </c>
    </row>
    <row r="8287" spans="1:10" x14ac:dyDescent="0.3">
      <c r="A8287" s="15">
        <v>46204</v>
      </c>
      <c r="B8287" t="s">
        <v>174</v>
      </c>
      <c r="C8287" t="s">
        <v>81</v>
      </c>
      <c r="D8287" t="s">
        <v>82</v>
      </c>
      <c r="E8287" t="s">
        <v>92</v>
      </c>
      <c r="F8287">
        <v>2400</v>
      </c>
      <c r="G8287" t="s">
        <v>331</v>
      </c>
      <c r="H8287" s="15">
        <v>45292</v>
      </c>
      <c r="I8287">
        <v>2400</v>
      </c>
      <c r="J8287">
        <v>0</v>
      </c>
    </row>
    <row r="8288" spans="1:10" x14ac:dyDescent="0.3">
      <c r="A8288" s="15">
        <v>46204</v>
      </c>
      <c r="B8288" t="s">
        <v>175</v>
      </c>
      <c r="C8288" t="s">
        <v>91</v>
      </c>
      <c r="D8288" t="s">
        <v>96</v>
      </c>
      <c r="E8288" t="s">
        <v>83</v>
      </c>
      <c r="F8288">
        <v>8800</v>
      </c>
      <c r="G8288" t="s">
        <v>331</v>
      </c>
      <c r="H8288" s="15">
        <v>45292</v>
      </c>
      <c r="I8288">
        <v>8800</v>
      </c>
      <c r="J8288">
        <v>0</v>
      </c>
    </row>
    <row r="8289" spans="1:10" x14ac:dyDescent="0.3">
      <c r="A8289" s="15">
        <v>46204</v>
      </c>
      <c r="B8289" t="s">
        <v>176</v>
      </c>
      <c r="C8289" t="s">
        <v>81</v>
      </c>
      <c r="D8289" t="s">
        <v>99</v>
      </c>
      <c r="E8289" t="s">
        <v>92</v>
      </c>
      <c r="F8289">
        <v>2900</v>
      </c>
      <c r="G8289" t="s">
        <v>331</v>
      </c>
      <c r="H8289" s="15">
        <v>45292</v>
      </c>
      <c r="I8289">
        <v>2900</v>
      </c>
      <c r="J8289">
        <v>0</v>
      </c>
    </row>
    <row r="8290" spans="1:10" x14ac:dyDescent="0.3">
      <c r="A8290" s="15">
        <v>46204</v>
      </c>
      <c r="B8290" t="s">
        <v>177</v>
      </c>
      <c r="C8290" t="s">
        <v>81</v>
      </c>
      <c r="D8290" t="s">
        <v>96</v>
      </c>
      <c r="E8290" t="s">
        <v>83</v>
      </c>
      <c r="F8290">
        <v>2900</v>
      </c>
      <c r="G8290" t="s">
        <v>331</v>
      </c>
      <c r="H8290" s="15">
        <v>45292</v>
      </c>
      <c r="I8290">
        <v>2900</v>
      </c>
      <c r="J8290">
        <v>0</v>
      </c>
    </row>
    <row r="8291" spans="1:10" x14ac:dyDescent="0.3">
      <c r="A8291" s="15">
        <v>46204</v>
      </c>
      <c r="B8291" t="s">
        <v>178</v>
      </c>
      <c r="C8291" t="s">
        <v>91</v>
      </c>
      <c r="D8291" t="s">
        <v>82</v>
      </c>
      <c r="E8291" t="s">
        <v>89</v>
      </c>
      <c r="F8291">
        <v>8400</v>
      </c>
      <c r="G8291" t="s">
        <v>331</v>
      </c>
      <c r="H8291" s="15">
        <v>45292</v>
      </c>
      <c r="I8291">
        <v>8400</v>
      </c>
      <c r="J8291">
        <v>0</v>
      </c>
    </row>
    <row r="8292" spans="1:10" x14ac:dyDescent="0.3">
      <c r="A8292" s="15">
        <v>46204</v>
      </c>
      <c r="B8292" t="s">
        <v>179</v>
      </c>
      <c r="C8292" t="s">
        <v>110</v>
      </c>
      <c r="D8292" t="s">
        <v>86</v>
      </c>
      <c r="E8292" t="s">
        <v>87</v>
      </c>
      <c r="F8292">
        <v>27000</v>
      </c>
      <c r="G8292" t="s">
        <v>334</v>
      </c>
      <c r="H8292" s="15">
        <v>45292</v>
      </c>
      <c r="I8292">
        <v>30000</v>
      </c>
      <c r="J8292">
        <v>-3000</v>
      </c>
    </row>
    <row r="8293" spans="1:10" x14ac:dyDescent="0.3">
      <c r="A8293" s="15">
        <v>46204</v>
      </c>
      <c r="B8293" t="s">
        <v>180</v>
      </c>
      <c r="C8293" t="s">
        <v>91</v>
      </c>
      <c r="D8293" t="s">
        <v>86</v>
      </c>
      <c r="E8293" t="s">
        <v>83</v>
      </c>
      <c r="F8293">
        <v>8500</v>
      </c>
      <c r="G8293" t="s">
        <v>331</v>
      </c>
      <c r="H8293" s="15">
        <v>45292</v>
      </c>
      <c r="I8293">
        <v>8500</v>
      </c>
      <c r="J8293">
        <v>0</v>
      </c>
    </row>
    <row r="8294" spans="1:10" x14ac:dyDescent="0.3">
      <c r="A8294" s="15">
        <v>46204</v>
      </c>
      <c r="B8294" t="s">
        <v>181</v>
      </c>
      <c r="C8294" t="s">
        <v>91</v>
      </c>
      <c r="D8294" t="s">
        <v>82</v>
      </c>
      <c r="E8294" t="s">
        <v>97</v>
      </c>
      <c r="F8294">
        <v>10100</v>
      </c>
      <c r="G8294" t="s">
        <v>331</v>
      </c>
      <c r="H8294" s="15">
        <v>45292</v>
      </c>
      <c r="I8294">
        <v>10100</v>
      </c>
      <c r="J8294">
        <v>0</v>
      </c>
    </row>
    <row r="8295" spans="1:10" x14ac:dyDescent="0.3">
      <c r="A8295" s="15">
        <v>46204</v>
      </c>
      <c r="B8295" t="s">
        <v>182</v>
      </c>
      <c r="C8295" t="s">
        <v>125</v>
      </c>
      <c r="D8295" t="s">
        <v>82</v>
      </c>
      <c r="E8295" t="s">
        <v>92</v>
      </c>
      <c r="F8295">
        <v>100200</v>
      </c>
      <c r="G8295" t="s">
        <v>331</v>
      </c>
      <c r="H8295" s="15">
        <v>45292</v>
      </c>
      <c r="I8295">
        <v>100200</v>
      </c>
      <c r="J8295">
        <v>0</v>
      </c>
    </row>
    <row r="8296" spans="1:10" x14ac:dyDescent="0.3">
      <c r="A8296" s="15">
        <v>46204</v>
      </c>
      <c r="B8296" t="s">
        <v>183</v>
      </c>
      <c r="C8296" t="s">
        <v>91</v>
      </c>
      <c r="D8296" t="s">
        <v>96</v>
      </c>
      <c r="E8296" t="s">
        <v>92</v>
      </c>
      <c r="F8296">
        <v>9500</v>
      </c>
      <c r="G8296" t="s">
        <v>331</v>
      </c>
      <c r="H8296" s="15">
        <v>45292</v>
      </c>
      <c r="I8296">
        <v>9500</v>
      </c>
      <c r="J8296">
        <v>0</v>
      </c>
    </row>
    <row r="8297" spans="1:10" x14ac:dyDescent="0.3">
      <c r="A8297" s="15">
        <v>46204</v>
      </c>
      <c r="B8297" t="s">
        <v>184</v>
      </c>
      <c r="C8297" t="s">
        <v>81</v>
      </c>
      <c r="D8297" t="s">
        <v>82</v>
      </c>
      <c r="E8297" t="s">
        <v>83</v>
      </c>
      <c r="F8297">
        <v>2400</v>
      </c>
      <c r="G8297" t="s">
        <v>331</v>
      </c>
      <c r="H8297" s="15">
        <v>45292</v>
      </c>
      <c r="I8297">
        <v>2400</v>
      </c>
      <c r="J8297">
        <v>0</v>
      </c>
    </row>
    <row r="8298" spans="1:10" x14ac:dyDescent="0.3">
      <c r="A8298" s="15">
        <v>46204</v>
      </c>
      <c r="B8298" t="s">
        <v>185</v>
      </c>
      <c r="C8298" t="s">
        <v>81</v>
      </c>
      <c r="D8298" t="s">
        <v>96</v>
      </c>
      <c r="E8298" t="s">
        <v>97</v>
      </c>
      <c r="F8298">
        <v>1900</v>
      </c>
      <c r="G8298" t="s">
        <v>331</v>
      </c>
      <c r="H8298" s="15">
        <v>45292</v>
      </c>
      <c r="I8298">
        <v>1900</v>
      </c>
      <c r="J8298">
        <v>0</v>
      </c>
    </row>
    <row r="8299" spans="1:10" x14ac:dyDescent="0.3">
      <c r="A8299" s="15">
        <v>46204</v>
      </c>
      <c r="B8299" t="s">
        <v>186</v>
      </c>
      <c r="C8299" t="s">
        <v>91</v>
      </c>
      <c r="D8299" t="s">
        <v>82</v>
      </c>
      <c r="E8299" t="s">
        <v>103</v>
      </c>
      <c r="F8299">
        <v>13900</v>
      </c>
      <c r="G8299" t="s">
        <v>331</v>
      </c>
      <c r="H8299" s="15">
        <v>45292</v>
      </c>
      <c r="I8299">
        <v>13900</v>
      </c>
      <c r="J8299">
        <v>0</v>
      </c>
    </row>
    <row r="8300" spans="1:10" x14ac:dyDescent="0.3">
      <c r="A8300" s="15">
        <v>46204</v>
      </c>
      <c r="B8300" t="s">
        <v>187</v>
      </c>
      <c r="C8300" t="s">
        <v>110</v>
      </c>
      <c r="D8300" t="s">
        <v>86</v>
      </c>
      <c r="E8300" t="s">
        <v>97</v>
      </c>
      <c r="F8300">
        <v>30100</v>
      </c>
      <c r="G8300" t="s">
        <v>331</v>
      </c>
      <c r="H8300" s="15">
        <v>45292</v>
      </c>
      <c r="I8300">
        <v>30100</v>
      </c>
      <c r="J8300">
        <v>0</v>
      </c>
    </row>
    <row r="8301" spans="1:10" x14ac:dyDescent="0.3">
      <c r="A8301" s="15">
        <v>46204</v>
      </c>
      <c r="B8301" t="s">
        <v>188</v>
      </c>
      <c r="C8301" t="s">
        <v>91</v>
      </c>
      <c r="D8301" t="s">
        <v>82</v>
      </c>
      <c r="E8301" t="s">
        <v>92</v>
      </c>
      <c r="F8301">
        <v>12800</v>
      </c>
      <c r="G8301" t="s">
        <v>331</v>
      </c>
      <c r="H8301" s="15">
        <v>45292</v>
      </c>
      <c r="I8301">
        <v>12800</v>
      </c>
      <c r="J8301">
        <v>0</v>
      </c>
    </row>
    <row r="8302" spans="1:10" x14ac:dyDescent="0.3">
      <c r="A8302" s="15">
        <v>46204</v>
      </c>
      <c r="B8302" t="s">
        <v>189</v>
      </c>
      <c r="C8302" t="s">
        <v>81</v>
      </c>
      <c r="D8302" t="s">
        <v>86</v>
      </c>
      <c r="E8302" t="s">
        <v>103</v>
      </c>
      <c r="F8302">
        <v>2300</v>
      </c>
      <c r="G8302" t="s">
        <v>332</v>
      </c>
      <c r="H8302" s="15">
        <v>45292</v>
      </c>
      <c r="I8302">
        <v>2000</v>
      </c>
      <c r="J8302">
        <v>300</v>
      </c>
    </row>
    <row r="8303" spans="1:10" x14ac:dyDescent="0.3">
      <c r="A8303" s="15">
        <v>46204</v>
      </c>
      <c r="B8303" t="s">
        <v>190</v>
      </c>
      <c r="C8303" t="s">
        <v>81</v>
      </c>
      <c r="D8303" t="s">
        <v>99</v>
      </c>
      <c r="E8303" t="s">
        <v>89</v>
      </c>
      <c r="F8303">
        <v>1900</v>
      </c>
      <c r="G8303" t="s">
        <v>331</v>
      </c>
      <c r="H8303" s="15">
        <v>45292</v>
      </c>
      <c r="I8303">
        <v>1900</v>
      </c>
      <c r="J8303">
        <v>0</v>
      </c>
    </row>
    <row r="8304" spans="1:10" x14ac:dyDescent="0.3">
      <c r="A8304" s="15">
        <v>46204</v>
      </c>
      <c r="B8304" t="s">
        <v>191</v>
      </c>
      <c r="C8304" t="s">
        <v>91</v>
      </c>
      <c r="D8304" t="s">
        <v>86</v>
      </c>
      <c r="E8304" t="s">
        <v>87</v>
      </c>
      <c r="F8304">
        <v>6900</v>
      </c>
      <c r="G8304" t="s">
        <v>331</v>
      </c>
      <c r="H8304" s="15">
        <v>45292</v>
      </c>
      <c r="I8304">
        <v>6900</v>
      </c>
      <c r="J8304">
        <v>0</v>
      </c>
    </row>
    <row r="8305" spans="1:10" x14ac:dyDescent="0.3">
      <c r="A8305" s="15">
        <v>46204</v>
      </c>
      <c r="B8305" t="s">
        <v>193</v>
      </c>
      <c r="C8305" t="s">
        <v>81</v>
      </c>
      <c r="D8305" t="s">
        <v>82</v>
      </c>
      <c r="E8305" t="s">
        <v>87</v>
      </c>
      <c r="F8305">
        <v>3200</v>
      </c>
      <c r="G8305" t="s">
        <v>331</v>
      </c>
      <c r="H8305" s="15">
        <v>45292</v>
      </c>
      <c r="I8305">
        <v>3200</v>
      </c>
      <c r="J8305">
        <v>0</v>
      </c>
    </row>
    <row r="8306" spans="1:10" x14ac:dyDescent="0.3">
      <c r="A8306" s="15">
        <v>46204</v>
      </c>
      <c r="B8306" t="s">
        <v>194</v>
      </c>
      <c r="C8306" t="s">
        <v>91</v>
      </c>
      <c r="D8306" t="s">
        <v>82</v>
      </c>
      <c r="E8306" t="s">
        <v>101</v>
      </c>
      <c r="F8306">
        <v>11200</v>
      </c>
      <c r="G8306" t="s">
        <v>331</v>
      </c>
      <c r="H8306" s="15">
        <v>45292</v>
      </c>
      <c r="I8306">
        <v>11200</v>
      </c>
      <c r="J8306">
        <v>0</v>
      </c>
    </row>
    <row r="8307" spans="1:10" x14ac:dyDescent="0.3">
      <c r="A8307" s="15">
        <v>46204</v>
      </c>
      <c r="B8307" t="s">
        <v>195</v>
      </c>
      <c r="C8307" t="s">
        <v>91</v>
      </c>
      <c r="D8307" t="s">
        <v>86</v>
      </c>
      <c r="E8307" t="s">
        <v>97</v>
      </c>
      <c r="F8307">
        <v>6800</v>
      </c>
      <c r="G8307" t="s">
        <v>331</v>
      </c>
      <c r="H8307" s="15">
        <v>45292</v>
      </c>
      <c r="I8307">
        <v>6800</v>
      </c>
      <c r="J8307">
        <v>0</v>
      </c>
    </row>
    <row r="8308" spans="1:10" x14ac:dyDescent="0.3">
      <c r="A8308" s="15">
        <v>46204</v>
      </c>
      <c r="B8308" t="s">
        <v>197</v>
      </c>
      <c r="C8308" t="s">
        <v>91</v>
      </c>
      <c r="D8308" t="s">
        <v>82</v>
      </c>
      <c r="E8308" t="s">
        <v>89</v>
      </c>
      <c r="F8308">
        <v>12000</v>
      </c>
      <c r="G8308" t="s">
        <v>331</v>
      </c>
      <c r="H8308" s="15">
        <v>45292</v>
      </c>
      <c r="I8308">
        <v>12000</v>
      </c>
      <c r="J8308">
        <v>0</v>
      </c>
    </row>
    <row r="8309" spans="1:10" x14ac:dyDescent="0.3">
      <c r="A8309" s="15">
        <v>46204</v>
      </c>
      <c r="B8309" t="s">
        <v>198</v>
      </c>
      <c r="C8309" t="s">
        <v>81</v>
      </c>
      <c r="D8309" t="s">
        <v>82</v>
      </c>
      <c r="E8309" t="s">
        <v>89</v>
      </c>
      <c r="F8309">
        <v>2900</v>
      </c>
      <c r="G8309" t="s">
        <v>331</v>
      </c>
      <c r="H8309" s="15">
        <v>45292</v>
      </c>
      <c r="I8309">
        <v>2900</v>
      </c>
      <c r="J8309">
        <v>0</v>
      </c>
    </row>
    <row r="8310" spans="1:10" x14ac:dyDescent="0.3">
      <c r="A8310" s="15">
        <v>46204</v>
      </c>
      <c r="B8310" t="s">
        <v>199</v>
      </c>
      <c r="C8310" t="s">
        <v>81</v>
      </c>
      <c r="D8310" t="s">
        <v>86</v>
      </c>
      <c r="E8310" t="s">
        <v>89</v>
      </c>
      <c r="F8310">
        <v>2200</v>
      </c>
      <c r="G8310" t="s">
        <v>331</v>
      </c>
      <c r="H8310" s="15">
        <v>45292</v>
      </c>
      <c r="I8310">
        <v>2200</v>
      </c>
      <c r="J8310">
        <v>0</v>
      </c>
    </row>
    <row r="8311" spans="1:10" x14ac:dyDescent="0.3">
      <c r="A8311" s="15">
        <v>46204</v>
      </c>
      <c r="B8311" t="s">
        <v>200</v>
      </c>
      <c r="C8311" t="s">
        <v>91</v>
      </c>
      <c r="D8311" t="s">
        <v>86</v>
      </c>
      <c r="E8311" t="s">
        <v>92</v>
      </c>
      <c r="F8311">
        <v>8800</v>
      </c>
      <c r="G8311" t="s">
        <v>331</v>
      </c>
      <c r="H8311" s="15">
        <v>45292</v>
      </c>
      <c r="I8311">
        <v>8800</v>
      </c>
      <c r="J8311">
        <v>0</v>
      </c>
    </row>
    <row r="8312" spans="1:10" x14ac:dyDescent="0.3">
      <c r="A8312" s="15">
        <v>46204</v>
      </c>
      <c r="B8312" t="s">
        <v>201</v>
      </c>
      <c r="C8312" t="s">
        <v>81</v>
      </c>
      <c r="D8312" t="s">
        <v>86</v>
      </c>
      <c r="E8312" t="s">
        <v>83</v>
      </c>
      <c r="F8312">
        <v>1500</v>
      </c>
      <c r="G8312" t="s">
        <v>331</v>
      </c>
      <c r="H8312" s="15">
        <v>45292</v>
      </c>
      <c r="I8312">
        <v>1500</v>
      </c>
      <c r="J8312">
        <v>0</v>
      </c>
    </row>
    <row r="8313" spans="1:10" x14ac:dyDescent="0.3">
      <c r="A8313" s="15">
        <v>46204</v>
      </c>
      <c r="B8313" t="s">
        <v>202</v>
      </c>
      <c r="C8313" t="s">
        <v>91</v>
      </c>
      <c r="D8313" t="s">
        <v>82</v>
      </c>
      <c r="E8313" t="s">
        <v>92</v>
      </c>
      <c r="F8313">
        <v>12700</v>
      </c>
      <c r="G8313" t="s">
        <v>331</v>
      </c>
      <c r="H8313" s="15">
        <v>45292</v>
      </c>
      <c r="I8313">
        <v>12700</v>
      </c>
      <c r="J8313">
        <v>0</v>
      </c>
    </row>
    <row r="8314" spans="1:10" x14ac:dyDescent="0.3">
      <c r="A8314" s="15">
        <v>46204</v>
      </c>
      <c r="B8314" t="s">
        <v>204</v>
      </c>
      <c r="C8314" t="s">
        <v>81</v>
      </c>
      <c r="D8314" t="s">
        <v>82</v>
      </c>
      <c r="E8314" t="s">
        <v>87</v>
      </c>
      <c r="F8314">
        <v>1900</v>
      </c>
      <c r="G8314" t="s">
        <v>331</v>
      </c>
      <c r="H8314" s="15">
        <v>45292</v>
      </c>
      <c r="I8314">
        <v>1900</v>
      </c>
      <c r="J8314">
        <v>0</v>
      </c>
    </row>
    <row r="8315" spans="1:10" x14ac:dyDescent="0.3">
      <c r="A8315" s="15">
        <v>46204</v>
      </c>
      <c r="B8315" t="s">
        <v>205</v>
      </c>
      <c r="C8315" t="s">
        <v>91</v>
      </c>
      <c r="D8315" t="s">
        <v>86</v>
      </c>
      <c r="E8315" t="s">
        <v>103</v>
      </c>
      <c r="F8315">
        <v>9800</v>
      </c>
      <c r="G8315" t="s">
        <v>331</v>
      </c>
      <c r="H8315" s="15">
        <v>45292</v>
      </c>
      <c r="I8315">
        <v>9800</v>
      </c>
      <c r="J8315">
        <v>0</v>
      </c>
    </row>
    <row r="8316" spans="1:10" x14ac:dyDescent="0.3">
      <c r="A8316" s="15">
        <v>46204</v>
      </c>
      <c r="B8316" t="s">
        <v>206</v>
      </c>
      <c r="C8316" t="s">
        <v>81</v>
      </c>
      <c r="D8316" t="s">
        <v>86</v>
      </c>
      <c r="E8316" t="s">
        <v>89</v>
      </c>
      <c r="F8316">
        <v>3000</v>
      </c>
      <c r="G8316" t="s">
        <v>331</v>
      </c>
      <c r="H8316" s="15">
        <v>45292</v>
      </c>
      <c r="I8316">
        <v>3000</v>
      </c>
      <c r="J8316">
        <v>0</v>
      </c>
    </row>
    <row r="8317" spans="1:10" x14ac:dyDescent="0.3">
      <c r="A8317" s="15">
        <v>46204</v>
      </c>
      <c r="B8317" t="s">
        <v>207</v>
      </c>
      <c r="C8317" t="s">
        <v>81</v>
      </c>
      <c r="D8317" t="s">
        <v>82</v>
      </c>
      <c r="E8317" t="s">
        <v>89</v>
      </c>
      <c r="F8317">
        <v>3500</v>
      </c>
      <c r="G8317" t="s">
        <v>331</v>
      </c>
      <c r="H8317" s="15">
        <v>45292</v>
      </c>
      <c r="I8317">
        <v>3500</v>
      </c>
      <c r="J8317">
        <v>0</v>
      </c>
    </row>
    <row r="8318" spans="1:10" x14ac:dyDescent="0.3">
      <c r="A8318" s="15">
        <v>46204</v>
      </c>
      <c r="B8318" t="s">
        <v>208</v>
      </c>
      <c r="C8318" t="s">
        <v>91</v>
      </c>
      <c r="D8318" t="s">
        <v>99</v>
      </c>
      <c r="E8318" t="s">
        <v>89</v>
      </c>
      <c r="F8318">
        <v>7700</v>
      </c>
      <c r="G8318" t="s">
        <v>331</v>
      </c>
      <c r="H8318" s="15">
        <v>45292</v>
      </c>
      <c r="I8318">
        <v>7700</v>
      </c>
      <c r="J8318">
        <v>0</v>
      </c>
    </row>
    <row r="8319" spans="1:10" x14ac:dyDescent="0.3">
      <c r="A8319" s="15">
        <v>46204</v>
      </c>
      <c r="B8319" t="s">
        <v>209</v>
      </c>
      <c r="C8319" t="s">
        <v>81</v>
      </c>
      <c r="D8319" t="s">
        <v>86</v>
      </c>
      <c r="E8319" t="s">
        <v>83</v>
      </c>
      <c r="F8319">
        <v>3000</v>
      </c>
      <c r="G8319" t="s">
        <v>331</v>
      </c>
      <c r="H8319" s="15">
        <v>45292</v>
      </c>
      <c r="I8319">
        <v>3000</v>
      </c>
      <c r="J8319">
        <v>0</v>
      </c>
    </row>
    <row r="8320" spans="1:10" x14ac:dyDescent="0.3">
      <c r="A8320" s="15">
        <v>46204</v>
      </c>
      <c r="B8320" t="s">
        <v>210</v>
      </c>
      <c r="C8320" t="s">
        <v>125</v>
      </c>
      <c r="D8320" t="s">
        <v>96</v>
      </c>
      <c r="E8320" t="s">
        <v>89</v>
      </c>
      <c r="F8320">
        <v>82900</v>
      </c>
      <c r="G8320" t="s">
        <v>334</v>
      </c>
      <c r="H8320" s="15">
        <v>45292</v>
      </c>
      <c r="I8320">
        <v>98600</v>
      </c>
      <c r="J8320">
        <v>-15700</v>
      </c>
    </row>
    <row r="8321" spans="1:10" x14ac:dyDescent="0.3">
      <c r="A8321" s="15">
        <v>46204</v>
      </c>
      <c r="B8321" t="s">
        <v>213</v>
      </c>
      <c r="C8321" t="s">
        <v>81</v>
      </c>
      <c r="D8321" t="s">
        <v>82</v>
      </c>
      <c r="E8321" t="s">
        <v>97</v>
      </c>
      <c r="F8321">
        <v>3300</v>
      </c>
      <c r="G8321" t="s">
        <v>331</v>
      </c>
      <c r="H8321" s="15">
        <v>45292</v>
      </c>
      <c r="I8321">
        <v>3300</v>
      </c>
      <c r="J8321">
        <v>0</v>
      </c>
    </row>
    <row r="8322" spans="1:10" x14ac:dyDescent="0.3">
      <c r="A8322" s="15">
        <v>46204</v>
      </c>
      <c r="B8322" t="s">
        <v>214</v>
      </c>
      <c r="C8322" t="s">
        <v>91</v>
      </c>
      <c r="D8322" t="s">
        <v>82</v>
      </c>
      <c r="E8322" t="s">
        <v>89</v>
      </c>
      <c r="F8322">
        <v>8700</v>
      </c>
      <c r="G8322" t="s">
        <v>331</v>
      </c>
      <c r="H8322" s="15">
        <v>45292</v>
      </c>
      <c r="I8322">
        <v>8700</v>
      </c>
      <c r="J8322">
        <v>0</v>
      </c>
    </row>
    <row r="8323" spans="1:10" x14ac:dyDescent="0.3">
      <c r="A8323" s="15">
        <v>46204</v>
      </c>
      <c r="B8323" t="s">
        <v>216</v>
      </c>
      <c r="C8323" t="s">
        <v>81</v>
      </c>
      <c r="D8323" t="s">
        <v>82</v>
      </c>
      <c r="E8323" t="s">
        <v>97</v>
      </c>
      <c r="F8323">
        <v>3500</v>
      </c>
      <c r="G8323" t="s">
        <v>331</v>
      </c>
      <c r="H8323" s="15">
        <v>45292</v>
      </c>
      <c r="I8323">
        <v>3500</v>
      </c>
      <c r="J8323">
        <v>0</v>
      </c>
    </row>
    <row r="8324" spans="1:10" x14ac:dyDescent="0.3">
      <c r="A8324" s="15">
        <v>46204</v>
      </c>
      <c r="B8324" t="s">
        <v>218</v>
      </c>
      <c r="C8324" t="s">
        <v>110</v>
      </c>
      <c r="D8324" t="s">
        <v>99</v>
      </c>
      <c r="E8324" t="s">
        <v>92</v>
      </c>
      <c r="F8324">
        <v>32200</v>
      </c>
      <c r="G8324" t="s">
        <v>331</v>
      </c>
      <c r="H8324" s="15">
        <v>45292</v>
      </c>
      <c r="I8324">
        <v>32200</v>
      </c>
      <c r="J8324">
        <v>0</v>
      </c>
    </row>
    <row r="8325" spans="1:10" x14ac:dyDescent="0.3">
      <c r="A8325" s="15">
        <v>46204</v>
      </c>
      <c r="B8325" t="s">
        <v>220</v>
      </c>
      <c r="C8325" t="s">
        <v>110</v>
      </c>
      <c r="D8325" t="s">
        <v>82</v>
      </c>
      <c r="E8325" t="s">
        <v>89</v>
      </c>
      <c r="F8325">
        <v>30800</v>
      </c>
      <c r="G8325" t="s">
        <v>331</v>
      </c>
      <c r="H8325" s="15">
        <v>45292</v>
      </c>
      <c r="I8325">
        <v>30800</v>
      </c>
      <c r="J8325">
        <v>0</v>
      </c>
    </row>
    <row r="8326" spans="1:10" x14ac:dyDescent="0.3">
      <c r="A8326" s="15">
        <v>46204</v>
      </c>
      <c r="B8326" t="s">
        <v>224</v>
      </c>
      <c r="C8326" t="s">
        <v>91</v>
      </c>
      <c r="D8326" t="s">
        <v>82</v>
      </c>
      <c r="E8326" t="s">
        <v>101</v>
      </c>
      <c r="F8326">
        <v>10000</v>
      </c>
      <c r="G8326" t="s">
        <v>331</v>
      </c>
      <c r="H8326" s="15">
        <v>45292</v>
      </c>
      <c r="I8326">
        <v>10000</v>
      </c>
      <c r="J8326">
        <v>0</v>
      </c>
    </row>
    <row r="8327" spans="1:10" x14ac:dyDescent="0.3">
      <c r="A8327" s="15">
        <v>46204</v>
      </c>
      <c r="B8327" t="s">
        <v>225</v>
      </c>
      <c r="C8327" t="s">
        <v>110</v>
      </c>
      <c r="D8327" t="s">
        <v>99</v>
      </c>
      <c r="E8327" t="s">
        <v>103</v>
      </c>
      <c r="F8327">
        <v>42200</v>
      </c>
      <c r="G8327" t="s">
        <v>331</v>
      </c>
      <c r="H8327" s="15">
        <v>45292</v>
      </c>
      <c r="I8327">
        <v>42200</v>
      </c>
      <c r="J8327">
        <v>0</v>
      </c>
    </row>
    <row r="8328" spans="1:10" x14ac:dyDescent="0.3">
      <c r="A8328" s="15">
        <v>46204</v>
      </c>
      <c r="B8328" t="s">
        <v>226</v>
      </c>
      <c r="C8328" t="s">
        <v>91</v>
      </c>
      <c r="D8328" t="s">
        <v>82</v>
      </c>
      <c r="E8328" t="s">
        <v>103</v>
      </c>
      <c r="F8328">
        <v>5900</v>
      </c>
      <c r="G8328" t="s">
        <v>331</v>
      </c>
      <c r="H8328" s="15">
        <v>45292</v>
      </c>
      <c r="I8328">
        <v>5900</v>
      </c>
      <c r="J8328">
        <v>0</v>
      </c>
    </row>
    <row r="8329" spans="1:10" x14ac:dyDescent="0.3">
      <c r="A8329" s="15">
        <v>46204</v>
      </c>
      <c r="B8329" t="s">
        <v>227</v>
      </c>
      <c r="C8329" t="s">
        <v>110</v>
      </c>
      <c r="D8329" t="s">
        <v>86</v>
      </c>
      <c r="E8329" t="s">
        <v>87</v>
      </c>
      <c r="F8329">
        <v>27900</v>
      </c>
      <c r="G8329" t="s">
        <v>331</v>
      </c>
      <c r="H8329" s="15">
        <v>45292</v>
      </c>
      <c r="I8329">
        <v>27900</v>
      </c>
      <c r="J8329">
        <v>0</v>
      </c>
    </row>
    <row r="8330" spans="1:10" x14ac:dyDescent="0.3">
      <c r="A8330" s="15">
        <v>46204</v>
      </c>
      <c r="B8330" t="s">
        <v>228</v>
      </c>
      <c r="C8330" t="s">
        <v>91</v>
      </c>
      <c r="D8330" t="s">
        <v>96</v>
      </c>
      <c r="E8330" t="s">
        <v>89</v>
      </c>
      <c r="F8330">
        <v>12000</v>
      </c>
      <c r="G8330" t="s">
        <v>331</v>
      </c>
      <c r="H8330" s="15">
        <v>45292</v>
      </c>
      <c r="I8330">
        <v>12000</v>
      </c>
      <c r="J8330">
        <v>0</v>
      </c>
    </row>
    <row r="8331" spans="1:10" x14ac:dyDescent="0.3">
      <c r="A8331" s="15">
        <v>46204</v>
      </c>
      <c r="B8331" t="s">
        <v>229</v>
      </c>
      <c r="C8331" t="s">
        <v>81</v>
      </c>
      <c r="D8331" t="s">
        <v>82</v>
      </c>
      <c r="E8331" t="s">
        <v>83</v>
      </c>
      <c r="F8331">
        <v>3700</v>
      </c>
      <c r="G8331" t="s">
        <v>331</v>
      </c>
      <c r="H8331" s="15">
        <v>45292</v>
      </c>
      <c r="I8331">
        <v>3700</v>
      </c>
      <c r="J8331">
        <v>0</v>
      </c>
    </row>
    <row r="8332" spans="1:10" x14ac:dyDescent="0.3">
      <c r="A8332" s="15">
        <v>46204</v>
      </c>
      <c r="B8332" t="s">
        <v>230</v>
      </c>
      <c r="C8332" t="s">
        <v>81</v>
      </c>
      <c r="D8332" t="s">
        <v>86</v>
      </c>
      <c r="E8332" t="s">
        <v>101</v>
      </c>
      <c r="F8332">
        <v>3400</v>
      </c>
      <c r="G8332" t="s">
        <v>331</v>
      </c>
      <c r="H8332" s="15">
        <v>45292</v>
      </c>
      <c r="I8332">
        <v>3400</v>
      </c>
      <c r="J8332">
        <v>0</v>
      </c>
    </row>
    <row r="8333" spans="1:10" x14ac:dyDescent="0.3">
      <c r="A8333" s="15">
        <v>46204</v>
      </c>
      <c r="B8333" t="s">
        <v>231</v>
      </c>
      <c r="C8333" t="s">
        <v>91</v>
      </c>
      <c r="D8333" t="s">
        <v>82</v>
      </c>
      <c r="E8333" t="s">
        <v>92</v>
      </c>
      <c r="F8333">
        <v>6900</v>
      </c>
      <c r="G8333" t="s">
        <v>331</v>
      </c>
      <c r="H8333" s="15">
        <v>45292</v>
      </c>
      <c r="I8333">
        <v>6900</v>
      </c>
      <c r="J8333">
        <v>0</v>
      </c>
    </row>
    <row r="8334" spans="1:10" x14ac:dyDescent="0.3">
      <c r="A8334" s="15">
        <v>46204</v>
      </c>
      <c r="B8334" t="s">
        <v>232</v>
      </c>
      <c r="C8334" t="s">
        <v>125</v>
      </c>
      <c r="D8334" t="s">
        <v>86</v>
      </c>
      <c r="E8334" t="s">
        <v>83</v>
      </c>
      <c r="F8334">
        <v>121100</v>
      </c>
      <c r="G8334" t="s">
        <v>331</v>
      </c>
      <c r="H8334" s="15">
        <v>45292</v>
      </c>
      <c r="I8334">
        <v>121100</v>
      </c>
      <c r="J8334">
        <v>0</v>
      </c>
    </row>
    <row r="8335" spans="1:10" x14ac:dyDescent="0.3">
      <c r="A8335" s="15">
        <v>46204</v>
      </c>
      <c r="B8335" t="s">
        <v>233</v>
      </c>
      <c r="C8335" t="s">
        <v>81</v>
      </c>
      <c r="D8335" t="s">
        <v>82</v>
      </c>
      <c r="E8335" t="s">
        <v>87</v>
      </c>
      <c r="F8335">
        <v>3300</v>
      </c>
      <c r="G8335" t="s">
        <v>331</v>
      </c>
      <c r="H8335" s="15">
        <v>45292</v>
      </c>
      <c r="I8335">
        <v>3300</v>
      </c>
      <c r="J8335">
        <v>0</v>
      </c>
    </row>
    <row r="8336" spans="1:10" x14ac:dyDescent="0.3">
      <c r="A8336" s="15">
        <v>46204</v>
      </c>
      <c r="B8336" t="s">
        <v>235</v>
      </c>
      <c r="C8336" t="s">
        <v>91</v>
      </c>
      <c r="D8336" t="s">
        <v>96</v>
      </c>
      <c r="E8336" t="s">
        <v>103</v>
      </c>
      <c r="F8336">
        <v>11100</v>
      </c>
      <c r="G8336" t="s">
        <v>331</v>
      </c>
      <c r="H8336" s="15">
        <v>45292</v>
      </c>
      <c r="I8336">
        <v>11100</v>
      </c>
      <c r="J8336">
        <v>0</v>
      </c>
    </row>
    <row r="8337" spans="1:10" x14ac:dyDescent="0.3">
      <c r="A8337" s="15">
        <v>46204</v>
      </c>
      <c r="B8337" t="s">
        <v>237</v>
      </c>
      <c r="C8337" t="s">
        <v>91</v>
      </c>
      <c r="D8337" t="s">
        <v>82</v>
      </c>
      <c r="E8337" t="s">
        <v>83</v>
      </c>
      <c r="F8337">
        <v>6900</v>
      </c>
      <c r="G8337" t="s">
        <v>331</v>
      </c>
      <c r="H8337" s="15">
        <v>45292</v>
      </c>
      <c r="I8337">
        <v>6900</v>
      </c>
      <c r="J8337">
        <v>0</v>
      </c>
    </row>
    <row r="8338" spans="1:10" x14ac:dyDescent="0.3">
      <c r="A8338" s="15">
        <v>46204</v>
      </c>
      <c r="B8338" t="s">
        <v>238</v>
      </c>
      <c r="C8338" t="s">
        <v>81</v>
      </c>
      <c r="D8338" t="s">
        <v>99</v>
      </c>
      <c r="E8338" t="s">
        <v>97</v>
      </c>
      <c r="F8338">
        <v>2300</v>
      </c>
      <c r="G8338" t="s">
        <v>331</v>
      </c>
      <c r="H8338" s="15">
        <v>45292</v>
      </c>
      <c r="I8338">
        <v>2300</v>
      </c>
      <c r="J8338">
        <v>0</v>
      </c>
    </row>
    <row r="8339" spans="1:10" x14ac:dyDescent="0.3">
      <c r="A8339" s="15">
        <v>46204</v>
      </c>
      <c r="B8339" t="s">
        <v>239</v>
      </c>
      <c r="C8339" t="s">
        <v>81</v>
      </c>
      <c r="D8339" t="s">
        <v>82</v>
      </c>
      <c r="E8339" t="s">
        <v>103</v>
      </c>
      <c r="F8339">
        <v>2500</v>
      </c>
      <c r="G8339" t="s">
        <v>331</v>
      </c>
      <c r="H8339" s="15">
        <v>45292</v>
      </c>
      <c r="I8339">
        <v>2500</v>
      </c>
      <c r="J8339">
        <v>0</v>
      </c>
    </row>
    <row r="8340" spans="1:10" x14ac:dyDescent="0.3">
      <c r="A8340" s="15">
        <v>46204</v>
      </c>
      <c r="B8340" t="s">
        <v>240</v>
      </c>
      <c r="C8340" t="s">
        <v>81</v>
      </c>
      <c r="D8340" t="s">
        <v>99</v>
      </c>
      <c r="E8340" t="s">
        <v>103</v>
      </c>
      <c r="F8340">
        <v>2300</v>
      </c>
      <c r="G8340" t="s">
        <v>331</v>
      </c>
      <c r="H8340" s="15">
        <v>45292</v>
      </c>
      <c r="I8340">
        <v>2300</v>
      </c>
      <c r="J8340">
        <v>0</v>
      </c>
    </row>
    <row r="8341" spans="1:10" x14ac:dyDescent="0.3">
      <c r="A8341" s="15">
        <v>46204</v>
      </c>
      <c r="B8341" t="s">
        <v>241</v>
      </c>
      <c r="C8341" t="s">
        <v>91</v>
      </c>
      <c r="D8341" t="s">
        <v>96</v>
      </c>
      <c r="E8341" t="s">
        <v>87</v>
      </c>
      <c r="F8341">
        <v>13000</v>
      </c>
      <c r="G8341" t="s">
        <v>331</v>
      </c>
      <c r="H8341" s="15">
        <v>45292</v>
      </c>
      <c r="I8341">
        <v>13000</v>
      </c>
      <c r="J8341">
        <v>0</v>
      </c>
    </row>
    <row r="8342" spans="1:10" x14ac:dyDescent="0.3">
      <c r="A8342" s="15">
        <v>46204</v>
      </c>
      <c r="B8342" t="s">
        <v>242</v>
      </c>
      <c r="C8342" t="s">
        <v>110</v>
      </c>
      <c r="D8342" t="s">
        <v>99</v>
      </c>
      <c r="E8342" t="s">
        <v>101</v>
      </c>
      <c r="F8342">
        <v>34800</v>
      </c>
      <c r="G8342" t="s">
        <v>331</v>
      </c>
      <c r="H8342" s="15">
        <v>45292</v>
      </c>
      <c r="I8342">
        <v>34800</v>
      </c>
      <c r="J8342">
        <v>0</v>
      </c>
    </row>
    <row r="8343" spans="1:10" x14ac:dyDescent="0.3">
      <c r="A8343" s="15">
        <v>46204</v>
      </c>
      <c r="B8343" t="s">
        <v>244</v>
      </c>
      <c r="C8343" t="s">
        <v>91</v>
      </c>
      <c r="D8343" t="s">
        <v>82</v>
      </c>
      <c r="E8343" t="s">
        <v>92</v>
      </c>
      <c r="F8343">
        <v>7800</v>
      </c>
      <c r="G8343" t="s">
        <v>331</v>
      </c>
      <c r="H8343" s="15">
        <v>45292</v>
      </c>
      <c r="I8343">
        <v>7800</v>
      </c>
      <c r="J8343">
        <v>0</v>
      </c>
    </row>
    <row r="8344" spans="1:10" x14ac:dyDescent="0.3">
      <c r="A8344" s="15">
        <v>46204</v>
      </c>
      <c r="B8344" t="s">
        <v>245</v>
      </c>
      <c r="C8344" t="s">
        <v>81</v>
      </c>
      <c r="D8344" t="s">
        <v>99</v>
      </c>
      <c r="E8344" t="s">
        <v>97</v>
      </c>
      <c r="F8344">
        <v>2900</v>
      </c>
      <c r="G8344" t="s">
        <v>331</v>
      </c>
      <c r="H8344" s="15">
        <v>45292</v>
      </c>
      <c r="I8344">
        <v>2900</v>
      </c>
      <c r="J8344">
        <v>0</v>
      </c>
    </row>
    <row r="8345" spans="1:10" x14ac:dyDescent="0.3">
      <c r="A8345" s="15">
        <v>46204</v>
      </c>
      <c r="B8345" t="s">
        <v>246</v>
      </c>
      <c r="C8345" t="s">
        <v>91</v>
      </c>
      <c r="D8345" t="s">
        <v>86</v>
      </c>
      <c r="E8345" t="s">
        <v>103</v>
      </c>
      <c r="F8345">
        <v>10100</v>
      </c>
      <c r="G8345" t="s">
        <v>331</v>
      </c>
      <c r="H8345" s="15">
        <v>45292</v>
      </c>
      <c r="I8345">
        <v>10100</v>
      </c>
      <c r="J8345">
        <v>0</v>
      </c>
    </row>
    <row r="8346" spans="1:10" x14ac:dyDescent="0.3">
      <c r="A8346" s="15">
        <v>46204</v>
      </c>
      <c r="B8346" t="s">
        <v>247</v>
      </c>
      <c r="C8346" t="s">
        <v>91</v>
      </c>
      <c r="D8346" t="s">
        <v>86</v>
      </c>
      <c r="E8346" t="s">
        <v>89</v>
      </c>
      <c r="F8346">
        <v>8800</v>
      </c>
      <c r="G8346" t="s">
        <v>331</v>
      </c>
      <c r="H8346" s="15">
        <v>45292</v>
      </c>
      <c r="I8346">
        <v>8800</v>
      </c>
      <c r="J8346">
        <v>0</v>
      </c>
    </row>
    <row r="8347" spans="1:10" x14ac:dyDescent="0.3">
      <c r="A8347" s="15">
        <v>46204</v>
      </c>
      <c r="B8347" t="s">
        <v>248</v>
      </c>
      <c r="C8347" t="s">
        <v>81</v>
      </c>
      <c r="D8347" t="s">
        <v>82</v>
      </c>
      <c r="E8347" t="s">
        <v>103</v>
      </c>
      <c r="F8347">
        <v>2100</v>
      </c>
      <c r="G8347" t="s">
        <v>331</v>
      </c>
      <c r="H8347" s="15">
        <v>45292</v>
      </c>
      <c r="I8347">
        <v>2100</v>
      </c>
      <c r="J8347">
        <v>0</v>
      </c>
    </row>
    <row r="8348" spans="1:10" x14ac:dyDescent="0.3">
      <c r="A8348" s="15">
        <v>46204</v>
      </c>
      <c r="B8348" t="s">
        <v>250</v>
      </c>
      <c r="C8348" t="s">
        <v>81</v>
      </c>
      <c r="D8348" t="s">
        <v>86</v>
      </c>
      <c r="E8348" t="s">
        <v>87</v>
      </c>
      <c r="F8348">
        <v>2800</v>
      </c>
      <c r="G8348" t="s">
        <v>331</v>
      </c>
      <c r="H8348" s="15">
        <v>45292</v>
      </c>
      <c r="I8348">
        <v>2800</v>
      </c>
      <c r="J8348">
        <v>0</v>
      </c>
    </row>
    <row r="8349" spans="1:10" x14ac:dyDescent="0.3">
      <c r="A8349" s="15">
        <v>46204</v>
      </c>
      <c r="B8349" t="s">
        <v>251</v>
      </c>
      <c r="C8349" t="s">
        <v>91</v>
      </c>
      <c r="D8349" t="s">
        <v>99</v>
      </c>
      <c r="E8349" t="s">
        <v>103</v>
      </c>
      <c r="F8349">
        <v>8800</v>
      </c>
      <c r="G8349" t="s">
        <v>331</v>
      </c>
      <c r="H8349" s="15">
        <v>45292</v>
      </c>
      <c r="I8349">
        <v>8800</v>
      </c>
      <c r="J8349">
        <v>0</v>
      </c>
    </row>
    <row r="8350" spans="1:10" x14ac:dyDescent="0.3">
      <c r="A8350" s="15">
        <v>46204</v>
      </c>
      <c r="B8350" t="s">
        <v>252</v>
      </c>
      <c r="C8350" t="s">
        <v>81</v>
      </c>
      <c r="D8350" t="s">
        <v>99</v>
      </c>
      <c r="E8350" t="s">
        <v>92</v>
      </c>
      <c r="F8350">
        <v>3400</v>
      </c>
      <c r="G8350" t="s">
        <v>331</v>
      </c>
      <c r="H8350" s="15">
        <v>45292</v>
      </c>
      <c r="I8350">
        <v>3400</v>
      </c>
      <c r="J8350">
        <v>0</v>
      </c>
    </row>
    <row r="8351" spans="1:10" x14ac:dyDescent="0.3">
      <c r="A8351" s="15">
        <v>46204</v>
      </c>
      <c r="B8351" t="s">
        <v>253</v>
      </c>
      <c r="C8351" t="s">
        <v>81</v>
      </c>
      <c r="D8351" t="s">
        <v>96</v>
      </c>
      <c r="E8351" t="s">
        <v>89</v>
      </c>
      <c r="F8351">
        <v>2400</v>
      </c>
      <c r="G8351" t="s">
        <v>331</v>
      </c>
      <c r="H8351" s="15">
        <v>45292</v>
      </c>
      <c r="I8351">
        <v>2400</v>
      </c>
      <c r="J8351">
        <v>0</v>
      </c>
    </row>
    <row r="8352" spans="1:10" x14ac:dyDescent="0.3">
      <c r="A8352" s="15">
        <v>46204</v>
      </c>
      <c r="B8352" t="s">
        <v>255</v>
      </c>
      <c r="C8352" t="s">
        <v>91</v>
      </c>
      <c r="D8352" t="s">
        <v>86</v>
      </c>
      <c r="E8352" t="s">
        <v>89</v>
      </c>
      <c r="F8352">
        <v>9700</v>
      </c>
      <c r="G8352" t="s">
        <v>331</v>
      </c>
      <c r="H8352" s="15">
        <v>45292</v>
      </c>
      <c r="I8352">
        <v>9700</v>
      </c>
      <c r="J8352">
        <v>0</v>
      </c>
    </row>
    <row r="8353" spans="1:10" x14ac:dyDescent="0.3">
      <c r="A8353" s="15">
        <v>46204</v>
      </c>
      <c r="B8353" t="s">
        <v>256</v>
      </c>
      <c r="C8353" t="s">
        <v>81</v>
      </c>
      <c r="D8353" t="s">
        <v>82</v>
      </c>
      <c r="E8353" t="s">
        <v>103</v>
      </c>
      <c r="F8353">
        <v>1800</v>
      </c>
      <c r="G8353" t="s">
        <v>331</v>
      </c>
      <c r="H8353" s="15">
        <v>45292</v>
      </c>
      <c r="I8353">
        <v>1800</v>
      </c>
      <c r="J8353">
        <v>0</v>
      </c>
    </row>
    <row r="8354" spans="1:10" x14ac:dyDescent="0.3">
      <c r="A8354" s="15">
        <v>46204</v>
      </c>
      <c r="B8354" t="s">
        <v>258</v>
      </c>
      <c r="C8354" t="s">
        <v>125</v>
      </c>
      <c r="D8354" t="s">
        <v>86</v>
      </c>
      <c r="E8354" t="s">
        <v>83</v>
      </c>
      <c r="F8354">
        <v>96300</v>
      </c>
      <c r="G8354" t="s">
        <v>331</v>
      </c>
      <c r="H8354" s="15">
        <v>45292</v>
      </c>
      <c r="I8354">
        <v>96300</v>
      </c>
      <c r="J8354">
        <v>0</v>
      </c>
    </row>
    <row r="8355" spans="1:10" x14ac:dyDescent="0.3">
      <c r="A8355" s="15">
        <v>46204</v>
      </c>
      <c r="B8355" t="s">
        <v>259</v>
      </c>
      <c r="C8355" t="s">
        <v>81</v>
      </c>
      <c r="D8355" t="s">
        <v>86</v>
      </c>
      <c r="E8355" t="s">
        <v>89</v>
      </c>
      <c r="F8355">
        <v>1900</v>
      </c>
      <c r="G8355" t="s">
        <v>331</v>
      </c>
      <c r="H8355" s="15">
        <v>45292</v>
      </c>
      <c r="I8355">
        <v>1900</v>
      </c>
      <c r="J8355">
        <v>0</v>
      </c>
    </row>
    <row r="8356" spans="1:10" x14ac:dyDescent="0.3">
      <c r="A8356" s="15">
        <v>46204</v>
      </c>
      <c r="B8356" t="s">
        <v>260</v>
      </c>
      <c r="C8356" t="s">
        <v>81</v>
      </c>
      <c r="D8356" t="s">
        <v>86</v>
      </c>
      <c r="E8356" t="s">
        <v>97</v>
      </c>
      <c r="F8356">
        <v>2100</v>
      </c>
      <c r="G8356" t="s">
        <v>332</v>
      </c>
      <c r="H8356" s="15">
        <v>45292</v>
      </c>
      <c r="I8356">
        <v>2000</v>
      </c>
      <c r="J8356">
        <v>100</v>
      </c>
    </row>
    <row r="8357" spans="1:10" x14ac:dyDescent="0.3">
      <c r="A8357" s="15">
        <v>46204</v>
      </c>
      <c r="B8357" t="s">
        <v>262</v>
      </c>
      <c r="C8357" t="s">
        <v>91</v>
      </c>
      <c r="D8357" t="s">
        <v>82</v>
      </c>
      <c r="E8357" t="s">
        <v>92</v>
      </c>
      <c r="F8357">
        <v>10800</v>
      </c>
      <c r="G8357" t="s">
        <v>331</v>
      </c>
      <c r="H8357" s="15">
        <v>45292</v>
      </c>
      <c r="I8357">
        <v>10800</v>
      </c>
      <c r="J8357">
        <v>0</v>
      </c>
    </row>
    <row r="8358" spans="1:10" x14ac:dyDescent="0.3">
      <c r="A8358" s="15">
        <v>46204</v>
      </c>
      <c r="B8358" t="s">
        <v>264</v>
      </c>
      <c r="C8358" t="s">
        <v>110</v>
      </c>
      <c r="D8358" t="s">
        <v>86</v>
      </c>
      <c r="E8358" t="s">
        <v>97</v>
      </c>
      <c r="F8358">
        <v>31500</v>
      </c>
      <c r="G8358" t="s">
        <v>331</v>
      </c>
      <c r="H8358" s="15">
        <v>45292</v>
      </c>
      <c r="I8358">
        <v>31500</v>
      </c>
      <c r="J8358">
        <v>0</v>
      </c>
    </row>
    <row r="8359" spans="1:10" x14ac:dyDescent="0.3">
      <c r="A8359" s="15">
        <v>46204</v>
      </c>
      <c r="B8359" t="s">
        <v>265</v>
      </c>
      <c r="C8359" t="s">
        <v>125</v>
      </c>
      <c r="D8359" t="s">
        <v>86</v>
      </c>
      <c r="E8359" t="s">
        <v>101</v>
      </c>
      <c r="F8359">
        <v>76700</v>
      </c>
      <c r="G8359" t="s">
        <v>331</v>
      </c>
      <c r="H8359" s="15">
        <v>45292</v>
      </c>
      <c r="I8359">
        <v>76700</v>
      </c>
      <c r="J8359">
        <v>0</v>
      </c>
    </row>
    <row r="8360" spans="1:10" x14ac:dyDescent="0.3">
      <c r="A8360" s="15">
        <v>46204</v>
      </c>
      <c r="B8360" t="s">
        <v>266</v>
      </c>
      <c r="C8360" t="s">
        <v>81</v>
      </c>
      <c r="D8360" t="s">
        <v>82</v>
      </c>
      <c r="E8360" t="s">
        <v>83</v>
      </c>
      <c r="F8360">
        <v>2200</v>
      </c>
      <c r="G8360" t="s">
        <v>331</v>
      </c>
      <c r="H8360" s="15">
        <v>45292</v>
      </c>
      <c r="I8360">
        <v>2200</v>
      </c>
      <c r="J8360">
        <v>0</v>
      </c>
    </row>
    <row r="8361" spans="1:10" x14ac:dyDescent="0.3">
      <c r="A8361" s="15">
        <v>46204</v>
      </c>
      <c r="B8361" t="s">
        <v>267</v>
      </c>
      <c r="C8361" t="s">
        <v>91</v>
      </c>
      <c r="D8361" t="s">
        <v>82</v>
      </c>
      <c r="E8361" t="s">
        <v>97</v>
      </c>
      <c r="F8361">
        <v>7300</v>
      </c>
      <c r="G8361" t="s">
        <v>331</v>
      </c>
      <c r="H8361" s="15">
        <v>45292</v>
      </c>
      <c r="I8361">
        <v>7300</v>
      </c>
      <c r="J8361">
        <v>0</v>
      </c>
    </row>
    <row r="8362" spans="1:10" x14ac:dyDescent="0.3">
      <c r="A8362" s="15">
        <v>46204</v>
      </c>
      <c r="B8362" t="s">
        <v>272</v>
      </c>
      <c r="C8362" t="s">
        <v>125</v>
      </c>
      <c r="D8362" t="s">
        <v>96</v>
      </c>
      <c r="E8362" t="s">
        <v>103</v>
      </c>
      <c r="F8362">
        <v>101100</v>
      </c>
      <c r="G8362" t="s">
        <v>331</v>
      </c>
      <c r="H8362" s="15">
        <v>45292</v>
      </c>
      <c r="I8362">
        <v>101100</v>
      </c>
      <c r="J8362">
        <v>0</v>
      </c>
    </row>
    <row r="8363" spans="1:10" x14ac:dyDescent="0.3">
      <c r="A8363" s="15">
        <v>46204</v>
      </c>
      <c r="B8363" t="s">
        <v>273</v>
      </c>
      <c r="C8363" t="s">
        <v>81</v>
      </c>
      <c r="D8363" t="s">
        <v>82</v>
      </c>
      <c r="E8363" t="s">
        <v>101</v>
      </c>
      <c r="F8363">
        <v>3300</v>
      </c>
      <c r="G8363" t="s">
        <v>331</v>
      </c>
      <c r="H8363" s="15">
        <v>45292</v>
      </c>
      <c r="I8363">
        <v>3300</v>
      </c>
      <c r="J8363">
        <v>0</v>
      </c>
    </row>
    <row r="8364" spans="1:10" x14ac:dyDescent="0.3">
      <c r="A8364" s="15">
        <v>46204</v>
      </c>
      <c r="B8364" t="s">
        <v>274</v>
      </c>
      <c r="C8364" t="s">
        <v>91</v>
      </c>
      <c r="D8364" t="s">
        <v>99</v>
      </c>
      <c r="E8364" t="s">
        <v>87</v>
      </c>
      <c r="F8364">
        <v>11400</v>
      </c>
      <c r="G8364" t="s">
        <v>331</v>
      </c>
      <c r="H8364" s="15">
        <v>45292</v>
      </c>
      <c r="I8364">
        <v>11400</v>
      </c>
      <c r="J8364">
        <v>0</v>
      </c>
    </row>
    <row r="8365" spans="1:10" x14ac:dyDescent="0.3">
      <c r="A8365" s="15">
        <v>46204</v>
      </c>
      <c r="B8365" t="s">
        <v>276</v>
      </c>
      <c r="C8365" t="s">
        <v>81</v>
      </c>
      <c r="D8365" t="s">
        <v>82</v>
      </c>
      <c r="E8365" t="s">
        <v>103</v>
      </c>
      <c r="F8365">
        <v>3300</v>
      </c>
      <c r="G8365" t="s">
        <v>331</v>
      </c>
      <c r="H8365" s="15">
        <v>45292</v>
      </c>
      <c r="I8365">
        <v>3300</v>
      </c>
      <c r="J8365">
        <v>0</v>
      </c>
    </row>
    <row r="8366" spans="1:10" x14ac:dyDescent="0.3">
      <c r="A8366" s="15">
        <v>46204</v>
      </c>
      <c r="B8366" t="s">
        <v>277</v>
      </c>
      <c r="C8366" t="s">
        <v>91</v>
      </c>
      <c r="D8366" t="s">
        <v>86</v>
      </c>
      <c r="E8366" t="s">
        <v>97</v>
      </c>
      <c r="F8366">
        <v>9900</v>
      </c>
      <c r="G8366" t="s">
        <v>331</v>
      </c>
      <c r="H8366" s="15">
        <v>45292</v>
      </c>
      <c r="I8366">
        <v>9900</v>
      </c>
      <c r="J8366">
        <v>0</v>
      </c>
    </row>
    <row r="8367" spans="1:10" x14ac:dyDescent="0.3">
      <c r="A8367" s="15">
        <v>46204</v>
      </c>
      <c r="B8367" t="s">
        <v>279</v>
      </c>
      <c r="C8367" t="s">
        <v>91</v>
      </c>
      <c r="D8367" t="s">
        <v>99</v>
      </c>
      <c r="E8367" t="s">
        <v>89</v>
      </c>
      <c r="F8367">
        <v>9800</v>
      </c>
      <c r="G8367" t="s">
        <v>331</v>
      </c>
      <c r="H8367" s="15">
        <v>45292</v>
      </c>
      <c r="I8367">
        <v>9800</v>
      </c>
      <c r="J8367">
        <v>0</v>
      </c>
    </row>
    <row r="8368" spans="1:10" x14ac:dyDescent="0.3">
      <c r="A8368" s="15">
        <v>46204</v>
      </c>
      <c r="B8368" t="s">
        <v>282</v>
      </c>
      <c r="C8368" t="s">
        <v>91</v>
      </c>
      <c r="D8368" t="s">
        <v>86</v>
      </c>
      <c r="E8368" t="s">
        <v>92</v>
      </c>
      <c r="F8368">
        <v>6100</v>
      </c>
      <c r="G8368" t="s">
        <v>331</v>
      </c>
      <c r="H8368" s="15">
        <v>45292</v>
      </c>
      <c r="I8368">
        <v>6100</v>
      </c>
      <c r="J8368">
        <v>0</v>
      </c>
    </row>
    <row r="8369" spans="1:10" x14ac:dyDescent="0.3">
      <c r="A8369" s="15">
        <v>46204</v>
      </c>
      <c r="B8369" t="s">
        <v>283</v>
      </c>
      <c r="C8369" t="s">
        <v>110</v>
      </c>
      <c r="D8369" t="s">
        <v>82</v>
      </c>
      <c r="E8369" t="s">
        <v>87</v>
      </c>
      <c r="F8369">
        <v>34200</v>
      </c>
      <c r="G8369" t="s">
        <v>331</v>
      </c>
      <c r="H8369" s="15">
        <v>45292</v>
      </c>
      <c r="I8369">
        <v>34200</v>
      </c>
      <c r="J8369">
        <v>0</v>
      </c>
    </row>
    <row r="8370" spans="1:10" x14ac:dyDescent="0.3">
      <c r="A8370" s="15">
        <v>46204</v>
      </c>
      <c r="B8370" t="s">
        <v>285</v>
      </c>
      <c r="C8370" t="s">
        <v>91</v>
      </c>
      <c r="D8370" t="s">
        <v>82</v>
      </c>
      <c r="E8370" t="s">
        <v>83</v>
      </c>
      <c r="F8370">
        <v>9600</v>
      </c>
      <c r="G8370" t="s">
        <v>331</v>
      </c>
      <c r="H8370" s="15">
        <v>45292</v>
      </c>
      <c r="I8370">
        <v>9600</v>
      </c>
      <c r="J8370">
        <v>0</v>
      </c>
    </row>
    <row r="8371" spans="1:10" x14ac:dyDescent="0.3">
      <c r="A8371" s="15">
        <v>46204</v>
      </c>
      <c r="B8371" t="s">
        <v>286</v>
      </c>
      <c r="C8371" t="s">
        <v>125</v>
      </c>
      <c r="D8371" t="s">
        <v>86</v>
      </c>
      <c r="E8371" t="s">
        <v>92</v>
      </c>
      <c r="F8371">
        <v>92400</v>
      </c>
      <c r="G8371" t="s">
        <v>331</v>
      </c>
      <c r="H8371" s="15">
        <v>45292</v>
      </c>
      <c r="I8371">
        <v>92400</v>
      </c>
      <c r="J8371">
        <v>0</v>
      </c>
    </row>
    <row r="8372" spans="1:10" x14ac:dyDescent="0.3">
      <c r="A8372" s="15">
        <v>46204</v>
      </c>
      <c r="B8372" t="s">
        <v>287</v>
      </c>
      <c r="C8372" t="s">
        <v>81</v>
      </c>
      <c r="D8372" t="s">
        <v>99</v>
      </c>
      <c r="E8372" t="s">
        <v>87</v>
      </c>
      <c r="F8372">
        <v>2400</v>
      </c>
      <c r="G8372" t="s">
        <v>331</v>
      </c>
      <c r="H8372" s="15">
        <v>45292</v>
      </c>
      <c r="I8372">
        <v>2400</v>
      </c>
      <c r="J8372">
        <v>0</v>
      </c>
    </row>
    <row r="8373" spans="1:10" x14ac:dyDescent="0.3">
      <c r="A8373" s="15">
        <v>46204</v>
      </c>
      <c r="B8373" t="s">
        <v>288</v>
      </c>
      <c r="C8373" t="s">
        <v>81</v>
      </c>
      <c r="D8373" t="s">
        <v>99</v>
      </c>
      <c r="E8373" t="s">
        <v>97</v>
      </c>
      <c r="F8373">
        <v>2900</v>
      </c>
      <c r="G8373" t="s">
        <v>331</v>
      </c>
      <c r="H8373" s="15">
        <v>45292</v>
      </c>
      <c r="I8373">
        <v>2900</v>
      </c>
      <c r="J8373">
        <v>0</v>
      </c>
    </row>
    <row r="8374" spans="1:10" x14ac:dyDescent="0.3">
      <c r="A8374" s="15">
        <v>46204</v>
      </c>
      <c r="B8374" t="s">
        <v>289</v>
      </c>
      <c r="C8374" t="s">
        <v>91</v>
      </c>
      <c r="D8374" t="s">
        <v>86</v>
      </c>
      <c r="E8374" t="s">
        <v>101</v>
      </c>
      <c r="F8374">
        <v>9400</v>
      </c>
      <c r="G8374" t="s">
        <v>331</v>
      </c>
      <c r="H8374" s="15">
        <v>45292</v>
      </c>
      <c r="I8374">
        <v>9400</v>
      </c>
      <c r="J8374">
        <v>0</v>
      </c>
    </row>
    <row r="8375" spans="1:10" x14ac:dyDescent="0.3">
      <c r="A8375" s="15">
        <v>46204</v>
      </c>
      <c r="B8375" t="s">
        <v>290</v>
      </c>
      <c r="C8375" t="s">
        <v>81</v>
      </c>
      <c r="D8375" t="s">
        <v>82</v>
      </c>
      <c r="E8375" t="s">
        <v>103</v>
      </c>
      <c r="F8375">
        <v>2800</v>
      </c>
      <c r="G8375" t="s">
        <v>331</v>
      </c>
      <c r="H8375" s="15">
        <v>45292</v>
      </c>
      <c r="I8375">
        <v>2800</v>
      </c>
      <c r="J8375">
        <v>0</v>
      </c>
    </row>
    <row r="8376" spans="1:10" x14ac:dyDescent="0.3">
      <c r="A8376" s="15">
        <v>46204</v>
      </c>
      <c r="B8376" t="s">
        <v>291</v>
      </c>
      <c r="C8376" t="s">
        <v>81</v>
      </c>
      <c r="D8376" t="s">
        <v>82</v>
      </c>
      <c r="E8376" t="s">
        <v>83</v>
      </c>
      <c r="F8376">
        <v>3100</v>
      </c>
      <c r="G8376" t="s">
        <v>331</v>
      </c>
      <c r="H8376" s="15">
        <v>45292</v>
      </c>
      <c r="I8376">
        <v>3100</v>
      </c>
      <c r="J8376">
        <v>0</v>
      </c>
    </row>
    <row r="8377" spans="1:10" x14ac:dyDescent="0.3">
      <c r="A8377" s="15">
        <v>46204</v>
      </c>
      <c r="B8377" t="s">
        <v>292</v>
      </c>
      <c r="C8377" t="s">
        <v>91</v>
      </c>
      <c r="D8377" t="s">
        <v>86</v>
      </c>
      <c r="E8377" t="s">
        <v>89</v>
      </c>
      <c r="F8377">
        <v>9900</v>
      </c>
      <c r="G8377" t="s">
        <v>331</v>
      </c>
      <c r="H8377" s="15">
        <v>45292</v>
      </c>
      <c r="I8377">
        <v>9900</v>
      </c>
      <c r="J8377">
        <v>0</v>
      </c>
    </row>
    <row r="8378" spans="1:10" x14ac:dyDescent="0.3">
      <c r="A8378" s="15">
        <v>46204</v>
      </c>
      <c r="B8378" t="s">
        <v>293</v>
      </c>
      <c r="C8378" t="s">
        <v>81</v>
      </c>
      <c r="D8378" t="s">
        <v>86</v>
      </c>
      <c r="E8378" t="s">
        <v>103</v>
      </c>
      <c r="F8378">
        <v>2200</v>
      </c>
      <c r="G8378" t="s">
        <v>331</v>
      </c>
      <c r="H8378" s="15">
        <v>45292</v>
      </c>
      <c r="I8378">
        <v>2200</v>
      </c>
      <c r="J8378">
        <v>0</v>
      </c>
    </row>
    <row r="8379" spans="1:10" x14ac:dyDescent="0.3">
      <c r="A8379" s="15">
        <v>46204</v>
      </c>
      <c r="B8379" t="s">
        <v>294</v>
      </c>
      <c r="C8379" t="s">
        <v>91</v>
      </c>
      <c r="D8379" t="s">
        <v>82</v>
      </c>
      <c r="E8379" t="s">
        <v>97</v>
      </c>
      <c r="F8379">
        <v>8200</v>
      </c>
      <c r="G8379" t="s">
        <v>331</v>
      </c>
      <c r="H8379" s="15">
        <v>45292</v>
      </c>
      <c r="I8379">
        <v>8200</v>
      </c>
      <c r="J8379">
        <v>0</v>
      </c>
    </row>
    <row r="8380" spans="1:10" x14ac:dyDescent="0.3">
      <c r="A8380" s="15">
        <v>46204</v>
      </c>
      <c r="B8380" t="s">
        <v>295</v>
      </c>
      <c r="C8380" t="s">
        <v>81</v>
      </c>
      <c r="D8380" t="s">
        <v>82</v>
      </c>
      <c r="E8380" t="s">
        <v>103</v>
      </c>
      <c r="F8380">
        <v>2000</v>
      </c>
      <c r="G8380" t="s">
        <v>331</v>
      </c>
      <c r="H8380" s="15">
        <v>45292</v>
      </c>
      <c r="I8380">
        <v>2000</v>
      </c>
      <c r="J8380">
        <v>0</v>
      </c>
    </row>
    <row r="8381" spans="1:10" x14ac:dyDescent="0.3">
      <c r="A8381" s="15">
        <v>46204</v>
      </c>
      <c r="B8381" t="s">
        <v>298</v>
      </c>
      <c r="C8381" t="s">
        <v>81</v>
      </c>
      <c r="D8381" t="s">
        <v>86</v>
      </c>
      <c r="E8381" t="s">
        <v>89</v>
      </c>
      <c r="F8381">
        <v>2700</v>
      </c>
      <c r="G8381" t="s">
        <v>331</v>
      </c>
      <c r="H8381" s="15">
        <v>45292</v>
      </c>
      <c r="I8381">
        <v>2700</v>
      </c>
      <c r="J8381">
        <v>0</v>
      </c>
    </row>
    <row r="8382" spans="1:10" x14ac:dyDescent="0.3">
      <c r="A8382" s="15">
        <v>46204</v>
      </c>
      <c r="B8382" t="s">
        <v>299</v>
      </c>
      <c r="C8382" t="s">
        <v>81</v>
      </c>
      <c r="D8382" t="s">
        <v>99</v>
      </c>
      <c r="E8382" t="s">
        <v>103</v>
      </c>
      <c r="F8382">
        <v>2900</v>
      </c>
      <c r="G8382" t="s">
        <v>331</v>
      </c>
      <c r="H8382" s="15">
        <v>45292</v>
      </c>
      <c r="I8382">
        <v>2900</v>
      </c>
      <c r="J8382">
        <v>0</v>
      </c>
    </row>
    <row r="8383" spans="1:10" x14ac:dyDescent="0.3">
      <c r="A8383" s="15">
        <v>46204</v>
      </c>
      <c r="B8383" t="s">
        <v>300</v>
      </c>
      <c r="C8383" t="s">
        <v>91</v>
      </c>
      <c r="D8383" t="s">
        <v>82</v>
      </c>
      <c r="E8383" t="s">
        <v>89</v>
      </c>
      <c r="F8383">
        <v>11500</v>
      </c>
      <c r="G8383" t="s">
        <v>331</v>
      </c>
      <c r="H8383" s="15">
        <v>45292</v>
      </c>
      <c r="I8383">
        <v>11500</v>
      </c>
      <c r="J8383">
        <v>0</v>
      </c>
    </row>
    <row r="8384" spans="1:10" x14ac:dyDescent="0.3">
      <c r="A8384" s="15">
        <v>46204</v>
      </c>
      <c r="B8384" t="s">
        <v>303</v>
      </c>
      <c r="C8384" t="s">
        <v>81</v>
      </c>
      <c r="D8384" t="s">
        <v>82</v>
      </c>
      <c r="E8384" t="s">
        <v>83</v>
      </c>
      <c r="F8384">
        <v>1500</v>
      </c>
      <c r="G8384" t="s">
        <v>331</v>
      </c>
      <c r="H8384" s="15">
        <v>45292</v>
      </c>
      <c r="I8384">
        <v>1500</v>
      </c>
      <c r="J8384">
        <v>0</v>
      </c>
    </row>
    <row r="8385" spans="1:10" x14ac:dyDescent="0.3">
      <c r="A8385" s="15">
        <v>46204</v>
      </c>
      <c r="B8385" t="s">
        <v>304</v>
      </c>
      <c r="C8385" t="s">
        <v>81</v>
      </c>
      <c r="D8385" t="s">
        <v>86</v>
      </c>
      <c r="E8385" t="s">
        <v>92</v>
      </c>
      <c r="F8385">
        <v>2300</v>
      </c>
      <c r="G8385" t="s">
        <v>332</v>
      </c>
      <c r="H8385" s="15">
        <v>45292</v>
      </c>
      <c r="I8385">
        <v>2100</v>
      </c>
      <c r="J8385">
        <v>200</v>
      </c>
    </row>
    <row r="8386" spans="1:10" x14ac:dyDescent="0.3">
      <c r="A8386" s="15">
        <v>46204</v>
      </c>
      <c r="B8386" t="s">
        <v>306</v>
      </c>
      <c r="C8386" t="s">
        <v>91</v>
      </c>
      <c r="D8386" t="s">
        <v>82</v>
      </c>
      <c r="E8386" t="s">
        <v>87</v>
      </c>
      <c r="F8386">
        <v>13200</v>
      </c>
      <c r="G8386" t="s">
        <v>331</v>
      </c>
      <c r="H8386" s="15">
        <v>45292</v>
      </c>
      <c r="I8386">
        <v>13200</v>
      </c>
      <c r="J8386">
        <v>0</v>
      </c>
    </row>
    <row r="8387" spans="1:10" x14ac:dyDescent="0.3">
      <c r="A8387" s="15">
        <v>46204</v>
      </c>
      <c r="B8387" t="s">
        <v>307</v>
      </c>
      <c r="C8387" t="s">
        <v>81</v>
      </c>
      <c r="D8387" t="s">
        <v>86</v>
      </c>
      <c r="E8387" t="s">
        <v>97</v>
      </c>
      <c r="F8387">
        <v>2600</v>
      </c>
      <c r="G8387" t="s">
        <v>331</v>
      </c>
      <c r="H8387" s="15">
        <v>45292</v>
      </c>
      <c r="I8387">
        <v>2600</v>
      </c>
      <c r="J8387">
        <v>0</v>
      </c>
    </row>
    <row r="8388" spans="1:10" x14ac:dyDescent="0.3">
      <c r="A8388" s="15">
        <v>46204</v>
      </c>
      <c r="B8388" t="s">
        <v>309</v>
      </c>
      <c r="C8388" t="s">
        <v>91</v>
      </c>
      <c r="D8388" t="s">
        <v>82</v>
      </c>
      <c r="E8388" t="s">
        <v>87</v>
      </c>
      <c r="F8388">
        <v>11800</v>
      </c>
      <c r="G8388" t="s">
        <v>331</v>
      </c>
      <c r="H8388" s="15">
        <v>45292</v>
      </c>
      <c r="I8388">
        <v>11800</v>
      </c>
      <c r="J8388">
        <v>0</v>
      </c>
    </row>
    <row r="8389" spans="1:10" x14ac:dyDescent="0.3">
      <c r="A8389" s="15">
        <v>46204</v>
      </c>
      <c r="B8389" t="s">
        <v>310</v>
      </c>
      <c r="C8389" t="s">
        <v>91</v>
      </c>
      <c r="D8389" t="s">
        <v>99</v>
      </c>
      <c r="E8389" t="s">
        <v>87</v>
      </c>
      <c r="F8389">
        <v>10000</v>
      </c>
      <c r="G8389" t="s">
        <v>331</v>
      </c>
      <c r="H8389" s="15">
        <v>45292</v>
      </c>
      <c r="I8389">
        <v>10000</v>
      </c>
      <c r="J8389">
        <v>0</v>
      </c>
    </row>
    <row r="8390" spans="1:10" x14ac:dyDescent="0.3">
      <c r="A8390" s="15">
        <v>46204</v>
      </c>
      <c r="B8390" t="s">
        <v>315</v>
      </c>
      <c r="C8390" t="s">
        <v>125</v>
      </c>
      <c r="D8390" t="s">
        <v>86</v>
      </c>
      <c r="E8390" t="s">
        <v>92</v>
      </c>
      <c r="F8390">
        <v>76200</v>
      </c>
      <c r="G8390" t="s">
        <v>331</v>
      </c>
      <c r="H8390" s="15">
        <v>45292</v>
      </c>
      <c r="I8390">
        <v>76200</v>
      </c>
      <c r="J8390">
        <v>0</v>
      </c>
    </row>
    <row r="8391" spans="1:10" x14ac:dyDescent="0.3">
      <c r="A8391" s="15">
        <v>46204</v>
      </c>
      <c r="B8391" t="s">
        <v>316</v>
      </c>
      <c r="C8391" t="s">
        <v>81</v>
      </c>
      <c r="D8391" t="s">
        <v>96</v>
      </c>
      <c r="E8391" t="s">
        <v>92</v>
      </c>
      <c r="F8391">
        <v>2000</v>
      </c>
      <c r="G8391" t="s">
        <v>331</v>
      </c>
      <c r="H8391" s="15">
        <v>45292</v>
      </c>
      <c r="I8391">
        <v>2000</v>
      </c>
      <c r="J8391">
        <v>0</v>
      </c>
    </row>
    <row r="8392" spans="1:10" x14ac:dyDescent="0.3">
      <c r="A8392" s="15">
        <v>46204</v>
      </c>
      <c r="B8392" t="s">
        <v>318</v>
      </c>
      <c r="C8392" t="s">
        <v>110</v>
      </c>
      <c r="D8392" t="s">
        <v>82</v>
      </c>
      <c r="E8392" t="s">
        <v>97</v>
      </c>
      <c r="F8392">
        <v>29600</v>
      </c>
      <c r="G8392" t="s">
        <v>331</v>
      </c>
      <c r="H8392" s="15">
        <v>45292</v>
      </c>
      <c r="I8392">
        <v>29600</v>
      </c>
      <c r="J8392">
        <v>0</v>
      </c>
    </row>
    <row r="8393" spans="1:10" x14ac:dyDescent="0.3">
      <c r="A8393" s="15">
        <v>46204</v>
      </c>
      <c r="B8393" t="s">
        <v>320</v>
      </c>
      <c r="C8393" t="s">
        <v>91</v>
      </c>
      <c r="D8393" t="s">
        <v>86</v>
      </c>
      <c r="E8393" t="s">
        <v>97</v>
      </c>
      <c r="F8393">
        <v>7700</v>
      </c>
      <c r="G8393" t="s">
        <v>331</v>
      </c>
      <c r="H8393" s="15">
        <v>45292</v>
      </c>
      <c r="I8393">
        <v>7700</v>
      </c>
      <c r="J8393">
        <v>0</v>
      </c>
    </row>
    <row r="8394" spans="1:10" x14ac:dyDescent="0.3">
      <c r="A8394" s="15">
        <v>46204</v>
      </c>
      <c r="B8394" t="s">
        <v>321</v>
      </c>
      <c r="C8394" t="s">
        <v>81</v>
      </c>
      <c r="D8394" t="s">
        <v>99</v>
      </c>
      <c r="E8394" t="s">
        <v>101</v>
      </c>
      <c r="F8394">
        <v>0</v>
      </c>
      <c r="G8394" t="s">
        <v>333</v>
      </c>
      <c r="H8394" s="15">
        <v>45292</v>
      </c>
      <c r="I8394">
        <v>3500</v>
      </c>
      <c r="J8394">
        <v>-3500</v>
      </c>
    </row>
    <row r="8395" spans="1:10" x14ac:dyDescent="0.3">
      <c r="A8395" s="15">
        <v>46204</v>
      </c>
      <c r="B8395" t="s">
        <v>322</v>
      </c>
      <c r="C8395" t="s">
        <v>81</v>
      </c>
      <c r="D8395" t="s">
        <v>82</v>
      </c>
      <c r="E8395" t="s">
        <v>103</v>
      </c>
      <c r="F8395">
        <v>2000</v>
      </c>
      <c r="G8395" t="s">
        <v>331</v>
      </c>
      <c r="H8395" s="15">
        <v>45292</v>
      </c>
      <c r="I8395">
        <v>2000</v>
      </c>
      <c r="J8395">
        <v>0</v>
      </c>
    </row>
    <row r="8396" spans="1:10" x14ac:dyDescent="0.3">
      <c r="A8396" s="15">
        <v>46204</v>
      </c>
      <c r="B8396" t="s">
        <v>323</v>
      </c>
      <c r="C8396" t="s">
        <v>110</v>
      </c>
      <c r="D8396" t="s">
        <v>82</v>
      </c>
      <c r="E8396" t="s">
        <v>89</v>
      </c>
      <c r="F8396">
        <v>19600</v>
      </c>
      <c r="G8396" t="s">
        <v>331</v>
      </c>
      <c r="H8396" s="15">
        <v>45292</v>
      </c>
      <c r="I8396">
        <v>19600</v>
      </c>
      <c r="J8396">
        <v>0</v>
      </c>
    </row>
    <row r="8397" spans="1:10" x14ac:dyDescent="0.3">
      <c r="A8397" s="15">
        <v>46204</v>
      </c>
      <c r="B8397" t="s">
        <v>324</v>
      </c>
      <c r="C8397" t="s">
        <v>81</v>
      </c>
      <c r="D8397" t="s">
        <v>86</v>
      </c>
      <c r="E8397" t="s">
        <v>87</v>
      </c>
      <c r="F8397">
        <v>2400</v>
      </c>
      <c r="G8397" t="s">
        <v>331</v>
      </c>
      <c r="H8397" s="15">
        <v>45292</v>
      </c>
      <c r="I8397">
        <v>2400</v>
      </c>
      <c r="J8397">
        <v>0</v>
      </c>
    </row>
    <row r="8398" spans="1:10" x14ac:dyDescent="0.3">
      <c r="A8398" s="15">
        <v>46204</v>
      </c>
      <c r="B8398" t="s">
        <v>325</v>
      </c>
      <c r="C8398" t="s">
        <v>91</v>
      </c>
      <c r="D8398" t="s">
        <v>86</v>
      </c>
      <c r="E8398" t="s">
        <v>87</v>
      </c>
      <c r="F8398">
        <v>9400</v>
      </c>
      <c r="G8398" t="s">
        <v>331</v>
      </c>
      <c r="H8398" s="15">
        <v>45292</v>
      </c>
      <c r="I8398">
        <v>9400</v>
      </c>
      <c r="J8398">
        <v>0</v>
      </c>
    </row>
    <row r="8399" spans="1:10" x14ac:dyDescent="0.3">
      <c r="A8399" s="15">
        <v>46204</v>
      </c>
      <c r="B8399" t="s">
        <v>327</v>
      </c>
      <c r="C8399" t="s">
        <v>125</v>
      </c>
      <c r="D8399" t="s">
        <v>99</v>
      </c>
      <c r="E8399" t="s">
        <v>97</v>
      </c>
      <c r="F8399">
        <v>77500</v>
      </c>
      <c r="G8399" t="s">
        <v>331</v>
      </c>
      <c r="H8399" s="15">
        <v>45292</v>
      </c>
      <c r="I8399">
        <v>77500</v>
      </c>
      <c r="J8399">
        <v>0</v>
      </c>
    </row>
    <row r="8400" spans="1:10" x14ac:dyDescent="0.3">
      <c r="A8400" s="15">
        <v>46204</v>
      </c>
      <c r="B8400" t="s">
        <v>329</v>
      </c>
      <c r="C8400" t="s">
        <v>81</v>
      </c>
      <c r="D8400" t="s">
        <v>86</v>
      </c>
      <c r="E8400" t="s">
        <v>101</v>
      </c>
      <c r="F8400">
        <v>2200</v>
      </c>
      <c r="G8400" t="s">
        <v>331</v>
      </c>
      <c r="H8400" s="15">
        <v>45292</v>
      </c>
      <c r="I8400">
        <v>2200</v>
      </c>
      <c r="J8400">
        <v>0</v>
      </c>
    </row>
    <row r="8401" spans="1:10" x14ac:dyDescent="0.3">
      <c r="A8401" s="15">
        <v>46204</v>
      </c>
      <c r="B8401" t="s">
        <v>330</v>
      </c>
      <c r="C8401" t="s">
        <v>125</v>
      </c>
      <c r="D8401" t="s">
        <v>86</v>
      </c>
      <c r="E8401" t="s">
        <v>87</v>
      </c>
      <c r="F8401">
        <v>105400</v>
      </c>
      <c r="G8401" t="s">
        <v>331</v>
      </c>
      <c r="H8401" s="15">
        <v>45292</v>
      </c>
      <c r="I8401">
        <v>105400</v>
      </c>
      <c r="J8401">
        <v>0</v>
      </c>
    </row>
    <row r="8402" spans="1:10" x14ac:dyDescent="0.3">
      <c r="A8402" s="15">
        <v>46204</v>
      </c>
      <c r="B8402" t="s">
        <v>335</v>
      </c>
      <c r="C8402" t="s">
        <v>91</v>
      </c>
      <c r="D8402" t="s">
        <v>86</v>
      </c>
      <c r="E8402" t="s">
        <v>89</v>
      </c>
      <c r="F8402">
        <v>6500</v>
      </c>
      <c r="G8402" t="s">
        <v>331</v>
      </c>
      <c r="H8402" s="15">
        <v>45323</v>
      </c>
      <c r="I8402">
        <v>6500</v>
      </c>
      <c r="J8402">
        <v>0</v>
      </c>
    </row>
    <row r="8403" spans="1:10" x14ac:dyDescent="0.3">
      <c r="A8403" s="15">
        <v>46204</v>
      </c>
      <c r="B8403" t="s">
        <v>336</v>
      </c>
      <c r="C8403" t="s">
        <v>81</v>
      </c>
      <c r="D8403" t="s">
        <v>82</v>
      </c>
      <c r="E8403" t="s">
        <v>103</v>
      </c>
      <c r="F8403">
        <v>1400</v>
      </c>
      <c r="G8403" t="s">
        <v>331</v>
      </c>
      <c r="H8403" s="15">
        <v>45323</v>
      </c>
      <c r="I8403">
        <v>1400</v>
      </c>
      <c r="J8403">
        <v>0</v>
      </c>
    </row>
    <row r="8404" spans="1:10" x14ac:dyDescent="0.3">
      <c r="A8404" s="15">
        <v>46204</v>
      </c>
      <c r="B8404" t="s">
        <v>339</v>
      </c>
      <c r="C8404" t="s">
        <v>81</v>
      </c>
      <c r="D8404" t="s">
        <v>82</v>
      </c>
      <c r="E8404" t="s">
        <v>103</v>
      </c>
      <c r="F8404">
        <v>1400</v>
      </c>
      <c r="G8404" t="s">
        <v>331</v>
      </c>
      <c r="H8404" s="15">
        <v>45323</v>
      </c>
      <c r="I8404">
        <v>1400</v>
      </c>
      <c r="J8404">
        <v>0</v>
      </c>
    </row>
    <row r="8405" spans="1:10" x14ac:dyDescent="0.3">
      <c r="A8405" s="15">
        <v>46204</v>
      </c>
      <c r="B8405" t="s">
        <v>341</v>
      </c>
      <c r="C8405" t="s">
        <v>110</v>
      </c>
      <c r="D8405" t="s">
        <v>82</v>
      </c>
      <c r="E8405" t="s">
        <v>92</v>
      </c>
      <c r="F8405">
        <v>18800</v>
      </c>
      <c r="G8405" t="s">
        <v>331</v>
      </c>
      <c r="H8405" s="15">
        <v>45323</v>
      </c>
      <c r="I8405">
        <v>18800</v>
      </c>
      <c r="J8405">
        <v>0</v>
      </c>
    </row>
    <row r="8406" spans="1:10" x14ac:dyDescent="0.3">
      <c r="A8406" s="15">
        <v>46204</v>
      </c>
      <c r="B8406" t="s">
        <v>342</v>
      </c>
      <c r="C8406" t="s">
        <v>91</v>
      </c>
      <c r="D8406" t="s">
        <v>82</v>
      </c>
      <c r="E8406" t="s">
        <v>83</v>
      </c>
      <c r="F8406">
        <v>7300</v>
      </c>
      <c r="G8406" t="s">
        <v>331</v>
      </c>
      <c r="H8406" s="15">
        <v>45352</v>
      </c>
      <c r="I8406">
        <v>7300</v>
      </c>
      <c r="J8406">
        <v>0</v>
      </c>
    </row>
    <row r="8407" spans="1:10" x14ac:dyDescent="0.3">
      <c r="A8407" s="15">
        <v>46204</v>
      </c>
      <c r="B8407" t="s">
        <v>343</v>
      </c>
      <c r="C8407" t="s">
        <v>81</v>
      </c>
      <c r="D8407" t="s">
        <v>82</v>
      </c>
      <c r="E8407" t="s">
        <v>89</v>
      </c>
      <c r="F8407">
        <v>2500</v>
      </c>
      <c r="G8407" t="s">
        <v>331</v>
      </c>
      <c r="H8407" s="15">
        <v>45352</v>
      </c>
      <c r="I8407">
        <v>2500</v>
      </c>
      <c r="J8407">
        <v>0</v>
      </c>
    </row>
    <row r="8408" spans="1:10" x14ac:dyDescent="0.3">
      <c r="A8408" s="15">
        <v>46204</v>
      </c>
      <c r="B8408" t="s">
        <v>344</v>
      </c>
      <c r="C8408" t="s">
        <v>110</v>
      </c>
      <c r="D8408" t="s">
        <v>86</v>
      </c>
      <c r="E8408" t="s">
        <v>89</v>
      </c>
      <c r="F8408">
        <v>25800</v>
      </c>
      <c r="G8408" t="s">
        <v>331</v>
      </c>
      <c r="H8408" s="15">
        <v>45352</v>
      </c>
      <c r="I8408">
        <v>25800</v>
      </c>
      <c r="J8408">
        <v>0</v>
      </c>
    </row>
    <row r="8409" spans="1:10" x14ac:dyDescent="0.3">
      <c r="A8409" s="15">
        <v>46204</v>
      </c>
      <c r="B8409" t="s">
        <v>345</v>
      </c>
      <c r="C8409" t="s">
        <v>91</v>
      </c>
      <c r="D8409" t="s">
        <v>86</v>
      </c>
      <c r="E8409" t="s">
        <v>83</v>
      </c>
      <c r="F8409">
        <v>7900</v>
      </c>
      <c r="G8409" t="s">
        <v>331</v>
      </c>
      <c r="H8409" s="15">
        <v>45352</v>
      </c>
      <c r="I8409">
        <v>7900</v>
      </c>
      <c r="J8409">
        <v>0</v>
      </c>
    </row>
    <row r="8410" spans="1:10" x14ac:dyDescent="0.3">
      <c r="A8410" s="15">
        <v>46204</v>
      </c>
      <c r="B8410" t="s">
        <v>346</v>
      </c>
      <c r="C8410" t="s">
        <v>81</v>
      </c>
      <c r="D8410" t="s">
        <v>86</v>
      </c>
      <c r="E8410" t="s">
        <v>97</v>
      </c>
      <c r="F8410">
        <v>1700</v>
      </c>
      <c r="G8410" t="s">
        <v>331</v>
      </c>
      <c r="H8410" s="15">
        <v>45352</v>
      </c>
      <c r="I8410">
        <v>1700</v>
      </c>
      <c r="J8410">
        <v>0</v>
      </c>
    </row>
    <row r="8411" spans="1:10" x14ac:dyDescent="0.3">
      <c r="A8411" s="15">
        <v>46204</v>
      </c>
      <c r="B8411" t="s">
        <v>347</v>
      </c>
      <c r="C8411" t="s">
        <v>91</v>
      </c>
      <c r="D8411" t="s">
        <v>82</v>
      </c>
      <c r="E8411" t="s">
        <v>83</v>
      </c>
      <c r="F8411">
        <v>4700</v>
      </c>
      <c r="G8411" t="s">
        <v>331</v>
      </c>
      <c r="H8411" s="15">
        <v>45383</v>
      </c>
      <c r="I8411">
        <v>4700</v>
      </c>
      <c r="J8411">
        <v>0</v>
      </c>
    </row>
    <row r="8412" spans="1:10" x14ac:dyDescent="0.3">
      <c r="A8412" s="15">
        <v>46204</v>
      </c>
      <c r="B8412" t="s">
        <v>350</v>
      </c>
      <c r="C8412" t="s">
        <v>91</v>
      </c>
      <c r="D8412" t="s">
        <v>82</v>
      </c>
      <c r="E8412" t="s">
        <v>83</v>
      </c>
      <c r="F8412">
        <v>4400</v>
      </c>
      <c r="G8412" t="s">
        <v>331</v>
      </c>
      <c r="H8412" s="15">
        <v>45383</v>
      </c>
      <c r="I8412">
        <v>4400</v>
      </c>
      <c r="J8412">
        <v>0</v>
      </c>
    </row>
    <row r="8413" spans="1:10" x14ac:dyDescent="0.3">
      <c r="A8413" s="15">
        <v>46204</v>
      </c>
      <c r="B8413" t="s">
        <v>351</v>
      </c>
      <c r="C8413" t="s">
        <v>81</v>
      </c>
      <c r="D8413" t="s">
        <v>86</v>
      </c>
      <c r="E8413" t="s">
        <v>83</v>
      </c>
      <c r="F8413">
        <v>2700</v>
      </c>
      <c r="G8413" t="s">
        <v>331</v>
      </c>
      <c r="H8413" s="15">
        <v>45383</v>
      </c>
      <c r="I8413">
        <v>2700</v>
      </c>
      <c r="J8413">
        <v>0</v>
      </c>
    </row>
    <row r="8414" spans="1:10" x14ac:dyDescent="0.3">
      <c r="A8414" s="15">
        <v>46204</v>
      </c>
      <c r="B8414" t="s">
        <v>352</v>
      </c>
      <c r="C8414" t="s">
        <v>91</v>
      </c>
      <c r="D8414" t="s">
        <v>82</v>
      </c>
      <c r="E8414" t="s">
        <v>89</v>
      </c>
      <c r="F8414">
        <v>8800</v>
      </c>
      <c r="G8414" t="s">
        <v>331</v>
      </c>
      <c r="H8414" s="15">
        <v>45383</v>
      </c>
      <c r="I8414">
        <v>8800</v>
      </c>
      <c r="J8414">
        <v>0</v>
      </c>
    </row>
    <row r="8415" spans="1:10" x14ac:dyDescent="0.3">
      <c r="A8415" s="15">
        <v>46204</v>
      </c>
      <c r="B8415" t="s">
        <v>353</v>
      </c>
      <c r="C8415" t="s">
        <v>81</v>
      </c>
      <c r="D8415" t="s">
        <v>99</v>
      </c>
      <c r="E8415" t="s">
        <v>103</v>
      </c>
      <c r="F8415">
        <v>1200</v>
      </c>
      <c r="G8415" t="s">
        <v>331</v>
      </c>
      <c r="H8415" s="15">
        <v>45383</v>
      </c>
      <c r="I8415">
        <v>1200</v>
      </c>
      <c r="J8415">
        <v>0</v>
      </c>
    </row>
    <row r="8416" spans="1:10" x14ac:dyDescent="0.3">
      <c r="A8416" s="15">
        <v>46204</v>
      </c>
      <c r="B8416" t="s">
        <v>354</v>
      </c>
      <c r="C8416" t="s">
        <v>81</v>
      </c>
      <c r="D8416" t="s">
        <v>82</v>
      </c>
      <c r="E8416" t="s">
        <v>92</v>
      </c>
      <c r="F8416">
        <v>1700</v>
      </c>
      <c r="G8416" t="s">
        <v>331</v>
      </c>
      <c r="H8416" s="15">
        <v>45413</v>
      </c>
      <c r="I8416">
        <v>1700</v>
      </c>
      <c r="J8416">
        <v>0</v>
      </c>
    </row>
    <row r="8417" spans="1:10" x14ac:dyDescent="0.3">
      <c r="A8417" s="15">
        <v>46204</v>
      </c>
      <c r="B8417" t="s">
        <v>355</v>
      </c>
      <c r="C8417" t="s">
        <v>81</v>
      </c>
      <c r="D8417" t="s">
        <v>86</v>
      </c>
      <c r="E8417" t="s">
        <v>97</v>
      </c>
      <c r="F8417">
        <v>2000</v>
      </c>
      <c r="G8417" t="s">
        <v>331</v>
      </c>
      <c r="H8417" s="15">
        <v>45413</v>
      </c>
      <c r="I8417">
        <v>2000</v>
      </c>
      <c r="J8417">
        <v>0</v>
      </c>
    </row>
    <row r="8418" spans="1:10" x14ac:dyDescent="0.3">
      <c r="A8418" s="15">
        <v>46204</v>
      </c>
      <c r="B8418" t="s">
        <v>356</v>
      </c>
      <c r="C8418" t="s">
        <v>110</v>
      </c>
      <c r="D8418" t="s">
        <v>82</v>
      </c>
      <c r="E8418" t="s">
        <v>97</v>
      </c>
      <c r="F8418">
        <v>33000</v>
      </c>
      <c r="G8418" t="s">
        <v>331</v>
      </c>
      <c r="H8418" s="15">
        <v>45413</v>
      </c>
      <c r="I8418">
        <v>33000</v>
      </c>
      <c r="J8418">
        <v>0</v>
      </c>
    </row>
    <row r="8419" spans="1:10" x14ac:dyDescent="0.3">
      <c r="A8419" s="15">
        <v>46204</v>
      </c>
      <c r="B8419" t="s">
        <v>359</v>
      </c>
      <c r="C8419" t="s">
        <v>110</v>
      </c>
      <c r="D8419" t="s">
        <v>86</v>
      </c>
      <c r="E8419" t="s">
        <v>101</v>
      </c>
      <c r="F8419">
        <v>28900</v>
      </c>
      <c r="G8419" t="s">
        <v>331</v>
      </c>
      <c r="H8419" s="15">
        <v>45413</v>
      </c>
      <c r="I8419">
        <v>28900</v>
      </c>
      <c r="J8419">
        <v>0</v>
      </c>
    </row>
    <row r="8420" spans="1:10" x14ac:dyDescent="0.3">
      <c r="A8420" s="15">
        <v>46204</v>
      </c>
      <c r="B8420" t="s">
        <v>361</v>
      </c>
      <c r="C8420" t="s">
        <v>91</v>
      </c>
      <c r="D8420" t="s">
        <v>86</v>
      </c>
      <c r="E8420" t="s">
        <v>83</v>
      </c>
      <c r="F8420">
        <v>5700</v>
      </c>
      <c r="G8420" t="s">
        <v>331</v>
      </c>
      <c r="H8420" s="15">
        <v>45444</v>
      </c>
      <c r="I8420">
        <v>5700</v>
      </c>
      <c r="J8420">
        <v>0</v>
      </c>
    </row>
    <row r="8421" spans="1:10" x14ac:dyDescent="0.3">
      <c r="A8421" s="15">
        <v>46204</v>
      </c>
      <c r="B8421" t="s">
        <v>362</v>
      </c>
      <c r="C8421" t="s">
        <v>91</v>
      </c>
      <c r="D8421" t="s">
        <v>82</v>
      </c>
      <c r="E8421" t="s">
        <v>101</v>
      </c>
      <c r="F8421">
        <v>5700</v>
      </c>
      <c r="G8421" t="s">
        <v>331</v>
      </c>
      <c r="H8421" s="15">
        <v>45444</v>
      </c>
      <c r="I8421">
        <v>5700</v>
      </c>
      <c r="J8421">
        <v>0</v>
      </c>
    </row>
    <row r="8422" spans="1:10" x14ac:dyDescent="0.3">
      <c r="A8422" s="15">
        <v>46204</v>
      </c>
      <c r="B8422" t="s">
        <v>363</v>
      </c>
      <c r="C8422" t="s">
        <v>91</v>
      </c>
      <c r="D8422" t="s">
        <v>86</v>
      </c>
      <c r="E8422" t="s">
        <v>83</v>
      </c>
      <c r="F8422">
        <v>4400</v>
      </c>
      <c r="G8422" t="s">
        <v>331</v>
      </c>
      <c r="H8422" s="15">
        <v>45444</v>
      </c>
      <c r="I8422">
        <v>4400</v>
      </c>
      <c r="J8422">
        <v>0</v>
      </c>
    </row>
    <row r="8423" spans="1:10" x14ac:dyDescent="0.3">
      <c r="A8423" s="15">
        <v>46204</v>
      </c>
      <c r="B8423" t="s">
        <v>364</v>
      </c>
      <c r="C8423" t="s">
        <v>91</v>
      </c>
      <c r="D8423" t="s">
        <v>82</v>
      </c>
      <c r="E8423" t="s">
        <v>101</v>
      </c>
      <c r="F8423">
        <v>7600</v>
      </c>
      <c r="G8423" t="s">
        <v>331</v>
      </c>
      <c r="H8423" s="15">
        <v>45444</v>
      </c>
      <c r="I8423">
        <v>7600</v>
      </c>
      <c r="J8423">
        <v>0</v>
      </c>
    </row>
    <row r="8424" spans="1:10" x14ac:dyDescent="0.3">
      <c r="A8424" s="15">
        <v>46204</v>
      </c>
      <c r="B8424" t="s">
        <v>366</v>
      </c>
      <c r="C8424" t="s">
        <v>81</v>
      </c>
      <c r="D8424" t="s">
        <v>99</v>
      </c>
      <c r="E8424" t="s">
        <v>92</v>
      </c>
      <c r="F8424">
        <v>1600</v>
      </c>
      <c r="G8424" t="s">
        <v>331</v>
      </c>
      <c r="H8424" s="15">
        <v>45474</v>
      </c>
      <c r="I8424">
        <v>1600</v>
      </c>
      <c r="J8424">
        <v>0</v>
      </c>
    </row>
    <row r="8425" spans="1:10" x14ac:dyDescent="0.3">
      <c r="A8425" s="15">
        <v>46204</v>
      </c>
      <c r="B8425" t="s">
        <v>368</v>
      </c>
      <c r="C8425" t="s">
        <v>81</v>
      </c>
      <c r="D8425" t="s">
        <v>86</v>
      </c>
      <c r="E8425" t="s">
        <v>89</v>
      </c>
      <c r="F8425">
        <v>1200</v>
      </c>
      <c r="G8425" t="s">
        <v>331</v>
      </c>
      <c r="H8425" s="15">
        <v>45474</v>
      </c>
      <c r="I8425">
        <v>1200</v>
      </c>
      <c r="J8425">
        <v>0</v>
      </c>
    </row>
    <row r="8426" spans="1:10" x14ac:dyDescent="0.3">
      <c r="A8426" s="15">
        <v>46204</v>
      </c>
      <c r="B8426" t="s">
        <v>369</v>
      </c>
      <c r="C8426" t="s">
        <v>81</v>
      </c>
      <c r="D8426" t="s">
        <v>86</v>
      </c>
      <c r="E8426" t="s">
        <v>83</v>
      </c>
      <c r="F8426">
        <v>2300</v>
      </c>
      <c r="G8426" t="s">
        <v>331</v>
      </c>
      <c r="H8426" s="15">
        <v>45474</v>
      </c>
      <c r="I8426">
        <v>2300</v>
      </c>
      <c r="J8426">
        <v>0</v>
      </c>
    </row>
    <row r="8427" spans="1:10" x14ac:dyDescent="0.3">
      <c r="A8427" s="15">
        <v>46204</v>
      </c>
      <c r="B8427" t="s">
        <v>370</v>
      </c>
      <c r="C8427" t="s">
        <v>81</v>
      </c>
      <c r="D8427" t="s">
        <v>99</v>
      </c>
      <c r="E8427" t="s">
        <v>87</v>
      </c>
      <c r="F8427">
        <v>2300</v>
      </c>
      <c r="G8427" t="s">
        <v>331</v>
      </c>
      <c r="H8427" s="15">
        <v>45474</v>
      </c>
      <c r="I8427">
        <v>2300</v>
      </c>
      <c r="J8427">
        <v>0</v>
      </c>
    </row>
    <row r="8428" spans="1:10" x14ac:dyDescent="0.3">
      <c r="A8428" s="15">
        <v>46204</v>
      </c>
      <c r="B8428" t="s">
        <v>376</v>
      </c>
      <c r="C8428" t="s">
        <v>110</v>
      </c>
      <c r="D8428" t="s">
        <v>86</v>
      </c>
      <c r="E8428" t="s">
        <v>103</v>
      </c>
      <c r="F8428">
        <v>22900</v>
      </c>
      <c r="G8428" t="s">
        <v>331</v>
      </c>
      <c r="H8428" s="15">
        <v>45505</v>
      </c>
      <c r="I8428">
        <v>22900</v>
      </c>
      <c r="J8428">
        <v>0</v>
      </c>
    </row>
    <row r="8429" spans="1:10" x14ac:dyDescent="0.3">
      <c r="A8429" s="15">
        <v>46204</v>
      </c>
      <c r="B8429" t="s">
        <v>377</v>
      </c>
      <c r="C8429" t="s">
        <v>81</v>
      </c>
      <c r="D8429" t="s">
        <v>99</v>
      </c>
      <c r="E8429" t="s">
        <v>92</v>
      </c>
      <c r="F8429">
        <v>2300</v>
      </c>
      <c r="G8429" t="s">
        <v>331</v>
      </c>
      <c r="H8429" s="15">
        <v>45536</v>
      </c>
      <c r="I8429">
        <v>2300</v>
      </c>
      <c r="J8429">
        <v>0</v>
      </c>
    </row>
    <row r="8430" spans="1:10" x14ac:dyDescent="0.3">
      <c r="A8430" s="15">
        <v>46204</v>
      </c>
      <c r="B8430" t="s">
        <v>379</v>
      </c>
      <c r="C8430" t="s">
        <v>81</v>
      </c>
      <c r="D8430" t="s">
        <v>99</v>
      </c>
      <c r="E8430" t="s">
        <v>101</v>
      </c>
      <c r="F8430">
        <v>2200</v>
      </c>
      <c r="G8430" t="s">
        <v>331</v>
      </c>
      <c r="H8430" s="15">
        <v>45536</v>
      </c>
      <c r="I8430">
        <v>2200</v>
      </c>
      <c r="J8430">
        <v>0</v>
      </c>
    </row>
    <row r="8431" spans="1:10" x14ac:dyDescent="0.3">
      <c r="A8431" s="15">
        <v>46204</v>
      </c>
      <c r="B8431" t="s">
        <v>381</v>
      </c>
      <c r="C8431" t="s">
        <v>91</v>
      </c>
      <c r="D8431" t="s">
        <v>86</v>
      </c>
      <c r="E8431" t="s">
        <v>92</v>
      </c>
      <c r="F8431">
        <v>4600</v>
      </c>
      <c r="G8431" t="s">
        <v>331</v>
      </c>
      <c r="H8431" s="15">
        <v>45536</v>
      </c>
      <c r="I8431">
        <v>4600</v>
      </c>
      <c r="J8431">
        <v>0</v>
      </c>
    </row>
    <row r="8432" spans="1:10" x14ac:dyDescent="0.3">
      <c r="A8432" s="15">
        <v>46204</v>
      </c>
      <c r="B8432" t="s">
        <v>382</v>
      </c>
      <c r="C8432" t="s">
        <v>81</v>
      </c>
      <c r="D8432" t="s">
        <v>96</v>
      </c>
      <c r="E8432" t="s">
        <v>101</v>
      </c>
      <c r="F8432">
        <v>2100</v>
      </c>
      <c r="G8432" t="s">
        <v>331</v>
      </c>
      <c r="H8432" s="15">
        <v>45536</v>
      </c>
      <c r="I8432">
        <v>2100</v>
      </c>
      <c r="J8432">
        <v>0</v>
      </c>
    </row>
    <row r="8433" spans="1:10" x14ac:dyDescent="0.3">
      <c r="A8433" s="15">
        <v>46204</v>
      </c>
      <c r="B8433" t="s">
        <v>383</v>
      </c>
      <c r="C8433" t="s">
        <v>81</v>
      </c>
      <c r="D8433" t="s">
        <v>82</v>
      </c>
      <c r="E8433" t="s">
        <v>87</v>
      </c>
      <c r="F8433">
        <v>1600</v>
      </c>
      <c r="G8433" t="s">
        <v>331</v>
      </c>
      <c r="H8433" s="15">
        <v>45536</v>
      </c>
      <c r="I8433">
        <v>1600</v>
      </c>
      <c r="J8433">
        <v>0</v>
      </c>
    </row>
    <row r="8434" spans="1:10" x14ac:dyDescent="0.3">
      <c r="A8434" s="15">
        <v>46204</v>
      </c>
      <c r="B8434" t="s">
        <v>385</v>
      </c>
      <c r="C8434" t="s">
        <v>91</v>
      </c>
      <c r="D8434" t="s">
        <v>99</v>
      </c>
      <c r="E8434" t="s">
        <v>83</v>
      </c>
      <c r="F8434">
        <v>8300</v>
      </c>
      <c r="G8434" t="s">
        <v>331</v>
      </c>
      <c r="H8434" s="15">
        <v>45566</v>
      </c>
      <c r="I8434">
        <v>8300</v>
      </c>
      <c r="J8434">
        <v>0</v>
      </c>
    </row>
    <row r="8435" spans="1:10" x14ac:dyDescent="0.3">
      <c r="A8435" s="15">
        <v>46204</v>
      </c>
      <c r="B8435" t="s">
        <v>386</v>
      </c>
      <c r="C8435" t="s">
        <v>81</v>
      </c>
      <c r="D8435" t="s">
        <v>82</v>
      </c>
      <c r="E8435" t="s">
        <v>103</v>
      </c>
      <c r="F8435">
        <v>2200</v>
      </c>
      <c r="G8435" t="s">
        <v>331</v>
      </c>
      <c r="H8435" s="15">
        <v>45566</v>
      </c>
      <c r="I8435">
        <v>2200</v>
      </c>
      <c r="J8435">
        <v>0</v>
      </c>
    </row>
    <row r="8436" spans="1:10" x14ac:dyDescent="0.3">
      <c r="A8436" s="15">
        <v>46204</v>
      </c>
      <c r="B8436" t="s">
        <v>387</v>
      </c>
      <c r="C8436" t="s">
        <v>81</v>
      </c>
      <c r="D8436" t="s">
        <v>86</v>
      </c>
      <c r="E8436" t="s">
        <v>92</v>
      </c>
      <c r="F8436">
        <v>1500</v>
      </c>
      <c r="G8436" t="s">
        <v>331</v>
      </c>
      <c r="H8436" s="15">
        <v>45566</v>
      </c>
      <c r="I8436">
        <v>1500</v>
      </c>
      <c r="J8436">
        <v>0</v>
      </c>
    </row>
    <row r="8437" spans="1:10" x14ac:dyDescent="0.3">
      <c r="A8437" s="15">
        <v>46204</v>
      </c>
      <c r="B8437" t="s">
        <v>388</v>
      </c>
      <c r="C8437" t="s">
        <v>81</v>
      </c>
      <c r="D8437" t="s">
        <v>99</v>
      </c>
      <c r="E8437" t="s">
        <v>103</v>
      </c>
      <c r="F8437">
        <v>1800</v>
      </c>
      <c r="G8437" t="s">
        <v>331</v>
      </c>
      <c r="H8437" s="15">
        <v>45566</v>
      </c>
      <c r="I8437">
        <v>1800</v>
      </c>
      <c r="J8437">
        <v>0</v>
      </c>
    </row>
    <row r="8438" spans="1:10" x14ac:dyDescent="0.3">
      <c r="A8438" s="15">
        <v>46204</v>
      </c>
      <c r="B8438" t="s">
        <v>390</v>
      </c>
      <c r="C8438" t="s">
        <v>91</v>
      </c>
      <c r="D8438" t="s">
        <v>82</v>
      </c>
      <c r="E8438" t="s">
        <v>89</v>
      </c>
      <c r="F8438">
        <v>6200</v>
      </c>
      <c r="G8438" t="s">
        <v>331</v>
      </c>
      <c r="H8438" s="15">
        <v>45566</v>
      </c>
      <c r="I8438">
        <v>6200</v>
      </c>
      <c r="J8438">
        <v>0</v>
      </c>
    </row>
    <row r="8439" spans="1:10" x14ac:dyDescent="0.3">
      <c r="A8439" s="15">
        <v>46204</v>
      </c>
      <c r="B8439" t="s">
        <v>392</v>
      </c>
      <c r="C8439" t="s">
        <v>91</v>
      </c>
      <c r="D8439" t="s">
        <v>86</v>
      </c>
      <c r="E8439" t="s">
        <v>97</v>
      </c>
      <c r="F8439">
        <v>10000</v>
      </c>
      <c r="G8439" t="s">
        <v>331</v>
      </c>
      <c r="H8439" s="15">
        <v>45597</v>
      </c>
      <c r="I8439">
        <v>10000</v>
      </c>
      <c r="J8439">
        <v>0</v>
      </c>
    </row>
    <row r="8440" spans="1:10" x14ac:dyDescent="0.3">
      <c r="A8440" s="15">
        <v>46204</v>
      </c>
      <c r="B8440" t="s">
        <v>393</v>
      </c>
      <c r="C8440" t="s">
        <v>81</v>
      </c>
      <c r="D8440" t="s">
        <v>82</v>
      </c>
      <c r="E8440" t="s">
        <v>92</v>
      </c>
      <c r="F8440">
        <v>2100</v>
      </c>
      <c r="G8440" t="s">
        <v>331</v>
      </c>
      <c r="H8440" s="15">
        <v>45597</v>
      </c>
      <c r="I8440">
        <v>2100</v>
      </c>
      <c r="J8440">
        <v>0</v>
      </c>
    </row>
    <row r="8441" spans="1:10" x14ac:dyDescent="0.3">
      <c r="A8441" s="15">
        <v>46204</v>
      </c>
      <c r="B8441" t="s">
        <v>394</v>
      </c>
      <c r="C8441" t="s">
        <v>81</v>
      </c>
      <c r="D8441" t="s">
        <v>99</v>
      </c>
      <c r="E8441" t="s">
        <v>87</v>
      </c>
      <c r="F8441">
        <v>1500</v>
      </c>
      <c r="G8441" t="s">
        <v>331</v>
      </c>
      <c r="H8441" s="15">
        <v>45597</v>
      </c>
      <c r="I8441">
        <v>1500</v>
      </c>
      <c r="J8441">
        <v>0</v>
      </c>
    </row>
    <row r="8442" spans="1:10" x14ac:dyDescent="0.3">
      <c r="A8442" s="15">
        <v>46204</v>
      </c>
      <c r="B8442" t="s">
        <v>395</v>
      </c>
      <c r="C8442" t="s">
        <v>81</v>
      </c>
      <c r="D8442" t="s">
        <v>82</v>
      </c>
      <c r="E8442" t="s">
        <v>97</v>
      </c>
      <c r="F8442">
        <v>2500</v>
      </c>
      <c r="G8442" t="s">
        <v>332</v>
      </c>
      <c r="H8442" s="15">
        <v>45627</v>
      </c>
      <c r="I8442">
        <v>2200</v>
      </c>
      <c r="J8442">
        <v>300</v>
      </c>
    </row>
    <row r="8443" spans="1:10" x14ac:dyDescent="0.3">
      <c r="A8443" s="15">
        <v>46204</v>
      </c>
      <c r="B8443" t="s">
        <v>398</v>
      </c>
      <c r="C8443" t="s">
        <v>81</v>
      </c>
      <c r="D8443" t="s">
        <v>86</v>
      </c>
      <c r="E8443" t="s">
        <v>92</v>
      </c>
      <c r="F8443">
        <v>1400</v>
      </c>
      <c r="G8443" t="s">
        <v>331</v>
      </c>
      <c r="H8443" s="15">
        <v>45627</v>
      </c>
      <c r="I8443">
        <v>1400</v>
      </c>
      <c r="J8443">
        <v>0</v>
      </c>
    </row>
    <row r="8444" spans="1:10" x14ac:dyDescent="0.3">
      <c r="A8444" s="15">
        <v>46204</v>
      </c>
      <c r="B8444" t="s">
        <v>399</v>
      </c>
      <c r="C8444" t="s">
        <v>110</v>
      </c>
      <c r="D8444" t="s">
        <v>82</v>
      </c>
      <c r="E8444" t="s">
        <v>101</v>
      </c>
      <c r="F8444">
        <v>17400</v>
      </c>
      <c r="G8444" t="s">
        <v>331</v>
      </c>
      <c r="H8444" s="15">
        <v>45627</v>
      </c>
      <c r="I8444">
        <v>17400</v>
      </c>
      <c r="J8444">
        <v>0</v>
      </c>
    </row>
    <row r="8445" spans="1:10" x14ac:dyDescent="0.3">
      <c r="A8445" s="15">
        <v>46204</v>
      </c>
      <c r="B8445" t="s">
        <v>400</v>
      </c>
      <c r="C8445" t="s">
        <v>91</v>
      </c>
      <c r="D8445" t="s">
        <v>82</v>
      </c>
      <c r="E8445" t="s">
        <v>103</v>
      </c>
      <c r="F8445">
        <v>4600</v>
      </c>
      <c r="G8445" t="s">
        <v>331</v>
      </c>
      <c r="H8445" s="15">
        <v>45627</v>
      </c>
      <c r="I8445">
        <v>4600</v>
      </c>
      <c r="J8445">
        <v>0</v>
      </c>
    </row>
    <row r="8446" spans="1:10" x14ac:dyDescent="0.3">
      <c r="A8446" s="15">
        <v>46204</v>
      </c>
      <c r="B8446" t="s">
        <v>403</v>
      </c>
      <c r="C8446" t="s">
        <v>81</v>
      </c>
      <c r="D8446" t="s">
        <v>82</v>
      </c>
      <c r="E8446" t="s">
        <v>101</v>
      </c>
      <c r="F8446">
        <v>1900</v>
      </c>
      <c r="G8446" t="s">
        <v>331</v>
      </c>
      <c r="H8446" s="15">
        <v>45658</v>
      </c>
      <c r="I8446">
        <v>1900</v>
      </c>
      <c r="J8446">
        <v>0</v>
      </c>
    </row>
    <row r="8447" spans="1:10" x14ac:dyDescent="0.3">
      <c r="A8447" s="15">
        <v>46204</v>
      </c>
      <c r="B8447" t="s">
        <v>404</v>
      </c>
      <c r="C8447" t="s">
        <v>81</v>
      </c>
      <c r="D8447" t="s">
        <v>86</v>
      </c>
      <c r="E8447" t="s">
        <v>83</v>
      </c>
      <c r="F8447">
        <v>2100</v>
      </c>
      <c r="G8447" t="s">
        <v>331</v>
      </c>
      <c r="H8447" s="15">
        <v>45658</v>
      </c>
      <c r="I8447">
        <v>2100</v>
      </c>
      <c r="J8447">
        <v>0</v>
      </c>
    </row>
    <row r="8448" spans="1:10" x14ac:dyDescent="0.3">
      <c r="A8448" s="15">
        <v>46204</v>
      </c>
      <c r="B8448" t="s">
        <v>405</v>
      </c>
      <c r="C8448" t="s">
        <v>81</v>
      </c>
      <c r="D8448" t="s">
        <v>82</v>
      </c>
      <c r="E8448" t="s">
        <v>92</v>
      </c>
      <c r="F8448">
        <v>1600</v>
      </c>
      <c r="G8448" t="s">
        <v>331</v>
      </c>
      <c r="H8448" s="15">
        <v>45658</v>
      </c>
      <c r="I8448">
        <v>1600</v>
      </c>
      <c r="J8448">
        <v>0</v>
      </c>
    </row>
    <row r="8449" spans="1:10" x14ac:dyDescent="0.3">
      <c r="A8449" s="15">
        <v>46204</v>
      </c>
      <c r="B8449" t="s">
        <v>407</v>
      </c>
      <c r="C8449" t="s">
        <v>81</v>
      </c>
      <c r="D8449" t="s">
        <v>82</v>
      </c>
      <c r="E8449" t="s">
        <v>92</v>
      </c>
      <c r="F8449">
        <v>2400</v>
      </c>
      <c r="G8449" t="s">
        <v>331</v>
      </c>
      <c r="H8449" s="15">
        <v>45689</v>
      </c>
      <c r="I8449">
        <v>2400</v>
      </c>
      <c r="J8449">
        <v>0</v>
      </c>
    </row>
    <row r="8450" spans="1:10" x14ac:dyDescent="0.3">
      <c r="A8450" s="15">
        <v>46204</v>
      </c>
      <c r="B8450" t="s">
        <v>409</v>
      </c>
      <c r="C8450" t="s">
        <v>81</v>
      </c>
      <c r="D8450" t="s">
        <v>82</v>
      </c>
      <c r="E8450" t="s">
        <v>83</v>
      </c>
      <c r="F8450">
        <v>1700</v>
      </c>
      <c r="G8450" t="s">
        <v>331</v>
      </c>
      <c r="H8450" s="15">
        <v>45689</v>
      </c>
      <c r="I8450">
        <v>1700</v>
      </c>
      <c r="J8450">
        <v>0</v>
      </c>
    </row>
    <row r="8451" spans="1:10" x14ac:dyDescent="0.3">
      <c r="A8451" s="15">
        <v>46204</v>
      </c>
      <c r="B8451" t="s">
        <v>410</v>
      </c>
      <c r="C8451" t="s">
        <v>125</v>
      </c>
      <c r="D8451" t="s">
        <v>82</v>
      </c>
      <c r="E8451" t="s">
        <v>103</v>
      </c>
      <c r="F8451">
        <v>56400</v>
      </c>
      <c r="G8451" t="s">
        <v>331</v>
      </c>
      <c r="H8451" s="15">
        <v>45689</v>
      </c>
      <c r="I8451">
        <v>56400</v>
      </c>
      <c r="J8451">
        <v>0</v>
      </c>
    </row>
    <row r="8452" spans="1:10" x14ac:dyDescent="0.3">
      <c r="A8452" s="15">
        <v>46204</v>
      </c>
      <c r="B8452" t="s">
        <v>411</v>
      </c>
      <c r="C8452" t="s">
        <v>91</v>
      </c>
      <c r="D8452" t="s">
        <v>86</v>
      </c>
      <c r="E8452" t="s">
        <v>92</v>
      </c>
      <c r="F8452">
        <v>7700</v>
      </c>
      <c r="G8452" t="s">
        <v>331</v>
      </c>
      <c r="H8452" s="15">
        <v>45689</v>
      </c>
      <c r="I8452">
        <v>7700</v>
      </c>
      <c r="J8452">
        <v>0</v>
      </c>
    </row>
    <row r="8453" spans="1:10" x14ac:dyDescent="0.3">
      <c r="A8453" s="15">
        <v>46204</v>
      </c>
      <c r="B8453" t="s">
        <v>413</v>
      </c>
      <c r="C8453" t="s">
        <v>81</v>
      </c>
      <c r="D8453" t="s">
        <v>99</v>
      </c>
      <c r="E8453" t="s">
        <v>101</v>
      </c>
      <c r="F8453">
        <v>2000</v>
      </c>
      <c r="G8453" t="s">
        <v>331</v>
      </c>
      <c r="H8453" s="15">
        <v>45717</v>
      </c>
      <c r="I8453">
        <v>2000</v>
      </c>
      <c r="J8453">
        <v>0</v>
      </c>
    </row>
    <row r="8454" spans="1:10" x14ac:dyDescent="0.3">
      <c r="A8454" s="15">
        <v>46204</v>
      </c>
      <c r="B8454" t="s">
        <v>414</v>
      </c>
      <c r="C8454" t="s">
        <v>110</v>
      </c>
      <c r="D8454" t="s">
        <v>99</v>
      </c>
      <c r="E8454" t="s">
        <v>89</v>
      </c>
      <c r="F8454">
        <v>30900</v>
      </c>
      <c r="G8454" t="s">
        <v>331</v>
      </c>
      <c r="H8454" s="15">
        <v>45717</v>
      </c>
      <c r="I8454">
        <v>30900</v>
      </c>
      <c r="J8454">
        <v>0</v>
      </c>
    </row>
    <row r="8455" spans="1:10" x14ac:dyDescent="0.3">
      <c r="A8455" s="15">
        <v>46204</v>
      </c>
      <c r="B8455" t="s">
        <v>417</v>
      </c>
      <c r="C8455" t="s">
        <v>110</v>
      </c>
      <c r="D8455" t="s">
        <v>86</v>
      </c>
      <c r="E8455" t="s">
        <v>92</v>
      </c>
      <c r="F8455">
        <v>35600</v>
      </c>
      <c r="G8455" t="s">
        <v>331</v>
      </c>
      <c r="H8455" s="15">
        <v>45717</v>
      </c>
      <c r="I8455">
        <v>35600</v>
      </c>
      <c r="J8455">
        <v>0</v>
      </c>
    </row>
    <row r="8456" spans="1:10" x14ac:dyDescent="0.3">
      <c r="A8456" s="15">
        <v>46204</v>
      </c>
      <c r="B8456" t="s">
        <v>418</v>
      </c>
      <c r="C8456" t="s">
        <v>81</v>
      </c>
      <c r="D8456" t="s">
        <v>86</v>
      </c>
      <c r="E8456" t="s">
        <v>92</v>
      </c>
      <c r="F8456">
        <v>1800</v>
      </c>
      <c r="G8456" t="s">
        <v>331</v>
      </c>
      <c r="H8456" s="15">
        <v>45748</v>
      </c>
      <c r="I8456">
        <v>1800</v>
      </c>
      <c r="J8456">
        <v>0</v>
      </c>
    </row>
    <row r="8457" spans="1:10" x14ac:dyDescent="0.3">
      <c r="A8457" s="15">
        <v>46204</v>
      </c>
      <c r="B8457" t="s">
        <v>419</v>
      </c>
      <c r="C8457" t="s">
        <v>125</v>
      </c>
      <c r="D8457" t="s">
        <v>96</v>
      </c>
      <c r="E8457" t="s">
        <v>103</v>
      </c>
      <c r="F8457">
        <v>73300</v>
      </c>
      <c r="G8457" t="s">
        <v>331</v>
      </c>
      <c r="H8457" s="15">
        <v>45748</v>
      </c>
      <c r="I8457">
        <v>73300</v>
      </c>
      <c r="J8457">
        <v>0</v>
      </c>
    </row>
    <row r="8458" spans="1:10" x14ac:dyDescent="0.3">
      <c r="A8458" s="15">
        <v>46204</v>
      </c>
      <c r="B8458" t="s">
        <v>420</v>
      </c>
      <c r="C8458" t="s">
        <v>110</v>
      </c>
      <c r="D8458" t="s">
        <v>96</v>
      </c>
      <c r="E8458" t="s">
        <v>103</v>
      </c>
      <c r="F8458">
        <v>22900</v>
      </c>
      <c r="G8458" t="s">
        <v>331</v>
      </c>
      <c r="H8458" s="15">
        <v>45748</v>
      </c>
      <c r="I8458">
        <v>22900</v>
      </c>
      <c r="J8458">
        <v>0</v>
      </c>
    </row>
    <row r="8459" spans="1:10" x14ac:dyDescent="0.3">
      <c r="A8459" s="15">
        <v>46204</v>
      </c>
      <c r="B8459" t="s">
        <v>421</v>
      </c>
      <c r="C8459" t="s">
        <v>110</v>
      </c>
      <c r="D8459" t="s">
        <v>82</v>
      </c>
      <c r="E8459" t="s">
        <v>103</v>
      </c>
      <c r="F8459">
        <v>18800</v>
      </c>
      <c r="G8459" t="s">
        <v>331</v>
      </c>
      <c r="H8459" s="15">
        <v>45748</v>
      </c>
      <c r="I8459">
        <v>18800</v>
      </c>
      <c r="J8459">
        <v>0</v>
      </c>
    </row>
    <row r="8460" spans="1:10" x14ac:dyDescent="0.3">
      <c r="A8460" s="15">
        <v>46204</v>
      </c>
      <c r="B8460" t="s">
        <v>422</v>
      </c>
      <c r="C8460" t="s">
        <v>81</v>
      </c>
      <c r="D8460" t="s">
        <v>82</v>
      </c>
      <c r="E8460" t="s">
        <v>97</v>
      </c>
      <c r="F8460">
        <v>2300</v>
      </c>
      <c r="G8460" t="s">
        <v>331</v>
      </c>
      <c r="H8460" s="15">
        <v>45748</v>
      </c>
      <c r="I8460">
        <v>2300</v>
      </c>
      <c r="J8460">
        <v>0</v>
      </c>
    </row>
    <row r="8461" spans="1:10" x14ac:dyDescent="0.3">
      <c r="A8461" s="15">
        <v>46204</v>
      </c>
      <c r="B8461" t="s">
        <v>423</v>
      </c>
      <c r="C8461" t="s">
        <v>125</v>
      </c>
      <c r="D8461" t="s">
        <v>86</v>
      </c>
      <c r="E8461" t="s">
        <v>97</v>
      </c>
      <c r="F8461">
        <v>45600</v>
      </c>
      <c r="G8461" t="s">
        <v>334</v>
      </c>
      <c r="H8461" s="15">
        <v>45748</v>
      </c>
      <c r="I8461">
        <v>52800</v>
      </c>
      <c r="J8461">
        <v>-7200</v>
      </c>
    </row>
    <row r="8462" spans="1:10" x14ac:dyDescent="0.3">
      <c r="A8462" s="15">
        <v>46204</v>
      </c>
      <c r="B8462" t="s">
        <v>425</v>
      </c>
      <c r="C8462" t="s">
        <v>110</v>
      </c>
      <c r="D8462" t="s">
        <v>82</v>
      </c>
      <c r="E8462" t="s">
        <v>97</v>
      </c>
      <c r="F8462">
        <v>22700</v>
      </c>
      <c r="G8462" t="s">
        <v>331</v>
      </c>
      <c r="H8462" s="15">
        <v>45778</v>
      </c>
      <c r="I8462">
        <v>22700</v>
      </c>
      <c r="J8462">
        <v>0</v>
      </c>
    </row>
    <row r="8463" spans="1:10" x14ac:dyDescent="0.3">
      <c r="A8463" s="15">
        <v>46204</v>
      </c>
      <c r="B8463" t="s">
        <v>426</v>
      </c>
      <c r="C8463" t="s">
        <v>81</v>
      </c>
      <c r="D8463" t="s">
        <v>82</v>
      </c>
      <c r="E8463" t="s">
        <v>89</v>
      </c>
      <c r="F8463">
        <v>1600</v>
      </c>
      <c r="G8463" t="s">
        <v>331</v>
      </c>
      <c r="H8463" s="15">
        <v>45778</v>
      </c>
      <c r="I8463">
        <v>1600</v>
      </c>
      <c r="J8463">
        <v>0</v>
      </c>
    </row>
    <row r="8464" spans="1:10" x14ac:dyDescent="0.3">
      <c r="A8464" s="15">
        <v>46204</v>
      </c>
      <c r="B8464" t="s">
        <v>427</v>
      </c>
      <c r="C8464" t="s">
        <v>110</v>
      </c>
      <c r="D8464" t="s">
        <v>82</v>
      </c>
      <c r="E8464" t="s">
        <v>83</v>
      </c>
      <c r="F8464">
        <v>25300</v>
      </c>
      <c r="G8464" t="s">
        <v>331</v>
      </c>
      <c r="H8464" s="15">
        <v>45778</v>
      </c>
      <c r="I8464">
        <v>25300</v>
      </c>
      <c r="J8464">
        <v>0</v>
      </c>
    </row>
    <row r="8465" spans="1:10" x14ac:dyDescent="0.3">
      <c r="A8465" s="15">
        <v>46204</v>
      </c>
      <c r="B8465" t="s">
        <v>428</v>
      </c>
      <c r="C8465" t="s">
        <v>81</v>
      </c>
      <c r="D8465" t="s">
        <v>86</v>
      </c>
      <c r="E8465" t="s">
        <v>89</v>
      </c>
      <c r="F8465">
        <v>2300</v>
      </c>
      <c r="G8465" t="s">
        <v>331</v>
      </c>
      <c r="H8465" s="15">
        <v>45778</v>
      </c>
      <c r="I8465">
        <v>2300</v>
      </c>
      <c r="J8465">
        <v>0</v>
      </c>
    </row>
    <row r="8466" spans="1:10" x14ac:dyDescent="0.3">
      <c r="A8466" s="15">
        <v>46204</v>
      </c>
      <c r="B8466" t="s">
        <v>430</v>
      </c>
      <c r="C8466" t="s">
        <v>110</v>
      </c>
      <c r="D8466" t="s">
        <v>82</v>
      </c>
      <c r="E8466" t="s">
        <v>87</v>
      </c>
      <c r="F8466">
        <v>24300</v>
      </c>
      <c r="G8466" t="s">
        <v>331</v>
      </c>
      <c r="H8466" s="15">
        <v>45809</v>
      </c>
      <c r="I8466">
        <v>24300</v>
      </c>
      <c r="J8466">
        <v>0</v>
      </c>
    </row>
    <row r="8467" spans="1:10" x14ac:dyDescent="0.3">
      <c r="A8467" s="15">
        <v>46204</v>
      </c>
      <c r="B8467" t="s">
        <v>431</v>
      </c>
      <c r="C8467" t="s">
        <v>110</v>
      </c>
      <c r="D8467" t="s">
        <v>82</v>
      </c>
      <c r="E8467" t="s">
        <v>101</v>
      </c>
      <c r="F8467">
        <v>19800</v>
      </c>
      <c r="G8467" t="s">
        <v>331</v>
      </c>
      <c r="H8467" s="15">
        <v>45809</v>
      </c>
      <c r="I8467">
        <v>19800</v>
      </c>
      <c r="J8467">
        <v>0</v>
      </c>
    </row>
    <row r="8468" spans="1:10" x14ac:dyDescent="0.3">
      <c r="A8468" s="15">
        <v>46204</v>
      </c>
      <c r="B8468" t="s">
        <v>435</v>
      </c>
      <c r="C8468" t="s">
        <v>81</v>
      </c>
      <c r="D8468" t="s">
        <v>82</v>
      </c>
      <c r="E8468" t="s">
        <v>92</v>
      </c>
      <c r="F8468">
        <v>1400</v>
      </c>
      <c r="G8468" t="s">
        <v>331</v>
      </c>
      <c r="H8468" s="15">
        <v>45809</v>
      </c>
      <c r="I8468">
        <v>1400</v>
      </c>
      <c r="J8468">
        <v>0</v>
      </c>
    </row>
    <row r="8469" spans="1:10" x14ac:dyDescent="0.3">
      <c r="A8469" s="15">
        <v>46204</v>
      </c>
      <c r="B8469" t="s">
        <v>436</v>
      </c>
      <c r="C8469" t="s">
        <v>81</v>
      </c>
      <c r="D8469" t="s">
        <v>82</v>
      </c>
      <c r="E8469" t="s">
        <v>97</v>
      </c>
      <c r="F8469">
        <v>2100</v>
      </c>
      <c r="G8469" t="s">
        <v>331</v>
      </c>
      <c r="H8469" s="15">
        <v>45839</v>
      </c>
      <c r="I8469">
        <v>2100</v>
      </c>
      <c r="J8469">
        <v>0</v>
      </c>
    </row>
    <row r="8470" spans="1:10" x14ac:dyDescent="0.3">
      <c r="A8470" s="15">
        <v>46204</v>
      </c>
      <c r="B8470" t="s">
        <v>437</v>
      </c>
      <c r="C8470" t="s">
        <v>81</v>
      </c>
      <c r="D8470" t="s">
        <v>99</v>
      </c>
      <c r="E8470" t="s">
        <v>92</v>
      </c>
      <c r="F8470">
        <v>1800</v>
      </c>
      <c r="G8470" t="s">
        <v>331</v>
      </c>
      <c r="H8470" s="15">
        <v>45839</v>
      </c>
      <c r="I8470">
        <v>1800</v>
      </c>
      <c r="J8470">
        <v>0</v>
      </c>
    </row>
    <row r="8471" spans="1:10" x14ac:dyDescent="0.3">
      <c r="A8471" s="15">
        <v>46204</v>
      </c>
      <c r="B8471" t="s">
        <v>438</v>
      </c>
      <c r="C8471" t="s">
        <v>91</v>
      </c>
      <c r="D8471" t="s">
        <v>96</v>
      </c>
      <c r="E8471" t="s">
        <v>101</v>
      </c>
      <c r="F8471">
        <v>8600</v>
      </c>
      <c r="G8471" t="s">
        <v>331</v>
      </c>
      <c r="H8471" s="15">
        <v>45839</v>
      </c>
      <c r="I8471">
        <v>8600</v>
      </c>
      <c r="J8471">
        <v>0</v>
      </c>
    </row>
    <row r="8472" spans="1:10" x14ac:dyDescent="0.3">
      <c r="A8472" s="15">
        <v>46204</v>
      </c>
      <c r="B8472" t="s">
        <v>439</v>
      </c>
      <c r="C8472" t="s">
        <v>81</v>
      </c>
      <c r="D8472" t="s">
        <v>99</v>
      </c>
      <c r="E8472" t="s">
        <v>87</v>
      </c>
      <c r="F8472">
        <v>1700</v>
      </c>
      <c r="G8472" t="s">
        <v>331</v>
      </c>
      <c r="H8472" s="15">
        <v>45839</v>
      </c>
      <c r="I8472">
        <v>1700</v>
      </c>
      <c r="J8472">
        <v>0</v>
      </c>
    </row>
    <row r="8473" spans="1:10" x14ac:dyDescent="0.3">
      <c r="A8473" s="15">
        <v>46204</v>
      </c>
      <c r="B8473" t="s">
        <v>440</v>
      </c>
      <c r="C8473" t="s">
        <v>81</v>
      </c>
      <c r="D8473" t="s">
        <v>82</v>
      </c>
      <c r="E8473" t="s">
        <v>97</v>
      </c>
      <c r="F8473">
        <v>2200</v>
      </c>
      <c r="G8473" t="s">
        <v>331</v>
      </c>
      <c r="H8473" s="15">
        <v>45839</v>
      </c>
      <c r="I8473">
        <v>2200</v>
      </c>
      <c r="J8473">
        <v>0</v>
      </c>
    </row>
    <row r="8474" spans="1:10" x14ac:dyDescent="0.3">
      <c r="A8474" s="15">
        <v>46204</v>
      </c>
      <c r="B8474" t="s">
        <v>441</v>
      </c>
      <c r="C8474" t="s">
        <v>110</v>
      </c>
      <c r="D8474" t="s">
        <v>86</v>
      </c>
      <c r="E8474" t="s">
        <v>97</v>
      </c>
      <c r="F8474">
        <v>35800</v>
      </c>
      <c r="G8474" t="s">
        <v>331</v>
      </c>
      <c r="H8474" s="15">
        <v>45839</v>
      </c>
      <c r="I8474">
        <v>35800</v>
      </c>
      <c r="J8474">
        <v>0</v>
      </c>
    </row>
    <row r="8475" spans="1:10" x14ac:dyDescent="0.3">
      <c r="A8475" s="15">
        <v>46204</v>
      </c>
      <c r="B8475" t="s">
        <v>442</v>
      </c>
      <c r="C8475" t="s">
        <v>110</v>
      </c>
      <c r="D8475" t="s">
        <v>86</v>
      </c>
      <c r="E8475" t="s">
        <v>83</v>
      </c>
      <c r="F8475">
        <v>23900</v>
      </c>
      <c r="G8475" t="s">
        <v>331</v>
      </c>
      <c r="H8475" s="15">
        <v>45870</v>
      </c>
      <c r="I8475">
        <v>23900</v>
      </c>
      <c r="J8475">
        <v>0</v>
      </c>
    </row>
    <row r="8476" spans="1:10" x14ac:dyDescent="0.3">
      <c r="A8476" s="15">
        <v>46204</v>
      </c>
      <c r="B8476" t="s">
        <v>443</v>
      </c>
      <c r="C8476" t="s">
        <v>81</v>
      </c>
      <c r="D8476" t="s">
        <v>86</v>
      </c>
      <c r="E8476" t="s">
        <v>101</v>
      </c>
      <c r="F8476">
        <v>1800</v>
      </c>
      <c r="G8476" t="s">
        <v>331</v>
      </c>
      <c r="H8476" s="15">
        <v>45870</v>
      </c>
      <c r="I8476">
        <v>1800</v>
      </c>
      <c r="J8476">
        <v>0</v>
      </c>
    </row>
    <row r="8477" spans="1:10" x14ac:dyDescent="0.3">
      <c r="A8477" s="15">
        <v>46204</v>
      </c>
      <c r="B8477" t="s">
        <v>444</v>
      </c>
      <c r="C8477" t="s">
        <v>125</v>
      </c>
      <c r="D8477" t="s">
        <v>82</v>
      </c>
      <c r="E8477" t="s">
        <v>92</v>
      </c>
      <c r="F8477">
        <v>71600</v>
      </c>
      <c r="G8477" t="s">
        <v>331</v>
      </c>
      <c r="H8477" s="15">
        <v>45870</v>
      </c>
      <c r="I8477">
        <v>71600</v>
      </c>
      <c r="J8477">
        <v>0</v>
      </c>
    </row>
    <row r="8478" spans="1:10" x14ac:dyDescent="0.3">
      <c r="A8478" s="15">
        <v>46204</v>
      </c>
      <c r="B8478" t="s">
        <v>445</v>
      </c>
      <c r="C8478" t="s">
        <v>91</v>
      </c>
      <c r="D8478" t="s">
        <v>82</v>
      </c>
      <c r="E8478" t="s">
        <v>89</v>
      </c>
      <c r="F8478">
        <v>4700</v>
      </c>
      <c r="G8478" t="s">
        <v>331</v>
      </c>
      <c r="H8478" s="15">
        <v>45870</v>
      </c>
      <c r="I8478">
        <v>4700</v>
      </c>
      <c r="J8478">
        <v>0</v>
      </c>
    </row>
    <row r="8479" spans="1:10" x14ac:dyDescent="0.3">
      <c r="A8479" s="15">
        <v>46204</v>
      </c>
      <c r="B8479" t="s">
        <v>446</v>
      </c>
      <c r="C8479" t="s">
        <v>81</v>
      </c>
      <c r="D8479" t="s">
        <v>86</v>
      </c>
      <c r="E8479" t="s">
        <v>97</v>
      </c>
      <c r="F8479">
        <v>1600</v>
      </c>
      <c r="G8479" t="s">
        <v>331</v>
      </c>
      <c r="H8479" s="15">
        <v>45870</v>
      </c>
      <c r="I8479">
        <v>1600</v>
      </c>
      <c r="J8479">
        <v>0</v>
      </c>
    </row>
    <row r="8480" spans="1:10" x14ac:dyDescent="0.3">
      <c r="A8480" s="15">
        <v>46204</v>
      </c>
      <c r="B8480" t="s">
        <v>447</v>
      </c>
      <c r="C8480" t="s">
        <v>81</v>
      </c>
      <c r="D8480" t="s">
        <v>86</v>
      </c>
      <c r="E8480" t="s">
        <v>103</v>
      </c>
      <c r="F8480">
        <v>2300</v>
      </c>
      <c r="G8480" t="s">
        <v>331</v>
      </c>
      <c r="H8480" s="15">
        <v>45870</v>
      </c>
      <c r="I8480">
        <v>2300</v>
      </c>
      <c r="J8480">
        <v>0</v>
      </c>
    </row>
    <row r="8481" spans="1:10" x14ac:dyDescent="0.3">
      <c r="A8481" s="15">
        <v>46204</v>
      </c>
      <c r="B8481" t="s">
        <v>448</v>
      </c>
      <c r="C8481" t="s">
        <v>125</v>
      </c>
      <c r="D8481" t="s">
        <v>86</v>
      </c>
      <c r="E8481" t="s">
        <v>89</v>
      </c>
      <c r="F8481">
        <v>64000</v>
      </c>
      <c r="G8481" t="s">
        <v>331</v>
      </c>
      <c r="H8481" s="15">
        <v>45870</v>
      </c>
      <c r="I8481">
        <v>64000</v>
      </c>
      <c r="J8481">
        <v>0</v>
      </c>
    </row>
    <row r="8482" spans="1:10" x14ac:dyDescent="0.3">
      <c r="A8482" s="15">
        <v>46204</v>
      </c>
      <c r="B8482" t="s">
        <v>449</v>
      </c>
      <c r="C8482" t="s">
        <v>81</v>
      </c>
      <c r="D8482" t="s">
        <v>82</v>
      </c>
      <c r="E8482" t="s">
        <v>92</v>
      </c>
      <c r="F8482">
        <v>1600</v>
      </c>
      <c r="G8482" t="s">
        <v>331</v>
      </c>
      <c r="H8482" s="15">
        <v>45870</v>
      </c>
      <c r="I8482">
        <v>1600</v>
      </c>
      <c r="J8482">
        <v>0</v>
      </c>
    </row>
    <row r="8483" spans="1:10" x14ac:dyDescent="0.3">
      <c r="A8483" s="15">
        <v>46204</v>
      </c>
      <c r="B8483" t="s">
        <v>450</v>
      </c>
      <c r="C8483" t="s">
        <v>81</v>
      </c>
      <c r="D8483" t="s">
        <v>86</v>
      </c>
      <c r="E8483" t="s">
        <v>89</v>
      </c>
      <c r="F8483">
        <v>1900</v>
      </c>
      <c r="G8483" t="s">
        <v>331</v>
      </c>
      <c r="H8483" s="15">
        <v>45901</v>
      </c>
      <c r="I8483">
        <v>1900</v>
      </c>
      <c r="J8483">
        <v>0</v>
      </c>
    </row>
    <row r="8484" spans="1:10" x14ac:dyDescent="0.3">
      <c r="A8484" s="15">
        <v>46204</v>
      </c>
      <c r="B8484" t="s">
        <v>452</v>
      </c>
      <c r="C8484" t="s">
        <v>91</v>
      </c>
      <c r="D8484" t="s">
        <v>86</v>
      </c>
      <c r="E8484" t="s">
        <v>92</v>
      </c>
      <c r="F8484">
        <v>8600</v>
      </c>
      <c r="G8484" t="s">
        <v>331</v>
      </c>
      <c r="H8484" s="15">
        <v>45901</v>
      </c>
      <c r="I8484">
        <v>8600</v>
      </c>
      <c r="J8484">
        <v>0</v>
      </c>
    </row>
    <row r="8485" spans="1:10" x14ac:dyDescent="0.3">
      <c r="A8485" s="15">
        <v>46204</v>
      </c>
      <c r="B8485" t="s">
        <v>454</v>
      </c>
      <c r="C8485" t="s">
        <v>91</v>
      </c>
      <c r="D8485" t="s">
        <v>82</v>
      </c>
      <c r="E8485" t="s">
        <v>89</v>
      </c>
      <c r="F8485">
        <v>6200</v>
      </c>
      <c r="G8485" t="s">
        <v>331</v>
      </c>
      <c r="H8485" s="15">
        <v>45901</v>
      </c>
      <c r="I8485">
        <v>6200</v>
      </c>
      <c r="J8485">
        <v>0</v>
      </c>
    </row>
    <row r="8486" spans="1:10" x14ac:dyDescent="0.3">
      <c r="A8486" s="15">
        <v>46204</v>
      </c>
      <c r="B8486" t="s">
        <v>455</v>
      </c>
      <c r="C8486" t="s">
        <v>125</v>
      </c>
      <c r="D8486" t="s">
        <v>99</v>
      </c>
      <c r="E8486" t="s">
        <v>103</v>
      </c>
      <c r="F8486">
        <v>75900</v>
      </c>
      <c r="G8486" t="s">
        <v>331</v>
      </c>
      <c r="H8486" s="15">
        <v>45901</v>
      </c>
      <c r="I8486">
        <v>75900</v>
      </c>
      <c r="J8486">
        <v>0</v>
      </c>
    </row>
    <row r="8487" spans="1:10" x14ac:dyDescent="0.3">
      <c r="A8487" s="15">
        <v>46204</v>
      </c>
      <c r="B8487" t="s">
        <v>457</v>
      </c>
      <c r="C8487" t="s">
        <v>81</v>
      </c>
      <c r="D8487" t="s">
        <v>86</v>
      </c>
      <c r="E8487" t="s">
        <v>89</v>
      </c>
      <c r="F8487">
        <v>2600</v>
      </c>
      <c r="G8487" t="s">
        <v>332</v>
      </c>
      <c r="H8487" s="15">
        <v>45931</v>
      </c>
      <c r="I8487">
        <v>2200</v>
      </c>
      <c r="J8487">
        <v>400</v>
      </c>
    </row>
    <row r="8488" spans="1:10" x14ac:dyDescent="0.3">
      <c r="A8488" s="15">
        <v>46204</v>
      </c>
      <c r="B8488" t="s">
        <v>458</v>
      </c>
      <c r="C8488" t="s">
        <v>91</v>
      </c>
      <c r="D8488" t="s">
        <v>86</v>
      </c>
      <c r="E8488" t="s">
        <v>83</v>
      </c>
      <c r="F8488">
        <v>8900</v>
      </c>
      <c r="G8488" t="s">
        <v>331</v>
      </c>
      <c r="H8488" s="15">
        <v>45931</v>
      </c>
      <c r="I8488">
        <v>8900</v>
      </c>
      <c r="J8488">
        <v>0</v>
      </c>
    </row>
    <row r="8489" spans="1:10" x14ac:dyDescent="0.3">
      <c r="A8489" s="15">
        <v>46204</v>
      </c>
      <c r="B8489" t="s">
        <v>461</v>
      </c>
      <c r="C8489" t="s">
        <v>81</v>
      </c>
      <c r="D8489" t="s">
        <v>86</v>
      </c>
      <c r="E8489" t="s">
        <v>92</v>
      </c>
      <c r="F8489">
        <v>1700</v>
      </c>
      <c r="G8489" t="s">
        <v>331</v>
      </c>
      <c r="H8489" s="15">
        <v>45931</v>
      </c>
      <c r="I8489">
        <v>1700</v>
      </c>
      <c r="J8489">
        <v>0</v>
      </c>
    </row>
    <row r="8490" spans="1:10" x14ac:dyDescent="0.3">
      <c r="A8490" s="15">
        <v>46204</v>
      </c>
      <c r="B8490" t="s">
        <v>462</v>
      </c>
      <c r="C8490" t="s">
        <v>81</v>
      </c>
      <c r="D8490" t="s">
        <v>86</v>
      </c>
      <c r="E8490" t="s">
        <v>92</v>
      </c>
      <c r="F8490">
        <v>2200</v>
      </c>
      <c r="G8490" t="s">
        <v>331</v>
      </c>
      <c r="H8490" s="15">
        <v>45931</v>
      </c>
      <c r="I8490">
        <v>2200</v>
      </c>
      <c r="J8490">
        <v>0</v>
      </c>
    </row>
    <row r="8491" spans="1:10" x14ac:dyDescent="0.3">
      <c r="A8491" s="15">
        <v>46204</v>
      </c>
      <c r="B8491" t="s">
        <v>464</v>
      </c>
      <c r="C8491" t="s">
        <v>91</v>
      </c>
      <c r="D8491" t="s">
        <v>99</v>
      </c>
      <c r="E8491" t="s">
        <v>87</v>
      </c>
      <c r="F8491">
        <v>6000</v>
      </c>
      <c r="G8491" t="s">
        <v>331</v>
      </c>
      <c r="H8491" s="15">
        <v>45962</v>
      </c>
      <c r="I8491">
        <v>6000</v>
      </c>
      <c r="J8491">
        <v>0</v>
      </c>
    </row>
    <row r="8492" spans="1:10" x14ac:dyDescent="0.3">
      <c r="A8492" s="15">
        <v>46204</v>
      </c>
      <c r="B8492" t="s">
        <v>466</v>
      </c>
      <c r="C8492" t="s">
        <v>81</v>
      </c>
      <c r="D8492" t="s">
        <v>99</v>
      </c>
      <c r="E8492" t="s">
        <v>92</v>
      </c>
      <c r="F8492">
        <v>1400</v>
      </c>
      <c r="G8492" t="s">
        <v>331</v>
      </c>
      <c r="H8492" s="15">
        <v>45962</v>
      </c>
      <c r="I8492">
        <v>1400</v>
      </c>
      <c r="J8492">
        <v>0</v>
      </c>
    </row>
    <row r="8493" spans="1:10" x14ac:dyDescent="0.3">
      <c r="A8493" s="15">
        <v>46204</v>
      </c>
      <c r="B8493" t="s">
        <v>467</v>
      </c>
      <c r="C8493" t="s">
        <v>91</v>
      </c>
      <c r="D8493" t="s">
        <v>86</v>
      </c>
      <c r="E8493" t="s">
        <v>89</v>
      </c>
      <c r="F8493">
        <v>8200</v>
      </c>
      <c r="G8493" t="s">
        <v>331</v>
      </c>
      <c r="H8493" s="15">
        <v>45962</v>
      </c>
      <c r="I8493">
        <v>8200</v>
      </c>
      <c r="J8493">
        <v>0</v>
      </c>
    </row>
    <row r="8494" spans="1:10" x14ac:dyDescent="0.3">
      <c r="A8494" s="15">
        <v>46204</v>
      </c>
      <c r="B8494" t="s">
        <v>469</v>
      </c>
      <c r="C8494" t="s">
        <v>81</v>
      </c>
      <c r="D8494" t="s">
        <v>86</v>
      </c>
      <c r="E8494" t="s">
        <v>87</v>
      </c>
      <c r="F8494">
        <v>2200</v>
      </c>
      <c r="G8494" t="s">
        <v>331</v>
      </c>
      <c r="H8494" s="15">
        <v>45992</v>
      </c>
      <c r="I8494">
        <v>2200</v>
      </c>
      <c r="J8494">
        <v>0</v>
      </c>
    </row>
    <row r="8495" spans="1:10" x14ac:dyDescent="0.3">
      <c r="A8495" s="15">
        <v>46204</v>
      </c>
      <c r="B8495" t="s">
        <v>470</v>
      </c>
      <c r="C8495" t="s">
        <v>81</v>
      </c>
      <c r="D8495" t="s">
        <v>86</v>
      </c>
      <c r="E8495" t="s">
        <v>103</v>
      </c>
      <c r="F8495">
        <v>1600</v>
      </c>
      <c r="G8495" t="s">
        <v>331</v>
      </c>
      <c r="H8495" s="15">
        <v>45992</v>
      </c>
      <c r="I8495">
        <v>1600</v>
      </c>
      <c r="J8495">
        <v>0</v>
      </c>
    </row>
    <row r="8496" spans="1:10" x14ac:dyDescent="0.3">
      <c r="A8496" s="15">
        <v>46204</v>
      </c>
      <c r="B8496" t="s">
        <v>471</v>
      </c>
      <c r="C8496" t="s">
        <v>110</v>
      </c>
      <c r="D8496" t="s">
        <v>86</v>
      </c>
      <c r="E8496" t="s">
        <v>103</v>
      </c>
      <c r="F8496">
        <v>31000</v>
      </c>
      <c r="G8496" t="s">
        <v>331</v>
      </c>
      <c r="H8496" s="15">
        <v>45992</v>
      </c>
      <c r="I8496">
        <v>31000</v>
      </c>
      <c r="J8496">
        <v>0</v>
      </c>
    </row>
    <row r="8497" spans="1:10" x14ac:dyDescent="0.3">
      <c r="A8497" s="15">
        <v>46204</v>
      </c>
      <c r="B8497" t="s">
        <v>472</v>
      </c>
      <c r="C8497" t="s">
        <v>91</v>
      </c>
      <c r="D8497" t="s">
        <v>86</v>
      </c>
      <c r="E8497" t="s">
        <v>97</v>
      </c>
      <c r="F8497">
        <v>5100</v>
      </c>
      <c r="G8497" t="s">
        <v>331</v>
      </c>
      <c r="H8497" s="15">
        <v>45992</v>
      </c>
      <c r="I8497">
        <v>5100</v>
      </c>
      <c r="J8497">
        <v>0</v>
      </c>
    </row>
    <row r="8498" spans="1:10" x14ac:dyDescent="0.3">
      <c r="A8498" s="15">
        <v>46204</v>
      </c>
      <c r="B8498" t="s">
        <v>475</v>
      </c>
      <c r="C8498" t="s">
        <v>110</v>
      </c>
      <c r="D8498" t="s">
        <v>82</v>
      </c>
      <c r="E8498" t="s">
        <v>101</v>
      </c>
      <c r="F8498">
        <v>35000</v>
      </c>
      <c r="G8498" t="s">
        <v>331</v>
      </c>
      <c r="H8498" s="15">
        <v>45992</v>
      </c>
      <c r="I8498">
        <v>35000</v>
      </c>
      <c r="J8498">
        <v>0</v>
      </c>
    </row>
    <row r="8499" spans="1:10" x14ac:dyDescent="0.3">
      <c r="A8499" s="15">
        <v>46204</v>
      </c>
      <c r="B8499" t="s">
        <v>476</v>
      </c>
      <c r="C8499" t="s">
        <v>81</v>
      </c>
      <c r="D8499" t="s">
        <v>82</v>
      </c>
      <c r="E8499" t="s">
        <v>89</v>
      </c>
      <c r="F8499">
        <v>2600</v>
      </c>
      <c r="G8499" t="s">
        <v>331</v>
      </c>
      <c r="H8499" s="15">
        <v>45992</v>
      </c>
      <c r="I8499">
        <v>2600</v>
      </c>
      <c r="J8499">
        <v>0</v>
      </c>
    </row>
    <row r="8500" spans="1:10" x14ac:dyDescent="0.3">
      <c r="A8500" s="15">
        <v>46204</v>
      </c>
      <c r="B8500" t="s">
        <v>477</v>
      </c>
      <c r="C8500" t="s">
        <v>81</v>
      </c>
      <c r="D8500" t="s">
        <v>82</v>
      </c>
      <c r="E8500" t="s">
        <v>92</v>
      </c>
      <c r="F8500">
        <v>2100</v>
      </c>
      <c r="G8500" t="s">
        <v>331</v>
      </c>
      <c r="H8500" s="15">
        <v>46023</v>
      </c>
      <c r="I8500">
        <v>2100</v>
      </c>
      <c r="J8500">
        <v>0</v>
      </c>
    </row>
    <row r="8501" spans="1:10" x14ac:dyDescent="0.3">
      <c r="A8501" s="15">
        <v>46204</v>
      </c>
      <c r="B8501" t="s">
        <v>478</v>
      </c>
      <c r="C8501" t="s">
        <v>91</v>
      </c>
      <c r="D8501" t="s">
        <v>82</v>
      </c>
      <c r="E8501" t="s">
        <v>97</v>
      </c>
      <c r="F8501">
        <v>6500</v>
      </c>
      <c r="G8501" t="s">
        <v>331</v>
      </c>
      <c r="H8501" s="15">
        <v>46023</v>
      </c>
      <c r="I8501">
        <v>6500</v>
      </c>
      <c r="J8501">
        <v>0</v>
      </c>
    </row>
    <row r="8502" spans="1:10" x14ac:dyDescent="0.3">
      <c r="A8502" s="15">
        <v>46204</v>
      </c>
      <c r="B8502" t="s">
        <v>479</v>
      </c>
      <c r="C8502" t="s">
        <v>81</v>
      </c>
      <c r="D8502" t="s">
        <v>82</v>
      </c>
      <c r="E8502" t="s">
        <v>87</v>
      </c>
      <c r="F8502">
        <v>1800</v>
      </c>
      <c r="G8502" t="s">
        <v>331</v>
      </c>
      <c r="H8502" s="15">
        <v>46023</v>
      </c>
      <c r="I8502">
        <v>1800</v>
      </c>
      <c r="J8502">
        <v>0</v>
      </c>
    </row>
    <row r="8503" spans="1:10" x14ac:dyDescent="0.3">
      <c r="A8503" s="15">
        <v>46204</v>
      </c>
      <c r="B8503" t="s">
        <v>480</v>
      </c>
      <c r="C8503" t="s">
        <v>81</v>
      </c>
      <c r="D8503" t="s">
        <v>86</v>
      </c>
      <c r="E8503" t="s">
        <v>103</v>
      </c>
      <c r="F8503">
        <v>1600</v>
      </c>
      <c r="G8503" t="s">
        <v>331</v>
      </c>
      <c r="H8503" s="15">
        <v>46023</v>
      </c>
      <c r="I8503">
        <v>1600</v>
      </c>
      <c r="J8503">
        <v>0</v>
      </c>
    </row>
    <row r="8504" spans="1:10" x14ac:dyDescent="0.3">
      <c r="A8504" s="15">
        <v>46204</v>
      </c>
      <c r="B8504" t="s">
        <v>481</v>
      </c>
      <c r="C8504" t="s">
        <v>81</v>
      </c>
      <c r="D8504" t="s">
        <v>82</v>
      </c>
      <c r="E8504" t="s">
        <v>103</v>
      </c>
      <c r="F8504">
        <v>1800</v>
      </c>
      <c r="G8504" t="s">
        <v>331</v>
      </c>
      <c r="H8504" s="15">
        <v>46023</v>
      </c>
      <c r="I8504">
        <v>1800</v>
      </c>
      <c r="J8504">
        <v>0</v>
      </c>
    </row>
    <row r="8505" spans="1:10" x14ac:dyDescent="0.3">
      <c r="A8505" s="15">
        <v>46204</v>
      </c>
      <c r="B8505" t="s">
        <v>482</v>
      </c>
      <c r="C8505" t="s">
        <v>110</v>
      </c>
      <c r="D8505" t="s">
        <v>82</v>
      </c>
      <c r="E8505" t="s">
        <v>83</v>
      </c>
      <c r="F8505">
        <v>18100</v>
      </c>
      <c r="G8505" t="s">
        <v>331</v>
      </c>
      <c r="H8505" s="15">
        <v>46023</v>
      </c>
      <c r="I8505">
        <v>18100</v>
      </c>
      <c r="J8505">
        <v>0</v>
      </c>
    </row>
    <row r="8506" spans="1:10" x14ac:dyDescent="0.3">
      <c r="A8506" s="15">
        <v>46204</v>
      </c>
      <c r="B8506" t="s">
        <v>483</v>
      </c>
      <c r="C8506" t="s">
        <v>81</v>
      </c>
      <c r="D8506" t="s">
        <v>82</v>
      </c>
      <c r="E8506" t="s">
        <v>89</v>
      </c>
      <c r="F8506">
        <v>2000</v>
      </c>
      <c r="G8506" t="s">
        <v>331</v>
      </c>
      <c r="H8506" s="15">
        <v>46023</v>
      </c>
      <c r="I8506">
        <v>2000</v>
      </c>
      <c r="J8506">
        <v>0</v>
      </c>
    </row>
    <row r="8507" spans="1:10" x14ac:dyDescent="0.3">
      <c r="A8507" s="15">
        <v>46204</v>
      </c>
      <c r="B8507" t="s">
        <v>484</v>
      </c>
      <c r="C8507" t="s">
        <v>110</v>
      </c>
      <c r="D8507" t="s">
        <v>99</v>
      </c>
      <c r="E8507" t="s">
        <v>101</v>
      </c>
      <c r="F8507">
        <v>21400</v>
      </c>
      <c r="G8507" t="s">
        <v>331</v>
      </c>
      <c r="H8507" s="15">
        <v>46054</v>
      </c>
      <c r="I8507">
        <v>21400</v>
      </c>
      <c r="J8507">
        <v>0</v>
      </c>
    </row>
    <row r="8508" spans="1:10" x14ac:dyDescent="0.3">
      <c r="A8508" s="15">
        <v>46204</v>
      </c>
      <c r="B8508" t="s">
        <v>485</v>
      </c>
      <c r="C8508" t="s">
        <v>125</v>
      </c>
      <c r="D8508" t="s">
        <v>82</v>
      </c>
      <c r="E8508" t="s">
        <v>89</v>
      </c>
      <c r="F8508">
        <v>65800</v>
      </c>
      <c r="G8508" t="s">
        <v>331</v>
      </c>
      <c r="H8508" s="15">
        <v>46054</v>
      </c>
      <c r="I8508">
        <v>65800</v>
      </c>
      <c r="J8508">
        <v>0</v>
      </c>
    </row>
    <row r="8509" spans="1:10" x14ac:dyDescent="0.3">
      <c r="A8509" s="15">
        <v>46204</v>
      </c>
      <c r="B8509" t="s">
        <v>486</v>
      </c>
      <c r="C8509" t="s">
        <v>81</v>
      </c>
      <c r="D8509" t="s">
        <v>82</v>
      </c>
      <c r="E8509" t="s">
        <v>87</v>
      </c>
      <c r="F8509">
        <v>1500</v>
      </c>
      <c r="G8509" t="s">
        <v>331</v>
      </c>
      <c r="H8509" s="15">
        <v>46054</v>
      </c>
      <c r="I8509">
        <v>1500</v>
      </c>
      <c r="J8509">
        <v>0</v>
      </c>
    </row>
    <row r="8510" spans="1:10" x14ac:dyDescent="0.3">
      <c r="A8510" s="15">
        <v>46204</v>
      </c>
      <c r="B8510" t="s">
        <v>487</v>
      </c>
      <c r="C8510" t="s">
        <v>81</v>
      </c>
      <c r="D8510" t="s">
        <v>86</v>
      </c>
      <c r="E8510" t="s">
        <v>83</v>
      </c>
      <c r="F8510">
        <v>1800</v>
      </c>
      <c r="G8510" t="s">
        <v>331</v>
      </c>
      <c r="H8510" s="15">
        <v>46054</v>
      </c>
      <c r="I8510">
        <v>1800</v>
      </c>
      <c r="J8510">
        <v>0</v>
      </c>
    </row>
    <row r="8511" spans="1:10" x14ac:dyDescent="0.3">
      <c r="A8511" s="15">
        <v>46204</v>
      </c>
      <c r="B8511" t="s">
        <v>488</v>
      </c>
      <c r="C8511" t="s">
        <v>91</v>
      </c>
      <c r="D8511" t="s">
        <v>86</v>
      </c>
      <c r="E8511" t="s">
        <v>89</v>
      </c>
      <c r="F8511">
        <v>6800</v>
      </c>
      <c r="G8511" t="s">
        <v>331</v>
      </c>
      <c r="H8511" s="15">
        <v>46054</v>
      </c>
      <c r="I8511">
        <v>6800</v>
      </c>
      <c r="J8511">
        <v>0</v>
      </c>
    </row>
    <row r="8512" spans="1:10" x14ac:dyDescent="0.3">
      <c r="A8512" s="15">
        <v>46204</v>
      </c>
      <c r="B8512" t="s">
        <v>489</v>
      </c>
      <c r="C8512" t="s">
        <v>81</v>
      </c>
      <c r="D8512" t="s">
        <v>96</v>
      </c>
      <c r="E8512" t="s">
        <v>97</v>
      </c>
      <c r="F8512">
        <v>1400</v>
      </c>
      <c r="G8512" t="s">
        <v>331</v>
      </c>
      <c r="H8512" s="15">
        <v>46054</v>
      </c>
      <c r="I8512">
        <v>1400</v>
      </c>
      <c r="J8512">
        <v>0</v>
      </c>
    </row>
    <row r="8513" spans="1:10" x14ac:dyDescent="0.3">
      <c r="A8513" s="15">
        <v>46204</v>
      </c>
      <c r="B8513" t="s">
        <v>490</v>
      </c>
      <c r="C8513" t="s">
        <v>81</v>
      </c>
      <c r="D8513" t="s">
        <v>86</v>
      </c>
      <c r="E8513" t="s">
        <v>103</v>
      </c>
      <c r="F8513">
        <v>1800</v>
      </c>
      <c r="G8513" t="s">
        <v>331</v>
      </c>
      <c r="H8513" s="15">
        <v>46054</v>
      </c>
      <c r="I8513">
        <v>1800</v>
      </c>
      <c r="J8513">
        <v>0</v>
      </c>
    </row>
    <row r="8514" spans="1:10" x14ac:dyDescent="0.3">
      <c r="A8514" s="15">
        <v>46204</v>
      </c>
      <c r="B8514" t="s">
        <v>491</v>
      </c>
      <c r="C8514" t="s">
        <v>81</v>
      </c>
      <c r="D8514" t="s">
        <v>96</v>
      </c>
      <c r="E8514" t="s">
        <v>92</v>
      </c>
      <c r="F8514">
        <v>1800</v>
      </c>
      <c r="G8514" t="s">
        <v>332</v>
      </c>
      <c r="H8514" s="15">
        <v>46054</v>
      </c>
      <c r="I8514">
        <v>1600</v>
      </c>
      <c r="J8514">
        <v>200</v>
      </c>
    </row>
    <row r="8515" spans="1:10" x14ac:dyDescent="0.3">
      <c r="A8515" s="15">
        <v>46204</v>
      </c>
      <c r="B8515" t="s">
        <v>492</v>
      </c>
      <c r="C8515" t="s">
        <v>81</v>
      </c>
      <c r="D8515" t="s">
        <v>99</v>
      </c>
      <c r="E8515" t="s">
        <v>92</v>
      </c>
      <c r="F8515">
        <v>1700</v>
      </c>
      <c r="G8515" t="s">
        <v>331</v>
      </c>
      <c r="H8515" s="15">
        <v>46082</v>
      </c>
      <c r="I8515">
        <v>1700</v>
      </c>
      <c r="J8515">
        <v>0</v>
      </c>
    </row>
    <row r="8516" spans="1:10" x14ac:dyDescent="0.3">
      <c r="A8516" s="15">
        <v>46204</v>
      </c>
      <c r="B8516" t="s">
        <v>493</v>
      </c>
      <c r="C8516" t="s">
        <v>81</v>
      </c>
      <c r="D8516" t="s">
        <v>96</v>
      </c>
      <c r="E8516" t="s">
        <v>101</v>
      </c>
      <c r="F8516">
        <v>1600</v>
      </c>
      <c r="G8516" t="s">
        <v>331</v>
      </c>
      <c r="H8516" s="15">
        <v>46082</v>
      </c>
      <c r="I8516">
        <v>1600</v>
      </c>
      <c r="J8516">
        <v>0</v>
      </c>
    </row>
    <row r="8517" spans="1:10" x14ac:dyDescent="0.3">
      <c r="A8517" s="15">
        <v>46204</v>
      </c>
      <c r="B8517" t="s">
        <v>494</v>
      </c>
      <c r="C8517" t="s">
        <v>110</v>
      </c>
      <c r="D8517" t="s">
        <v>82</v>
      </c>
      <c r="E8517" t="s">
        <v>103</v>
      </c>
      <c r="F8517">
        <v>21000</v>
      </c>
      <c r="G8517" t="s">
        <v>331</v>
      </c>
      <c r="H8517" s="15">
        <v>46082</v>
      </c>
      <c r="I8517">
        <v>21000</v>
      </c>
      <c r="J8517">
        <v>0</v>
      </c>
    </row>
    <row r="8518" spans="1:10" x14ac:dyDescent="0.3">
      <c r="A8518" s="15">
        <v>46204</v>
      </c>
      <c r="B8518" t="s">
        <v>495</v>
      </c>
      <c r="C8518" t="s">
        <v>81</v>
      </c>
      <c r="D8518" t="s">
        <v>86</v>
      </c>
      <c r="E8518" t="s">
        <v>87</v>
      </c>
      <c r="F8518">
        <v>1300</v>
      </c>
      <c r="G8518" t="s">
        <v>331</v>
      </c>
      <c r="H8518" s="15">
        <v>46082</v>
      </c>
      <c r="I8518">
        <v>1300</v>
      </c>
      <c r="J8518">
        <v>0</v>
      </c>
    </row>
    <row r="8519" spans="1:10" x14ac:dyDescent="0.3">
      <c r="A8519" s="15">
        <v>46204</v>
      </c>
      <c r="B8519" t="s">
        <v>496</v>
      </c>
      <c r="C8519" t="s">
        <v>110</v>
      </c>
      <c r="D8519" t="s">
        <v>99</v>
      </c>
      <c r="E8519" t="s">
        <v>97</v>
      </c>
      <c r="F8519">
        <v>16500</v>
      </c>
      <c r="G8519" t="s">
        <v>331</v>
      </c>
      <c r="H8519" s="15">
        <v>46082</v>
      </c>
      <c r="I8519">
        <v>16500</v>
      </c>
      <c r="J8519">
        <v>0</v>
      </c>
    </row>
    <row r="8520" spans="1:10" x14ac:dyDescent="0.3">
      <c r="A8520" s="15">
        <v>46204</v>
      </c>
      <c r="B8520" t="s">
        <v>497</v>
      </c>
      <c r="C8520" t="s">
        <v>91</v>
      </c>
      <c r="D8520" t="s">
        <v>86</v>
      </c>
      <c r="E8520" t="s">
        <v>97</v>
      </c>
      <c r="F8520">
        <v>4900</v>
      </c>
      <c r="G8520" t="s">
        <v>331</v>
      </c>
      <c r="H8520" s="15">
        <v>46082</v>
      </c>
      <c r="I8520">
        <v>4900</v>
      </c>
      <c r="J8520">
        <v>0</v>
      </c>
    </row>
    <row r="8521" spans="1:10" x14ac:dyDescent="0.3">
      <c r="A8521" s="15">
        <v>46204</v>
      </c>
      <c r="B8521" t="s">
        <v>498</v>
      </c>
      <c r="C8521" t="s">
        <v>91</v>
      </c>
      <c r="D8521" t="s">
        <v>82</v>
      </c>
      <c r="E8521" t="s">
        <v>83</v>
      </c>
      <c r="F8521">
        <v>7900</v>
      </c>
      <c r="G8521" t="s">
        <v>331</v>
      </c>
      <c r="H8521" s="15">
        <v>46113</v>
      </c>
      <c r="I8521">
        <v>7900</v>
      </c>
      <c r="J8521">
        <v>0</v>
      </c>
    </row>
    <row r="8522" spans="1:10" x14ac:dyDescent="0.3">
      <c r="A8522" s="15">
        <v>46204</v>
      </c>
      <c r="B8522" t="s">
        <v>499</v>
      </c>
      <c r="C8522" t="s">
        <v>91</v>
      </c>
      <c r="D8522" t="s">
        <v>82</v>
      </c>
      <c r="E8522" t="s">
        <v>101</v>
      </c>
      <c r="F8522">
        <v>7000</v>
      </c>
      <c r="G8522" t="s">
        <v>331</v>
      </c>
      <c r="H8522" s="15">
        <v>46113</v>
      </c>
      <c r="I8522">
        <v>7000</v>
      </c>
      <c r="J8522">
        <v>0</v>
      </c>
    </row>
    <row r="8523" spans="1:10" x14ac:dyDescent="0.3">
      <c r="A8523" s="15">
        <v>46204</v>
      </c>
      <c r="B8523" t="s">
        <v>500</v>
      </c>
      <c r="C8523" t="s">
        <v>81</v>
      </c>
      <c r="D8523" t="s">
        <v>86</v>
      </c>
      <c r="E8523" t="s">
        <v>83</v>
      </c>
      <c r="F8523">
        <v>2000</v>
      </c>
      <c r="G8523" t="s">
        <v>331</v>
      </c>
      <c r="H8523" s="15">
        <v>46113</v>
      </c>
      <c r="I8523">
        <v>2000</v>
      </c>
      <c r="J8523">
        <v>0</v>
      </c>
    </row>
    <row r="8524" spans="1:10" x14ac:dyDescent="0.3">
      <c r="A8524" s="15">
        <v>46204</v>
      </c>
      <c r="B8524" t="s">
        <v>501</v>
      </c>
      <c r="C8524" t="s">
        <v>110</v>
      </c>
      <c r="D8524" t="s">
        <v>86</v>
      </c>
      <c r="E8524" t="s">
        <v>97</v>
      </c>
      <c r="F8524">
        <v>27200</v>
      </c>
      <c r="G8524" t="s">
        <v>331</v>
      </c>
      <c r="H8524" s="15">
        <v>46113</v>
      </c>
      <c r="I8524">
        <v>27200</v>
      </c>
      <c r="J8524">
        <v>0</v>
      </c>
    </row>
    <row r="8525" spans="1:10" x14ac:dyDescent="0.3">
      <c r="A8525" s="15">
        <v>46204</v>
      </c>
      <c r="B8525" t="s">
        <v>502</v>
      </c>
      <c r="C8525" t="s">
        <v>81</v>
      </c>
      <c r="D8525" t="s">
        <v>99</v>
      </c>
      <c r="E8525" t="s">
        <v>83</v>
      </c>
      <c r="F8525">
        <v>2200</v>
      </c>
      <c r="G8525" t="s">
        <v>331</v>
      </c>
      <c r="H8525" s="15">
        <v>46113</v>
      </c>
      <c r="I8525">
        <v>2200</v>
      </c>
      <c r="J8525">
        <v>0</v>
      </c>
    </row>
    <row r="8526" spans="1:10" x14ac:dyDescent="0.3">
      <c r="A8526" s="15">
        <v>46204</v>
      </c>
      <c r="B8526" t="s">
        <v>503</v>
      </c>
      <c r="C8526" t="s">
        <v>110</v>
      </c>
      <c r="D8526" t="s">
        <v>86</v>
      </c>
      <c r="E8526" t="s">
        <v>87</v>
      </c>
      <c r="F8526">
        <v>40200</v>
      </c>
      <c r="G8526" t="s">
        <v>331</v>
      </c>
      <c r="H8526" s="15">
        <v>46113</v>
      </c>
      <c r="I8526">
        <v>40200</v>
      </c>
      <c r="J8526">
        <v>0</v>
      </c>
    </row>
    <row r="8527" spans="1:10" x14ac:dyDescent="0.3">
      <c r="A8527" s="15">
        <v>46204</v>
      </c>
      <c r="B8527" t="s">
        <v>504</v>
      </c>
      <c r="C8527" t="s">
        <v>81</v>
      </c>
      <c r="D8527" t="s">
        <v>86</v>
      </c>
      <c r="E8527" t="s">
        <v>103</v>
      </c>
      <c r="F8527">
        <v>1200</v>
      </c>
      <c r="G8527" t="s">
        <v>331</v>
      </c>
      <c r="H8527" s="15">
        <v>46113</v>
      </c>
      <c r="I8527">
        <v>1200</v>
      </c>
      <c r="J8527">
        <v>0</v>
      </c>
    </row>
    <row r="8528" spans="1:10" x14ac:dyDescent="0.3">
      <c r="A8528" s="15">
        <v>46204</v>
      </c>
      <c r="B8528" t="s">
        <v>505</v>
      </c>
      <c r="C8528" t="s">
        <v>81</v>
      </c>
      <c r="D8528" t="s">
        <v>86</v>
      </c>
      <c r="E8528" t="s">
        <v>97</v>
      </c>
      <c r="F8528">
        <v>2100</v>
      </c>
      <c r="G8528" t="s">
        <v>331</v>
      </c>
      <c r="H8528" s="15">
        <v>46113</v>
      </c>
      <c r="I8528">
        <v>2100</v>
      </c>
      <c r="J8528">
        <v>0</v>
      </c>
    </row>
    <row r="8529" spans="1:10" x14ac:dyDescent="0.3">
      <c r="A8529" s="15">
        <v>46204</v>
      </c>
      <c r="B8529" t="s">
        <v>506</v>
      </c>
      <c r="C8529" t="s">
        <v>91</v>
      </c>
      <c r="D8529" t="s">
        <v>82</v>
      </c>
      <c r="E8529" t="s">
        <v>89</v>
      </c>
      <c r="F8529">
        <v>5100</v>
      </c>
      <c r="G8529" t="s">
        <v>331</v>
      </c>
      <c r="H8529" s="15">
        <v>46113</v>
      </c>
      <c r="I8529">
        <v>5100</v>
      </c>
      <c r="J8529">
        <v>0</v>
      </c>
    </row>
    <row r="8530" spans="1:10" x14ac:dyDescent="0.3">
      <c r="A8530" s="15">
        <v>46204</v>
      </c>
      <c r="B8530" t="s">
        <v>507</v>
      </c>
      <c r="C8530" t="s">
        <v>81</v>
      </c>
      <c r="D8530" t="s">
        <v>86</v>
      </c>
      <c r="E8530" t="s">
        <v>89</v>
      </c>
      <c r="F8530">
        <v>1400</v>
      </c>
      <c r="G8530" t="s">
        <v>331</v>
      </c>
      <c r="H8530" s="15">
        <v>46143</v>
      </c>
      <c r="I8530">
        <v>1400</v>
      </c>
      <c r="J8530">
        <v>0</v>
      </c>
    </row>
    <row r="8531" spans="1:10" x14ac:dyDescent="0.3">
      <c r="A8531" s="15">
        <v>46204</v>
      </c>
      <c r="B8531" t="s">
        <v>508</v>
      </c>
      <c r="C8531" t="s">
        <v>91</v>
      </c>
      <c r="D8531" t="s">
        <v>82</v>
      </c>
      <c r="E8531" t="s">
        <v>83</v>
      </c>
      <c r="F8531">
        <v>7500</v>
      </c>
      <c r="G8531" t="s">
        <v>331</v>
      </c>
      <c r="H8531" s="15">
        <v>46143</v>
      </c>
      <c r="I8531">
        <v>7500</v>
      </c>
      <c r="J8531">
        <v>0</v>
      </c>
    </row>
    <row r="8532" spans="1:10" x14ac:dyDescent="0.3">
      <c r="A8532" s="15">
        <v>46204</v>
      </c>
      <c r="B8532" t="s">
        <v>509</v>
      </c>
      <c r="C8532" t="s">
        <v>91</v>
      </c>
      <c r="D8532" t="s">
        <v>86</v>
      </c>
      <c r="E8532" t="s">
        <v>103</v>
      </c>
      <c r="F8532">
        <v>8300</v>
      </c>
      <c r="G8532" t="s">
        <v>331</v>
      </c>
      <c r="H8532" s="15">
        <v>46143</v>
      </c>
      <c r="I8532">
        <v>8300</v>
      </c>
      <c r="J8532">
        <v>0</v>
      </c>
    </row>
    <row r="8533" spans="1:10" x14ac:dyDescent="0.3">
      <c r="A8533" s="15">
        <v>46204</v>
      </c>
      <c r="B8533" t="s">
        <v>510</v>
      </c>
      <c r="C8533" t="s">
        <v>91</v>
      </c>
      <c r="D8533" t="s">
        <v>86</v>
      </c>
      <c r="E8533" t="s">
        <v>101</v>
      </c>
      <c r="F8533">
        <v>8100</v>
      </c>
      <c r="G8533" t="s">
        <v>331</v>
      </c>
      <c r="H8533" s="15">
        <v>46143</v>
      </c>
      <c r="I8533">
        <v>8100</v>
      </c>
      <c r="J8533">
        <v>0</v>
      </c>
    </row>
    <row r="8534" spans="1:10" x14ac:dyDescent="0.3">
      <c r="A8534" s="15">
        <v>46204</v>
      </c>
      <c r="B8534" t="s">
        <v>511</v>
      </c>
      <c r="C8534" t="s">
        <v>91</v>
      </c>
      <c r="D8534" t="s">
        <v>99</v>
      </c>
      <c r="E8534" t="s">
        <v>101</v>
      </c>
      <c r="F8534">
        <v>7500</v>
      </c>
      <c r="G8534" t="s">
        <v>331</v>
      </c>
      <c r="H8534" s="15">
        <v>46143</v>
      </c>
      <c r="I8534">
        <v>7500</v>
      </c>
      <c r="J8534">
        <v>0</v>
      </c>
    </row>
    <row r="8535" spans="1:10" x14ac:dyDescent="0.3">
      <c r="A8535" s="15">
        <v>46204</v>
      </c>
      <c r="B8535" t="s">
        <v>512</v>
      </c>
      <c r="C8535" t="s">
        <v>110</v>
      </c>
      <c r="D8535" t="s">
        <v>96</v>
      </c>
      <c r="E8535" t="s">
        <v>103</v>
      </c>
      <c r="F8535">
        <v>30900</v>
      </c>
      <c r="G8535" t="s">
        <v>331</v>
      </c>
      <c r="H8535" s="15">
        <v>46143</v>
      </c>
      <c r="I8535">
        <v>30900</v>
      </c>
      <c r="J8535">
        <v>0</v>
      </c>
    </row>
    <row r="8536" spans="1:10" x14ac:dyDescent="0.3">
      <c r="A8536" s="15">
        <v>46204</v>
      </c>
      <c r="B8536" t="s">
        <v>513</v>
      </c>
      <c r="C8536" t="s">
        <v>91</v>
      </c>
      <c r="D8536" t="s">
        <v>96</v>
      </c>
      <c r="E8536" t="s">
        <v>103</v>
      </c>
      <c r="F8536">
        <v>7700</v>
      </c>
      <c r="G8536" t="s">
        <v>331</v>
      </c>
      <c r="H8536" s="15">
        <v>46143</v>
      </c>
      <c r="I8536">
        <v>7700</v>
      </c>
      <c r="J8536">
        <v>0</v>
      </c>
    </row>
    <row r="8537" spans="1:10" x14ac:dyDescent="0.3">
      <c r="A8537" s="15">
        <v>46204</v>
      </c>
      <c r="B8537" t="s">
        <v>514</v>
      </c>
      <c r="C8537" t="s">
        <v>81</v>
      </c>
      <c r="D8537" t="s">
        <v>99</v>
      </c>
      <c r="E8537" t="s">
        <v>92</v>
      </c>
      <c r="F8537">
        <v>2900</v>
      </c>
      <c r="G8537" t="s">
        <v>331</v>
      </c>
      <c r="H8537" s="15">
        <v>46174</v>
      </c>
      <c r="I8537">
        <v>2900</v>
      </c>
      <c r="J8537">
        <v>0</v>
      </c>
    </row>
    <row r="8538" spans="1:10" x14ac:dyDescent="0.3">
      <c r="A8538" s="15">
        <v>46204</v>
      </c>
      <c r="B8538" t="s">
        <v>515</v>
      </c>
      <c r="C8538" t="s">
        <v>110</v>
      </c>
      <c r="D8538" t="s">
        <v>86</v>
      </c>
      <c r="E8538" t="s">
        <v>101</v>
      </c>
      <c r="F8538">
        <v>32300</v>
      </c>
      <c r="G8538" t="s">
        <v>331</v>
      </c>
      <c r="H8538" s="15">
        <v>46174</v>
      </c>
      <c r="I8538">
        <v>32300</v>
      </c>
      <c r="J8538">
        <v>0</v>
      </c>
    </row>
    <row r="8539" spans="1:10" x14ac:dyDescent="0.3">
      <c r="A8539" s="15">
        <v>46204</v>
      </c>
      <c r="B8539" t="s">
        <v>516</v>
      </c>
      <c r="C8539" t="s">
        <v>81</v>
      </c>
      <c r="D8539" t="s">
        <v>99</v>
      </c>
      <c r="E8539" t="s">
        <v>89</v>
      </c>
      <c r="F8539">
        <v>1600</v>
      </c>
      <c r="G8539" t="s">
        <v>331</v>
      </c>
      <c r="H8539" s="15">
        <v>46174</v>
      </c>
      <c r="I8539">
        <v>1600</v>
      </c>
      <c r="J8539">
        <v>0</v>
      </c>
    </row>
    <row r="8540" spans="1:10" x14ac:dyDescent="0.3">
      <c r="A8540" s="15">
        <v>46204</v>
      </c>
      <c r="B8540" t="s">
        <v>517</v>
      </c>
      <c r="C8540" t="s">
        <v>91</v>
      </c>
      <c r="D8540" t="s">
        <v>82</v>
      </c>
      <c r="E8540" t="s">
        <v>97</v>
      </c>
      <c r="F8540">
        <v>6100</v>
      </c>
      <c r="G8540" t="s">
        <v>331</v>
      </c>
      <c r="H8540" s="15">
        <v>46174</v>
      </c>
      <c r="I8540">
        <v>6100</v>
      </c>
      <c r="J8540">
        <v>0</v>
      </c>
    </row>
    <row r="8541" spans="1:10" x14ac:dyDescent="0.3">
      <c r="A8541" s="15">
        <v>46204</v>
      </c>
      <c r="B8541" t="s">
        <v>518</v>
      </c>
      <c r="C8541" t="s">
        <v>110</v>
      </c>
      <c r="D8541" t="s">
        <v>96</v>
      </c>
      <c r="E8541" t="s">
        <v>103</v>
      </c>
      <c r="F8541">
        <v>26100</v>
      </c>
      <c r="G8541" t="s">
        <v>332</v>
      </c>
      <c r="H8541" s="15">
        <v>46174</v>
      </c>
      <c r="I8541">
        <v>24400</v>
      </c>
      <c r="J8541">
        <v>1700</v>
      </c>
    </row>
    <row r="8542" spans="1:10" x14ac:dyDescent="0.3">
      <c r="A8542" s="15">
        <v>46204</v>
      </c>
      <c r="B8542" t="s">
        <v>519</v>
      </c>
      <c r="C8542" t="s">
        <v>91</v>
      </c>
      <c r="D8542" t="s">
        <v>86</v>
      </c>
      <c r="E8542" t="s">
        <v>89</v>
      </c>
      <c r="F8542">
        <v>7400</v>
      </c>
      <c r="G8542" t="s">
        <v>331</v>
      </c>
      <c r="H8542" s="15">
        <v>46174</v>
      </c>
      <c r="I8542">
        <v>7400</v>
      </c>
      <c r="J8542">
        <v>0</v>
      </c>
    </row>
    <row r="8543" spans="1:10" x14ac:dyDescent="0.3">
      <c r="A8543" s="15">
        <v>46204</v>
      </c>
      <c r="B8543" t="s">
        <v>520</v>
      </c>
      <c r="C8543" t="s">
        <v>91</v>
      </c>
      <c r="D8543" t="s">
        <v>86</v>
      </c>
      <c r="E8543" t="s">
        <v>101</v>
      </c>
      <c r="F8543">
        <v>5900</v>
      </c>
      <c r="G8543" t="s">
        <v>331</v>
      </c>
      <c r="H8543" s="15">
        <v>46174</v>
      </c>
      <c r="I8543">
        <v>5900</v>
      </c>
      <c r="J8543">
        <v>0</v>
      </c>
    </row>
    <row r="8544" spans="1:10" x14ac:dyDescent="0.3">
      <c r="A8544" s="15">
        <v>46204</v>
      </c>
      <c r="B8544" t="s">
        <v>521</v>
      </c>
      <c r="C8544" t="s">
        <v>81</v>
      </c>
      <c r="D8544" t="s">
        <v>86</v>
      </c>
      <c r="E8544" t="s">
        <v>97</v>
      </c>
      <c r="F8544">
        <v>1800</v>
      </c>
      <c r="G8544" t="s">
        <v>331</v>
      </c>
      <c r="H8544" s="15">
        <v>46174</v>
      </c>
      <c r="I8544">
        <v>1800</v>
      </c>
      <c r="J8544">
        <v>0</v>
      </c>
    </row>
    <row r="8545" spans="1:10" x14ac:dyDescent="0.3">
      <c r="A8545" s="15">
        <v>46204</v>
      </c>
      <c r="B8545" t="s">
        <v>522</v>
      </c>
      <c r="C8545" t="s">
        <v>91</v>
      </c>
      <c r="D8545" t="s">
        <v>86</v>
      </c>
      <c r="E8545" t="s">
        <v>92</v>
      </c>
      <c r="F8545">
        <v>4600</v>
      </c>
      <c r="G8545" t="s">
        <v>331</v>
      </c>
      <c r="H8545" s="15">
        <v>46174</v>
      </c>
      <c r="I8545">
        <v>4600</v>
      </c>
      <c r="J8545">
        <v>0</v>
      </c>
    </row>
    <row r="8546" spans="1:10" x14ac:dyDescent="0.3">
      <c r="A8546" s="15">
        <v>46204</v>
      </c>
      <c r="B8546" t="s">
        <v>523</v>
      </c>
      <c r="C8546" t="s">
        <v>91</v>
      </c>
      <c r="D8546" t="s">
        <v>82</v>
      </c>
      <c r="E8546" t="s">
        <v>97</v>
      </c>
      <c r="F8546">
        <v>6900</v>
      </c>
      <c r="G8546" t="s">
        <v>331</v>
      </c>
      <c r="H8546" s="15">
        <v>46174</v>
      </c>
      <c r="I8546">
        <v>6900</v>
      </c>
      <c r="J8546">
        <v>0</v>
      </c>
    </row>
    <row r="8547" spans="1:10" x14ac:dyDescent="0.3">
      <c r="A8547" s="15">
        <v>46204</v>
      </c>
      <c r="B8547" t="s">
        <v>524</v>
      </c>
      <c r="C8547" t="s">
        <v>81</v>
      </c>
      <c r="D8547" t="s">
        <v>99</v>
      </c>
      <c r="E8547" t="s">
        <v>83</v>
      </c>
      <c r="F8547">
        <v>1600</v>
      </c>
      <c r="G8547" t="s">
        <v>84</v>
      </c>
      <c r="H8547" s="15">
        <v>46204</v>
      </c>
      <c r="I8547">
        <v>0</v>
      </c>
      <c r="J8547">
        <v>1600</v>
      </c>
    </row>
    <row r="8548" spans="1:10" x14ac:dyDescent="0.3">
      <c r="A8548" s="15">
        <v>46204</v>
      </c>
      <c r="B8548" t="s">
        <v>525</v>
      </c>
      <c r="C8548" t="s">
        <v>81</v>
      </c>
      <c r="D8548" t="s">
        <v>82</v>
      </c>
      <c r="E8548" t="s">
        <v>92</v>
      </c>
      <c r="F8548">
        <v>1800</v>
      </c>
      <c r="G8548" t="s">
        <v>84</v>
      </c>
      <c r="H8548" s="15">
        <v>46204</v>
      </c>
      <c r="I8548">
        <v>0</v>
      </c>
      <c r="J8548">
        <v>1800</v>
      </c>
    </row>
    <row r="8549" spans="1:10" x14ac:dyDescent="0.3">
      <c r="A8549" s="15">
        <v>46204</v>
      </c>
      <c r="B8549" t="s">
        <v>526</v>
      </c>
      <c r="C8549" t="s">
        <v>81</v>
      </c>
      <c r="D8549" t="s">
        <v>96</v>
      </c>
      <c r="E8549" t="s">
        <v>87</v>
      </c>
      <c r="F8549">
        <v>1500</v>
      </c>
      <c r="G8549" t="s">
        <v>84</v>
      </c>
      <c r="H8549" s="15">
        <v>46204</v>
      </c>
      <c r="I8549">
        <v>0</v>
      </c>
      <c r="J8549">
        <v>1500</v>
      </c>
    </row>
    <row r="8550" spans="1:10" x14ac:dyDescent="0.3">
      <c r="A8550" s="15">
        <v>46204</v>
      </c>
      <c r="B8550" t="s">
        <v>527</v>
      </c>
      <c r="C8550" t="s">
        <v>81</v>
      </c>
      <c r="D8550" t="s">
        <v>99</v>
      </c>
      <c r="E8550" t="s">
        <v>89</v>
      </c>
      <c r="F8550">
        <v>1500</v>
      </c>
      <c r="G8550" t="s">
        <v>84</v>
      </c>
      <c r="H8550" s="15">
        <v>46204</v>
      </c>
      <c r="I8550">
        <v>0</v>
      </c>
      <c r="J8550">
        <v>1500</v>
      </c>
    </row>
    <row r="8551" spans="1:10" x14ac:dyDescent="0.3">
      <c r="A8551" s="15">
        <v>46204</v>
      </c>
      <c r="B8551" t="s">
        <v>528</v>
      </c>
      <c r="C8551" t="s">
        <v>81</v>
      </c>
      <c r="D8551" t="s">
        <v>82</v>
      </c>
      <c r="E8551" t="s">
        <v>103</v>
      </c>
      <c r="F8551">
        <v>1700</v>
      </c>
      <c r="G8551" t="s">
        <v>84</v>
      </c>
      <c r="H8551" s="15">
        <v>46204</v>
      </c>
      <c r="I8551">
        <v>0</v>
      </c>
      <c r="J8551">
        <v>1700</v>
      </c>
    </row>
    <row r="8552" spans="1:10" x14ac:dyDescent="0.3">
      <c r="A8552" s="15">
        <v>46204</v>
      </c>
      <c r="B8552" t="s">
        <v>529</v>
      </c>
      <c r="C8552" t="s">
        <v>81</v>
      </c>
      <c r="D8552" t="s">
        <v>99</v>
      </c>
      <c r="E8552" t="s">
        <v>92</v>
      </c>
      <c r="F8552">
        <v>1400</v>
      </c>
      <c r="G8552" t="s">
        <v>84</v>
      </c>
      <c r="H8552" s="15">
        <v>46204</v>
      </c>
      <c r="I8552">
        <v>0</v>
      </c>
      <c r="J8552">
        <v>1400</v>
      </c>
    </row>
    <row r="8553" spans="1:10" x14ac:dyDescent="0.3">
      <c r="A8553" s="15">
        <v>46204</v>
      </c>
      <c r="B8553" t="s">
        <v>530</v>
      </c>
      <c r="C8553" t="s">
        <v>110</v>
      </c>
      <c r="D8553" t="s">
        <v>82</v>
      </c>
      <c r="E8553" t="s">
        <v>89</v>
      </c>
      <c r="F8553">
        <v>24200</v>
      </c>
      <c r="G8553" t="s">
        <v>84</v>
      </c>
      <c r="H8553" s="15">
        <v>46204</v>
      </c>
      <c r="I8553">
        <v>0</v>
      </c>
      <c r="J8553">
        <v>24200</v>
      </c>
    </row>
    <row r="8554" spans="1:10" x14ac:dyDescent="0.3">
      <c r="A8554" s="15">
        <v>46204</v>
      </c>
      <c r="B8554" t="s">
        <v>531</v>
      </c>
      <c r="C8554" t="s">
        <v>110</v>
      </c>
      <c r="D8554" t="s">
        <v>82</v>
      </c>
      <c r="E8554" t="s">
        <v>89</v>
      </c>
      <c r="F8554">
        <v>19800</v>
      </c>
      <c r="G8554" t="s">
        <v>84</v>
      </c>
      <c r="H8554" s="15">
        <v>46204</v>
      </c>
      <c r="I8554">
        <v>0</v>
      </c>
      <c r="J8554">
        <v>19800</v>
      </c>
    </row>
    <row r="8555" spans="1:10" x14ac:dyDescent="0.3">
      <c r="A8555" s="15">
        <v>46235</v>
      </c>
      <c r="B8555" t="s">
        <v>80</v>
      </c>
      <c r="C8555" t="s">
        <v>81</v>
      </c>
      <c r="D8555" t="s">
        <v>82</v>
      </c>
      <c r="E8555" t="s">
        <v>83</v>
      </c>
      <c r="F8555">
        <v>1900</v>
      </c>
      <c r="G8555" t="s">
        <v>331</v>
      </c>
      <c r="H8555" s="15">
        <v>45292</v>
      </c>
      <c r="I8555">
        <v>1900</v>
      </c>
      <c r="J8555">
        <v>0</v>
      </c>
    </row>
    <row r="8556" spans="1:10" x14ac:dyDescent="0.3">
      <c r="A8556" s="15">
        <v>46235</v>
      </c>
      <c r="B8556" t="s">
        <v>85</v>
      </c>
      <c r="C8556" t="s">
        <v>81</v>
      </c>
      <c r="D8556" t="s">
        <v>86</v>
      </c>
      <c r="E8556" t="s">
        <v>87</v>
      </c>
      <c r="F8556">
        <v>2200</v>
      </c>
      <c r="G8556" t="s">
        <v>331</v>
      </c>
      <c r="H8556" s="15">
        <v>45292</v>
      </c>
      <c r="I8556">
        <v>2200</v>
      </c>
      <c r="J8556">
        <v>0</v>
      </c>
    </row>
    <row r="8557" spans="1:10" x14ac:dyDescent="0.3">
      <c r="A8557" s="15">
        <v>46235</v>
      </c>
      <c r="B8557" t="s">
        <v>88</v>
      </c>
      <c r="C8557" t="s">
        <v>81</v>
      </c>
      <c r="D8557" t="s">
        <v>86</v>
      </c>
      <c r="E8557" t="s">
        <v>89</v>
      </c>
      <c r="F8557">
        <v>2400</v>
      </c>
      <c r="G8557" t="s">
        <v>331</v>
      </c>
      <c r="H8557" s="15">
        <v>45292</v>
      </c>
      <c r="I8557">
        <v>2400</v>
      </c>
      <c r="J8557">
        <v>0</v>
      </c>
    </row>
    <row r="8558" spans="1:10" x14ac:dyDescent="0.3">
      <c r="A8558" s="15">
        <v>46235</v>
      </c>
      <c r="B8558" t="s">
        <v>90</v>
      </c>
      <c r="C8558" t="s">
        <v>91</v>
      </c>
      <c r="D8558" t="s">
        <v>82</v>
      </c>
      <c r="E8558" t="s">
        <v>92</v>
      </c>
      <c r="F8558">
        <v>9200</v>
      </c>
      <c r="G8558" t="s">
        <v>331</v>
      </c>
      <c r="H8558" s="15">
        <v>45292</v>
      </c>
      <c r="I8558">
        <v>9200</v>
      </c>
      <c r="J8558">
        <v>0</v>
      </c>
    </row>
    <row r="8559" spans="1:10" x14ac:dyDescent="0.3">
      <c r="A8559" s="15">
        <v>46235</v>
      </c>
      <c r="B8559" t="s">
        <v>93</v>
      </c>
      <c r="C8559" t="s">
        <v>81</v>
      </c>
      <c r="D8559" t="s">
        <v>86</v>
      </c>
      <c r="E8559" t="s">
        <v>83</v>
      </c>
      <c r="F8559">
        <v>2600</v>
      </c>
      <c r="G8559" t="s">
        <v>331</v>
      </c>
      <c r="H8559" s="15">
        <v>45292</v>
      </c>
      <c r="I8559">
        <v>2600</v>
      </c>
      <c r="J8559">
        <v>0</v>
      </c>
    </row>
    <row r="8560" spans="1:10" x14ac:dyDescent="0.3">
      <c r="A8560" s="15">
        <v>46235</v>
      </c>
      <c r="B8560" t="s">
        <v>94</v>
      </c>
      <c r="C8560" t="s">
        <v>91</v>
      </c>
      <c r="D8560" t="s">
        <v>86</v>
      </c>
      <c r="E8560" t="s">
        <v>83</v>
      </c>
      <c r="F8560">
        <v>8900</v>
      </c>
      <c r="G8560" t="s">
        <v>332</v>
      </c>
      <c r="H8560" s="15">
        <v>45292</v>
      </c>
      <c r="I8560">
        <v>8500</v>
      </c>
      <c r="J8560">
        <v>400</v>
      </c>
    </row>
    <row r="8561" spans="1:10" x14ac:dyDescent="0.3">
      <c r="A8561" s="15">
        <v>46235</v>
      </c>
      <c r="B8561" t="s">
        <v>95</v>
      </c>
      <c r="C8561" t="s">
        <v>81</v>
      </c>
      <c r="D8561" t="s">
        <v>96</v>
      </c>
      <c r="E8561" t="s">
        <v>97</v>
      </c>
      <c r="F8561">
        <v>3100</v>
      </c>
      <c r="G8561" t="s">
        <v>331</v>
      </c>
      <c r="H8561" s="15">
        <v>45292</v>
      </c>
      <c r="I8561">
        <v>3100</v>
      </c>
      <c r="J8561">
        <v>0</v>
      </c>
    </row>
    <row r="8562" spans="1:10" x14ac:dyDescent="0.3">
      <c r="A8562" s="15">
        <v>46235</v>
      </c>
      <c r="B8562" t="s">
        <v>98</v>
      </c>
      <c r="C8562" t="s">
        <v>81</v>
      </c>
      <c r="D8562" t="s">
        <v>99</v>
      </c>
      <c r="E8562" t="s">
        <v>92</v>
      </c>
      <c r="F8562">
        <v>2000</v>
      </c>
      <c r="G8562" t="s">
        <v>331</v>
      </c>
      <c r="H8562" s="15">
        <v>45292</v>
      </c>
      <c r="I8562">
        <v>2000</v>
      </c>
      <c r="J8562">
        <v>0</v>
      </c>
    </row>
    <row r="8563" spans="1:10" x14ac:dyDescent="0.3">
      <c r="A8563" s="15">
        <v>46235</v>
      </c>
      <c r="B8563" t="s">
        <v>102</v>
      </c>
      <c r="C8563" t="s">
        <v>81</v>
      </c>
      <c r="D8563" t="s">
        <v>99</v>
      </c>
      <c r="E8563" t="s">
        <v>103</v>
      </c>
      <c r="F8563">
        <v>2500</v>
      </c>
      <c r="G8563" t="s">
        <v>331</v>
      </c>
      <c r="H8563" s="15">
        <v>45292</v>
      </c>
      <c r="I8563">
        <v>2500</v>
      </c>
      <c r="J8563">
        <v>0</v>
      </c>
    </row>
    <row r="8564" spans="1:10" x14ac:dyDescent="0.3">
      <c r="A8564" s="15">
        <v>46235</v>
      </c>
      <c r="B8564" t="s">
        <v>105</v>
      </c>
      <c r="C8564" t="s">
        <v>91</v>
      </c>
      <c r="D8564" t="s">
        <v>86</v>
      </c>
      <c r="E8564" t="s">
        <v>89</v>
      </c>
      <c r="F8564">
        <v>12900</v>
      </c>
      <c r="G8564" t="s">
        <v>331</v>
      </c>
      <c r="H8564" s="15">
        <v>45292</v>
      </c>
      <c r="I8564">
        <v>12900</v>
      </c>
      <c r="J8564">
        <v>0</v>
      </c>
    </row>
    <row r="8565" spans="1:10" x14ac:dyDescent="0.3">
      <c r="A8565" s="15">
        <v>46235</v>
      </c>
      <c r="B8565" t="s">
        <v>106</v>
      </c>
      <c r="C8565" t="s">
        <v>81</v>
      </c>
      <c r="D8565" t="s">
        <v>99</v>
      </c>
      <c r="E8565" t="s">
        <v>92</v>
      </c>
      <c r="F8565">
        <v>2700</v>
      </c>
      <c r="G8565" t="s">
        <v>331</v>
      </c>
      <c r="H8565" s="15">
        <v>45292</v>
      </c>
      <c r="I8565">
        <v>2700</v>
      </c>
      <c r="J8565">
        <v>0</v>
      </c>
    </row>
    <row r="8566" spans="1:10" x14ac:dyDescent="0.3">
      <c r="A8566" s="15">
        <v>46235</v>
      </c>
      <c r="B8566" t="s">
        <v>109</v>
      </c>
      <c r="C8566" t="s">
        <v>110</v>
      </c>
      <c r="D8566" t="s">
        <v>82</v>
      </c>
      <c r="E8566" t="s">
        <v>103</v>
      </c>
      <c r="F8566">
        <v>37500</v>
      </c>
      <c r="G8566" t="s">
        <v>331</v>
      </c>
      <c r="H8566" s="15">
        <v>45292</v>
      </c>
      <c r="I8566">
        <v>37500</v>
      </c>
      <c r="J8566">
        <v>0</v>
      </c>
    </row>
    <row r="8567" spans="1:10" x14ac:dyDescent="0.3">
      <c r="A8567" s="15">
        <v>46235</v>
      </c>
      <c r="B8567" t="s">
        <v>111</v>
      </c>
      <c r="C8567" t="s">
        <v>91</v>
      </c>
      <c r="D8567" t="s">
        <v>82</v>
      </c>
      <c r="E8567" t="s">
        <v>83</v>
      </c>
      <c r="F8567">
        <v>8800</v>
      </c>
      <c r="G8567" t="s">
        <v>331</v>
      </c>
      <c r="H8567" s="15">
        <v>45292</v>
      </c>
      <c r="I8567">
        <v>8800</v>
      </c>
      <c r="J8567">
        <v>0</v>
      </c>
    </row>
    <row r="8568" spans="1:10" x14ac:dyDescent="0.3">
      <c r="A8568" s="15">
        <v>46235</v>
      </c>
      <c r="B8568" t="s">
        <v>112</v>
      </c>
      <c r="C8568" t="s">
        <v>91</v>
      </c>
      <c r="D8568" t="s">
        <v>82</v>
      </c>
      <c r="E8568" t="s">
        <v>92</v>
      </c>
      <c r="F8568">
        <v>8600</v>
      </c>
      <c r="G8568" t="s">
        <v>331</v>
      </c>
      <c r="H8568" s="15">
        <v>45292</v>
      </c>
      <c r="I8568">
        <v>8600</v>
      </c>
      <c r="J8568">
        <v>0</v>
      </c>
    </row>
    <row r="8569" spans="1:10" x14ac:dyDescent="0.3">
      <c r="A8569" s="15">
        <v>46235</v>
      </c>
      <c r="B8569" t="s">
        <v>113</v>
      </c>
      <c r="C8569" t="s">
        <v>81</v>
      </c>
      <c r="D8569" t="s">
        <v>96</v>
      </c>
      <c r="E8569" t="s">
        <v>89</v>
      </c>
      <c r="F8569">
        <v>0</v>
      </c>
      <c r="G8569" t="s">
        <v>333</v>
      </c>
      <c r="H8569" s="15">
        <v>45292</v>
      </c>
      <c r="I8569">
        <v>2400</v>
      </c>
      <c r="J8569">
        <v>-2400</v>
      </c>
    </row>
    <row r="8570" spans="1:10" x14ac:dyDescent="0.3">
      <c r="A8570" s="15">
        <v>46235</v>
      </c>
      <c r="B8570" t="s">
        <v>114</v>
      </c>
      <c r="C8570" t="s">
        <v>110</v>
      </c>
      <c r="D8570" t="s">
        <v>99</v>
      </c>
      <c r="E8570" t="s">
        <v>97</v>
      </c>
      <c r="F8570">
        <v>39000</v>
      </c>
      <c r="G8570" t="s">
        <v>331</v>
      </c>
      <c r="H8570" s="15">
        <v>45292</v>
      </c>
      <c r="I8570">
        <v>39000</v>
      </c>
      <c r="J8570">
        <v>0</v>
      </c>
    </row>
    <row r="8571" spans="1:10" x14ac:dyDescent="0.3">
      <c r="A8571" s="15">
        <v>46235</v>
      </c>
      <c r="B8571" t="s">
        <v>115</v>
      </c>
      <c r="C8571" t="s">
        <v>81</v>
      </c>
      <c r="D8571" t="s">
        <v>82</v>
      </c>
      <c r="E8571" t="s">
        <v>101</v>
      </c>
      <c r="F8571">
        <v>2600</v>
      </c>
      <c r="G8571" t="s">
        <v>331</v>
      </c>
      <c r="H8571" s="15">
        <v>45292</v>
      </c>
      <c r="I8571">
        <v>2600</v>
      </c>
      <c r="J8571">
        <v>0</v>
      </c>
    </row>
    <row r="8572" spans="1:10" x14ac:dyDescent="0.3">
      <c r="A8572" s="15">
        <v>46235</v>
      </c>
      <c r="B8572" t="s">
        <v>116</v>
      </c>
      <c r="C8572" t="s">
        <v>81</v>
      </c>
      <c r="D8572" t="s">
        <v>86</v>
      </c>
      <c r="E8572" t="s">
        <v>87</v>
      </c>
      <c r="F8572">
        <v>2700</v>
      </c>
      <c r="G8572" t="s">
        <v>334</v>
      </c>
      <c r="H8572" s="15">
        <v>45292</v>
      </c>
      <c r="I8572">
        <v>2900</v>
      </c>
      <c r="J8572">
        <v>-200</v>
      </c>
    </row>
    <row r="8573" spans="1:10" x14ac:dyDescent="0.3">
      <c r="A8573" s="15">
        <v>46235</v>
      </c>
      <c r="B8573" t="s">
        <v>117</v>
      </c>
      <c r="C8573" t="s">
        <v>81</v>
      </c>
      <c r="D8573" t="s">
        <v>86</v>
      </c>
      <c r="E8573" t="s">
        <v>103</v>
      </c>
      <c r="F8573">
        <v>2500</v>
      </c>
      <c r="G8573" t="s">
        <v>331</v>
      </c>
      <c r="H8573" s="15">
        <v>45292</v>
      </c>
      <c r="I8573">
        <v>2500</v>
      </c>
      <c r="J8573">
        <v>0</v>
      </c>
    </row>
    <row r="8574" spans="1:10" x14ac:dyDescent="0.3">
      <c r="A8574" s="15">
        <v>46235</v>
      </c>
      <c r="B8574" t="s">
        <v>120</v>
      </c>
      <c r="C8574" t="s">
        <v>81</v>
      </c>
      <c r="D8574" t="s">
        <v>86</v>
      </c>
      <c r="E8574" t="s">
        <v>101</v>
      </c>
      <c r="F8574">
        <v>2200</v>
      </c>
      <c r="G8574" t="s">
        <v>331</v>
      </c>
      <c r="H8574" s="15">
        <v>45292</v>
      </c>
      <c r="I8574">
        <v>2200</v>
      </c>
      <c r="J8574">
        <v>0</v>
      </c>
    </row>
    <row r="8575" spans="1:10" x14ac:dyDescent="0.3">
      <c r="A8575" s="15">
        <v>46235</v>
      </c>
      <c r="B8575" t="s">
        <v>123</v>
      </c>
      <c r="C8575" t="s">
        <v>81</v>
      </c>
      <c r="D8575" t="s">
        <v>82</v>
      </c>
      <c r="E8575" t="s">
        <v>92</v>
      </c>
      <c r="F8575">
        <v>1900</v>
      </c>
      <c r="G8575" t="s">
        <v>331</v>
      </c>
      <c r="H8575" s="15">
        <v>45292</v>
      </c>
      <c r="I8575">
        <v>1900</v>
      </c>
      <c r="J8575">
        <v>0</v>
      </c>
    </row>
    <row r="8576" spans="1:10" x14ac:dyDescent="0.3">
      <c r="A8576" s="15">
        <v>46235</v>
      </c>
      <c r="B8576" t="s">
        <v>124</v>
      </c>
      <c r="C8576" t="s">
        <v>125</v>
      </c>
      <c r="D8576" t="s">
        <v>82</v>
      </c>
      <c r="E8576" t="s">
        <v>97</v>
      </c>
      <c r="F8576">
        <v>67900</v>
      </c>
      <c r="G8576" t="s">
        <v>331</v>
      </c>
      <c r="H8576" s="15">
        <v>45292</v>
      </c>
      <c r="I8576">
        <v>67900</v>
      </c>
      <c r="J8576">
        <v>0</v>
      </c>
    </row>
    <row r="8577" spans="1:10" x14ac:dyDescent="0.3">
      <c r="A8577" s="15">
        <v>46235</v>
      </c>
      <c r="B8577" t="s">
        <v>126</v>
      </c>
      <c r="C8577" t="s">
        <v>91</v>
      </c>
      <c r="D8577" t="s">
        <v>82</v>
      </c>
      <c r="E8577" t="s">
        <v>83</v>
      </c>
      <c r="F8577">
        <v>8800</v>
      </c>
      <c r="G8577" t="s">
        <v>331</v>
      </c>
      <c r="H8577" s="15">
        <v>45292</v>
      </c>
      <c r="I8577">
        <v>8800</v>
      </c>
      <c r="J8577">
        <v>0</v>
      </c>
    </row>
    <row r="8578" spans="1:10" x14ac:dyDescent="0.3">
      <c r="A8578" s="15">
        <v>46235</v>
      </c>
      <c r="B8578" t="s">
        <v>127</v>
      </c>
      <c r="C8578" t="s">
        <v>81</v>
      </c>
      <c r="D8578" t="s">
        <v>82</v>
      </c>
      <c r="E8578" t="s">
        <v>101</v>
      </c>
      <c r="F8578">
        <v>0</v>
      </c>
      <c r="G8578" t="s">
        <v>333</v>
      </c>
      <c r="H8578" s="15">
        <v>45292</v>
      </c>
      <c r="I8578">
        <v>2400</v>
      </c>
      <c r="J8578">
        <v>-2400</v>
      </c>
    </row>
    <row r="8579" spans="1:10" x14ac:dyDescent="0.3">
      <c r="A8579" s="15">
        <v>46235</v>
      </c>
      <c r="B8579" t="s">
        <v>128</v>
      </c>
      <c r="C8579" t="s">
        <v>81</v>
      </c>
      <c r="D8579" t="s">
        <v>82</v>
      </c>
      <c r="E8579" t="s">
        <v>92</v>
      </c>
      <c r="F8579">
        <v>1700</v>
      </c>
      <c r="G8579" t="s">
        <v>331</v>
      </c>
      <c r="H8579" s="15">
        <v>45292</v>
      </c>
      <c r="I8579">
        <v>1700</v>
      </c>
      <c r="J8579">
        <v>0</v>
      </c>
    </row>
    <row r="8580" spans="1:10" x14ac:dyDescent="0.3">
      <c r="A8580" s="15">
        <v>46235</v>
      </c>
      <c r="B8580" t="s">
        <v>129</v>
      </c>
      <c r="C8580" t="s">
        <v>110</v>
      </c>
      <c r="D8580" t="s">
        <v>86</v>
      </c>
      <c r="E8580" t="s">
        <v>92</v>
      </c>
      <c r="F8580">
        <v>40500</v>
      </c>
      <c r="G8580" t="s">
        <v>331</v>
      </c>
      <c r="H8580" s="15">
        <v>45292</v>
      </c>
      <c r="I8580">
        <v>40500</v>
      </c>
      <c r="J8580">
        <v>0</v>
      </c>
    </row>
    <row r="8581" spans="1:10" x14ac:dyDescent="0.3">
      <c r="A8581" s="15">
        <v>46235</v>
      </c>
      <c r="B8581" t="s">
        <v>133</v>
      </c>
      <c r="C8581" t="s">
        <v>81</v>
      </c>
      <c r="D8581" t="s">
        <v>96</v>
      </c>
      <c r="E8581" t="s">
        <v>87</v>
      </c>
      <c r="F8581">
        <v>2700</v>
      </c>
      <c r="G8581" t="s">
        <v>331</v>
      </c>
      <c r="H8581" s="15">
        <v>45292</v>
      </c>
      <c r="I8581">
        <v>2700</v>
      </c>
      <c r="J8581">
        <v>0</v>
      </c>
    </row>
    <row r="8582" spans="1:10" x14ac:dyDescent="0.3">
      <c r="A8582" s="15">
        <v>46235</v>
      </c>
      <c r="B8582" t="s">
        <v>134</v>
      </c>
      <c r="C8582" t="s">
        <v>81</v>
      </c>
      <c r="D8582" t="s">
        <v>82</v>
      </c>
      <c r="E8582" t="s">
        <v>92</v>
      </c>
      <c r="F8582">
        <v>2600</v>
      </c>
      <c r="G8582" t="s">
        <v>331</v>
      </c>
      <c r="H8582" s="15">
        <v>45292</v>
      </c>
      <c r="I8582">
        <v>2600</v>
      </c>
      <c r="J8582">
        <v>0</v>
      </c>
    </row>
    <row r="8583" spans="1:10" x14ac:dyDescent="0.3">
      <c r="A8583" s="15">
        <v>46235</v>
      </c>
      <c r="B8583" t="s">
        <v>135</v>
      </c>
      <c r="C8583" t="s">
        <v>81</v>
      </c>
      <c r="D8583" t="s">
        <v>82</v>
      </c>
      <c r="E8583" t="s">
        <v>103</v>
      </c>
      <c r="F8583">
        <v>2400</v>
      </c>
      <c r="G8583" t="s">
        <v>331</v>
      </c>
      <c r="H8583" s="15">
        <v>45292</v>
      </c>
      <c r="I8583">
        <v>2400</v>
      </c>
      <c r="J8583">
        <v>0</v>
      </c>
    </row>
    <row r="8584" spans="1:10" x14ac:dyDescent="0.3">
      <c r="A8584" s="15">
        <v>46235</v>
      </c>
      <c r="B8584" t="s">
        <v>136</v>
      </c>
      <c r="C8584" t="s">
        <v>81</v>
      </c>
      <c r="D8584" t="s">
        <v>82</v>
      </c>
      <c r="E8584" t="s">
        <v>101</v>
      </c>
      <c r="F8584">
        <v>2900</v>
      </c>
      <c r="G8584" t="s">
        <v>331</v>
      </c>
      <c r="H8584" s="15">
        <v>45292</v>
      </c>
      <c r="I8584">
        <v>2900</v>
      </c>
      <c r="J8584">
        <v>0</v>
      </c>
    </row>
    <row r="8585" spans="1:10" x14ac:dyDescent="0.3">
      <c r="A8585" s="15">
        <v>46235</v>
      </c>
      <c r="B8585" t="s">
        <v>138</v>
      </c>
      <c r="C8585" t="s">
        <v>81</v>
      </c>
      <c r="D8585" t="s">
        <v>86</v>
      </c>
      <c r="E8585" t="s">
        <v>97</v>
      </c>
      <c r="F8585">
        <v>3300</v>
      </c>
      <c r="G8585" t="s">
        <v>331</v>
      </c>
      <c r="H8585" s="15">
        <v>45292</v>
      </c>
      <c r="I8585">
        <v>3300</v>
      </c>
      <c r="J8585">
        <v>0</v>
      </c>
    </row>
    <row r="8586" spans="1:10" x14ac:dyDescent="0.3">
      <c r="A8586" s="15">
        <v>46235</v>
      </c>
      <c r="B8586" t="s">
        <v>139</v>
      </c>
      <c r="C8586" t="s">
        <v>91</v>
      </c>
      <c r="D8586" t="s">
        <v>82</v>
      </c>
      <c r="E8586" t="s">
        <v>103</v>
      </c>
      <c r="F8586">
        <v>6800</v>
      </c>
      <c r="G8586" t="s">
        <v>331</v>
      </c>
      <c r="H8586" s="15">
        <v>45292</v>
      </c>
      <c r="I8586">
        <v>6800</v>
      </c>
      <c r="J8586">
        <v>0</v>
      </c>
    </row>
    <row r="8587" spans="1:10" x14ac:dyDescent="0.3">
      <c r="A8587" s="15">
        <v>46235</v>
      </c>
      <c r="B8587" t="s">
        <v>141</v>
      </c>
      <c r="C8587" t="s">
        <v>125</v>
      </c>
      <c r="D8587" t="s">
        <v>99</v>
      </c>
      <c r="E8587" t="s">
        <v>103</v>
      </c>
      <c r="F8587">
        <v>127400</v>
      </c>
      <c r="G8587" t="s">
        <v>331</v>
      </c>
      <c r="H8587" s="15">
        <v>45292</v>
      </c>
      <c r="I8587">
        <v>127400</v>
      </c>
      <c r="J8587">
        <v>0</v>
      </c>
    </row>
    <row r="8588" spans="1:10" x14ac:dyDescent="0.3">
      <c r="A8588" s="15">
        <v>46235</v>
      </c>
      <c r="B8588" t="s">
        <v>142</v>
      </c>
      <c r="C8588" t="s">
        <v>125</v>
      </c>
      <c r="D8588" t="s">
        <v>82</v>
      </c>
      <c r="E8588" t="s">
        <v>92</v>
      </c>
      <c r="F8588">
        <v>114200</v>
      </c>
      <c r="G8588" t="s">
        <v>331</v>
      </c>
      <c r="H8588" s="15">
        <v>45292</v>
      </c>
      <c r="I8588">
        <v>114200</v>
      </c>
      <c r="J8588">
        <v>0</v>
      </c>
    </row>
    <row r="8589" spans="1:10" x14ac:dyDescent="0.3">
      <c r="A8589" s="15">
        <v>46235</v>
      </c>
      <c r="B8589" t="s">
        <v>143</v>
      </c>
      <c r="C8589" t="s">
        <v>91</v>
      </c>
      <c r="D8589" t="s">
        <v>99</v>
      </c>
      <c r="E8589" t="s">
        <v>103</v>
      </c>
      <c r="F8589">
        <v>8000</v>
      </c>
      <c r="G8589" t="s">
        <v>331</v>
      </c>
      <c r="H8589" s="15">
        <v>45292</v>
      </c>
      <c r="I8589">
        <v>8000</v>
      </c>
      <c r="J8589">
        <v>0</v>
      </c>
    </row>
    <row r="8590" spans="1:10" x14ac:dyDescent="0.3">
      <c r="A8590" s="15">
        <v>46235</v>
      </c>
      <c r="B8590" t="s">
        <v>144</v>
      </c>
      <c r="C8590" t="s">
        <v>81</v>
      </c>
      <c r="D8590" t="s">
        <v>82</v>
      </c>
      <c r="E8590" t="s">
        <v>92</v>
      </c>
      <c r="F8590">
        <v>2500</v>
      </c>
      <c r="G8590" t="s">
        <v>331</v>
      </c>
      <c r="H8590" s="15">
        <v>45292</v>
      </c>
      <c r="I8590">
        <v>2500</v>
      </c>
      <c r="J8590">
        <v>0</v>
      </c>
    </row>
    <row r="8591" spans="1:10" x14ac:dyDescent="0.3">
      <c r="A8591" s="15">
        <v>46235</v>
      </c>
      <c r="B8591" t="s">
        <v>145</v>
      </c>
      <c r="C8591" t="s">
        <v>91</v>
      </c>
      <c r="D8591" t="s">
        <v>82</v>
      </c>
      <c r="E8591" t="s">
        <v>87</v>
      </c>
      <c r="F8591">
        <v>7400</v>
      </c>
      <c r="G8591" t="s">
        <v>331</v>
      </c>
      <c r="H8591" s="15">
        <v>45292</v>
      </c>
      <c r="I8591">
        <v>7400</v>
      </c>
      <c r="J8591">
        <v>0</v>
      </c>
    </row>
    <row r="8592" spans="1:10" x14ac:dyDescent="0.3">
      <c r="A8592" s="15">
        <v>46235</v>
      </c>
      <c r="B8592" t="s">
        <v>146</v>
      </c>
      <c r="C8592" t="s">
        <v>91</v>
      </c>
      <c r="D8592" t="s">
        <v>86</v>
      </c>
      <c r="E8592" t="s">
        <v>87</v>
      </c>
      <c r="F8592">
        <v>10100</v>
      </c>
      <c r="G8592" t="s">
        <v>331</v>
      </c>
      <c r="H8592" s="15">
        <v>45292</v>
      </c>
      <c r="I8592">
        <v>10100</v>
      </c>
      <c r="J8592">
        <v>0</v>
      </c>
    </row>
    <row r="8593" spans="1:10" x14ac:dyDescent="0.3">
      <c r="A8593" s="15">
        <v>46235</v>
      </c>
      <c r="B8593" t="s">
        <v>149</v>
      </c>
      <c r="C8593" t="s">
        <v>110</v>
      </c>
      <c r="D8593" t="s">
        <v>82</v>
      </c>
      <c r="E8593" t="s">
        <v>103</v>
      </c>
      <c r="F8593">
        <v>25500</v>
      </c>
      <c r="G8593" t="s">
        <v>331</v>
      </c>
      <c r="H8593" s="15">
        <v>45292</v>
      </c>
      <c r="I8593">
        <v>25500</v>
      </c>
      <c r="J8593">
        <v>0</v>
      </c>
    </row>
    <row r="8594" spans="1:10" x14ac:dyDescent="0.3">
      <c r="A8594" s="15">
        <v>46235</v>
      </c>
      <c r="B8594" t="s">
        <v>151</v>
      </c>
      <c r="C8594" t="s">
        <v>91</v>
      </c>
      <c r="D8594" t="s">
        <v>82</v>
      </c>
      <c r="E8594" t="s">
        <v>97</v>
      </c>
      <c r="F8594">
        <v>5600</v>
      </c>
      <c r="G8594" t="s">
        <v>331</v>
      </c>
      <c r="H8594" s="15">
        <v>45292</v>
      </c>
      <c r="I8594">
        <v>5600</v>
      </c>
      <c r="J8594">
        <v>0</v>
      </c>
    </row>
    <row r="8595" spans="1:10" x14ac:dyDescent="0.3">
      <c r="A8595" s="15">
        <v>46235</v>
      </c>
      <c r="B8595" t="s">
        <v>154</v>
      </c>
      <c r="C8595" t="s">
        <v>91</v>
      </c>
      <c r="D8595" t="s">
        <v>86</v>
      </c>
      <c r="E8595" t="s">
        <v>103</v>
      </c>
      <c r="F8595">
        <v>8300</v>
      </c>
      <c r="G8595" t="s">
        <v>331</v>
      </c>
      <c r="H8595" s="15">
        <v>45292</v>
      </c>
      <c r="I8595">
        <v>8300</v>
      </c>
      <c r="J8595">
        <v>0</v>
      </c>
    </row>
    <row r="8596" spans="1:10" x14ac:dyDescent="0.3">
      <c r="A8596" s="15">
        <v>46235</v>
      </c>
      <c r="B8596" t="s">
        <v>155</v>
      </c>
      <c r="C8596" t="s">
        <v>91</v>
      </c>
      <c r="D8596" t="s">
        <v>82</v>
      </c>
      <c r="E8596" t="s">
        <v>92</v>
      </c>
      <c r="F8596">
        <v>7300</v>
      </c>
      <c r="G8596" t="s">
        <v>331</v>
      </c>
      <c r="H8596" s="15">
        <v>45292</v>
      </c>
      <c r="I8596">
        <v>7300</v>
      </c>
      <c r="J8596">
        <v>0</v>
      </c>
    </row>
    <row r="8597" spans="1:10" x14ac:dyDescent="0.3">
      <c r="A8597" s="15">
        <v>46235</v>
      </c>
      <c r="B8597" t="s">
        <v>156</v>
      </c>
      <c r="C8597" t="s">
        <v>81</v>
      </c>
      <c r="D8597" t="s">
        <v>86</v>
      </c>
      <c r="E8597" t="s">
        <v>101</v>
      </c>
      <c r="F8597">
        <v>2500</v>
      </c>
      <c r="G8597" t="s">
        <v>331</v>
      </c>
      <c r="H8597" s="15">
        <v>45292</v>
      </c>
      <c r="I8597">
        <v>2500</v>
      </c>
      <c r="J8597">
        <v>0</v>
      </c>
    </row>
    <row r="8598" spans="1:10" x14ac:dyDescent="0.3">
      <c r="A8598" s="15">
        <v>46235</v>
      </c>
      <c r="B8598" t="s">
        <v>157</v>
      </c>
      <c r="C8598" t="s">
        <v>81</v>
      </c>
      <c r="D8598" t="s">
        <v>82</v>
      </c>
      <c r="E8598" t="s">
        <v>92</v>
      </c>
      <c r="F8598">
        <v>1800</v>
      </c>
      <c r="G8598" t="s">
        <v>331</v>
      </c>
      <c r="H8598" s="15">
        <v>45292</v>
      </c>
      <c r="I8598">
        <v>1800</v>
      </c>
      <c r="J8598">
        <v>0</v>
      </c>
    </row>
    <row r="8599" spans="1:10" x14ac:dyDescent="0.3">
      <c r="A8599" s="15">
        <v>46235</v>
      </c>
      <c r="B8599" t="s">
        <v>158</v>
      </c>
      <c r="C8599" t="s">
        <v>91</v>
      </c>
      <c r="D8599" t="s">
        <v>96</v>
      </c>
      <c r="E8599" t="s">
        <v>83</v>
      </c>
      <c r="F8599">
        <v>12600</v>
      </c>
      <c r="G8599" t="s">
        <v>331</v>
      </c>
      <c r="H8599" s="15">
        <v>45292</v>
      </c>
      <c r="I8599">
        <v>12600</v>
      </c>
      <c r="J8599">
        <v>0</v>
      </c>
    </row>
    <row r="8600" spans="1:10" x14ac:dyDescent="0.3">
      <c r="A8600" s="15">
        <v>46235</v>
      </c>
      <c r="B8600" t="s">
        <v>159</v>
      </c>
      <c r="C8600" t="s">
        <v>81</v>
      </c>
      <c r="D8600" t="s">
        <v>86</v>
      </c>
      <c r="E8600" t="s">
        <v>87</v>
      </c>
      <c r="F8600">
        <v>2600</v>
      </c>
      <c r="G8600" t="s">
        <v>332</v>
      </c>
      <c r="H8600" s="15">
        <v>45292</v>
      </c>
      <c r="I8600">
        <v>2400</v>
      </c>
      <c r="J8600">
        <v>200</v>
      </c>
    </row>
    <row r="8601" spans="1:10" x14ac:dyDescent="0.3">
      <c r="A8601" s="15">
        <v>46235</v>
      </c>
      <c r="B8601" t="s">
        <v>161</v>
      </c>
      <c r="C8601" t="s">
        <v>91</v>
      </c>
      <c r="D8601" t="s">
        <v>99</v>
      </c>
      <c r="E8601" t="s">
        <v>83</v>
      </c>
      <c r="F8601">
        <v>10900</v>
      </c>
      <c r="G8601" t="s">
        <v>331</v>
      </c>
      <c r="H8601" s="15">
        <v>45292</v>
      </c>
      <c r="I8601">
        <v>10900</v>
      </c>
      <c r="J8601">
        <v>0</v>
      </c>
    </row>
    <row r="8602" spans="1:10" x14ac:dyDescent="0.3">
      <c r="A8602" s="15">
        <v>46235</v>
      </c>
      <c r="B8602" t="s">
        <v>164</v>
      </c>
      <c r="C8602" t="s">
        <v>81</v>
      </c>
      <c r="D8602" t="s">
        <v>99</v>
      </c>
      <c r="E8602" t="s">
        <v>89</v>
      </c>
      <c r="F8602">
        <v>2800</v>
      </c>
      <c r="G8602" t="s">
        <v>331</v>
      </c>
      <c r="H8602" s="15">
        <v>45292</v>
      </c>
      <c r="I8602">
        <v>2800</v>
      </c>
      <c r="J8602">
        <v>0</v>
      </c>
    </row>
    <row r="8603" spans="1:10" x14ac:dyDescent="0.3">
      <c r="A8603" s="15">
        <v>46235</v>
      </c>
      <c r="B8603" t="s">
        <v>166</v>
      </c>
      <c r="C8603" t="s">
        <v>81</v>
      </c>
      <c r="D8603" t="s">
        <v>99</v>
      </c>
      <c r="E8603" t="s">
        <v>103</v>
      </c>
      <c r="F8603">
        <v>2600</v>
      </c>
      <c r="G8603" t="s">
        <v>331</v>
      </c>
      <c r="H8603" s="15">
        <v>45292</v>
      </c>
      <c r="I8603">
        <v>2600</v>
      </c>
      <c r="J8603">
        <v>0</v>
      </c>
    </row>
    <row r="8604" spans="1:10" x14ac:dyDescent="0.3">
      <c r="A8604" s="15">
        <v>46235</v>
      </c>
      <c r="B8604" t="s">
        <v>167</v>
      </c>
      <c r="C8604" t="s">
        <v>81</v>
      </c>
      <c r="D8604" t="s">
        <v>82</v>
      </c>
      <c r="E8604" t="s">
        <v>97</v>
      </c>
      <c r="F8604">
        <v>2000</v>
      </c>
      <c r="G8604" t="s">
        <v>331</v>
      </c>
      <c r="H8604" s="15">
        <v>45292</v>
      </c>
      <c r="I8604">
        <v>2000</v>
      </c>
      <c r="J8604">
        <v>0</v>
      </c>
    </row>
    <row r="8605" spans="1:10" x14ac:dyDescent="0.3">
      <c r="A8605" s="15">
        <v>46235</v>
      </c>
      <c r="B8605" t="s">
        <v>168</v>
      </c>
      <c r="C8605" t="s">
        <v>91</v>
      </c>
      <c r="D8605" t="s">
        <v>86</v>
      </c>
      <c r="E8605" t="s">
        <v>103</v>
      </c>
      <c r="F8605">
        <v>10700</v>
      </c>
      <c r="G8605" t="s">
        <v>331</v>
      </c>
      <c r="H8605" s="15">
        <v>45292</v>
      </c>
      <c r="I8605">
        <v>10700</v>
      </c>
      <c r="J8605">
        <v>0</v>
      </c>
    </row>
    <row r="8606" spans="1:10" x14ac:dyDescent="0.3">
      <c r="A8606" s="15">
        <v>46235</v>
      </c>
      <c r="B8606" t="s">
        <v>170</v>
      </c>
      <c r="C8606" t="s">
        <v>91</v>
      </c>
      <c r="D8606" t="s">
        <v>99</v>
      </c>
      <c r="E8606" t="s">
        <v>83</v>
      </c>
      <c r="F8606">
        <v>5500</v>
      </c>
      <c r="G8606" t="s">
        <v>331</v>
      </c>
      <c r="H8606" s="15">
        <v>45292</v>
      </c>
      <c r="I8606">
        <v>5500</v>
      </c>
      <c r="J8606">
        <v>0</v>
      </c>
    </row>
    <row r="8607" spans="1:10" x14ac:dyDescent="0.3">
      <c r="A8607" s="15">
        <v>46235</v>
      </c>
      <c r="B8607" t="s">
        <v>171</v>
      </c>
      <c r="C8607" t="s">
        <v>81</v>
      </c>
      <c r="D8607" t="s">
        <v>99</v>
      </c>
      <c r="E8607" t="s">
        <v>97</v>
      </c>
      <c r="F8607">
        <v>1700</v>
      </c>
      <c r="G8607" t="s">
        <v>331</v>
      </c>
      <c r="H8607" s="15">
        <v>45292</v>
      </c>
      <c r="I8607">
        <v>1700</v>
      </c>
      <c r="J8607">
        <v>0</v>
      </c>
    </row>
    <row r="8608" spans="1:10" x14ac:dyDescent="0.3">
      <c r="A8608" s="15">
        <v>46235</v>
      </c>
      <c r="B8608" t="s">
        <v>174</v>
      </c>
      <c r="C8608" t="s">
        <v>81</v>
      </c>
      <c r="D8608" t="s">
        <v>82</v>
      </c>
      <c r="E8608" t="s">
        <v>92</v>
      </c>
      <c r="F8608">
        <v>2400</v>
      </c>
      <c r="G8608" t="s">
        <v>331</v>
      </c>
      <c r="H8608" s="15">
        <v>45292</v>
      </c>
      <c r="I8608">
        <v>2400</v>
      </c>
      <c r="J8608">
        <v>0</v>
      </c>
    </row>
    <row r="8609" spans="1:10" x14ac:dyDescent="0.3">
      <c r="A8609" s="15">
        <v>46235</v>
      </c>
      <c r="B8609" t="s">
        <v>175</v>
      </c>
      <c r="C8609" t="s">
        <v>91</v>
      </c>
      <c r="D8609" t="s">
        <v>96</v>
      </c>
      <c r="E8609" t="s">
        <v>83</v>
      </c>
      <c r="F8609">
        <v>8800</v>
      </c>
      <c r="G8609" t="s">
        <v>331</v>
      </c>
      <c r="H8609" s="15">
        <v>45292</v>
      </c>
      <c r="I8609">
        <v>8800</v>
      </c>
      <c r="J8609">
        <v>0</v>
      </c>
    </row>
    <row r="8610" spans="1:10" x14ac:dyDescent="0.3">
      <c r="A8610" s="15">
        <v>46235</v>
      </c>
      <c r="B8610" t="s">
        <v>176</v>
      </c>
      <c r="C8610" t="s">
        <v>81</v>
      </c>
      <c r="D8610" t="s">
        <v>99</v>
      </c>
      <c r="E8610" t="s">
        <v>92</v>
      </c>
      <c r="F8610">
        <v>2900</v>
      </c>
      <c r="G8610" t="s">
        <v>331</v>
      </c>
      <c r="H8610" s="15">
        <v>45292</v>
      </c>
      <c r="I8610">
        <v>2900</v>
      </c>
      <c r="J8610">
        <v>0</v>
      </c>
    </row>
    <row r="8611" spans="1:10" x14ac:dyDescent="0.3">
      <c r="A8611" s="15">
        <v>46235</v>
      </c>
      <c r="B8611" t="s">
        <v>177</v>
      </c>
      <c r="C8611" t="s">
        <v>81</v>
      </c>
      <c r="D8611" t="s">
        <v>96</v>
      </c>
      <c r="E8611" t="s">
        <v>83</v>
      </c>
      <c r="F8611">
        <v>2900</v>
      </c>
      <c r="G8611" t="s">
        <v>331</v>
      </c>
      <c r="H8611" s="15">
        <v>45292</v>
      </c>
      <c r="I8611">
        <v>2900</v>
      </c>
      <c r="J8611">
        <v>0</v>
      </c>
    </row>
    <row r="8612" spans="1:10" x14ac:dyDescent="0.3">
      <c r="A8612" s="15">
        <v>46235</v>
      </c>
      <c r="B8612" t="s">
        <v>178</v>
      </c>
      <c r="C8612" t="s">
        <v>91</v>
      </c>
      <c r="D8612" t="s">
        <v>82</v>
      </c>
      <c r="E8612" t="s">
        <v>89</v>
      </c>
      <c r="F8612">
        <v>8400</v>
      </c>
      <c r="G8612" t="s">
        <v>331</v>
      </c>
      <c r="H8612" s="15">
        <v>45292</v>
      </c>
      <c r="I8612">
        <v>8400</v>
      </c>
      <c r="J8612">
        <v>0</v>
      </c>
    </row>
    <row r="8613" spans="1:10" x14ac:dyDescent="0.3">
      <c r="A8613" s="15">
        <v>46235</v>
      </c>
      <c r="B8613" t="s">
        <v>179</v>
      </c>
      <c r="C8613" t="s">
        <v>110</v>
      </c>
      <c r="D8613" t="s">
        <v>86</v>
      </c>
      <c r="E8613" t="s">
        <v>87</v>
      </c>
      <c r="F8613">
        <v>27000</v>
      </c>
      <c r="G8613" t="s">
        <v>331</v>
      </c>
      <c r="H8613" s="15">
        <v>45292</v>
      </c>
      <c r="I8613">
        <v>27000</v>
      </c>
      <c r="J8613">
        <v>0</v>
      </c>
    </row>
    <row r="8614" spans="1:10" x14ac:dyDescent="0.3">
      <c r="A8614" s="15">
        <v>46235</v>
      </c>
      <c r="B8614" t="s">
        <v>180</v>
      </c>
      <c r="C8614" t="s">
        <v>91</v>
      </c>
      <c r="D8614" t="s">
        <v>86</v>
      </c>
      <c r="E8614" t="s">
        <v>83</v>
      </c>
      <c r="F8614">
        <v>8500</v>
      </c>
      <c r="G8614" t="s">
        <v>331</v>
      </c>
      <c r="H8614" s="15">
        <v>45292</v>
      </c>
      <c r="I8614">
        <v>8500</v>
      </c>
      <c r="J8614">
        <v>0</v>
      </c>
    </row>
    <row r="8615" spans="1:10" x14ac:dyDescent="0.3">
      <c r="A8615" s="15">
        <v>46235</v>
      </c>
      <c r="B8615" t="s">
        <v>181</v>
      </c>
      <c r="C8615" t="s">
        <v>91</v>
      </c>
      <c r="D8615" t="s">
        <v>82</v>
      </c>
      <c r="E8615" t="s">
        <v>97</v>
      </c>
      <c r="F8615">
        <v>10100</v>
      </c>
      <c r="G8615" t="s">
        <v>331</v>
      </c>
      <c r="H8615" s="15">
        <v>45292</v>
      </c>
      <c r="I8615">
        <v>10100</v>
      </c>
      <c r="J8615">
        <v>0</v>
      </c>
    </row>
    <row r="8616" spans="1:10" x14ac:dyDescent="0.3">
      <c r="A8616" s="15">
        <v>46235</v>
      </c>
      <c r="B8616" t="s">
        <v>182</v>
      </c>
      <c r="C8616" t="s">
        <v>125</v>
      </c>
      <c r="D8616" t="s">
        <v>82</v>
      </c>
      <c r="E8616" t="s">
        <v>92</v>
      </c>
      <c r="F8616">
        <v>100200</v>
      </c>
      <c r="G8616" t="s">
        <v>331</v>
      </c>
      <c r="H8616" s="15">
        <v>45292</v>
      </c>
      <c r="I8616">
        <v>100200</v>
      </c>
      <c r="J8616">
        <v>0</v>
      </c>
    </row>
    <row r="8617" spans="1:10" x14ac:dyDescent="0.3">
      <c r="A8617" s="15">
        <v>46235</v>
      </c>
      <c r="B8617" t="s">
        <v>183</v>
      </c>
      <c r="C8617" t="s">
        <v>91</v>
      </c>
      <c r="D8617" t="s">
        <v>96</v>
      </c>
      <c r="E8617" t="s">
        <v>92</v>
      </c>
      <c r="F8617">
        <v>9500</v>
      </c>
      <c r="G8617" t="s">
        <v>331</v>
      </c>
      <c r="H8617" s="15">
        <v>45292</v>
      </c>
      <c r="I8617">
        <v>9500</v>
      </c>
      <c r="J8617">
        <v>0</v>
      </c>
    </row>
    <row r="8618" spans="1:10" x14ac:dyDescent="0.3">
      <c r="A8618" s="15">
        <v>46235</v>
      </c>
      <c r="B8618" t="s">
        <v>184</v>
      </c>
      <c r="C8618" t="s">
        <v>81</v>
      </c>
      <c r="D8618" t="s">
        <v>82</v>
      </c>
      <c r="E8618" t="s">
        <v>83</v>
      </c>
      <c r="F8618">
        <v>2400</v>
      </c>
      <c r="G8618" t="s">
        <v>331</v>
      </c>
      <c r="H8618" s="15">
        <v>45292</v>
      </c>
      <c r="I8618">
        <v>2400</v>
      </c>
      <c r="J8618">
        <v>0</v>
      </c>
    </row>
    <row r="8619" spans="1:10" x14ac:dyDescent="0.3">
      <c r="A8619" s="15">
        <v>46235</v>
      </c>
      <c r="B8619" t="s">
        <v>185</v>
      </c>
      <c r="C8619" t="s">
        <v>81</v>
      </c>
      <c r="D8619" t="s">
        <v>96</v>
      </c>
      <c r="E8619" t="s">
        <v>97</v>
      </c>
      <c r="F8619">
        <v>1900</v>
      </c>
      <c r="G8619" t="s">
        <v>331</v>
      </c>
      <c r="H8619" s="15">
        <v>45292</v>
      </c>
      <c r="I8619">
        <v>1900</v>
      </c>
      <c r="J8619">
        <v>0</v>
      </c>
    </row>
    <row r="8620" spans="1:10" x14ac:dyDescent="0.3">
      <c r="A8620" s="15">
        <v>46235</v>
      </c>
      <c r="B8620" t="s">
        <v>186</v>
      </c>
      <c r="C8620" t="s">
        <v>91</v>
      </c>
      <c r="D8620" t="s">
        <v>82</v>
      </c>
      <c r="E8620" t="s">
        <v>103</v>
      </c>
      <c r="F8620">
        <v>13900</v>
      </c>
      <c r="G8620" t="s">
        <v>331</v>
      </c>
      <c r="H8620" s="15">
        <v>45292</v>
      </c>
      <c r="I8620">
        <v>13900</v>
      </c>
      <c r="J8620">
        <v>0</v>
      </c>
    </row>
    <row r="8621" spans="1:10" x14ac:dyDescent="0.3">
      <c r="A8621" s="15">
        <v>46235</v>
      </c>
      <c r="B8621" t="s">
        <v>187</v>
      </c>
      <c r="C8621" t="s">
        <v>110</v>
      </c>
      <c r="D8621" t="s">
        <v>86</v>
      </c>
      <c r="E8621" t="s">
        <v>97</v>
      </c>
      <c r="F8621">
        <v>30100</v>
      </c>
      <c r="G8621" t="s">
        <v>331</v>
      </c>
      <c r="H8621" s="15">
        <v>45292</v>
      </c>
      <c r="I8621">
        <v>30100</v>
      </c>
      <c r="J8621">
        <v>0</v>
      </c>
    </row>
    <row r="8622" spans="1:10" x14ac:dyDescent="0.3">
      <c r="A8622" s="15">
        <v>46235</v>
      </c>
      <c r="B8622" t="s">
        <v>188</v>
      </c>
      <c r="C8622" t="s">
        <v>91</v>
      </c>
      <c r="D8622" t="s">
        <v>82</v>
      </c>
      <c r="E8622" t="s">
        <v>92</v>
      </c>
      <c r="F8622">
        <v>12800</v>
      </c>
      <c r="G8622" t="s">
        <v>331</v>
      </c>
      <c r="H8622" s="15">
        <v>45292</v>
      </c>
      <c r="I8622">
        <v>12800</v>
      </c>
      <c r="J8622">
        <v>0</v>
      </c>
    </row>
    <row r="8623" spans="1:10" x14ac:dyDescent="0.3">
      <c r="A8623" s="15">
        <v>46235</v>
      </c>
      <c r="B8623" t="s">
        <v>189</v>
      </c>
      <c r="C8623" t="s">
        <v>81</v>
      </c>
      <c r="D8623" t="s">
        <v>86</v>
      </c>
      <c r="E8623" t="s">
        <v>103</v>
      </c>
      <c r="F8623">
        <v>2300</v>
      </c>
      <c r="G8623" t="s">
        <v>331</v>
      </c>
      <c r="H8623" s="15">
        <v>45292</v>
      </c>
      <c r="I8623">
        <v>2300</v>
      </c>
      <c r="J8623">
        <v>0</v>
      </c>
    </row>
    <row r="8624" spans="1:10" x14ac:dyDescent="0.3">
      <c r="A8624" s="15">
        <v>46235</v>
      </c>
      <c r="B8624" t="s">
        <v>190</v>
      </c>
      <c r="C8624" t="s">
        <v>81</v>
      </c>
      <c r="D8624" t="s">
        <v>99</v>
      </c>
      <c r="E8624" t="s">
        <v>89</v>
      </c>
      <c r="F8624">
        <v>1900</v>
      </c>
      <c r="G8624" t="s">
        <v>331</v>
      </c>
      <c r="H8624" s="15">
        <v>45292</v>
      </c>
      <c r="I8624">
        <v>1900</v>
      </c>
      <c r="J8624">
        <v>0</v>
      </c>
    </row>
    <row r="8625" spans="1:10" x14ac:dyDescent="0.3">
      <c r="A8625" s="15">
        <v>46235</v>
      </c>
      <c r="B8625" t="s">
        <v>191</v>
      </c>
      <c r="C8625" t="s">
        <v>91</v>
      </c>
      <c r="D8625" t="s">
        <v>86</v>
      </c>
      <c r="E8625" t="s">
        <v>87</v>
      </c>
      <c r="F8625">
        <v>6900</v>
      </c>
      <c r="G8625" t="s">
        <v>331</v>
      </c>
      <c r="H8625" s="15">
        <v>45292</v>
      </c>
      <c r="I8625">
        <v>6900</v>
      </c>
      <c r="J8625">
        <v>0</v>
      </c>
    </row>
    <row r="8626" spans="1:10" x14ac:dyDescent="0.3">
      <c r="A8626" s="15">
        <v>46235</v>
      </c>
      <c r="B8626" t="s">
        <v>193</v>
      </c>
      <c r="C8626" t="s">
        <v>81</v>
      </c>
      <c r="D8626" t="s">
        <v>82</v>
      </c>
      <c r="E8626" t="s">
        <v>87</v>
      </c>
      <c r="F8626">
        <v>3200</v>
      </c>
      <c r="G8626" t="s">
        <v>331</v>
      </c>
      <c r="H8626" s="15">
        <v>45292</v>
      </c>
      <c r="I8626">
        <v>3200</v>
      </c>
      <c r="J8626">
        <v>0</v>
      </c>
    </row>
    <row r="8627" spans="1:10" x14ac:dyDescent="0.3">
      <c r="A8627" s="15">
        <v>46235</v>
      </c>
      <c r="B8627" t="s">
        <v>194</v>
      </c>
      <c r="C8627" t="s">
        <v>91</v>
      </c>
      <c r="D8627" t="s">
        <v>82</v>
      </c>
      <c r="E8627" t="s">
        <v>101</v>
      </c>
      <c r="F8627">
        <v>0</v>
      </c>
      <c r="G8627" t="s">
        <v>333</v>
      </c>
      <c r="H8627" s="15">
        <v>45292</v>
      </c>
      <c r="I8627">
        <v>11200</v>
      </c>
      <c r="J8627">
        <v>-11200</v>
      </c>
    </row>
    <row r="8628" spans="1:10" x14ac:dyDescent="0.3">
      <c r="A8628" s="15">
        <v>46235</v>
      </c>
      <c r="B8628" t="s">
        <v>195</v>
      </c>
      <c r="C8628" t="s">
        <v>91</v>
      </c>
      <c r="D8628" t="s">
        <v>86</v>
      </c>
      <c r="E8628" t="s">
        <v>97</v>
      </c>
      <c r="F8628">
        <v>6800</v>
      </c>
      <c r="G8628" t="s">
        <v>331</v>
      </c>
      <c r="H8628" s="15">
        <v>45292</v>
      </c>
      <c r="I8628">
        <v>6800</v>
      </c>
      <c r="J8628">
        <v>0</v>
      </c>
    </row>
    <row r="8629" spans="1:10" x14ac:dyDescent="0.3">
      <c r="A8629" s="15">
        <v>46235</v>
      </c>
      <c r="B8629" t="s">
        <v>197</v>
      </c>
      <c r="C8629" t="s">
        <v>91</v>
      </c>
      <c r="D8629" t="s">
        <v>82</v>
      </c>
      <c r="E8629" t="s">
        <v>89</v>
      </c>
      <c r="F8629">
        <v>12000</v>
      </c>
      <c r="G8629" t="s">
        <v>331</v>
      </c>
      <c r="H8629" s="15">
        <v>45292</v>
      </c>
      <c r="I8629">
        <v>12000</v>
      </c>
      <c r="J8629">
        <v>0</v>
      </c>
    </row>
    <row r="8630" spans="1:10" x14ac:dyDescent="0.3">
      <c r="A8630" s="15">
        <v>46235</v>
      </c>
      <c r="B8630" t="s">
        <v>198</v>
      </c>
      <c r="C8630" t="s">
        <v>81</v>
      </c>
      <c r="D8630" t="s">
        <v>82</v>
      </c>
      <c r="E8630" t="s">
        <v>89</v>
      </c>
      <c r="F8630">
        <v>2900</v>
      </c>
      <c r="G8630" t="s">
        <v>331</v>
      </c>
      <c r="H8630" s="15">
        <v>45292</v>
      </c>
      <c r="I8630">
        <v>2900</v>
      </c>
      <c r="J8630">
        <v>0</v>
      </c>
    </row>
    <row r="8631" spans="1:10" x14ac:dyDescent="0.3">
      <c r="A8631" s="15">
        <v>46235</v>
      </c>
      <c r="B8631" t="s">
        <v>199</v>
      </c>
      <c r="C8631" t="s">
        <v>81</v>
      </c>
      <c r="D8631" t="s">
        <v>86</v>
      </c>
      <c r="E8631" t="s">
        <v>89</v>
      </c>
      <c r="F8631">
        <v>2200</v>
      </c>
      <c r="G8631" t="s">
        <v>331</v>
      </c>
      <c r="H8631" s="15">
        <v>45292</v>
      </c>
      <c r="I8631">
        <v>2200</v>
      </c>
      <c r="J8631">
        <v>0</v>
      </c>
    </row>
    <row r="8632" spans="1:10" x14ac:dyDescent="0.3">
      <c r="A8632" s="15">
        <v>46235</v>
      </c>
      <c r="B8632" t="s">
        <v>200</v>
      </c>
      <c r="C8632" t="s">
        <v>91</v>
      </c>
      <c r="D8632" t="s">
        <v>86</v>
      </c>
      <c r="E8632" t="s">
        <v>92</v>
      </c>
      <c r="F8632">
        <v>8800</v>
      </c>
      <c r="G8632" t="s">
        <v>331</v>
      </c>
      <c r="H8632" s="15">
        <v>45292</v>
      </c>
      <c r="I8632">
        <v>8800</v>
      </c>
      <c r="J8632">
        <v>0</v>
      </c>
    </row>
    <row r="8633" spans="1:10" x14ac:dyDescent="0.3">
      <c r="A8633" s="15">
        <v>46235</v>
      </c>
      <c r="B8633" t="s">
        <v>201</v>
      </c>
      <c r="C8633" t="s">
        <v>81</v>
      </c>
      <c r="D8633" t="s">
        <v>86</v>
      </c>
      <c r="E8633" t="s">
        <v>83</v>
      </c>
      <c r="F8633">
        <v>1500</v>
      </c>
      <c r="G8633" t="s">
        <v>331</v>
      </c>
      <c r="H8633" s="15">
        <v>45292</v>
      </c>
      <c r="I8633">
        <v>1500</v>
      </c>
      <c r="J8633">
        <v>0</v>
      </c>
    </row>
    <row r="8634" spans="1:10" x14ac:dyDescent="0.3">
      <c r="A8634" s="15">
        <v>46235</v>
      </c>
      <c r="B8634" t="s">
        <v>202</v>
      </c>
      <c r="C8634" t="s">
        <v>91</v>
      </c>
      <c r="D8634" t="s">
        <v>82</v>
      </c>
      <c r="E8634" t="s">
        <v>92</v>
      </c>
      <c r="F8634">
        <v>12700</v>
      </c>
      <c r="G8634" t="s">
        <v>331</v>
      </c>
      <c r="H8634" s="15">
        <v>45292</v>
      </c>
      <c r="I8634">
        <v>12700</v>
      </c>
      <c r="J8634">
        <v>0</v>
      </c>
    </row>
    <row r="8635" spans="1:10" x14ac:dyDescent="0.3">
      <c r="A8635" s="15">
        <v>46235</v>
      </c>
      <c r="B8635" t="s">
        <v>204</v>
      </c>
      <c r="C8635" t="s">
        <v>81</v>
      </c>
      <c r="D8635" t="s">
        <v>82</v>
      </c>
      <c r="E8635" t="s">
        <v>87</v>
      </c>
      <c r="F8635">
        <v>1900</v>
      </c>
      <c r="G8635" t="s">
        <v>331</v>
      </c>
      <c r="H8635" s="15">
        <v>45292</v>
      </c>
      <c r="I8635">
        <v>1900</v>
      </c>
      <c r="J8635">
        <v>0</v>
      </c>
    </row>
    <row r="8636" spans="1:10" x14ac:dyDescent="0.3">
      <c r="A8636" s="15">
        <v>46235</v>
      </c>
      <c r="B8636" t="s">
        <v>205</v>
      </c>
      <c r="C8636" t="s">
        <v>91</v>
      </c>
      <c r="D8636" t="s">
        <v>86</v>
      </c>
      <c r="E8636" t="s">
        <v>103</v>
      </c>
      <c r="F8636">
        <v>9800</v>
      </c>
      <c r="G8636" t="s">
        <v>331</v>
      </c>
      <c r="H8636" s="15">
        <v>45292</v>
      </c>
      <c r="I8636">
        <v>9800</v>
      </c>
      <c r="J8636">
        <v>0</v>
      </c>
    </row>
    <row r="8637" spans="1:10" x14ac:dyDescent="0.3">
      <c r="A8637" s="15">
        <v>46235</v>
      </c>
      <c r="B8637" t="s">
        <v>206</v>
      </c>
      <c r="C8637" t="s">
        <v>81</v>
      </c>
      <c r="D8637" t="s">
        <v>86</v>
      </c>
      <c r="E8637" t="s">
        <v>89</v>
      </c>
      <c r="F8637">
        <v>3000</v>
      </c>
      <c r="G8637" t="s">
        <v>331</v>
      </c>
      <c r="H8637" s="15">
        <v>45292</v>
      </c>
      <c r="I8637">
        <v>3000</v>
      </c>
      <c r="J8637">
        <v>0</v>
      </c>
    </row>
    <row r="8638" spans="1:10" x14ac:dyDescent="0.3">
      <c r="A8638" s="15">
        <v>46235</v>
      </c>
      <c r="B8638" t="s">
        <v>207</v>
      </c>
      <c r="C8638" t="s">
        <v>81</v>
      </c>
      <c r="D8638" t="s">
        <v>82</v>
      </c>
      <c r="E8638" t="s">
        <v>89</v>
      </c>
      <c r="F8638">
        <v>3500</v>
      </c>
      <c r="G8638" t="s">
        <v>331</v>
      </c>
      <c r="H8638" s="15">
        <v>45292</v>
      </c>
      <c r="I8638">
        <v>3500</v>
      </c>
      <c r="J8638">
        <v>0</v>
      </c>
    </row>
    <row r="8639" spans="1:10" x14ac:dyDescent="0.3">
      <c r="A8639" s="15">
        <v>46235</v>
      </c>
      <c r="B8639" t="s">
        <v>208</v>
      </c>
      <c r="C8639" t="s">
        <v>91</v>
      </c>
      <c r="D8639" t="s">
        <v>99</v>
      </c>
      <c r="E8639" t="s">
        <v>89</v>
      </c>
      <c r="F8639">
        <v>7700</v>
      </c>
      <c r="G8639" t="s">
        <v>331</v>
      </c>
      <c r="H8639" s="15">
        <v>45292</v>
      </c>
      <c r="I8639">
        <v>7700</v>
      </c>
      <c r="J8639">
        <v>0</v>
      </c>
    </row>
    <row r="8640" spans="1:10" x14ac:dyDescent="0.3">
      <c r="A8640" s="15">
        <v>46235</v>
      </c>
      <c r="B8640" t="s">
        <v>209</v>
      </c>
      <c r="C8640" t="s">
        <v>81</v>
      </c>
      <c r="D8640" t="s">
        <v>86</v>
      </c>
      <c r="E8640" t="s">
        <v>83</v>
      </c>
      <c r="F8640">
        <v>3000</v>
      </c>
      <c r="G8640" t="s">
        <v>331</v>
      </c>
      <c r="H8640" s="15">
        <v>45292</v>
      </c>
      <c r="I8640">
        <v>3000</v>
      </c>
      <c r="J8640">
        <v>0</v>
      </c>
    </row>
    <row r="8641" spans="1:10" x14ac:dyDescent="0.3">
      <c r="A8641" s="15">
        <v>46235</v>
      </c>
      <c r="B8641" t="s">
        <v>210</v>
      </c>
      <c r="C8641" t="s">
        <v>125</v>
      </c>
      <c r="D8641" t="s">
        <v>96</v>
      </c>
      <c r="E8641" t="s">
        <v>89</v>
      </c>
      <c r="F8641">
        <v>82900</v>
      </c>
      <c r="G8641" t="s">
        <v>331</v>
      </c>
      <c r="H8641" s="15">
        <v>45292</v>
      </c>
      <c r="I8641">
        <v>82900</v>
      </c>
      <c r="J8641">
        <v>0</v>
      </c>
    </row>
    <row r="8642" spans="1:10" x14ac:dyDescent="0.3">
      <c r="A8642" s="15">
        <v>46235</v>
      </c>
      <c r="B8642" t="s">
        <v>213</v>
      </c>
      <c r="C8642" t="s">
        <v>81</v>
      </c>
      <c r="D8642" t="s">
        <v>82</v>
      </c>
      <c r="E8642" t="s">
        <v>97</v>
      </c>
      <c r="F8642">
        <v>3300</v>
      </c>
      <c r="G8642" t="s">
        <v>331</v>
      </c>
      <c r="H8642" s="15">
        <v>45292</v>
      </c>
      <c r="I8642">
        <v>3300</v>
      </c>
      <c r="J8642">
        <v>0</v>
      </c>
    </row>
    <row r="8643" spans="1:10" x14ac:dyDescent="0.3">
      <c r="A8643" s="15">
        <v>46235</v>
      </c>
      <c r="B8643" t="s">
        <v>214</v>
      </c>
      <c r="C8643" t="s">
        <v>91</v>
      </c>
      <c r="D8643" t="s">
        <v>82</v>
      </c>
      <c r="E8643" t="s">
        <v>89</v>
      </c>
      <c r="F8643">
        <v>8700</v>
      </c>
      <c r="G8643" t="s">
        <v>331</v>
      </c>
      <c r="H8643" s="15">
        <v>45292</v>
      </c>
      <c r="I8643">
        <v>8700</v>
      </c>
      <c r="J8643">
        <v>0</v>
      </c>
    </row>
    <row r="8644" spans="1:10" x14ac:dyDescent="0.3">
      <c r="A8644" s="15">
        <v>46235</v>
      </c>
      <c r="B8644" t="s">
        <v>216</v>
      </c>
      <c r="C8644" t="s">
        <v>81</v>
      </c>
      <c r="D8644" t="s">
        <v>82</v>
      </c>
      <c r="E8644" t="s">
        <v>97</v>
      </c>
      <c r="F8644">
        <v>3500</v>
      </c>
      <c r="G8644" t="s">
        <v>331</v>
      </c>
      <c r="H8644" s="15">
        <v>45292</v>
      </c>
      <c r="I8644">
        <v>3500</v>
      </c>
      <c r="J8644">
        <v>0</v>
      </c>
    </row>
    <row r="8645" spans="1:10" x14ac:dyDescent="0.3">
      <c r="A8645" s="15">
        <v>46235</v>
      </c>
      <c r="B8645" t="s">
        <v>218</v>
      </c>
      <c r="C8645" t="s">
        <v>110</v>
      </c>
      <c r="D8645" t="s">
        <v>99</v>
      </c>
      <c r="E8645" t="s">
        <v>92</v>
      </c>
      <c r="F8645">
        <v>32200</v>
      </c>
      <c r="G8645" t="s">
        <v>331</v>
      </c>
      <c r="H8645" s="15">
        <v>45292</v>
      </c>
      <c r="I8645">
        <v>32200</v>
      </c>
      <c r="J8645">
        <v>0</v>
      </c>
    </row>
    <row r="8646" spans="1:10" x14ac:dyDescent="0.3">
      <c r="A8646" s="15">
        <v>46235</v>
      </c>
      <c r="B8646" t="s">
        <v>220</v>
      </c>
      <c r="C8646" t="s">
        <v>110</v>
      </c>
      <c r="D8646" t="s">
        <v>82</v>
      </c>
      <c r="E8646" t="s">
        <v>89</v>
      </c>
      <c r="F8646">
        <v>30800</v>
      </c>
      <c r="G8646" t="s">
        <v>331</v>
      </c>
      <c r="H8646" s="15">
        <v>45292</v>
      </c>
      <c r="I8646">
        <v>30800</v>
      </c>
      <c r="J8646">
        <v>0</v>
      </c>
    </row>
    <row r="8647" spans="1:10" x14ac:dyDescent="0.3">
      <c r="A8647" s="15">
        <v>46235</v>
      </c>
      <c r="B8647" t="s">
        <v>224</v>
      </c>
      <c r="C8647" t="s">
        <v>91</v>
      </c>
      <c r="D8647" t="s">
        <v>82</v>
      </c>
      <c r="E8647" t="s">
        <v>101</v>
      </c>
      <c r="F8647">
        <v>10000</v>
      </c>
      <c r="G8647" t="s">
        <v>331</v>
      </c>
      <c r="H8647" s="15">
        <v>45292</v>
      </c>
      <c r="I8647">
        <v>10000</v>
      </c>
      <c r="J8647">
        <v>0</v>
      </c>
    </row>
    <row r="8648" spans="1:10" x14ac:dyDescent="0.3">
      <c r="A8648" s="15">
        <v>46235</v>
      </c>
      <c r="B8648" t="s">
        <v>225</v>
      </c>
      <c r="C8648" t="s">
        <v>110</v>
      </c>
      <c r="D8648" t="s">
        <v>99</v>
      </c>
      <c r="E8648" t="s">
        <v>103</v>
      </c>
      <c r="F8648">
        <v>42200</v>
      </c>
      <c r="G8648" t="s">
        <v>331</v>
      </c>
      <c r="H8648" s="15">
        <v>45292</v>
      </c>
      <c r="I8648">
        <v>42200</v>
      </c>
      <c r="J8648">
        <v>0</v>
      </c>
    </row>
    <row r="8649" spans="1:10" x14ac:dyDescent="0.3">
      <c r="A8649" s="15">
        <v>46235</v>
      </c>
      <c r="B8649" t="s">
        <v>226</v>
      </c>
      <c r="C8649" t="s">
        <v>91</v>
      </c>
      <c r="D8649" t="s">
        <v>82</v>
      </c>
      <c r="E8649" t="s">
        <v>103</v>
      </c>
      <c r="F8649">
        <v>6600</v>
      </c>
      <c r="G8649" t="s">
        <v>332</v>
      </c>
      <c r="H8649" s="15">
        <v>45292</v>
      </c>
      <c r="I8649">
        <v>5900</v>
      </c>
      <c r="J8649">
        <v>700</v>
      </c>
    </row>
    <row r="8650" spans="1:10" x14ac:dyDescent="0.3">
      <c r="A8650" s="15">
        <v>46235</v>
      </c>
      <c r="B8650" t="s">
        <v>227</v>
      </c>
      <c r="C8650" t="s">
        <v>110</v>
      </c>
      <c r="D8650" t="s">
        <v>86</v>
      </c>
      <c r="E8650" t="s">
        <v>87</v>
      </c>
      <c r="F8650">
        <v>27900</v>
      </c>
      <c r="G8650" t="s">
        <v>331</v>
      </c>
      <c r="H8650" s="15">
        <v>45292</v>
      </c>
      <c r="I8650">
        <v>27900</v>
      </c>
      <c r="J8650">
        <v>0</v>
      </c>
    </row>
    <row r="8651" spans="1:10" x14ac:dyDescent="0.3">
      <c r="A8651" s="15">
        <v>46235</v>
      </c>
      <c r="B8651" t="s">
        <v>228</v>
      </c>
      <c r="C8651" t="s">
        <v>91</v>
      </c>
      <c r="D8651" t="s">
        <v>96</v>
      </c>
      <c r="E8651" t="s">
        <v>89</v>
      </c>
      <c r="F8651">
        <v>12000</v>
      </c>
      <c r="G8651" t="s">
        <v>331</v>
      </c>
      <c r="H8651" s="15">
        <v>45292</v>
      </c>
      <c r="I8651">
        <v>12000</v>
      </c>
      <c r="J8651">
        <v>0</v>
      </c>
    </row>
    <row r="8652" spans="1:10" x14ac:dyDescent="0.3">
      <c r="A8652" s="15">
        <v>46235</v>
      </c>
      <c r="B8652" t="s">
        <v>229</v>
      </c>
      <c r="C8652" t="s">
        <v>81</v>
      </c>
      <c r="D8652" t="s">
        <v>82</v>
      </c>
      <c r="E8652" t="s">
        <v>83</v>
      </c>
      <c r="F8652">
        <v>3700</v>
      </c>
      <c r="G8652" t="s">
        <v>331</v>
      </c>
      <c r="H8652" s="15">
        <v>45292</v>
      </c>
      <c r="I8652">
        <v>3700</v>
      </c>
      <c r="J8652">
        <v>0</v>
      </c>
    </row>
    <row r="8653" spans="1:10" x14ac:dyDescent="0.3">
      <c r="A8653" s="15">
        <v>46235</v>
      </c>
      <c r="B8653" t="s">
        <v>230</v>
      </c>
      <c r="C8653" t="s">
        <v>81</v>
      </c>
      <c r="D8653" t="s">
        <v>86</v>
      </c>
      <c r="E8653" t="s">
        <v>101</v>
      </c>
      <c r="F8653">
        <v>3400</v>
      </c>
      <c r="G8653" t="s">
        <v>331</v>
      </c>
      <c r="H8653" s="15">
        <v>45292</v>
      </c>
      <c r="I8653">
        <v>3400</v>
      </c>
      <c r="J8653">
        <v>0</v>
      </c>
    </row>
    <row r="8654" spans="1:10" x14ac:dyDescent="0.3">
      <c r="A8654" s="15">
        <v>46235</v>
      </c>
      <c r="B8654" t="s">
        <v>231</v>
      </c>
      <c r="C8654" t="s">
        <v>91</v>
      </c>
      <c r="D8654" t="s">
        <v>82</v>
      </c>
      <c r="E8654" t="s">
        <v>92</v>
      </c>
      <c r="F8654">
        <v>6900</v>
      </c>
      <c r="G8654" t="s">
        <v>331</v>
      </c>
      <c r="H8654" s="15">
        <v>45292</v>
      </c>
      <c r="I8654">
        <v>6900</v>
      </c>
      <c r="J8654">
        <v>0</v>
      </c>
    </row>
    <row r="8655" spans="1:10" x14ac:dyDescent="0.3">
      <c r="A8655" s="15">
        <v>46235</v>
      </c>
      <c r="B8655" t="s">
        <v>232</v>
      </c>
      <c r="C8655" t="s">
        <v>125</v>
      </c>
      <c r="D8655" t="s">
        <v>86</v>
      </c>
      <c r="E8655" t="s">
        <v>83</v>
      </c>
      <c r="F8655">
        <v>121100</v>
      </c>
      <c r="G8655" t="s">
        <v>331</v>
      </c>
      <c r="H8655" s="15">
        <v>45292</v>
      </c>
      <c r="I8655">
        <v>121100</v>
      </c>
      <c r="J8655">
        <v>0</v>
      </c>
    </row>
    <row r="8656" spans="1:10" x14ac:dyDescent="0.3">
      <c r="A8656" s="15">
        <v>46235</v>
      </c>
      <c r="B8656" t="s">
        <v>233</v>
      </c>
      <c r="C8656" t="s">
        <v>81</v>
      </c>
      <c r="D8656" t="s">
        <v>82</v>
      </c>
      <c r="E8656" t="s">
        <v>87</v>
      </c>
      <c r="F8656">
        <v>3300</v>
      </c>
      <c r="G8656" t="s">
        <v>331</v>
      </c>
      <c r="H8656" s="15">
        <v>45292</v>
      </c>
      <c r="I8656">
        <v>3300</v>
      </c>
      <c r="J8656">
        <v>0</v>
      </c>
    </row>
    <row r="8657" spans="1:10" x14ac:dyDescent="0.3">
      <c r="A8657" s="15">
        <v>46235</v>
      </c>
      <c r="B8657" t="s">
        <v>235</v>
      </c>
      <c r="C8657" t="s">
        <v>91</v>
      </c>
      <c r="D8657" t="s">
        <v>96</v>
      </c>
      <c r="E8657" t="s">
        <v>103</v>
      </c>
      <c r="F8657">
        <v>11100</v>
      </c>
      <c r="G8657" t="s">
        <v>331</v>
      </c>
      <c r="H8657" s="15">
        <v>45292</v>
      </c>
      <c r="I8657">
        <v>11100</v>
      </c>
      <c r="J8657">
        <v>0</v>
      </c>
    </row>
    <row r="8658" spans="1:10" x14ac:dyDescent="0.3">
      <c r="A8658" s="15">
        <v>46235</v>
      </c>
      <c r="B8658" t="s">
        <v>237</v>
      </c>
      <c r="C8658" t="s">
        <v>91</v>
      </c>
      <c r="D8658" t="s">
        <v>82</v>
      </c>
      <c r="E8658" t="s">
        <v>83</v>
      </c>
      <c r="F8658">
        <v>6900</v>
      </c>
      <c r="G8658" t="s">
        <v>331</v>
      </c>
      <c r="H8658" s="15">
        <v>45292</v>
      </c>
      <c r="I8658">
        <v>6900</v>
      </c>
      <c r="J8658">
        <v>0</v>
      </c>
    </row>
    <row r="8659" spans="1:10" x14ac:dyDescent="0.3">
      <c r="A8659" s="15">
        <v>46235</v>
      </c>
      <c r="B8659" t="s">
        <v>238</v>
      </c>
      <c r="C8659" t="s">
        <v>81</v>
      </c>
      <c r="D8659" t="s">
        <v>99</v>
      </c>
      <c r="E8659" t="s">
        <v>97</v>
      </c>
      <c r="F8659">
        <v>2300</v>
      </c>
      <c r="G8659" t="s">
        <v>331</v>
      </c>
      <c r="H8659" s="15">
        <v>45292</v>
      </c>
      <c r="I8659">
        <v>2300</v>
      </c>
      <c r="J8659">
        <v>0</v>
      </c>
    </row>
    <row r="8660" spans="1:10" x14ac:dyDescent="0.3">
      <c r="A8660" s="15">
        <v>46235</v>
      </c>
      <c r="B8660" t="s">
        <v>239</v>
      </c>
      <c r="C8660" t="s">
        <v>81</v>
      </c>
      <c r="D8660" t="s">
        <v>82</v>
      </c>
      <c r="E8660" t="s">
        <v>103</v>
      </c>
      <c r="F8660">
        <v>2500</v>
      </c>
      <c r="G8660" t="s">
        <v>331</v>
      </c>
      <c r="H8660" s="15">
        <v>45292</v>
      </c>
      <c r="I8660">
        <v>2500</v>
      </c>
      <c r="J8660">
        <v>0</v>
      </c>
    </row>
    <row r="8661" spans="1:10" x14ac:dyDescent="0.3">
      <c r="A8661" s="15">
        <v>46235</v>
      </c>
      <c r="B8661" t="s">
        <v>240</v>
      </c>
      <c r="C8661" t="s">
        <v>81</v>
      </c>
      <c r="D8661" t="s">
        <v>99</v>
      </c>
      <c r="E8661" t="s">
        <v>103</v>
      </c>
      <c r="F8661">
        <v>2300</v>
      </c>
      <c r="G8661" t="s">
        <v>331</v>
      </c>
      <c r="H8661" s="15">
        <v>45292</v>
      </c>
      <c r="I8661">
        <v>2300</v>
      </c>
      <c r="J8661">
        <v>0</v>
      </c>
    </row>
    <row r="8662" spans="1:10" x14ac:dyDescent="0.3">
      <c r="A8662" s="15">
        <v>46235</v>
      </c>
      <c r="B8662" t="s">
        <v>241</v>
      </c>
      <c r="C8662" t="s">
        <v>91</v>
      </c>
      <c r="D8662" t="s">
        <v>96</v>
      </c>
      <c r="E8662" t="s">
        <v>87</v>
      </c>
      <c r="F8662">
        <v>13000</v>
      </c>
      <c r="G8662" t="s">
        <v>331</v>
      </c>
      <c r="H8662" s="15">
        <v>45292</v>
      </c>
      <c r="I8662">
        <v>13000</v>
      </c>
      <c r="J8662">
        <v>0</v>
      </c>
    </row>
    <row r="8663" spans="1:10" x14ac:dyDescent="0.3">
      <c r="A8663" s="15">
        <v>46235</v>
      </c>
      <c r="B8663" t="s">
        <v>242</v>
      </c>
      <c r="C8663" t="s">
        <v>110</v>
      </c>
      <c r="D8663" t="s">
        <v>99</v>
      </c>
      <c r="E8663" t="s">
        <v>101</v>
      </c>
      <c r="F8663">
        <v>34800</v>
      </c>
      <c r="G8663" t="s">
        <v>331</v>
      </c>
      <c r="H8663" s="15">
        <v>45292</v>
      </c>
      <c r="I8663">
        <v>34800</v>
      </c>
      <c r="J8663">
        <v>0</v>
      </c>
    </row>
    <row r="8664" spans="1:10" x14ac:dyDescent="0.3">
      <c r="A8664" s="15">
        <v>46235</v>
      </c>
      <c r="B8664" t="s">
        <v>244</v>
      </c>
      <c r="C8664" t="s">
        <v>91</v>
      </c>
      <c r="D8664" t="s">
        <v>82</v>
      </c>
      <c r="E8664" t="s">
        <v>92</v>
      </c>
      <c r="F8664">
        <v>7800</v>
      </c>
      <c r="G8664" t="s">
        <v>331</v>
      </c>
      <c r="H8664" s="15">
        <v>45292</v>
      </c>
      <c r="I8664">
        <v>7800</v>
      </c>
      <c r="J8664">
        <v>0</v>
      </c>
    </row>
    <row r="8665" spans="1:10" x14ac:dyDescent="0.3">
      <c r="A8665" s="15">
        <v>46235</v>
      </c>
      <c r="B8665" t="s">
        <v>245</v>
      </c>
      <c r="C8665" t="s">
        <v>81</v>
      </c>
      <c r="D8665" t="s">
        <v>99</v>
      </c>
      <c r="E8665" t="s">
        <v>97</v>
      </c>
      <c r="F8665">
        <v>2900</v>
      </c>
      <c r="G8665" t="s">
        <v>331</v>
      </c>
      <c r="H8665" s="15">
        <v>45292</v>
      </c>
      <c r="I8665">
        <v>2900</v>
      </c>
      <c r="J8665">
        <v>0</v>
      </c>
    </row>
    <row r="8666" spans="1:10" x14ac:dyDescent="0.3">
      <c r="A8666" s="15">
        <v>46235</v>
      </c>
      <c r="B8666" t="s">
        <v>246</v>
      </c>
      <c r="C8666" t="s">
        <v>91</v>
      </c>
      <c r="D8666" t="s">
        <v>86</v>
      </c>
      <c r="E8666" t="s">
        <v>103</v>
      </c>
      <c r="F8666">
        <v>10100</v>
      </c>
      <c r="G8666" t="s">
        <v>331</v>
      </c>
      <c r="H8666" s="15">
        <v>45292</v>
      </c>
      <c r="I8666">
        <v>10100</v>
      </c>
      <c r="J8666">
        <v>0</v>
      </c>
    </row>
    <row r="8667" spans="1:10" x14ac:dyDescent="0.3">
      <c r="A8667" s="15">
        <v>46235</v>
      </c>
      <c r="B8667" t="s">
        <v>247</v>
      </c>
      <c r="C8667" t="s">
        <v>91</v>
      </c>
      <c r="D8667" t="s">
        <v>86</v>
      </c>
      <c r="E8667" t="s">
        <v>89</v>
      </c>
      <c r="F8667">
        <v>8800</v>
      </c>
      <c r="G8667" t="s">
        <v>331</v>
      </c>
      <c r="H8667" s="15">
        <v>45292</v>
      </c>
      <c r="I8667">
        <v>8800</v>
      </c>
      <c r="J8667">
        <v>0</v>
      </c>
    </row>
    <row r="8668" spans="1:10" x14ac:dyDescent="0.3">
      <c r="A8668" s="15">
        <v>46235</v>
      </c>
      <c r="B8668" t="s">
        <v>248</v>
      </c>
      <c r="C8668" t="s">
        <v>81</v>
      </c>
      <c r="D8668" t="s">
        <v>82</v>
      </c>
      <c r="E8668" t="s">
        <v>103</v>
      </c>
      <c r="F8668">
        <v>2100</v>
      </c>
      <c r="G8668" t="s">
        <v>331</v>
      </c>
      <c r="H8668" s="15">
        <v>45292</v>
      </c>
      <c r="I8668">
        <v>2100</v>
      </c>
      <c r="J8668">
        <v>0</v>
      </c>
    </row>
    <row r="8669" spans="1:10" x14ac:dyDescent="0.3">
      <c r="A8669" s="15">
        <v>46235</v>
      </c>
      <c r="B8669" t="s">
        <v>250</v>
      </c>
      <c r="C8669" t="s">
        <v>81</v>
      </c>
      <c r="D8669" t="s">
        <v>86</v>
      </c>
      <c r="E8669" t="s">
        <v>87</v>
      </c>
      <c r="F8669">
        <v>2800</v>
      </c>
      <c r="G8669" t="s">
        <v>331</v>
      </c>
      <c r="H8669" s="15">
        <v>45292</v>
      </c>
      <c r="I8669">
        <v>2800</v>
      </c>
      <c r="J8669">
        <v>0</v>
      </c>
    </row>
    <row r="8670" spans="1:10" x14ac:dyDescent="0.3">
      <c r="A8670" s="15">
        <v>46235</v>
      </c>
      <c r="B8670" t="s">
        <v>251</v>
      </c>
      <c r="C8670" t="s">
        <v>91</v>
      </c>
      <c r="D8670" t="s">
        <v>99</v>
      </c>
      <c r="E8670" t="s">
        <v>103</v>
      </c>
      <c r="F8670">
        <v>8800</v>
      </c>
      <c r="G8670" t="s">
        <v>331</v>
      </c>
      <c r="H8670" s="15">
        <v>45292</v>
      </c>
      <c r="I8670">
        <v>8800</v>
      </c>
      <c r="J8670">
        <v>0</v>
      </c>
    </row>
    <row r="8671" spans="1:10" x14ac:dyDescent="0.3">
      <c r="A8671" s="15">
        <v>46235</v>
      </c>
      <c r="B8671" t="s">
        <v>252</v>
      </c>
      <c r="C8671" t="s">
        <v>81</v>
      </c>
      <c r="D8671" t="s">
        <v>99</v>
      </c>
      <c r="E8671" t="s">
        <v>92</v>
      </c>
      <c r="F8671">
        <v>3400</v>
      </c>
      <c r="G8671" t="s">
        <v>331</v>
      </c>
      <c r="H8671" s="15">
        <v>45292</v>
      </c>
      <c r="I8671">
        <v>3400</v>
      </c>
      <c r="J8671">
        <v>0</v>
      </c>
    </row>
    <row r="8672" spans="1:10" x14ac:dyDescent="0.3">
      <c r="A8672" s="15">
        <v>46235</v>
      </c>
      <c r="B8672" t="s">
        <v>253</v>
      </c>
      <c r="C8672" t="s">
        <v>81</v>
      </c>
      <c r="D8672" t="s">
        <v>96</v>
      </c>
      <c r="E8672" t="s">
        <v>89</v>
      </c>
      <c r="F8672">
        <v>2400</v>
      </c>
      <c r="G8672" t="s">
        <v>331</v>
      </c>
      <c r="H8672" s="15">
        <v>45292</v>
      </c>
      <c r="I8672">
        <v>2400</v>
      </c>
      <c r="J8672">
        <v>0</v>
      </c>
    </row>
    <row r="8673" spans="1:10" x14ac:dyDescent="0.3">
      <c r="A8673" s="15">
        <v>46235</v>
      </c>
      <c r="B8673" t="s">
        <v>255</v>
      </c>
      <c r="C8673" t="s">
        <v>91</v>
      </c>
      <c r="D8673" t="s">
        <v>86</v>
      </c>
      <c r="E8673" t="s">
        <v>89</v>
      </c>
      <c r="F8673">
        <v>9700</v>
      </c>
      <c r="G8673" t="s">
        <v>331</v>
      </c>
      <c r="H8673" s="15">
        <v>45292</v>
      </c>
      <c r="I8673">
        <v>9700</v>
      </c>
      <c r="J8673">
        <v>0</v>
      </c>
    </row>
    <row r="8674" spans="1:10" x14ac:dyDescent="0.3">
      <c r="A8674" s="15">
        <v>46235</v>
      </c>
      <c r="B8674" t="s">
        <v>256</v>
      </c>
      <c r="C8674" t="s">
        <v>81</v>
      </c>
      <c r="D8674" t="s">
        <v>82</v>
      </c>
      <c r="E8674" t="s">
        <v>103</v>
      </c>
      <c r="F8674">
        <v>1800</v>
      </c>
      <c r="G8674" t="s">
        <v>331</v>
      </c>
      <c r="H8674" s="15">
        <v>45292</v>
      </c>
      <c r="I8674">
        <v>1800</v>
      </c>
      <c r="J8674">
        <v>0</v>
      </c>
    </row>
    <row r="8675" spans="1:10" x14ac:dyDescent="0.3">
      <c r="A8675" s="15">
        <v>46235</v>
      </c>
      <c r="B8675" t="s">
        <v>258</v>
      </c>
      <c r="C8675" t="s">
        <v>125</v>
      </c>
      <c r="D8675" t="s">
        <v>86</v>
      </c>
      <c r="E8675" t="s">
        <v>83</v>
      </c>
      <c r="F8675">
        <v>96300</v>
      </c>
      <c r="G8675" t="s">
        <v>331</v>
      </c>
      <c r="H8675" s="15">
        <v>45292</v>
      </c>
      <c r="I8675">
        <v>96300</v>
      </c>
      <c r="J8675">
        <v>0</v>
      </c>
    </row>
    <row r="8676" spans="1:10" x14ac:dyDescent="0.3">
      <c r="A8676" s="15">
        <v>46235</v>
      </c>
      <c r="B8676" t="s">
        <v>259</v>
      </c>
      <c r="C8676" t="s">
        <v>81</v>
      </c>
      <c r="D8676" t="s">
        <v>86</v>
      </c>
      <c r="E8676" t="s">
        <v>89</v>
      </c>
      <c r="F8676">
        <v>1900</v>
      </c>
      <c r="G8676" t="s">
        <v>331</v>
      </c>
      <c r="H8676" s="15">
        <v>45292</v>
      </c>
      <c r="I8676">
        <v>1900</v>
      </c>
      <c r="J8676">
        <v>0</v>
      </c>
    </row>
    <row r="8677" spans="1:10" x14ac:dyDescent="0.3">
      <c r="A8677" s="15">
        <v>46235</v>
      </c>
      <c r="B8677" t="s">
        <v>260</v>
      </c>
      <c r="C8677" t="s">
        <v>81</v>
      </c>
      <c r="D8677" t="s">
        <v>86</v>
      </c>
      <c r="E8677" t="s">
        <v>97</v>
      </c>
      <c r="F8677">
        <v>2100</v>
      </c>
      <c r="G8677" t="s">
        <v>331</v>
      </c>
      <c r="H8677" s="15">
        <v>45292</v>
      </c>
      <c r="I8677">
        <v>2100</v>
      </c>
      <c r="J8677">
        <v>0</v>
      </c>
    </row>
    <row r="8678" spans="1:10" x14ac:dyDescent="0.3">
      <c r="A8678" s="15">
        <v>46235</v>
      </c>
      <c r="B8678" t="s">
        <v>262</v>
      </c>
      <c r="C8678" t="s">
        <v>91</v>
      </c>
      <c r="D8678" t="s">
        <v>82</v>
      </c>
      <c r="E8678" t="s">
        <v>92</v>
      </c>
      <c r="F8678">
        <v>10800</v>
      </c>
      <c r="G8678" t="s">
        <v>331</v>
      </c>
      <c r="H8678" s="15">
        <v>45292</v>
      </c>
      <c r="I8678">
        <v>10800</v>
      </c>
      <c r="J8678">
        <v>0</v>
      </c>
    </row>
    <row r="8679" spans="1:10" x14ac:dyDescent="0.3">
      <c r="A8679" s="15">
        <v>46235</v>
      </c>
      <c r="B8679" t="s">
        <v>264</v>
      </c>
      <c r="C8679" t="s">
        <v>110</v>
      </c>
      <c r="D8679" t="s">
        <v>86</v>
      </c>
      <c r="E8679" t="s">
        <v>97</v>
      </c>
      <c r="F8679">
        <v>31500</v>
      </c>
      <c r="G8679" t="s">
        <v>331</v>
      </c>
      <c r="H8679" s="15">
        <v>45292</v>
      </c>
      <c r="I8679">
        <v>31500</v>
      </c>
      <c r="J8679">
        <v>0</v>
      </c>
    </row>
    <row r="8680" spans="1:10" x14ac:dyDescent="0.3">
      <c r="A8680" s="15">
        <v>46235</v>
      </c>
      <c r="B8680" t="s">
        <v>265</v>
      </c>
      <c r="C8680" t="s">
        <v>125</v>
      </c>
      <c r="D8680" t="s">
        <v>86</v>
      </c>
      <c r="E8680" t="s">
        <v>101</v>
      </c>
      <c r="F8680">
        <v>76700</v>
      </c>
      <c r="G8680" t="s">
        <v>331</v>
      </c>
      <c r="H8680" s="15">
        <v>45292</v>
      </c>
      <c r="I8680">
        <v>76700</v>
      </c>
      <c r="J8680">
        <v>0</v>
      </c>
    </row>
    <row r="8681" spans="1:10" x14ac:dyDescent="0.3">
      <c r="A8681" s="15">
        <v>46235</v>
      </c>
      <c r="B8681" t="s">
        <v>266</v>
      </c>
      <c r="C8681" t="s">
        <v>81</v>
      </c>
      <c r="D8681" t="s">
        <v>82</v>
      </c>
      <c r="E8681" t="s">
        <v>83</v>
      </c>
      <c r="F8681">
        <v>2200</v>
      </c>
      <c r="G8681" t="s">
        <v>331</v>
      </c>
      <c r="H8681" s="15">
        <v>45292</v>
      </c>
      <c r="I8681">
        <v>2200</v>
      </c>
      <c r="J8681">
        <v>0</v>
      </c>
    </row>
    <row r="8682" spans="1:10" x14ac:dyDescent="0.3">
      <c r="A8682" s="15">
        <v>46235</v>
      </c>
      <c r="B8682" t="s">
        <v>267</v>
      </c>
      <c r="C8682" t="s">
        <v>91</v>
      </c>
      <c r="D8682" t="s">
        <v>82</v>
      </c>
      <c r="E8682" t="s">
        <v>97</v>
      </c>
      <c r="F8682">
        <v>7300</v>
      </c>
      <c r="G8682" t="s">
        <v>331</v>
      </c>
      <c r="H8682" s="15">
        <v>45292</v>
      </c>
      <c r="I8682">
        <v>7300</v>
      </c>
      <c r="J8682">
        <v>0</v>
      </c>
    </row>
    <row r="8683" spans="1:10" x14ac:dyDescent="0.3">
      <c r="A8683" s="15">
        <v>46235</v>
      </c>
      <c r="B8683" t="s">
        <v>272</v>
      </c>
      <c r="C8683" t="s">
        <v>125</v>
      </c>
      <c r="D8683" t="s">
        <v>96</v>
      </c>
      <c r="E8683" t="s">
        <v>103</v>
      </c>
      <c r="F8683">
        <v>101100</v>
      </c>
      <c r="G8683" t="s">
        <v>331</v>
      </c>
      <c r="H8683" s="15">
        <v>45292</v>
      </c>
      <c r="I8683">
        <v>101100</v>
      </c>
      <c r="J8683">
        <v>0</v>
      </c>
    </row>
    <row r="8684" spans="1:10" x14ac:dyDescent="0.3">
      <c r="A8684" s="15">
        <v>46235</v>
      </c>
      <c r="B8684" t="s">
        <v>273</v>
      </c>
      <c r="C8684" t="s">
        <v>81</v>
      </c>
      <c r="D8684" t="s">
        <v>82</v>
      </c>
      <c r="E8684" t="s">
        <v>101</v>
      </c>
      <c r="F8684">
        <v>3300</v>
      </c>
      <c r="G8684" t="s">
        <v>331</v>
      </c>
      <c r="H8684" s="15">
        <v>45292</v>
      </c>
      <c r="I8684">
        <v>3300</v>
      </c>
      <c r="J8684">
        <v>0</v>
      </c>
    </row>
    <row r="8685" spans="1:10" x14ac:dyDescent="0.3">
      <c r="A8685" s="15">
        <v>46235</v>
      </c>
      <c r="B8685" t="s">
        <v>274</v>
      </c>
      <c r="C8685" t="s">
        <v>91</v>
      </c>
      <c r="D8685" t="s">
        <v>99</v>
      </c>
      <c r="E8685" t="s">
        <v>87</v>
      </c>
      <c r="F8685">
        <v>11400</v>
      </c>
      <c r="G8685" t="s">
        <v>331</v>
      </c>
      <c r="H8685" s="15">
        <v>45292</v>
      </c>
      <c r="I8685">
        <v>11400</v>
      </c>
      <c r="J8685">
        <v>0</v>
      </c>
    </row>
    <row r="8686" spans="1:10" x14ac:dyDescent="0.3">
      <c r="A8686" s="15">
        <v>46235</v>
      </c>
      <c r="B8686" t="s">
        <v>276</v>
      </c>
      <c r="C8686" t="s">
        <v>81</v>
      </c>
      <c r="D8686" t="s">
        <v>82</v>
      </c>
      <c r="E8686" t="s">
        <v>103</v>
      </c>
      <c r="F8686">
        <v>3300</v>
      </c>
      <c r="G8686" t="s">
        <v>331</v>
      </c>
      <c r="H8686" s="15">
        <v>45292</v>
      </c>
      <c r="I8686">
        <v>3300</v>
      </c>
      <c r="J8686">
        <v>0</v>
      </c>
    </row>
    <row r="8687" spans="1:10" x14ac:dyDescent="0.3">
      <c r="A8687" s="15">
        <v>46235</v>
      </c>
      <c r="B8687" t="s">
        <v>277</v>
      </c>
      <c r="C8687" t="s">
        <v>91</v>
      </c>
      <c r="D8687" t="s">
        <v>86</v>
      </c>
      <c r="E8687" t="s">
        <v>97</v>
      </c>
      <c r="F8687">
        <v>9900</v>
      </c>
      <c r="G8687" t="s">
        <v>331</v>
      </c>
      <c r="H8687" s="15">
        <v>45292</v>
      </c>
      <c r="I8687">
        <v>9900</v>
      </c>
      <c r="J8687">
        <v>0</v>
      </c>
    </row>
    <row r="8688" spans="1:10" x14ac:dyDescent="0.3">
      <c r="A8688" s="15">
        <v>46235</v>
      </c>
      <c r="B8688" t="s">
        <v>279</v>
      </c>
      <c r="C8688" t="s">
        <v>91</v>
      </c>
      <c r="D8688" t="s">
        <v>99</v>
      </c>
      <c r="E8688" t="s">
        <v>89</v>
      </c>
      <c r="F8688">
        <v>9800</v>
      </c>
      <c r="G8688" t="s">
        <v>331</v>
      </c>
      <c r="H8688" s="15">
        <v>45292</v>
      </c>
      <c r="I8688">
        <v>9800</v>
      </c>
      <c r="J8688">
        <v>0</v>
      </c>
    </row>
    <row r="8689" spans="1:10" x14ac:dyDescent="0.3">
      <c r="A8689" s="15">
        <v>46235</v>
      </c>
      <c r="B8689" t="s">
        <v>282</v>
      </c>
      <c r="C8689" t="s">
        <v>91</v>
      </c>
      <c r="D8689" t="s">
        <v>86</v>
      </c>
      <c r="E8689" t="s">
        <v>92</v>
      </c>
      <c r="F8689">
        <v>6100</v>
      </c>
      <c r="G8689" t="s">
        <v>331</v>
      </c>
      <c r="H8689" s="15">
        <v>45292</v>
      </c>
      <c r="I8689">
        <v>6100</v>
      </c>
      <c r="J8689">
        <v>0</v>
      </c>
    </row>
    <row r="8690" spans="1:10" x14ac:dyDescent="0.3">
      <c r="A8690" s="15">
        <v>46235</v>
      </c>
      <c r="B8690" t="s">
        <v>283</v>
      </c>
      <c r="C8690" t="s">
        <v>110</v>
      </c>
      <c r="D8690" t="s">
        <v>82</v>
      </c>
      <c r="E8690" t="s">
        <v>87</v>
      </c>
      <c r="F8690">
        <v>34200</v>
      </c>
      <c r="G8690" t="s">
        <v>331</v>
      </c>
      <c r="H8690" s="15">
        <v>45292</v>
      </c>
      <c r="I8690">
        <v>34200</v>
      </c>
      <c r="J8690">
        <v>0</v>
      </c>
    </row>
    <row r="8691" spans="1:10" x14ac:dyDescent="0.3">
      <c r="A8691" s="15">
        <v>46235</v>
      </c>
      <c r="B8691" t="s">
        <v>285</v>
      </c>
      <c r="C8691" t="s">
        <v>91</v>
      </c>
      <c r="D8691" t="s">
        <v>82</v>
      </c>
      <c r="E8691" t="s">
        <v>83</v>
      </c>
      <c r="F8691">
        <v>9600</v>
      </c>
      <c r="G8691" t="s">
        <v>331</v>
      </c>
      <c r="H8691" s="15">
        <v>45292</v>
      </c>
      <c r="I8691">
        <v>9600</v>
      </c>
      <c r="J8691">
        <v>0</v>
      </c>
    </row>
    <row r="8692" spans="1:10" x14ac:dyDescent="0.3">
      <c r="A8692" s="15">
        <v>46235</v>
      </c>
      <c r="B8692" t="s">
        <v>286</v>
      </c>
      <c r="C8692" t="s">
        <v>125</v>
      </c>
      <c r="D8692" t="s">
        <v>86</v>
      </c>
      <c r="E8692" t="s">
        <v>92</v>
      </c>
      <c r="F8692">
        <v>92400</v>
      </c>
      <c r="G8692" t="s">
        <v>331</v>
      </c>
      <c r="H8692" s="15">
        <v>45292</v>
      </c>
      <c r="I8692">
        <v>92400</v>
      </c>
      <c r="J8692">
        <v>0</v>
      </c>
    </row>
    <row r="8693" spans="1:10" x14ac:dyDescent="0.3">
      <c r="A8693" s="15">
        <v>46235</v>
      </c>
      <c r="B8693" t="s">
        <v>287</v>
      </c>
      <c r="C8693" t="s">
        <v>81</v>
      </c>
      <c r="D8693" t="s">
        <v>99</v>
      </c>
      <c r="E8693" t="s">
        <v>87</v>
      </c>
      <c r="F8693">
        <v>2400</v>
      </c>
      <c r="G8693" t="s">
        <v>331</v>
      </c>
      <c r="H8693" s="15">
        <v>45292</v>
      </c>
      <c r="I8693">
        <v>2400</v>
      </c>
      <c r="J8693">
        <v>0</v>
      </c>
    </row>
    <row r="8694" spans="1:10" x14ac:dyDescent="0.3">
      <c r="A8694" s="15">
        <v>46235</v>
      </c>
      <c r="B8694" t="s">
        <v>288</v>
      </c>
      <c r="C8694" t="s">
        <v>81</v>
      </c>
      <c r="D8694" t="s">
        <v>99</v>
      </c>
      <c r="E8694" t="s">
        <v>97</v>
      </c>
      <c r="F8694">
        <v>2900</v>
      </c>
      <c r="G8694" t="s">
        <v>331</v>
      </c>
      <c r="H8694" s="15">
        <v>45292</v>
      </c>
      <c r="I8694">
        <v>2900</v>
      </c>
      <c r="J8694">
        <v>0</v>
      </c>
    </row>
    <row r="8695" spans="1:10" x14ac:dyDescent="0.3">
      <c r="A8695" s="15">
        <v>46235</v>
      </c>
      <c r="B8695" t="s">
        <v>289</v>
      </c>
      <c r="C8695" t="s">
        <v>91</v>
      </c>
      <c r="D8695" t="s">
        <v>86</v>
      </c>
      <c r="E8695" t="s">
        <v>101</v>
      </c>
      <c r="F8695">
        <v>9400</v>
      </c>
      <c r="G8695" t="s">
        <v>331</v>
      </c>
      <c r="H8695" s="15">
        <v>45292</v>
      </c>
      <c r="I8695">
        <v>9400</v>
      </c>
      <c r="J8695">
        <v>0</v>
      </c>
    </row>
    <row r="8696" spans="1:10" x14ac:dyDescent="0.3">
      <c r="A8696" s="15">
        <v>46235</v>
      </c>
      <c r="B8696" t="s">
        <v>290</v>
      </c>
      <c r="C8696" t="s">
        <v>81</v>
      </c>
      <c r="D8696" t="s">
        <v>82</v>
      </c>
      <c r="E8696" t="s">
        <v>103</v>
      </c>
      <c r="F8696">
        <v>2800</v>
      </c>
      <c r="G8696" t="s">
        <v>331</v>
      </c>
      <c r="H8696" s="15">
        <v>45292</v>
      </c>
      <c r="I8696">
        <v>2800</v>
      </c>
      <c r="J8696">
        <v>0</v>
      </c>
    </row>
    <row r="8697" spans="1:10" x14ac:dyDescent="0.3">
      <c r="A8697" s="15">
        <v>46235</v>
      </c>
      <c r="B8697" t="s">
        <v>291</v>
      </c>
      <c r="C8697" t="s">
        <v>81</v>
      </c>
      <c r="D8697" t="s">
        <v>82</v>
      </c>
      <c r="E8697" t="s">
        <v>83</v>
      </c>
      <c r="F8697">
        <v>3100</v>
      </c>
      <c r="G8697" t="s">
        <v>331</v>
      </c>
      <c r="H8697" s="15">
        <v>45292</v>
      </c>
      <c r="I8697">
        <v>3100</v>
      </c>
      <c r="J8697">
        <v>0</v>
      </c>
    </row>
    <row r="8698" spans="1:10" x14ac:dyDescent="0.3">
      <c r="A8698" s="15">
        <v>46235</v>
      </c>
      <c r="B8698" t="s">
        <v>292</v>
      </c>
      <c r="C8698" t="s">
        <v>91</v>
      </c>
      <c r="D8698" t="s">
        <v>86</v>
      </c>
      <c r="E8698" t="s">
        <v>89</v>
      </c>
      <c r="F8698">
        <v>9900</v>
      </c>
      <c r="G8698" t="s">
        <v>331</v>
      </c>
      <c r="H8698" s="15">
        <v>45292</v>
      </c>
      <c r="I8698">
        <v>9900</v>
      </c>
      <c r="J8698">
        <v>0</v>
      </c>
    </row>
    <row r="8699" spans="1:10" x14ac:dyDescent="0.3">
      <c r="A8699" s="15">
        <v>46235</v>
      </c>
      <c r="B8699" t="s">
        <v>293</v>
      </c>
      <c r="C8699" t="s">
        <v>81</v>
      </c>
      <c r="D8699" t="s">
        <v>86</v>
      </c>
      <c r="E8699" t="s">
        <v>103</v>
      </c>
      <c r="F8699">
        <v>2200</v>
      </c>
      <c r="G8699" t="s">
        <v>331</v>
      </c>
      <c r="H8699" s="15">
        <v>45292</v>
      </c>
      <c r="I8699">
        <v>2200</v>
      </c>
      <c r="J8699">
        <v>0</v>
      </c>
    </row>
    <row r="8700" spans="1:10" x14ac:dyDescent="0.3">
      <c r="A8700" s="15">
        <v>46235</v>
      </c>
      <c r="B8700" t="s">
        <v>294</v>
      </c>
      <c r="C8700" t="s">
        <v>91</v>
      </c>
      <c r="D8700" t="s">
        <v>82</v>
      </c>
      <c r="E8700" t="s">
        <v>97</v>
      </c>
      <c r="F8700">
        <v>8200</v>
      </c>
      <c r="G8700" t="s">
        <v>331</v>
      </c>
      <c r="H8700" s="15">
        <v>45292</v>
      </c>
      <c r="I8700">
        <v>8200</v>
      </c>
      <c r="J8700">
        <v>0</v>
      </c>
    </row>
    <row r="8701" spans="1:10" x14ac:dyDescent="0.3">
      <c r="A8701" s="15">
        <v>46235</v>
      </c>
      <c r="B8701" t="s">
        <v>295</v>
      </c>
      <c r="C8701" t="s">
        <v>81</v>
      </c>
      <c r="D8701" t="s">
        <v>82</v>
      </c>
      <c r="E8701" t="s">
        <v>103</v>
      </c>
      <c r="F8701">
        <v>2000</v>
      </c>
      <c r="G8701" t="s">
        <v>331</v>
      </c>
      <c r="H8701" s="15">
        <v>45292</v>
      </c>
      <c r="I8701">
        <v>2000</v>
      </c>
      <c r="J8701">
        <v>0</v>
      </c>
    </row>
    <row r="8702" spans="1:10" x14ac:dyDescent="0.3">
      <c r="A8702" s="15">
        <v>46235</v>
      </c>
      <c r="B8702" t="s">
        <v>298</v>
      </c>
      <c r="C8702" t="s">
        <v>81</v>
      </c>
      <c r="D8702" t="s">
        <v>86</v>
      </c>
      <c r="E8702" t="s">
        <v>89</v>
      </c>
      <c r="F8702">
        <v>2700</v>
      </c>
      <c r="G8702" t="s">
        <v>331</v>
      </c>
      <c r="H8702" s="15">
        <v>45292</v>
      </c>
      <c r="I8702">
        <v>2700</v>
      </c>
      <c r="J8702">
        <v>0</v>
      </c>
    </row>
    <row r="8703" spans="1:10" x14ac:dyDescent="0.3">
      <c r="A8703" s="15">
        <v>46235</v>
      </c>
      <c r="B8703" t="s">
        <v>299</v>
      </c>
      <c r="C8703" t="s">
        <v>81</v>
      </c>
      <c r="D8703" t="s">
        <v>99</v>
      </c>
      <c r="E8703" t="s">
        <v>103</v>
      </c>
      <c r="F8703">
        <v>2900</v>
      </c>
      <c r="G8703" t="s">
        <v>331</v>
      </c>
      <c r="H8703" s="15">
        <v>45292</v>
      </c>
      <c r="I8703">
        <v>2900</v>
      </c>
      <c r="J8703">
        <v>0</v>
      </c>
    </row>
    <row r="8704" spans="1:10" x14ac:dyDescent="0.3">
      <c r="A8704" s="15">
        <v>46235</v>
      </c>
      <c r="B8704" t="s">
        <v>300</v>
      </c>
      <c r="C8704" t="s">
        <v>91</v>
      </c>
      <c r="D8704" t="s">
        <v>82</v>
      </c>
      <c r="E8704" t="s">
        <v>89</v>
      </c>
      <c r="F8704">
        <v>11500</v>
      </c>
      <c r="G8704" t="s">
        <v>331</v>
      </c>
      <c r="H8704" s="15">
        <v>45292</v>
      </c>
      <c r="I8704">
        <v>11500</v>
      </c>
      <c r="J8704">
        <v>0</v>
      </c>
    </row>
    <row r="8705" spans="1:10" x14ac:dyDescent="0.3">
      <c r="A8705" s="15">
        <v>46235</v>
      </c>
      <c r="B8705" t="s">
        <v>303</v>
      </c>
      <c r="C8705" t="s">
        <v>81</v>
      </c>
      <c r="D8705" t="s">
        <v>82</v>
      </c>
      <c r="E8705" t="s">
        <v>83</v>
      </c>
      <c r="F8705">
        <v>1500</v>
      </c>
      <c r="G8705" t="s">
        <v>331</v>
      </c>
      <c r="H8705" s="15">
        <v>45292</v>
      </c>
      <c r="I8705">
        <v>1500</v>
      </c>
      <c r="J8705">
        <v>0</v>
      </c>
    </row>
    <row r="8706" spans="1:10" x14ac:dyDescent="0.3">
      <c r="A8706" s="15">
        <v>46235</v>
      </c>
      <c r="B8706" t="s">
        <v>304</v>
      </c>
      <c r="C8706" t="s">
        <v>81</v>
      </c>
      <c r="D8706" t="s">
        <v>86</v>
      </c>
      <c r="E8706" t="s">
        <v>92</v>
      </c>
      <c r="F8706">
        <v>2300</v>
      </c>
      <c r="G8706" t="s">
        <v>331</v>
      </c>
      <c r="H8706" s="15">
        <v>45292</v>
      </c>
      <c r="I8706">
        <v>2300</v>
      </c>
      <c r="J8706">
        <v>0</v>
      </c>
    </row>
    <row r="8707" spans="1:10" x14ac:dyDescent="0.3">
      <c r="A8707" s="15">
        <v>46235</v>
      </c>
      <c r="B8707" t="s">
        <v>306</v>
      </c>
      <c r="C8707" t="s">
        <v>91</v>
      </c>
      <c r="D8707" t="s">
        <v>82</v>
      </c>
      <c r="E8707" t="s">
        <v>87</v>
      </c>
      <c r="F8707">
        <v>13200</v>
      </c>
      <c r="G8707" t="s">
        <v>331</v>
      </c>
      <c r="H8707" s="15">
        <v>45292</v>
      </c>
      <c r="I8707">
        <v>13200</v>
      </c>
      <c r="J8707">
        <v>0</v>
      </c>
    </row>
    <row r="8708" spans="1:10" x14ac:dyDescent="0.3">
      <c r="A8708" s="15">
        <v>46235</v>
      </c>
      <c r="B8708" t="s">
        <v>307</v>
      </c>
      <c r="C8708" t="s">
        <v>81</v>
      </c>
      <c r="D8708" t="s">
        <v>86</v>
      </c>
      <c r="E8708" t="s">
        <v>97</v>
      </c>
      <c r="F8708">
        <v>2600</v>
      </c>
      <c r="G8708" t="s">
        <v>331</v>
      </c>
      <c r="H8708" s="15">
        <v>45292</v>
      </c>
      <c r="I8708">
        <v>2600</v>
      </c>
      <c r="J8708">
        <v>0</v>
      </c>
    </row>
    <row r="8709" spans="1:10" x14ac:dyDescent="0.3">
      <c r="A8709" s="15">
        <v>46235</v>
      </c>
      <c r="B8709" t="s">
        <v>309</v>
      </c>
      <c r="C8709" t="s">
        <v>91</v>
      </c>
      <c r="D8709" t="s">
        <v>82</v>
      </c>
      <c r="E8709" t="s">
        <v>87</v>
      </c>
      <c r="F8709">
        <v>11800</v>
      </c>
      <c r="G8709" t="s">
        <v>331</v>
      </c>
      <c r="H8709" s="15">
        <v>45292</v>
      </c>
      <c r="I8709">
        <v>11800</v>
      </c>
      <c r="J8709">
        <v>0</v>
      </c>
    </row>
    <row r="8710" spans="1:10" x14ac:dyDescent="0.3">
      <c r="A8710" s="15">
        <v>46235</v>
      </c>
      <c r="B8710" t="s">
        <v>310</v>
      </c>
      <c r="C8710" t="s">
        <v>91</v>
      </c>
      <c r="D8710" t="s">
        <v>99</v>
      </c>
      <c r="E8710" t="s">
        <v>87</v>
      </c>
      <c r="F8710">
        <v>10000</v>
      </c>
      <c r="G8710" t="s">
        <v>331</v>
      </c>
      <c r="H8710" s="15">
        <v>45292</v>
      </c>
      <c r="I8710">
        <v>10000</v>
      </c>
      <c r="J8710">
        <v>0</v>
      </c>
    </row>
    <row r="8711" spans="1:10" x14ac:dyDescent="0.3">
      <c r="A8711" s="15">
        <v>46235</v>
      </c>
      <c r="B8711" t="s">
        <v>315</v>
      </c>
      <c r="C8711" t="s">
        <v>125</v>
      </c>
      <c r="D8711" t="s">
        <v>86</v>
      </c>
      <c r="E8711" t="s">
        <v>92</v>
      </c>
      <c r="F8711">
        <v>76200</v>
      </c>
      <c r="G8711" t="s">
        <v>331</v>
      </c>
      <c r="H8711" s="15">
        <v>45292</v>
      </c>
      <c r="I8711">
        <v>76200</v>
      </c>
      <c r="J8711">
        <v>0</v>
      </c>
    </row>
    <row r="8712" spans="1:10" x14ac:dyDescent="0.3">
      <c r="A8712" s="15">
        <v>46235</v>
      </c>
      <c r="B8712" t="s">
        <v>316</v>
      </c>
      <c r="C8712" t="s">
        <v>81</v>
      </c>
      <c r="D8712" t="s">
        <v>96</v>
      </c>
      <c r="E8712" t="s">
        <v>92</v>
      </c>
      <c r="F8712">
        <v>2000</v>
      </c>
      <c r="G8712" t="s">
        <v>331</v>
      </c>
      <c r="H8712" s="15">
        <v>45292</v>
      </c>
      <c r="I8712">
        <v>2000</v>
      </c>
      <c r="J8712">
        <v>0</v>
      </c>
    </row>
    <row r="8713" spans="1:10" x14ac:dyDescent="0.3">
      <c r="A8713" s="15">
        <v>46235</v>
      </c>
      <c r="B8713" t="s">
        <v>318</v>
      </c>
      <c r="C8713" t="s">
        <v>110</v>
      </c>
      <c r="D8713" t="s">
        <v>82</v>
      </c>
      <c r="E8713" t="s">
        <v>97</v>
      </c>
      <c r="F8713">
        <v>29600</v>
      </c>
      <c r="G8713" t="s">
        <v>331</v>
      </c>
      <c r="H8713" s="15">
        <v>45292</v>
      </c>
      <c r="I8713">
        <v>29600</v>
      </c>
      <c r="J8713">
        <v>0</v>
      </c>
    </row>
    <row r="8714" spans="1:10" x14ac:dyDescent="0.3">
      <c r="A8714" s="15">
        <v>46235</v>
      </c>
      <c r="B8714" t="s">
        <v>320</v>
      </c>
      <c r="C8714" t="s">
        <v>91</v>
      </c>
      <c r="D8714" t="s">
        <v>86</v>
      </c>
      <c r="E8714" t="s">
        <v>97</v>
      </c>
      <c r="F8714">
        <v>7700</v>
      </c>
      <c r="G8714" t="s">
        <v>331</v>
      </c>
      <c r="H8714" s="15">
        <v>45292</v>
      </c>
      <c r="I8714">
        <v>7700</v>
      </c>
      <c r="J8714">
        <v>0</v>
      </c>
    </row>
    <row r="8715" spans="1:10" x14ac:dyDescent="0.3">
      <c r="A8715" s="15">
        <v>46235</v>
      </c>
      <c r="B8715" t="s">
        <v>322</v>
      </c>
      <c r="C8715" t="s">
        <v>81</v>
      </c>
      <c r="D8715" t="s">
        <v>82</v>
      </c>
      <c r="E8715" t="s">
        <v>103</v>
      </c>
      <c r="F8715">
        <v>2000</v>
      </c>
      <c r="G8715" t="s">
        <v>331</v>
      </c>
      <c r="H8715" s="15">
        <v>45292</v>
      </c>
      <c r="I8715">
        <v>2000</v>
      </c>
      <c r="J8715">
        <v>0</v>
      </c>
    </row>
    <row r="8716" spans="1:10" x14ac:dyDescent="0.3">
      <c r="A8716" s="15">
        <v>46235</v>
      </c>
      <c r="B8716" t="s">
        <v>323</v>
      </c>
      <c r="C8716" t="s">
        <v>110</v>
      </c>
      <c r="D8716" t="s">
        <v>82</v>
      </c>
      <c r="E8716" t="s">
        <v>89</v>
      </c>
      <c r="F8716">
        <v>22100</v>
      </c>
      <c r="G8716" t="s">
        <v>332</v>
      </c>
      <c r="H8716" s="15">
        <v>45292</v>
      </c>
      <c r="I8716">
        <v>19600</v>
      </c>
      <c r="J8716">
        <v>2500</v>
      </c>
    </row>
    <row r="8717" spans="1:10" x14ac:dyDescent="0.3">
      <c r="A8717" s="15">
        <v>46235</v>
      </c>
      <c r="B8717" t="s">
        <v>324</v>
      </c>
      <c r="C8717" t="s">
        <v>81</v>
      </c>
      <c r="D8717" t="s">
        <v>86</v>
      </c>
      <c r="E8717" t="s">
        <v>87</v>
      </c>
      <c r="F8717">
        <v>2400</v>
      </c>
      <c r="G8717" t="s">
        <v>331</v>
      </c>
      <c r="H8717" s="15">
        <v>45292</v>
      </c>
      <c r="I8717">
        <v>2400</v>
      </c>
      <c r="J8717">
        <v>0</v>
      </c>
    </row>
    <row r="8718" spans="1:10" x14ac:dyDescent="0.3">
      <c r="A8718" s="15">
        <v>46235</v>
      </c>
      <c r="B8718" t="s">
        <v>325</v>
      </c>
      <c r="C8718" t="s">
        <v>91</v>
      </c>
      <c r="D8718" t="s">
        <v>86</v>
      </c>
      <c r="E8718" t="s">
        <v>87</v>
      </c>
      <c r="F8718">
        <v>9400</v>
      </c>
      <c r="G8718" t="s">
        <v>331</v>
      </c>
      <c r="H8718" s="15">
        <v>45292</v>
      </c>
      <c r="I8718">
        <v>9400</v>
      </c>
      <c r="J8718">
        <v>0</v>
      </c>
    </row>
    <row r="8719" spans="1:10" x14ac:dyDescent="0.3">
      <c r="A8719" s="15">
        <v>46235</v>
      </c>
      <c r="B8719" t="s">
        <v>327</v>
      </c>
      <c r="C8719" t="s">
        <v>125</v>
      </c>
      <c r="D8719" t="s">
        <v>99</v>
      </c>
      <c r="E8719" t="s">
        <v>97</v>
      </c>
      <c r="F8719">
        <v>77500</v>
      </c>
      <c r="G8719" t="s">
        <v>331</v>
      </c>
      <c r="H8719" s="15">
        <v>45292</v>
      </c>
      <c r="I8719">
        <v>77500</v>
      </c>
      <c r="J8719">
        <v>0</v>
      </c>
    </row>
    <row r="8720" spans="1:10" x14ac:dyDescent="0.3">
      <c r="A8720" s="15">
        <v>46235</v>
      </c>
      <c r="B8720" t="s">
        <v>329</v>
      </c>
      <c r="C8720" t="s">
        <v>81</v>
      </c>
      <c r="D8720" t="s">
        <v>86</v>
      </c>
      <c r="E8720" t="s">
        <v>101</v>
      </c>
      <c r="F8720">
        <v>2200</v>
      </c>
      <c r="G8720" t="s">
        <v>331</v>
      </c>
      <c r="H8720" s="15">
        <v>45292</v>
      </c>
      <c r="I8720">
        <v>2200</v>
      </c>
      <c r="J8720">
        <v>0</v>
      </c>
    </row>
    <row r="8721" spans="1:10" x14ac:dyDescent="0.3">
      <c r="A8721" s="15">
        <v>46235</v>
      </c>
      <c r="B8721" t="s">
        <v>330</v>
      </c>
      <c r="C8721" t="s">
        <v>125</v>
      </c>
      <c r="D8721" t="s">
        <v>86</v>
      </c>
      <c r="E8721" t="s">
        <v>87</v>
      </c>
      <c r="F8721">
        <v>105400</v>
      </c>
      <c r="G8721" t="s">
        <v>331</v>
      </c>
      <c r="H8721" s="15">
        <v>45292</v>
      </c>
      <c r="I8721">
        <v>105400</v>
      </c>
      <c r="J8721">
        <v>0</v>
      </c>
    </row>
    <row r="8722" spans="1:10" x14ac:dyDescent="0.3">
      <c r="A8722" s="15">
        <v>46235</v>
      </c>
      <c r="B8722" t="s">
        <v>335</v>
      </c>
      <c r="C8722" t="s">
        <v>91</v>
      </c>
      <c r="D8722" t="s">
        <v>86</v>
      </c>
      <c r="E8722" t="s">
        <v>89</v>
      </c>
      <c r="F8722">
        <v>6500</v>
      </c>
      <c r="G8722" t="s">
        <v>331</v>
      </c>
      <c r="H8722" s="15">
        <v>45323</v>
      </c>
      <c r="I8722">
        <v>6500</v>
      </c>
      <c r="J8722">
        <v>0</v>
      </c>
    </row>
    <row r="8723" spans="1:10" x14ac:dyDescent="0.3">
      <c r="A8723" s="15">
        <v>46235</v>
      </c>
      <c r="B8723" t="s">
        <v>336</v>
      </c>
      <c r="C8723" t="s">
        <v>81</v>
      </c>
      <c r="D8723" t="s">
        <v>82</v>
      </c>
      <c r="E8723" t="s">
        <v>103</v>
      </c>
      <c r="F8723">
        <v>0</v>
      </c>
      <c r="G8723" t="s">
        <v>333</v>
      </c>
      <c r="H8723" s="15">
        <v>45323</v>
      </c>
      <c r="I8723">
        <v>1400</v>
      </c>
      <c r="J8723">
        <v>-1400</v>
      </c>
    </row>
    <row r="8724" spans="1:10" x14ac:dyDescent="0.3">
      <c r="A8724" s="15">
        <v>46235</v>
      </c>
      <c r="B8724" t="s">
        <v>339</v>
      </c>
      <c r="C8724" t="s">
        <v>81</v>
      </c>
      <c r="D8724" t="s">
        <v>82</v>
      </c>
      <c r="E8724" t="s">
        <v>103</v>
      </c>
      <c r="F8724">
        <v>1400</v>
      </c>
      <c r="G8724" t="s">
        <v>331</v>
      </c>
      <c r="H8724" s="15">
        <v>45323</v>
      </c>
      <c r="I8724">
        <v>1400</v>
      </c>
      <c r="J8724">
        <v>0</v>
      </c>
    </row>
    <row r="8725" spans="1:10" x14ac:dyDescent="0.3">
      <c r="A8725" s="15">
        <v>46235</v>
      </c>
      <c r="B8725" t="s">
        <v>341</v>
      </c>
      <c r="C8725" t="s">
        <v>110</v>
      </c>
      <c r="D8725" t="s">
        <v>82</v>
      </c>
      <c r="E8725" t="s">
        <v>92</v>
      </c>
      <c r="F8725">
        <v>18800</v>
      </c>
      <c r="G8725" t="s">
        <v>331</v>
      </c>
      <c r="H8725" s="15">
        <v>45323</v>
      </c>
      <c r="I8725">
        <v>18800</v>
      </c>
      <c r="J8725">
        <v>0</v>
      </c>
    </row>
    <row r="8726" spans="1:10" x14ac:dyDescent="0.3">
      <c r="A8726" s="15">
        <v>46235</v>
      </c>
      <c r="B8726" t="s">
        <v>342</v>
      </c>
      <c r="C8726" t="s">
        <v>91</v>
      </c>
      <c r="D8726" t="s">
        <v>82</v>
      </c>
      <c r="E8726" t="s">
        <v>83</v>
      </c>
      <c r="F8726">
        <v>7300</v>
      </c>
      <c r="G8726" t="s">
        <v>331</v>
      </c>
      <c r="H8726" s="15">
        <v>45352</v>
      </c>
      <c r="I8726">
        <v>7300</v>
      </c>
      <c r="J8726">
        <v>0</v>
      </c>
    </row>
    <row r="8727" spans="1:10" x14ac:dyDescent="0.3">
      <c r="A8727" s="15">
        <v>46235</v>
      </c>
      <c r="B8727" t="s">
        <v>343</v>
      </c>
      <c r="C8727" t="s">
        <v>81</v>
      </c>
      <c r="D8727" t="s">
        <v>82</v>
      </c>
      <c r="E8727" t="s">
        <v>89</v>
      </c>
      <c r="F8727">
        <v>2500</v>
      </c>
      <c r="G8727" t="s">
        <v>331</v>
      </c>
      <c r="H8727" s="15">
        <v>45352</v>
      </c>
      <c r="I8727">
        <v>2500</v>
      </c>
      <c r="J8727">
        <v>0</v>
      </c>
    </row>
    <row r="8728" spans="1:10" x14ac:dyDescent="0.3">
      <c r="A8728" s="15">
        <v>46235</v>
      </c>
      <c r="B8728" t="s">
        <v>344</v>
      </c>
      <c r="C8728" t="s">
        <v>110</v>
      </c>
      <c r="D8728" t="s">
        <v>86</v>
      </c>
      <c r="E8728" t="s">
        <v>89</v>
      </c>
      <c r="F8728">
        <v>25800</v>
      </c>
      <c r="G8728" t="s">
        <v>331</v>
      </c>
      <c r="H8728" s="15">
        <v>45352</v>
      </c>
      <c r="I8728">
        <v>25800</v>
      </c>
      <c r="J8728">
        <v>0</v>
      </c>
    </row>
    <row r="8729" spans="1:10" x14ac:dyDescent="0.3">
      <c r="A8729" s="15">
        <v>46235</v>
      </c>
      <c r="B8729" t="s">
        <v>345</v>
      </c>
      <c r="C8729" t="s">
        <v>91</v>
      </c>
      <c r="D8729" t="s">
        <v>86</v>
      </c>
      <c r="E8729" t="s">
        <v>83</v>
      </c>
      <c r="F8729">
        <v>7900</v>
      </c>
      <c r="G8729" t="s">
        <v>331</v>
      </c>
      <c r="H8729" s="15">
        <v>45352</v>
      </c>
      <c r="I8729">
        <v>7900</v>
      </c>
      <c r="J8729">
        <v>0</v>
      </c>
    </row>
    <row r="8730" spans="1:10" x14ac:dyDescent="0.3">
      <c r="A8730" s="15">
        <v>46235</v>
      </c>
      <c r="B8730" t="s">
        <v>346</v>
      </c>
      <c r="C8730" t="s">
        <v>81</v>
      </c>
      <c r="D8730" t="s">
        <v>86</v>
      </c>
      <c r="E8730" t="s">
        <v>97</v>
      </c>
      <c r="F8730">
        <v>1700</v>
      </c>
      <c r="G8730" t="s">
        <v>331</v>
      </c>
      <c r="H8730" s="15">
        <v>45352</v>
      </c>
      <c r="I8730">
        <v>1700</v>
      </c>
      <c r="J8730">
        <v>0</v>
      </c>
    </row>
    <row r="8731" spans="1:10" x14ac:dyDescent="0.3">
      <c r="A8731" s="15">
        <v>46235</v>
      </c>
      <c r="B8731" t="s">
        <v>347</v>
      </c>
      <c r="C8731" t="s">
        <v>91</v>
      </c>
      <c r="D8731" t="s">
        <v>82</v>
      </c>
      <c r="E8731" t="s">
        <v>83</v>
      </c>
      <c r="F8731">
        <v>4700</v>
      </c>
      <c r="G8731" t="s">
        <v>331</v>
      </c>
      <c r="H8731" s="15">
        <v>45383</v>
      </c>
      <c r="I8731">
        <v>4700</v>
      </c>
      <c r="J8731">
        <v>0</v>
      </c>
    </row>
    <row r="8732" spans="1:10" x14ac:dyDescent="0.3">
      <c r="A8732" s="15">
        <v>46235</v>
      </c>
      <c r="B8732" t="s">
        <v>350</v>
      </c>
      <c r="C8732" t="s">
        <v>91</v>
      </c>
      <c r="D8732" t="s">
        <v>82</v>
      </c>
      <c r="E8732" t="s">
        <v>83</v>
      </c>
      <c r="F8732">
        <v>4400</v>
      </c>
      <c r="G8732" t="s">
        <v>331</v>
      </c>
      <c r="H8732" s="15">
        <v>45383</v>
      </c>
      <c r="I8732">
        <v>4400</v>
      </c>
      <c r="J8732">
        <v>0</v>
      </c>
    </row>
    <row r="8733" spans="1:10" x14ac:dyDescent="0.3">
      <c r="A8733" s="15">
        <v>46235</v>
      </c>
      <c r="B8733" t="s">
        <v>351</v>
      </c>
      <c r="C8733" t="s">
        <v>81</v>
      </c>
      <c r="D8733" t="s">
        <v>86</v>
      </c>
      <c r="E8733" t="s">
        <v>83</v>
      </c>
      <c r="F8733">
        <v>2700</v>
      </c>
      <c r="G8733" t="s">
        <v>331</v>
      </c>
      <c r="H8733" s="15">
        <v>45383</v>
      </c>
      <c r="I8733">
        <v>2700</v>
      </c>
      <c r="J8733">
        <v>0</v>
      </c>
    </row>
    <row r="8734" spans="1:10" x14ac:dyDescent="0.3">
      <c r="A8734" s="15">
        <v>46235</v>
      </c>
      <c r="B8734" t="s">
        <v>352</v>
      </c>
      <c r="C8734" t="s">
        <v>91</v>
      </c>
      <c r="D8734" t="s">
        <v>82</v>
      </c>
      <c r="E8734" t="s">
        <v>89</v>
      </c>
      <c r="F8734">
        <v>8800</v>
      </c>
      <c r="G8734" t="s">
        <v>331</v>
      </c>
      <c r="H8734" s="15">
        <v>45383</v>
      </c>
      <c r="I8734">
        <v>8800</v>
      </c>
      <c r="J8734">
        <v>0</v>
      </c>
    </row>
    <row r="8735" spans="1:10" x14ac:dyDescent="0.3">
      <c r="A8735" s="15">
        <v>46235</v>
      </c>
      <c r="B8735" t="s">
        <v>353</v>
      </c>
      <c r="C8735" t="s">
        <v>81</v>
      </c>
      <c r="D8735" t="s">
        <v>99</v>
      </c>
      <c r="E8735" t="s">
        <v>103</v>
      </c>
      <c r="F8735">
        <v>1200</v>
      </c>
      <c r="G8735" t="s">
        <v>331</v>
      </c>
      <c r="H8735" s="15">
        <v>45383</v>
      </c>
      <c r="I8735">
        <v>1200</v>
      </c>
      <c r="J8735">
        <v>0</v>
      </c>
    </row>
    <row r="8736" spans="1:10" x14ac:dyDescent="0.3">
      <c r="A8736" s="15">
        <v>46235</v>
      </c>
      <c r="B8736" t="s">
        <v>354</v>
      </c>
      <c r="C8736" t="s">
        <v>81</v>
      </c>
      <c r="D8736" t="s">
        <v>82</v>
      </c>
      <c r="E8736" t="s">
        <v>92</v>
      </c>
      <c r="F8736">
        <v>1700</v>
      </c>
      <c r="G8736" t="s">
        <v>331</v>
      </c>
      <c r="H8736" s="15">
        <v>45413</v>
      </c>
      <c r="I8736">
        <v>1700</v>
      </c>
      <c r="J8736">
        <v>0</v>
      </c>
    </row>
    <row r="8737" spans="1:10" x14ac:dyDescent="0.3">
      <c r="A8737" s="15">
        <v>46235</v>
      </c>
      <c r="B8737" t="s">
        <v>355</v>
      </c>
      <c r="C8737" t="s">
        <v>81</v>
      </c>
      <c r="D8737" t="s">
        <v>86</v>
      </c>
      <c r="E8737" t="s">
        <v>97</v>
      </c>
      <c r="F8737">
        <v>2000</v>
      </c>
      <c r="G8737" t="s">
        <v>331</v>
      </c>
      <c r="H8737" s="15">
        <v>45413</v>
      </c>
      <c r="I8737">
        <v>2000</v>
      </c>
      <c r="J8737">
        <v>0</v>
      </c>
    </row>
    <row r="8738" spans="1:10" x14ac:dyDescent="0.3">
      <c r="A8738" s="15">
        <v>46235</v>
      </c>
      <c r="B8738" t="s">
        <v>356</v>
      </c>
      <c r="C8738" t="s">
        <v>110</v>
      </c>
      <c r="D8738" t="s">
        <v>82</v>
      </c>
      <c r="E8738" t="s">
        <v>97</v>
      </c>
      <c r="F8738">
        <v>33000</v>
      </c>
      <c r="G8738" t="s">
        <v>331</v>
      </c>
      <c r="H8738" s="15">
        <v>45413</v>
      </c>
      <c r="I8738">
        <v>33000</v>
      </c>
      <c r="J8738">
        <v>0</v>
      </c>
    </row>
    <row r="8739" spans="1:10" x14ac:dyDescent="0.3">
      <c r="A8739" s="15">
        <v>46235</v>
      </c>
      <c r="B8739" t="s">
        <v>359</v>
      </c>
      <c r="C8739" t="s">
        <v>110</v>
      </c>
      <c r="D8739" t="s">
        <v>86</v>
      </c>
      <c r="E8739" t="s">
        <v>101</v>
      </c>
      <c r="F8739">
        <v>28900</v>
      </c>
      <c r="G8739" t="s">
        <v>331</v>
      </c>
      <c r="H8739" s="15">
        <v>45413</v>
      </c>
      <c r="I8739">
        <v>28900</v>
      </c>
      <c r="J8739">
        <v>0</v>
      </c>
    </row>
    <row r="8740" spans="1:10" x14ac:dyDescent="0.3">
      <c r="A8740" s="15">
        <v>46235</v>
      </c>
      <c r="B8740" t="s">
        <v>361</v>
      </c>
      <c r="C8740" t="s">
        <v>91</v>
      </c>
      <c r="D8740" t="s">
        <v>86</v>
      </c>
      <c r="E8740" t="s">
        <v>83</v>
      </c>
      <c r="F8740">
        <v>5700</v>
      </c>
      <c r="G8740" t="s">
        <v>331</v>
      </c>
      <c r="H8740" s="15">
        <v>45444</v>
      </c>
      <c r="I8740">
        <v>5700</v>
      </c>
      <c r="J8740">
        <v>0</v>
      </c>
    </row>
    <row r="8741" spans="1:10" x14ac:dyDescent="0.3">
      <c r="A8741" s="15">
        <v>46235</v>
      </c>
      <c r="B8741" t="s">
        <v>362</v>
      </c>
      <c r="C8741" t="s">
        <v>91</v>
      </c>
      <c r="D8741" t="s">
        <v>82</v>
      </c>
      <c r="E8741" t="s">
        <v>101</v>
      </c>
      <c r="F8741">
        <v>5700</v>
      </c>
      <c r="G8741" t="s">
        <v>331</v>
      </c>
      <c r="H8741" s="15">
        <v>45444</v>
      </c>
      <c r="I8741">
        <v>5700</v>
      </c>
      <c r="J8741">
        <v>0</v>
      </c>
    </row>
    <row r="8742" spans="1:10" x14ac:dyDescent="0.3">
      <c r="A8742" s="15">
        <v>46235</v>
      </c>
      <c r="B8742" t="s">
        <v>363</v>
      </c>
      <c r="C8742" t="s">
        <v>91</v>
      </c>
      <c r="D8742" t="s">
        <v>86</v>
      </c>
      <c r="E8742" t="s">
        <v>83</v>
      </c>
      <c r="F8742">
        <v>4400</v>
      </c>
      <c r="G8742" t="s">
        <v>331</v>
      </c>
      <c r="H8742" s="15">
        <v>45444</v>
      </c>
      <c r="I8742">
        <v>4400</v>
      </c>
      <c r="J8742">
        <v>0</v>
      </c>
    </row>
    <row r="8743" spans="1:10" x14ac:dyDescent="0.3">
      <c r="A8743" s="15">
        <v>46235</v>
      </c>
      <c r="B8743" t="s">
        <v>364</v>
      </c>
      <c r="C8743" t="s">
        <v>91</v>
      </c>
      <c r="D8743" t="s">
        <v>82</v>
      </c>
      <c r="E8743" t="s">
        <v>101</v>
      </c>
      <c r="F8743">
        <v>7600</v>
      </c>
      <c r="G8743" t="s">
        <v>331</v>
      </c>
      <c r="H8743" s="15">
        <v>45444</v>
      </c>
      <c r="I8743">
        <v>7600</v>
      </c>
      <c r="J8743">
        <v>0</v>
      </c>
    </row>
    <row r="8744" spans="1:10" x14ac:dyDescent="0.3">
      <c r="A8744" s="15">
        <v>46235</v>
      </c>
      <c r="B8744" t="s">
        <v>366</v>
      </c>
      <c r="C8744" t="s">
        <v>81</v>
      </c>
      <c r="D8744" t="s">
        <v>99</v>
      </c>
      <c r="E8744" t="s">
        <v>92</v>
      </c>
      <c r="F8744">
        <v>1600</v>
      </c>
      <c r="G8744" t="s">
        <v>331</v>
      </c>
      <c r="H8744" s="15">
        <v>45474</v>
      </c>
      <c r="I8744">
        <v>1600</v>
      </c>
      <c r="J8744">
        <v>0</v>
      </c>
    </row>
    <row r="8745" spans="1:10" x14ac:dyDescent="0.3">
      <c r="A8745" s="15">
        <v>46235</v>
      </c>
      <c r="B8745" t="s">
        <v>368</v>
      </c>
      <c r="C8745" t="s">
        <v>81</v>
      </c>
      <c r="D8745" t="s">
        <v>86</v>
      </c>
      <c r="E8745" t="s">
        <v>89</v>
      </c>
      <c r="F8745">
        <v>1200</v>
      </c>
      <c r="G8745" t="s">
        <v>331</v>
      </c>
      <c r="H8745" s="15">
        <v>45474</v>
      </c>
      <c r="I8745">
        <v>1200</v>
      </c>
      <c r="J8745">
        <v>0</v>
      </c>
    </row>
    <row r="8746" spans="1:10" x14ac:dyDescent="0.3">
      <c r="A8746" s="15">
        <v>46235</v>
      </c>
      <c r="B8746" t="s">
        <v>369</v>
      </c>
      <c r="C8746" t="s">
        <v>81</v>
      </c>
      <c r="D8746" t="s">
        <v>86</v>
      </c>
      <c r="E8746" t="s">
        <v>83</v>
      </c>
      <c r="F8746">
        <v>0</v>
      </c>
      <c r="G8746" t="s">
        <v>333</v>
      </c>
      <c r="H8746" s="15">
        <v>45474</v>
      </c>
      <c r="I8746">
        <v>2300</v>
      </c>
      <c r="J8746">
        <v>-2300</v>
      </c>
    </row>
    <row r="8747" spans="1:10" x14ac:dyDescent="0.3">
      <c r="A8747" s="15">
        <v>46235</v>
      </c>
      <c r="B8747" t="s">
        <v>370</v>
      </c>
      <c r="C8747" t="s">
        <v>81</v>
      </c>
      <c r="D8747" t="s">
        <v>99</v>
      </c>
      <c r="E8747" t="s">
        <v>87</v>
      </c>
      <c r="F8747">
        <v>2300</v>
      </c>
      <c r="G8747" t="s">
        <v>331</v>
      </c>
      <c r="H8747" s="15">
        <v>45474</v>
      </c>
      <c r="I8747">
        <v>2300</v>
      </c>
      <c r="J8747">
        <v>0</v>
      </c>
    </row>
    <row r="8748" spans="1:10" x14ac:dyDescent="0.3">
      <c r="A8748" s="15">
        <v>46235</v>
      </c>
      <c r="B8748" t="s">
        <v>376</v>
      </c>
      <c r="C8748" t="s">
        <v>110</v>
      </c>
      <c r="D8748" t="s">
        <v>86</v>
      </c>
      <c r="E8748" t="s">
        <v>103</v>
      </c>
      <c r="F8748">
        <v>22900</v>
      </c>
      <c r="G8748" t="s">
        <v>331</v>
      </c>
      <c r="H8748" s="15">
        <v>45505</v>
      </c>
      <c r="I8748">
        <v>22900</v>
      </c>
      <c r="J8748">
        <v>0</v>
      </c>
    </row>
    <row r="8749" spans="1:10" x14ac:dyDescent="0.3">
      <c r="A8749" s="15">
        <v>46235</v>
      </c>
      <c r="B8749" t="s">
        <v>377</v>
      </c>
      <c r="C8749" t="s">
        <v>81</v>
      </c>
      <c r="D8749" t="s">
        <v>99</v>
      </c>
      <c r="E8749" t="s">
        <v>92</v>
      </c>
      <c r="F8749">
        <v>2300</v>
      </c>
      <c r="G8749" t="s">
        <v>331</v>
      </c>
      <c r="H8749" s="15">
        <v>45536</v>
      </c>
      <c r="I8749">
        <v>2300</v>
      </c>
      <c r="J8749">
        <v>0</v>
      </c>
    </row>
    <row r="8750" spans="1:10" x14ac:dyDescent="0.3">
      <c r="A8750" s="15">
        <v>46235</v>
      </c>
      <c r="B8750" t="s">
        <v>379</v>
      </c>
      <c r="C8750" t="s">
        <v>81</v>
      </c>
      <c r="D8750" t="s">
        <v>99</v>
      </c>
      <c r="E8750" t="s">
        <v>101</v>
      </c>
      <c r="F8750">
        <v>2300</v>
      </c>
      <c r="G8750" t="s">
        <v>332</v>
      </c>
      <c r="H8750" s="15">
        <v>45536</v>
      </c>
      <c r="I8750">
        <v>2200</v>
      </c>
      <c r="J8750">
        <v>100</v>
      </c>
    </row>
    <row r="8751" spans="1:10" x14ac:dyDescent="0.3">
      <c r="A8751" s="15">
        <v>46235</v>
      </c>
      <c r="B8751" t="s">
        <v>381</v>
      </c>
      <c r="C8751" t="s">
        <v>91</v>
      </c>
      <c r="D8751" t="s">
        <v>86</v>
      </c>
      <c r="E8751" t="s">
        <v>92</v>
      </c>
      <c r="F8751">
        <v>4600</v>
      </c>
      <c r="G8751" t="s">
        <v>331</v>
      </c>
      <c r="H8751" s="15">
        <v>45536</v>
      </c>
      <c r="I8751">
        <v>4600</v>
      </c>
      <c r="J8751">
        <v>0</v>
      </c>
    </row>
    <row r="8752" spans="1:10" x14ac:dyDescent="0.3">
      <c r="A8752" s="15">
        <v>46235</v>
      </c>
      <c r="B8752" t="s">
        <v>382</v>
      </c>
      <c r="C8752" t="s">
        <v>81</v>
      </c>
      <c r="D8752" t="s">
        <v>96</v>
      </c>
      <c r="E8752" t="s">
        <v>101</v>
      </c>
      <c r="F8752">
        <v>2100</v>
      </c>
      <c r="G8752" t="s">
        <v>331</v>
      </c>
      <c r="H8752" s="15">
        <v>45536</v>
      </c>
      <c r="I8752">
        <v>2100</v>
      </c>
      <c r="J8752">
        <v>0</v>
      </c>
    </row>
    <row r="8753" spans="1:10" x14ac:dyDescent="0.3">
      <c r="A8753" s="15">
        <v>46235</v>
      </c>
      <c r="B8753" t="s">
        <v>383</v>
      </c>
      <c r="C8753" t="s">
        <v>81</v>
      </c>
      <c r="D8753" t="s">
        <v>82</v>
      </c>
      <c r="E8753" t="s">
        <v>87</v>
      </c>
      <c r="F8753">
        <v>1600</v>
      </c>
      <c r="G8753" t="s">
        <v>331</v>
      </c>
      <c r="H8753" s="15">
        <v>45536</v>
      </c>
      <c r="I8753">
        <v>1600</v>
      </c>
      <c r="J8753">
        <v>0</v>
      </c>
    </row>
    <row r="8754" spans="1:10" x14ac:dyDescent="0.3">
      <c r="A8754" s="15">
        <v>46235</v>
      </c>
      <c r="B8754" t="s">
        <v>385</v>
      </c>
      <c r="C8754" t="s">
        <v>91</v>
      </c>
      <c r="D8754" t="s">
        <v>99</v>
      </c>
      <c r="E8754" t="s">
        <v>83</v>
      </c>
      <c r="F8754">
        <v>8300</v>
      </c>
      <c r="G8754" t="s">
        <v>331</v>
      </c>
      <c r="H8754" s="15">
        <v>45566</v>
      </c>
      <c r="I8754">
        <v>8300</v>
      </c>
      <c r="J8754">
        <v>0</v>
      </c>
    </row>
    <row r="8755" spans="1:10" x14ac:dyDescent="0.3">
      <c r="A8755" s="15">
        <v>46235</v>
      </c>
      <c r="B8755" t="s">
        <v>386</v>
      </c>
      <c r="C8755" t="s">
        <v>81</v>
      </c>
      <c r="D8755" t="s">
        <v>82</v>
      </c>
      <c r="E8755" t="s">
        <v>103</v>
      </c>
      <c r="F8755">
        <v>2200</v>
      </c>
      <c r="G8755" t="s">
        <v>331</v>
      </c>
      <c r="H8755" s="15">
        <v>45566</v>
      </c>
      <c r="I8755">
        <v>2200</v>
      </c>
      <c r="J8755">
        <v>0</v>
      </c>
    </row>
    <row r="8756" spans="1:10" x14ac:dyDescent="0.3">
      <c r="A8756" s="15">
        <v>46235</v>
      </c>
      <c r="B8756" t="s">
        <v>387</v>
      </c>
      <c r="C8756" t="s">
        <v>81</v>
      </c>
      <c r="D8756" t="s">
        <v>86</v>
      </c>
      <c r="E8756" t="s">
        <v>92</v>
      </c>
      <c r="F8756">
        <v>1500</v>
      </c>
      <c r="G8756" t="s">
        <v>331</v>
      </c>
      <c r="H8756" s="15">
        <v>45566</v>
      </c>
      <c r="I8756">
        <v>1500</v>
      </c>
      <c r="J8756">
        <v>0</v>
      </c>
    </row>
    <row r="8757" spans="1:10" x14ac:dyDescent="0.3">
      <c r="A8757" s="15">
        <v>46235</v>
      </c>
      <c r="B8757" t="s">
        <v>388</v>
      </c>
      <c r="C8757" t="s">
        <v>81</v>
      </c>
      <c r="D8757" t="s">
        <v>99</v>
      </c>
      <c r="E8757" t="s">
        <v>103</v>
      </c>
      <c r="F8757">
        <v>1800</v>
      </c>
      <c r="G8757" t="s">
        <v>331</v>
      </c>
      <c r="H8757" s="15">
        <v>45566</v>
      </c>
      <c r="I8757">
        <v>1800</v>
      </c>
      <c r="J8757">
        <v>0</v>
      </c>
    </row>
    <row r="8758" spans="1:10" x14ac:dyDescent="0.3">
      <c r="A8758" s="15">
        <v>46235</v>
      </c>
      <c r="B8758" t="s">
        <v>390</v>
      </c>
      <c r="C8758" t="s">
        <v>91</v>
      </c>
      <c r="D8758" t="s">
        <v>82</v>
      </c>
      <c r="E8758" t="s">
        <v>89</v>
      </c>
      <c r="F8758">
        <v>6200</v>
      </c>
      <c r="G8758" t="s">
        <v>331</v>
      </c>
      <c r="H8758" s="15">
        <v>45566</v>
      </c>
      <c r="I8758">
        <v>6200</v>
      </c>
      <c r="J8758">
        <v>0</v>
      </c>
    </row>
    <row r="8759" spans="1:10" x14ac:dyDescent="0.3">
      <c r="A8759" s="15">
        <v>46235</v>
      </c>
      <c r="B8759" t="s">
        <v>392</v>
      </c>
      <c r="C8759" t="s">
        <v>91</v>
      </c>
      <c r="D8759" t="s">
        <v>86</v>
      </c>
      <c r="E8759" t="s">
        <v>97</v>
      </c>
      <c r="F8759">
        <v>10000</v>
      </c>
      <c r="G8759" t="s">
        <v>331</v>
      </c>
      <c r="H8759" s="15">
        <v>45597</v>
      </c>
      <c r="I8759">
        <v>10000</v>
      </c>
      <c r="J8759">
        <v>0</v>
      </c>
    </row>
    <row r="8760" spans="1:10" x14ac:dyDescent="0.3">
      <c r="A8760" s="15">
        <v>46235</v>
      </c>
      <c r="B8760" t="s">
        <v>393</v>
      </c>
      <c r="C8760" t="s">
        <v>81</v>
      </c>
      <c r="D8760" t="s">
        <v>82</v>
      </c>
      <c r="E8760" t="s">
        <v>92</v>
      </c>
      <c r="F8760">
        <v>2100</v>
      </c>
      <c r="G8760" t="s">
        <v>331</v>
      </c>
      <c r="H8760" s="15">
        <v>45597</v>
      </c>
      <c r="I8760">
        <v>2100</v>
      </c>
      <c r="J8760">
        <v>0</v>
      </c>
    </row>
    <row r="8761" spans="1:10" x14ac:dyDescent="0.3">
      <c r="A8761" s="15">
        <v>46235</v>
      </c>
      <c r="B8761" t="s">
        <v>394</v>
      </c>
      <c r="C8761" t="s">
        <v>81</v>
      </c>
      <c r="D8761" t="s">
        <v>99</v>
      </c>
      <c r="E8761" t="s">
        <v>87</v>
      </c>
      <c r="F8761">
        <v>1500</v>
      </c>
      <c r="G8761" t="s">
        <v>331</v>
      </c>
      <c r="H8761" s="15">
        <v>45597</v>
      </c>
      <c r="I8761">
        <v>1500</v>
      </c>
      <c r="J8761">
        <v>0</v>
      </c>
    </row>
    <row r="8762" spans="1:10" x14ac:dyDescent="0.3">
      <c r="A8762" s="15">
        <v>46235</v>
      </c>
      <c r="B8762" t="s">
        <v>395</v>
      </c>
      <c r="C8762" t="s">
        <v>81</v>
      </c>
      <c r="D8762" t="s">
        <v>82</v>
      </c>
      <c r="E8762" t="s">
        <v>97</v>
      </c>
      <c r="F8762">
        <v>2500</v>
      </c>
      <c r="G8762" t="s">
        <v>331</v>
      </c>
      <c r="H8762" s="15">
        <v>45627</v>
      </c>
      <c r="I8762">
        <v>2500</v>
      </c>
      <c r="J8762">
        <v>0</v>
      </c>
    </row>
    <row r="8763" spans="1:10" x14ac:dyDescent="0.3">
      <c r="A8763" s="15">
        <v>46235</v>
      </c>
      <c r="B8763" t="s">
        <v>398</v>
      </c>
      <c r="C8763" t="s">
        <v>81</v>
      </c>
      <c r="D8763" t="s">
        <v>86</v>
      </c>
      <c r="E8763" t="s">
        <v>92</v>
      </c>
      <c r="F8763">
        <v>1400</v>
      </c>
      <c r="G8763" t="s">
        <v>331</v>
      </c>
      <c r="H8763" s="15">
        <v>45627</v>
      </c>
      <c r="I8763">
        <v>1400</v>
      </c>
      <c r="J8763">
        <v>0</v>
      </c>
    </row>
    <row r="8764" spans="1:10" x14ac:dyDescent="0.3">
      <c r="A8764" s="15">
        <v>46235</v>
      </c>
      <c r="B8764" t="s">
        <v>399</v>
      </c>
      <c r="C8764" t="s">
        <v>110</v>
      </c>
      <c r="D8764" t="s">
        <v>82</v>
      </c>
      <c r="E8764" t="s">
        <v>101</v>
      </c>
      <c r="F8764">
        <v>17400</v>
      </c>
      <c r="G8764" t="s">
        <v>331</v>
      </c>
      <c r="H8764" s="15">
        <v>45627</v>
      </c>
      <c r="I8764">
        <v>17400</v>
      </c>
      <c r="J8764">
        <v>0</v>
      </c>
    </row>
    <row r="8765" spans="1:10" x14ac:dyDescent="0.3">
      <c r="A8765" s="15">
        <v>46235</v>
      </c>
      <c r="B8765" t="s">
        <v>400</v>
      </c>
      <c r="C8765" t="s">
        <v>91</v>
      </c>
      <c r="D8765" t="s">
        <v>82</v>
      </c>
      <c r="E8765" t="s">
        <v>103</v>
      </c>
      <c r="F8765">
        <v>4600</v>
      </c>
      <c r="G8765" t="s">
        <v>331</v>
      </c>
      <c r="H8765" s="15">
        <v>45627</v>
      </c>
      <c r="I8765">
        <v>4600</v>
      </c>
      <c r="J8765">
        <v>0</v>
      </c>
    </row>
    <row r="8766" spans="1:10" x14ac:dyDescent="0.3">
      <c r="A8766" s="15">
        <v>46235</v>
      </c>
      <c r="B8766" t="s">
        <v>403</v>
      </c>
      <c r="C8766" t="s">
        <v>81</v>
      </c>
      <c r="D8766" t="s">
        <v>82</v>
      </c>
      <c r="E8766" t="s">
        <v>101</v>
      </c>
      <c r="F8766">
        <v>1900</v>
      </c>
      <c r="G8766" t="s">
        <v>331</v>
      </c>
      <c r="H8766" s="15">
        <v>45658</v>
      </c>
      <c r="I8766">
        <v>1900</v>
      </c>
      <c r="J8766">
        <v>0</v>
      </c>
    </row>
    <row r="8767" spans="1:10" x14ac:dyDescent="0.3">
      <c r="A8767" s="15">
        <v>46235</v>
      </c>
      <c r="B8767" t="s">
        <v>404</v>
      </c>
      <c r="C8767" t="s">
        <v>81</v>
      </c>
      <c r="D8767" t="s">
        <v>86</v>
      </c>
      <c r="E8767" t="s">
        <v>83</v>
      </c>
      <c r="F8767">
        <v>2100</v>
      </c>
      <c r="G8767" t="s">
        <v>331</v>
      </c>
      <c r="H8767" s="15">
        <v>45658</v>
      </c>
      <c r="I8767">
        <v>2100</v>
      </c>
      <c r="J8767">
        <v>0</v>
      </c>
    </row>
    <row r="8768" spans="1:10" x14ac:dyDescent="0.3">
      <c r="A8768" s="15">
        <v>46235</v>
      </c>
      <c r="B8768" t="s">
        <v>405</v>
      </c>
      <c r="C8768" t="s">
        <v>81</v>
      </c>
      <c r="D8768" t="s">
        <v>82</v>
      </c>
      <c r="E8768" t="s">
        <v>92</v>
      </c>
      <c r="F8768">
        <v>1600</v>
      </c>
      <c r="G8768" t="s">
        <v>331</v>
      </c>
      <c r="H8768" s="15">
        <v>45658</v>
      </c>
      <c r="I8768">
        <v>1600</v>
      </c>
      <c r="J8768">
        <v>0</v>
      </c>
    </row>
    <row r="8769" spans="1:10" x14ac:dyDescent="0.3">
      <c r="A8769" s="15">
        <v>46235</v>
      </c>
      <c r="B8769" t="s">
        <v>407</v>
      </c>
      <c r="C8769" t="s">
        <v>81</v>
      </c>
      <c r="D8769" t="s">
        <v>82</v>
      </c>
      <c r="E8769" t="s">
        <v>92</v>
      </c>
      <c r="F8769">
        <v>2400</v>
      </c>
      <c r="G8769" t="s">
        <v>331</v>
      </c>
      <c r="H8769" s="15">
        <v>45689</v>
      </c>
      <c r="I8769">
        <v>2400</v>
      </c>
      <c r="J8769">
        <v>0</v>
      </c>
    </row>
    <row r="8770" spans="1:10" x14ac:dyDescent="0.3">
      <c r="A8770" s="15">
        <v>46235</v>
      </c>
      <c r="B8770" t="s">
        <v>409</v>
      </c>
      <c r="C8770" t="s">
        <v>81</v>
      </c>
      <c r="D8770" t="s">
        <v>82</v>
      </c>
      <c r="E8770" t="s">
        <v>83</v>
      </c>
      <c r="F8770">
        <v>1700</v>
      </c>
      <c r="G8770" t="s">
        <v>331</v>
      </c>
      <c r="H8770" s="15">
        <v>45689</v>
      </c>
      <c r="I8770">
        <v>1700</v>
      </c>
      <c r="J8770">
        <v>0</v>
      </c>
    </row>
    <row r="8771" spans="1:10" x14ac:dyDescent="0.3">
      <c r="A8771" s="15">
        <v>46235</v>
      </c>
      <c r="B8771" t="s">
        <v>410</v>
      </c>
      <c r="C8771" t="s">
        <v>125</v>
      </c>
      <c r="D8771" t="s">
        <v>82</v>
      </c>
      <c r="E8771" t="s">
        <v>103</v>
      </c>
      <c r="F8771">
        <v>56400</v>
      </c>
      <c r="G8771" t="s">
        <v>331</v>
      </c>
      <c r="H8771" s="15">
        <v>45689</v>
      </c>
      <c r="I8771">
        <v>56400</v>
      </c>
      <c r="J8771">
        <v>0</v>
      </c>
    </row>
    <row r="8772" spans="1:10" x14ac:dyDescent="0.3">
      <c r="A8772" s="15">
        <v>46235</v>
      </c>
      <c r="B8772" t="s">
        <v>411</v>
      </c>
      <c r="C8772" t="s">
        <v>91</v>
      </c>
      <c r="D8772" t="s">
        <v>86</v>
      </c>
      <c r="E8772" t="s">
        <v>92</v>
      </c>
      <c r="F8772">
        <v>7700</v>
      </c>
      <c r="G8772" t="s">
        <v>331</v>
      </c>
      <c r="H8772" s="15">
        <v>45689</v>
      </c>
      <c r="I8772">
        <v>7700</v>
      </c>
      <c r="J8772">
        <v>0</v>
      </c>
    </row>
    <row r="8773" spans="1:10" x14ac:dyDescent="0.3">
      <c r="A8773" s="15">
        <v>46235</v>
      </c>
      <c r="B8773" t="s">
        <v>413</v>
      </c>
      <c r="C8773" t="s">
        <v>81</v>
      </c>
      <c r="D8773" t="s">
        <v>99</v>
      </c>
      <c r="E8773" t="s">
        <v>101</v>
      </c>
      <c r="F8773">
        <v>2000</v>
      </c>
      <c r="G8773" t="s">
        <v>331</v>
      </c>
      <c r="H8773" s="15">
        <v>45717</v>
      </c>
      <c r="I8773">
        <v>2000</v>
      </c>
      <c r="J8773">
        <v>0</v>
      </c>
    </row>
    <row r="8774" spans="1:10" x14ac:dyDescent="0.3">
      <c r="A8774" s="15">
        <v>46235</v>
      </c>
      <c r="B8774" t="s">
        <v>414</v>
      </c>
      <c r="C8774" t="s">
        <v>110</v>
      </c>
      <c r="D8774" t="s">
        <v>99</v>
      </c>
      <c r="E8774" t="s">
        <v>89</v>
      </c>
      <c r="F8774">
        <v>30900</v>
      </c>
      <c r="G8774" t="s">
        <v>331</v>
      </c>
      <c r="H8774" s="15">
        <v>45717</v>
      </c>
      <c r="I8774">
        <v>30900</v>
      </c>
      <c r="J8774">
        <v>0</v>
      </c>
    </row>
    <row r="8775" spans="1:10" x14ac:dyDescent="0.3">
      <c r="A8775" s="15">
        <v>46235</v>
      </c>
      <c r="B8775" t="s">
        <v>417</v>
      </c>
      <c r="C8775" t="s">
        <v>110</v>
      </c>
      <c r="D8775" t="s">
        <v>86</v>
      </c>
      <c r="E8775" t="s">
        <v>92</v>
      </c>
      <c r="F8775">
        <v>35600</v>
      </c>
      <c r="G8775" t="s">
        <v>331</v>
      </c>
      <c r="H8775" s="15">
        <v>45717</v>
      </c>
      <c r="I8775">
        <v>35600</v>
      </c>
      <c r="J8775">
        <v>0</v>
      </c>
    </row>
    <row r="8776" spans="1:10" x14ac:dyDescent="0.3">
      <c r="A8776" s="15">
        <v>46235</v>
      </c>
      <c r="B8776" t="s">
        <v>418</v>
      </c>
      <c r="C8776" t="s">
        <v>81</v>
      </c>
      <c r="D8776" t="s">
        <v>86</v>
      </c>
      <c r="E8776" t="s">
        <v>92</v>
      </c>
      <c r="F8776">
        <v>1800</v>
      </c>
      <c r="G8776" t="s">
        <v>331</v>
      </c>
      <c r="H8776" s="15">
        <v>45748</v>
      </c>
      <c r="I8776">
        <v>1800</v>
      </c>
      <c r="J8776">
        <v>0</v>
      </c>
    </row>
    <row r="8777" spans="1:10" x14ac:dyDescent="0.3">
      <c r="A8777" s="15">
        <v>46235</v>
      </c>
      <c r="B8777" t="s">
        <v>419</v>
      </c>
      <c r="C8777" t="s">
        <v>125</v>
      </c>
      <c r="D8777" t="s">
        <v>96</v>
      </c>
      <c r="E8777" t="s">
        <v>103</v>
      </c>
      <c r="F8777">
        <v>73300</v>
      </c>
      <c r="G8777" t="s">
        <v>331</v>
      </c>
      <c r="H8777" s="15">
        <v>45748</v>
      </c>
      <c r="I8777">
        <v>73300</v>
      </c>
      <c r="J8777">
        <v>0</v>
      </c>
    </row>
    <row r="8778" spans="1:10" x14ac:dyDescent="0.3">
      <c r="A8778" s="15">
        <v>46235</v>
      </c>
      <c r="B8778" t="s">
        <v>420</v>
      </c>
      <c r="C8778" t="s">
        <v>110</v>
      </c>
      <c r="D8778" t="s">
        <v>96</v>
      </c>
      <c r="E8778" t="s">
        <v>103</v>
      </c>
      <c r="F8778">
        <v>22900</v>
      </c>
      <c r="G8778" t="s">
        <v>331</v>
      </c>
      <c r="H8778" s="15">
        <v>45748</v>
      </c>
      <c r="I8778">
        <v>22900</v>
      </c>
      <c r="J8778">
        <v>0</v>
      </c>
    </row>
    <row r="8779" spans="1:10" x14ac:dyDescent="0.3">
      <c r="A8779" s="15">
        <v>46235</v>
      </c>
      <c r="B8779" t="s">
        <v>421</v>
      </c>
      <c r="C8779" t="s">
        <v>110</v>
      </c>
      <c r="D8779" t="s">
        <v>82</v>
      </c>
      <c r="E8779" t="s">
        <v>103</v>
      </c>
      <c r="F8779">
        <v>18800</v>
      </c>
      <c r="G8779" t="s">
        <v>331</v>
      </c>
      <c r="H8779" s="15">
        <v>45748</v>
      </c>
      <c r="I8779">
        <v>18800</v>
      </c>
      <c r="J8779">
        <v>0</v>
      </c>
    </row>
    <row r="8780" spans="1:10" x14ac:dyDescent="0.3">
      <c r="A8780" s="15">
        <v>46235</v>
      </c>
      <c r="B8780" t="s">
        <v>422</v>
      </c>
      <c r="C8780" t="s">
        <v>81</v>
      </c>
      <c r="D8780" t="s">
        <v>82</v>
      </c>
      <c r="E8780" t="s">
        <v>97</v>
      </c>
      <c r="F8780">
        <v>2300</v>
      </c>
      <c r="G8780" t="s">
        <v>331</v>
      </c>
      <c r="H8780" s="15">
        <v>45748</v>
      </c>
      <c r="I8780">
        <v>2300</v>
      </c>
      <c r="J8780">
        <v>0</v>
      </c>
    </row>
    <row r="8781" spans="1:10" x14ac:dyDescent="0.3">
      <c r="A8781" s="15">
        <v>46235</v>
      </c>
      <c r="B8781" t="s">
        <v>423</v>
      </c>
      <c r="C8781" t="s">
        <v>125</v>
      </c>
      <c r="D8781" t="s">
        <v>86</v>
      </c>
      <c r="E8781" t="s">
        <v>97</v>
      </c>
      <c r="F8781">
        <v>45600</v>
      </c>
      <c r="G8781" t="s">
        <v>331</v>
      </c>
      <c r="H8781" s="15">
        <v>45748</v>
      </c>
      <c r="I8781">
        <v>45600</v>
      </c>
      <c r="J8781">
        <v>0</v>
      </c>
    </row>
    <row r="8782" spans="1:10" x14ac:dyDescent="0.3">
      <c r="A8782" s="15">
        <v>46235</v>
      </c>
      <c r="B8782" t="s">
        <v>425</v>
      </c>
      <c r="C8782" t="s">
        <v>110</v>
      </c>
      <c r="D8782" t="s">
        <v>82</v>
      </c>
      <c r="E8782" t="s">
        <v>97</v>
      </c>
      <c r="F8782">
        <v>22700</v>
      </c>
      <c r="G8782" t="s">
        <v>331</v>
      </c>
      <c r="H8782" s="15">
        <v>45778</v>
      </c>
      <c r="I8782">
        <v>22700</v>
      </c>
      <c r="J8782">
        <v>0</v>
      </c>
    </row>
    <row r="8783" spans="1:10" x14ac:dyDescent="0.3">
      <c r="A8783" s="15">
        <v>46235</v>
      </c>
      <c r="B8783" t="s">
        <v>426</v>
      </c>
      <c r="C8783" t="s">
        <v>81</v>
      </c>
      <c r="D8783" t="s">
        <v>82</v>
      </c>
      <c r="E8783" t="s">
        <v>89</v>
      </c>
      <c r="F8783">
        <v>1600</v>
      </c>
      <c r="G8783" t="s">
        <v>331</v>
      </c>
      <c r="H8783" s="15">
        <v>45778</v>
      </c>
      <c r="I8783">
        <v>1600</v>
      </c>
      <c r="J8783">
        <v>0</v>
      </c>
    </row>
    <row r="8784" spans="1:10" x14ac:dyDescent="0.3">
      <c r="A8784" s="15">
        <v>46235</v>
      </c>
      <c r="B8784" t="s">
        <v>427</v>
      </c>
      <c r="C8784" t="s">
        <v>110</v>
      </c>
      <c r="D8784" t="s">
        <v>82</v>
      </c>
      <c r="E8784" t="s">
        <v>83</v>
      </c>
      <c r="F8784">
        <v>25300</v>
      </c>
      <c r="G8784" t="s">
        <v>331</v>
      </c>
      <c r="H8784" s="15">
        <v>45778</v>
      </c>
      <c r="I8784">
        <v>25300</v>
      </c>
      <c r="J8784">
        <v>0</v>
      </c>
    </row>
    <row r="8785" spans="1:10" x14ac:dyDescent="0.3">
      <c r="A8785" s="15">
        <v>46235</v>
      </c>
      <c r="B8785" t="s">
        <v>428</v>
      </c>
      <c r="C8785" t="s">
        <v>81</v>
      </c>
      <c r="D8785" t="s">
        <v>86</v>
      </c>
      <c r="E8785" t="s">
        <v>89</v>
      </c>
      <c r="F8785">
        <v>2300</v>
      </c>
      <c r="G8785" t="s">
        <v>331</v>
      </c>
      <c r="H8785" s="15">
        <v>45778</v>
      </c>
      <c r="I8785">
        <v>2300</v>
      </c>
      <c r="J8785">
        <v>0</v>
      </c>
    </row>
    <row r="8786" spans="1:10" x14ac:dyDescent="0.3">
      <c r="A8786" s="15">
        <v>46235</v>
      </c>
      <c r="B8786" t="s">
        <v>430</v>
      </c>
      <c r="C8786" t="s">
        <v>110</v>
      </c>
      <c r="D8786" t="s">
        <v>82</v>
      </c>
      <c r="E8786" t="s">
        <v>87</v>
      </c>
      <c r="F8786">
        <v>24300</v>
      </c>
      <c r="G8786" t="s">
        <v>331</v>
      </c>
      <c r="H8786" s="15">
        <v>45809</v>
      </c>
      <c r="I8786">
        <v>24300</v>
      </c>
      <c r="J8786">
        <v>0</v>
      </c>
    </row>
    <row r="8787" spans="1:10" x14ac:dyDescent="0.3">
      <c r="A8787" s="15">
        <v>46235</v>
      </c>
      <c r="B8787" t="s">
        <v>431</v>
      </c>
      <c r="C8787" t="s">
        <v>110</v>
      </c>
      <c r="D8787" t="s">
        <v>82</v>
      </c>
      <c r="E8787" t="s">
        <v>101</v>
      </c>
      <c r="F8787">
        <v>19800</v>
      </c>
      <c r="G8787" t="s">
        <v>331</v>
      </c>
      <c r="H8787" s="15">
        <v>45809</v>
      </c>
      <c r="I8787">
        <v>19800</v>
      </c>
      <c r="J8787">
        <v>0</v>
      </c>
    </row>
    <row r="8788" spans="1:10" x14ac:dyDescent="0.3">
      <c r="A8788" s="15">
        <v>46235</v>
      </c>
      <c r="B8788" t="s">
        <v>435</v>
      </c>
      <c r="C8788" t="s">
        <v>81</v>
      </c>
      <c r="D8788" t="s">
        <v>82</v>
      </c>
      <c r="E8788" t="s">
        <v>92</v>
      </c>
      <c r="F8788">
        <v>1400</v>
      </c>
      <c r="G8788" t="s">
        <v>331</v>
      </c>
      <c r="H8788" s="15">
        <v>45809</v>
      </c>
      <c r="I8788">
        <v>1400</v>
      </c>
      <c r="J8788">
        <v>0</v>
      </c>
    </row>
    <row r="8789" spans="1:10" x14ac:dyDescent="0.3">
      <c r="A8789" s="15">
        <v>46235</v>
      </c>
      <c r="B8789" t="s">
        <v>436</v>
      </c>
      <c r="C8789" t="s">
        <v>81</v>
      </c>
      <c r="D8789" t="s">
        <v>82</v>
      </c>
      <c r="E8789" t="s">
        <v>97</v>
      </c>
      <c r="F8789">
        <v>2100</v>
      </c>
      <c r="G8789" t="s">
        <v>331</v>
      </c>
      <c r="H8789" s="15">
        <v>45839</v>
      </c>
      <c r="I8789">
        <v>2100</v>
      </c>
      <c r="J8789">
        <v>0</v>
      </c>
    </row>
    <row r="8790" spans="1:10" x14ac:dyDescent="0.3">
      <c r="A8790" s="15">
        <v>46235</v>
      </c>
      <c r="B8790" t="s">
        <v>437</v>
      </c>
      <c r="C8790" t="s">
        <v>81</v>
      </c>
      <c r="D8790" t="s">
        <v>99</v>
      </c>
      <c r="E8790" t="s">
        <v>92</v>
      </c>
      <c r="F8790">
        <v>1800</v>
      </c>
      <c r="G8790" t="s">
        <v>331</v>
      </c>
      <c r="H8790" s="15">
        <v>45839</v>
      </c>
      <c r="I8790">
        <v>1800</v>
      </c>
      <c r="J8790">
        <v>0</v>
      </c>
    </row>
    <row r="8791" spans="1:10" x14ac:dyDescent="0.3">
      <c r="A8791" s="15">
        <v>46235</v>
      </c>
      <c r="B8791" t="s">
        <v>438</v>
      </c>
      <c r="C8791" t="s">
        <v>91</v>
      </c>
      <c r="D8791" t="s">
        <v>96</v>
      </c>
      <c r="E8791" t="s">
        <v>101</v>
      </c>
      <c r="F8791">
        <v>8600</v>
      </c>
      <c r="G8791" t="s">
        <v>331</v>
      </c>
      <c r="H8791" s="15">
        <v>45839</v>
      </c>
      <c r="I8791">
        <v>8600</v>
      </c>
      <c r="J8791">
        <v>0</v>
      </c>
    </row>
    <row r="8792" spans="1:10" x14ac:dyDescent="0.3">
      <c r="A8792" s="15">
        <v>46235</v>
      </c>
      <c r="B8792" t="s">
        <v>439</v>
      </c>
      <c r="C8792" t="s">
        <v>81</v>
      </c>
      <c r="D8792" t="s">
        <v>99</v>
      </c>
      <c r="E8792" t="s">
        <v>87</v>
      </c>
      <c r="F8792">
        <v>1700</v>
      </c>
      <c r="G8792" t="s">
        <v>331</v>
      </c>
      <c r="H8792" s="15">
        <v>45839</v>
      </c>
      <c r="I8792">
        <v>1700</v>
      </c>
      <c r="J8792">
        <v>0</v>
      </c>
    </row>
    <row r="8793" spans="1:10" x14ac:dyDescent="0.3">
      <c r="A8793" s="15">
        <v>46235</v>
      </c>
      <c r="B8793" t="s">
        <v>440</v>
      </c>
      <c r="C8793" t="s">
        <v>81</v>
      </c>
      <c r="D8793" t="s">
        <v>82</v>
      </c>
      <c r="E8793" t="s">
        <v>97</v>
      </c>
      <c r="F8793">
        <v>2200</v>
      </c>
      <c r="G8793" t="s">
        <v>331</v>
      </c>
      <c r="H8793" s="15">
        <v>45839</v>
      </c>
      <c r="I8793">
        <v>2200</v>
      </c>
      <c r="J8793">
        <v>0</v>
      </c>
    </row>
    <row r="8794" spans="1:10" x14ac:dyDescent="0.3">
      <c r="A8794" s="15">
        <v>46235</v>
      </c>
      <c r="B8794" t="s">
        <v>441</v>
      </c>
      <c r="C8794" t="s">
        <v>110</v>
      </c>
      <c r="D8794" t="s">
        <v>86</v>
      </c>
      <c r="E8794" t="s">
        <v>97</v>
      </c>
      <c r="F8794">
        <v>35800</v>
      </c>
      <c r="G8794" t="s">
        <v>331</v>
      </c>
      <c r="H8794" s="15">
        <v>45839</v>
      </c>
      <c r="I8794">
        <v>35800</v>
      </c>
      <c r="J8794">
        <v>0</v>
      </c>
    </row>
    <row r="8795" spans="1:10" x14ac:dyDescent="0.3">
      <c r="A8795" s="15">
        <v>46235</v>
      </c>
      <c r="B8795" t="s">
        <v>442</v>
      </c>
      <c r="C8795" t="s">
        <v>110</v>
      </c>
      <c r="D8795" t="s">
        <v>86</v>
      </c>
      <c r="E8795" t="s">
        <v>83</v>
      </c>
      <c r="F8795">
        <v>23900</v>
      </c>
      <c r="G8795" t="s">
        <v>331</v>
      </c>
      <c r="H8795" s="15">
        <v>45870</v>
      </c>
      <c r="I8795">
        <v>23900</v>
      </c>
      <c r="J8795">
        <v>0</v>
      </c>
    </row>
    <row r="8796" spans="1:10" x14ac:dyDescent="0.3">
      <c r="A8796" s="15">
        <v>46235</v>
      </c>
      <c r="B8796" t="s">
        <v>443</v>
      </c>
      <c r="C8796" t="s">
        <v>81</v>
      </c>
      <c r="D8796" t="s">
        <v>86</v>
      </c>
      <c r="E8796" t="s">
        <v>101</v>
      </c>
      <c r="F8796">
        <v>1800</v>
      </c>
      <c r="G8796" t="s">
        <v>331</v>
      </c>
      <c r="H8796" s="15">
        <v>45870</v>
      </c>
      <c r="I8796">
        <v>1800</v>
      </c>
      <c r="J8796">
        <v>0</v>
      </c>
    </row>
    <row r="8797" spans="1:10" x14ac:dyDescent="0.3">
      <c r="A8797" s="15">
        <v>46235</v>
      </c>
      <c r="B8797" t="s">
        <v>444</v>
      </c>
      <c r="C8797" t="s">
        <v>125</v>
      </c>
      <c r="D8797" t="s">
        <v>82</v>
      </c>
      <c r="E8797" t="s">
        <v>92</v>
      </c>
      <c r="F8797">
        <v>71600</v>
      </c>
      <c r="G8797" t="s">
        <v>331</v>
      </c>
      <c r="H8797" s="15">
        <v>45870</v>
      </c>
      <c r="I8797">
        <v>71600</v>
      </c>
      <c r="J8797">
        <v>0</v>
      </c>
    </row>
    <row r="8798" spans="1:10" x14ac:dyDescent="0.3">
      <c r="A8798" s="15">
        <v>46235</v>
      </c>
      <c r="B8798" t="s">
        <v>445</v>
      </c>
      <c r="C8798" t="s">
        <v>91</v>
      </c>
      <c r="D8798" t="s">
        <v>82</v>
      </c>
      <c r="E8798" t="s">
        <v>89</v>
      </c>
      <c r="F8798">
        <v>4700</v>
      </c>
      <c r="G8798" t="s">
        <v>331</v>
      </c>
      <c r="H8798" s="15">
        <v>45870</v>
      </c>
      <c r="I8798">
        <v>4700</v>
      </c>
      <c r="J8798">
        <v>0</v>
      </c>
    </row>
    <row r="8799" spans="1:10" x14ac:dyDescent="0.3">
      <c r="A8799" s="15">
        <v>46235</v>
      </c>
      <c r="B8799" t="s">
        <v>446</v>
      </c>
      <c r="C8799" t="s">
        <v>81</v>
      </c>
      <c r="D8799" t="s">
        <v>86</v>
      </c>
      <c r="E8799" t="s">
        <v>97</v>
      </c>
      <c r="F8799">
        <v>1600</v>
      </c>
      <c r="G8799" t="s">
        <v>331</v>
      </c>
      <c r="H8799" s="15">
        <v>45870</v>
      </c>
      <c r="I8799">
        <v>1600</v>
      </c>
      <c r="J8799">
        <v>0</v>
      </c>
    </row>
    <row r="8800" spans="1:10" x14ac:dyDescent="0.3">
      <c r="A8800" s="15">
        <v>46235</v>
      </c>
      <c r="B8800" t="s">
        <v>447</v>
      </c>
      <c r="C8800" t="s">
        <v>81</v>
      </c>
      <c r="D8800" t="s">
        <v>86</v>
      </c>
      <c r="E8800" t="s">
        <v>103</v>
      </c>
      <c r="F8800">
        <v>2300</v>
      </c>
      <c r="G8800" t="s">
        <v>331</v>
      </c>
      <c r="H8800" s="15">
        <v>45870</v>
      </c>
      <c r="I8800">
        <v>2300</v>
      </c>
      <c r="J8800">
        <v>0</v>
      </c>
    </row>
    <row r="8801" spans="1:10" x14ac:dyDescent="0.3">
      <c r="A8801" s="15">
        <v>46235</v>
      </c>
      <c r="B8801" t="s">
        <v>448</v>
      </c>
      <c r="C8801" t="s">
        <v>125</v>
      </c>
      <c r="D8801" t="s">
        <v>86</v>
      </c>
      <c r="E8801" t="s">
        <v>89</v>
      </c>
      <c r="F8801">
        <v>0</v>
      </c>
      <c r="G8801" t="s">
        <v>333</v>
      </c>
      <c r="H8801" s="15">
        <v>45870</v>
      </c>
      <c r="I8801">
        <v>64000</v>
      </c>
      <c r="J8801">
        <v>-64000</v>
      </c>
    </row>
    <row r="8802" spans="1:10" x14ac:dyDescent="0.3">
      <c r="A8802" s="15">
        <v>46235</v>
      </c>
      <c r="B8802" t="s">
        <v>449</v>
      </c>
      <c r="C8802" t="s">
        <v>81</v>
      </c>
      <c r="D8802" t="s">
        <v>82</v>
      </c>
      <c r="E8802" t="s">
        <v>92</v>
      </c>
      <c r="F8802">
        <v>1600</v>
      </c>
      <c r="G8802" t="s">
        <v>331</v>
      </c>
      <c r="H8802" s="15">
        <v>45870</v>
      </c>
      <c r="I8802">
        <v>1600</v>
      </c>
      <c r="J8802">
        <v>0</v>
      </c>
    </row>
    <row r="8803" spans="1:10" x14ac:dyDescent="0.3">
      <c r="A8803" s="15">
        <v>46235</v>
      </c>
      <c r="B8803" t="s">
        <v>450</v>
      </c>
      <c r="C8803" t="s">
        <v>81</v>
      </c>
      <c r="D8803" t="s">
        <v>86</v>
      </c>
      <c r="E8803" t="s">
        <v>89</v>
      </c>
      <c r="F8803">
        <v>1900</v>
      </c>
      <c r="G8803" t="s">
        <v>331</v>
      </c>
      <c r="H8803" s="15">
        <v>45901</v>
      </c>
      <c r="I8803">
        <v>1900</v>
      </c>
      <c r="J8803">
        <v>0</v>
      </c>
    </row>
    <row r="8804" spans="1:10" x14ac:dyDescent="0.3">
      <c r="A8804" s="15">
        <v>46235</v>
      </c>
      <c r="B8804" t="s">
        <v>452</v>
      </c>
      <c r="C8804" t="s">
        <v>91</v>
      </c>
      <c r="D8804" t="s">
        <v>86</v>
      </c>
      <c r="E8804" t="s">
        <v>92</v>
      </c>
      <c r="F8804">
        <v>8600</v>
      </c>
      <c r="G8804" t="s">
        <v>331</v>
      </c>
      <c r="H8804" s="15">
        <v>45901</v>
      </c>
      <c r="I8804">
        <v>8600</v>
      </c>
      <c r="J8804">
        <v>0</v>
      </c>
    </row>
    <row r="8805" spans="1:10" x14ac:dyDescent="0.3">
      <c r="A8805" s="15">
        <v>46235</v>
      </c>
      <c r="B8805" t="s">
        <v>454</v>
      </c>
      <c r="C8805" t="s">
        <v>91</v>
      </c>
      <c r="D8805" t="s">
        <v>82</v>
      </c>
      <c r="E8805" t="s">
        <v>89</v>
      </c>
      <c r="F8805">
        <v>6200</v>
      </c>
      <c r="G8805" t="s">
        <v>331</v>
      </c>
      <c r="H8805" s="15">
        <v>45901</v>
      </c>
      <c r="I8805">
        <v>6200</v>
      </c>
      <c r="J8805">
        <v>0</v>
      </c>
    </row>
    <row r="8806" spans="1:10" x14ac:dyDescent="0.3">
      <c r="A8806" s="15">
        <v>46235</v>
      </c>
      <c r="B8806" t="s">
        <v>455</v>
      </c>
      <c r="C8806" t="s">
        <v>125</v>
      </c>
      <c r="D8806" t="s">
        <v>99</v>
      </c>
      <c r="E8806" t="s">
        <v>103</v>
      </c>
      <c r="F8806">
        <v>75900</v>
      </c>
      <c r="G8806" t="s">
        <v>331</v>
      </c>
      <c r="H8806" s="15">
        <v>45901</v>
      </c>
      <c r="I8806">
        <v>75900</v>
      </c>
      <c r="J8806">
        <v>0</v>
      </c>
    </row>
    <row r="8807" spans="1:10" x14ac:dyDescent="0.3">
      <c r="A8807" s="15">
        <v>46235</v>
      </c>
      <c r="B8807" t="s">
        <v>457</v>
      </c>
      <c r="C8807" t="s">
        <v>81</v>
      </c>
      <c r="D8807" t="s">
        <v>86</v>
      </c>
      <c r="E8807" t="s">
        <v>89</v>
      </c>
      <c r="F8807">
        <v>2600</v>
      </c>
      <c r="G8807" t="s">
        <v>331</v>
      </c>
      <c r="H8807" s="15">
        <v>45931</v>
      </c>
      <c r="I8807">
        <v>2600</v>
      </c>
      <c r="J8807">
        <v>0</v>
      </c>
    </row>
    <row r="8808" spans="1:10" x14ac:dyDescent="0.3">
      <c r="A8808" s="15">
        <v>46235</v>
      </c>
      <c r="B8808" t="s">
        <v>458</v>
      </c>
      <c r="C8808" t="s">
        <v>91</v>
      </c>
      <c r="D8808" t="s">
        <v>86</v>
      </c>
      <c r="E8808" t="s">
        <v>83</v>
      </c>
      <c r="F8808">
        <v>8900</v>
      </c>
      <c r="G8808" t="s">
        <v>331</v>
      </c>
      <c r="H8808" s="15">
        <v>45931</v>
      </c>
      <c r="I8808">
        <v>8900</v>
      </c>
      <c r="J8808">
        <v>0</v>
      </c>
    </row>
    <row r="8809" spans="1:10" x14ac:dyDescent="0.3">
      <c r="A8809" s="15">
        <v>46235</v>
      </c>
      <c r="B8809" t="s">
        <v>461</v>
      </c>
      <c r="C8809" t="s">
        <v>81</v>
      </c>
      <c r="D8809" t="s">
        <v>86</v>
      </c>
      <c r="E8809" t="s">
        <v>92</v>
      </c>
      <c r="F8809">
        <v>1700</v>
      </c>
      <c r="G8809" t="s">
        <v>331</v>
      </c>
      <c r="H8809" s="15">
        <v>45931</v>
      </c>
      <c r="I8809">
        <v>1700</v>
      </c>
      <c r="J8809">
        <v>0</v>
      </c>
    </row>
    <row r="8810" spans="1:10" x14ac:dyDescent="0.3">
      <c r="A8810" s="15">
        <v>46235</v>
      </c>
      <c r="B8810" t="s">
        <v>462</v>
      </c>
      <c r="C8810" t="s">
        <v>81</v>
      </c>
      <c r="D8810" t="s">
        <v>86</v>
      </c>
      <c r="E8810" t="s">
        <v>92</v>
      </c>
      <c r="F8810">
        <v>2200</v>
      </c>
      <c r="G8810" t="s">
        <v>331</v>
      </c>
      <c r="H8810" s="15">
        <v>45931</v>
      </c>
      <c r="I8810">
        <v>2200</v>
      </c>
      <c r="J8810">
        <v>0</v>
      </c>
    </row>
    <row r="8811" spans="1:10" x14ac:dyDescent="0.3">
      <c r="A8811" s="15">
        <v>46235</v>
      </c>
      <c r="B8811" t="s">
        <v>464</v>
      </c>
      <c r="C8811" t="s">
        <v>91</v>
      </c>
      <c r="D8811" t="s">
        <v>99</v>
      </c>
      <c r="E8811" t="s">
        <v>87</v>
      </c>
      <c r="F8811">
        <v>6000</v>
      </c>
      <c r="G8811" t="s">
        <v>331</v>
      </c>
      <c r="H8811" s="15">
        <v>45962</v>
      </c>
      <c r="I8811">
        <v>6000</v>
      </c>
      <c r="J8811">
        <v>0</v>
      </c>
    </row>
    <row r="8812" spans="1:10" x14ac:dyDescent="0.3">
      <c r="A8812" s="15">
        <v>46235</v>
      </c>
      <c r="B8812" t="s">
        <v>466</v>
      </c>
      <c r="C8812" t="s">
        <v>81</v>
      </c>
      <c r="D8812" t="s">
        <v>99</v>
      </c>
      <c r="E8812" t="s">
        <v>92</v>
      </c>
      <c r="F8812">
        <v>1400</v>
      </c>
      <c r="G8812" t="s">
        <v>331</v>
      </c>
      <c r="H8812" s="15">
        <v>45962</v>
      </c>
      <c r="I8812">
        <v>1400</v>
      </c>
      <c r="J8812">
        <v>0</v>
      </c>
    </row>
    <row r="8813" spans="1:10" x14ac:dyDescent="0.3">
      <c r="A8813" s="15">
        <v>46235</v>
      </c>
      <c r="B8813" t="s">
        <v>467</v>
      </c>
      <c r="C8813" t="s">
        <v>91</v>
      </c>
      <c r="D8813" t="s">
        <v>86</v>
      </c>
      <c r="E8813" t="s">
        <v>89</v>
      </c>
      <c r="F8813">
        <v>8200</v>
      </c>
      <c r="G8813" t="s">
        <v>331</v>
      </c>
      <c r="H8813" s="15">
        <v>45962</v>
      </c>
      <c r="I8813">
        <v>8200</v>
      </c>
      <c r="J8813">
        <v>0</v>
      </c>
    </row>
    <row r="8814" spans="1:10" x14ac:dyDescent="0.3">
      <c r="A8814" s="15">
        <v>46235</v>
      </c>
      <c r="B8814" t="s">
        <v>469</v>
      </c>
      <c r="C8814" t="s">
        <v>81</v>
      </c>
      <c r="D8814" t="s">
        <v>86</v>
      </c>
      <c r="E8814" t="s">
        <v>87</v>
      </c>
      <c r="F8814">
        <v>1800</v>
      </c>
      <c r="G8814" t="s">
        <v>334</v>
      </c>
      <c r="H8814" s="15">
        <v>45992</v>
      </c>
      <c r="I8814">
        <v>2200</v>
      </c>
      <c r="J8814">
        <v>-400</v>
      </c>
    </row>
    <row r="8815" spans="1:10" x14ac:dyDescent="0.3">
      <c r="A8815" s="15">
        <v>46235</v>
      </c>
      <c r="B8815" t="s">
        <v>470</v>
      </c>
      <c r="C8815" t="s">
        <v>81</v>
      </c>
      <c r="D8815" t="s">
        <v>86</v>
      </c>
      <c r="E8815" t="s">
        <v>103</v>
      </c>
      <c r="F8815">
        <v>1600</v>
      </c>
      <c r="G8815" t="s">
        <v>331</v>
      </c>
      <c r="H8815" s="15">
        <v>45992</v>
      </c>
      <c r="I8815">
        <v>1600</v>
      </c>
      <c r="J8815">
        <v>0</v>
      </c>
    </row>
    <row r="8816" spans="1:10" x14ac:dyDescent="0.3">
      <c r="A8816" s="15">
        <v>46235</v>
      </c>
      <c r="B8816" t="s">
        <v>471</v>
      </c>
      <c r="C8816" t="s">
        <v>110</v>
      </c>
      <c r="D8816" t="s">
        <v>86</v>
      </c>
      <c r="E8816" t="s">
        <v>103</v>
      </c>
      <c r="F8816">
        <v>31000</v>
      </c>
      <c r="G8816" t="s">
        <v>331</v>
      </c>
      <c r="H8816" s="15">
        <v>45992</v>
      </c>
      <c r="I8816">
        <v>31000</v>
      </c>
      <c r="J8816">
        <v>0</v>
      </c>
    </row>
    <row r="8817" spans="1:10" x14ac:dyDescent="0.3">
      <c r="A8817" s="15">
        <v>46235</v>
      </c>
      <c r="B8817" t="s">
        <v>472</v>
      </c>
      <c r="C8817" t="s">
        <v>91</v>
      </c>
      <c r="D8817" t="s">
        <v>86</v>
      </c>
      <c r="E8817" t="s">
        <v>97</v>
      </c>
      <c r="F8817">
        <v>5100</v>
      </c>
      <c r="G8817" t="s">
        <v>331</v>
      </c>
      <c r="H8817" s="15">
        <v>45992</v>
      </c>
      <c r="I8817">
        <v>5100</v>
      </c>
      <c r="J8817">
        <v>0</v>
      </c>
    </row>
    <row r="8818" spans="1:10" x14ac:dyDescent="0.3">
      <c r="A8818" s="15">
        <v>46235</v>
      </c>
      <c r="B8818" t="s">
        <v>475</v>
      </c>
      <c r="C8818" t="s">
        <v>110</v>
      </c>
      <c r="D8818" t="s">
        <v>82</v>
      </c>
      <c r="E8818" t="s">
        <v>101</v>
      </c>
      <c r="F8818">
        <v>35000</v>
      </c>
      <c r="G8818" t="s">
        <v>331</v>
      </c>
      <c r="H8818" s="15">
        <v>45992</v>
      </c>
      <c r="I8818">
        <v>35000</v>
      </c>
      <c r="J8818">
        <v>0</v>
      </c>
    </row>
    <row r="8819" spans="1:10" x14ac:dyDescent="0.3">
      <c r="A8819" s="15">
        <v>46235</v>
      </c>
      <c r="B8819" t="s">
        <v>476</v>
      </c>
      <c r="C8819" t="s">
        <v>81</v>
      </c>
      <c r="D8819" t="s">
        <v>82</v>
      </c>
      <c r="E8819" t="s">
        <v>89</v>
      </c>
      <c r="F8819">
        <v>2600</v>
      </c>
      <c r="G8819" t="s">
        <v>331</v>
      </c>
      <c r="H8819" s="15">
        <v>45992</v>
      </c>
      <c r="I8819">
        <v>2600</v>
      </c>
      <c r="J8819">
        <v>0</v>
      </c>
    </row>
    <row r="8820" spans="1:10" x14ac:dyDescent="0.3">
      <c r="A8820" s="15">
        <v>46235</v>
      </c>
      <c r="B8820" t="s">
        <v>477</v>
      </c>
      <c r="C8820" t="s">
        <v>81</v>
      </c>
      <c r="D8820" t="s">
        <v>82</v>
      </c>
      <c r="E8820" t="s">
        <v>92</v>
      </c>
      <c r="F8820">
        <v>2100</v>
      </c>
      <c r="G8820" t="s">
        <v>331</v>
      </c>
      <c r="H8820" s="15">
        <v>46023</v>
      </c>
      <c r="I8820">
        <v>2100</v>
      </c>
      <c r="J8820">
        <v>0</v>
      </c>
    </row>
    <row r="8821" spans="1:10" x14ac:dyDescent="0.3">
      <c r="A8821" s="15">
        <v>46235</v>
      </c>
      <c r="B8821" t="s">
        <v>478</v>
      </c>
      <c r="C8821" t="s">
        <v>91</v>
      </c>
      <c r="D8821" t="s">
        <v>82</v>
      </c>
      <c r="E8821" t="s">
        <v>97</v>
      </c>
      <c r="F8821">
        <v>6500</v>
      </c>
      <c r="G8821" t="s">
        <v>331</v>
      </c>
      <c r="H8821" s="15">
        <v>46023</v>
      </c>
      <c r="I8821">
        <v>6500</v>
      </c>
      <c r="J8821">
        <v>0</v>
      </c>
    </row>
    <row r="8822" spans="1:10" x14ac:dyDescent="0.3">
      <c r="A8822" s="15">
        <v>46235</v>
      </c>
      <c r="B8822" t="s">
        <v>479</v>
      </c>
      <c r="C8822" t="s">
        <v>81</v>
      </c>
      <c r="D8822" t="s">
        <v>82</v>
      </c>
      <c r="E8822" t="s">
        <v>87</v>
      </c>
      <c r="F8822">
        <v>1800</v>
      </c>
      <c r="G8822" t="s">
        <v>331</v>
      </c>
      <c r="H8822" s="15">
        <v>46023</v>
      </c>
      <c r="I8822">
        <v>1800</v>
      </c>
      <c r="J8822">
        <v>0</v>
      </c>
    </row>
    <row r="8823" spans="1:10" x14ac:dyDescent="0.3">
      <c r="A8823" s="15">
        <v>46235</v>
      </c>
      <c r="B8823" t="s">
        <v>480</v>
      </c>
      <c r="C8823" t="s">
        <v>81</v>
      </c>
      <c r="D8823" t="s">
        <v>86</v>
      </c>
      <c r="E8823" t="s">
        <v>103</v>
      </c>
      <c r="F8823">
        <v>1600</v>
      </c>
      <c r="G8823" t="s">
        <v>331</v>
      </c>
      <c r="H8823" s="15">
        <v>46023</v>
      </c>
      <c r="I8823">
        <v>1600</v>
      </c>
      <c r="J8823">
        <v>0</v>
      </c>
    </row>
    <row r="8824" spans="1:10" x14ac:dyDescent="0.3">
      <c r="A8824" s="15">
        <v>46235</v>
      </c>
      <c r="B8824" t="s">
        <v>481</v>
      </c>
      <c r="C8824" t="s">
        <v>81</v>
      </c>
      <c r="D8824" t="s">
        <v>82</v>
      </c>
      <c r="E8824" t="s">
        <v>103</v>
      </c>
      <c r="F8824">
        <v>1800</v>
      </c>
      <c r="G8824" t="s">
        <v>331</v>
      </c>
      <c r="H8824" s="15">
        <v>46023</v>
      </c>
      <c r="I8824">
        <v>1800</v>
      </c>
      <c r="J8824">
        <v>0</v>
      </c>
    </row>
    <row r="8825" spans="1:10" x14ac:dyDescent="0.3">
      <c r="A8825" s="15">
        <v>46235</v>
      </c>
      <c r="B8825" t="s">
        <v>482</v>
      </c>
      <c r="C8825" t="s">
        <v>110</v>
      </c>
      <c r="D8825" t="s">
        <v>82</v>
      </c>
      <c r="E8825" t="s">
        <v>83</v>
      </c>
      <c r="F8825">
        <v>18100</v>
      </c>
      <c r="G8825" t="s">
        <v>331</v>
      </c>
      <c r="H8825" s="15">
        <v>46023</v>
      </c>
      <c r="I8825">
        <v>18100</v>
      </c>
      <c r="J8825">
        <v>0</v>
      </c>
    </row>
    <row r="8826" spans="1:10" x14ac:dyDescent="0.3">
      <c r="A8826" s="15">
        <v>46235</v>
      </c>
      <c r="B8826" t="s">
        <v>483</v>
      </c>
      <c r="C8826" t="s">
        <v>81</v>
      </c>
      <c r="D8826" t="s">
        <v>82</v>
      </c>
      <c r="E8826" t="s">
        <v>89</v>
      </c>
      <c r="F8826">
        <v>2000</v>
      </c>
      <c r="G8826" t="s">
        <v>331</v>
      </c>
      <c r="H8826" s="15">
        <v>46023</v>
      </c>
      <c r="I8826">
        <v>2000</v>
      </c>
      <c r="J8826">
        <v>0</v>
      </c>
    </row>
    <row r="8827" spans="1:10" x14ac:dyDescent="0.3">
      <c r="A8827" s="15">
        <v>46235</v>
      </c>
      <c r="B8827" t="s">
        <v>484</v>
      </c>
      <c r="C8827" t="s">
        <v>110</v>
      </c>
      <c r="D8827" t="s">
        <v>99</v>
      </c>
      <c r="E8827" t="s">
        <v>101</v>
      </c>
      <c r="F8827">
        <v>21400</v>
      </c>
      <c r="G8827" t="s">
        <v>331</v>
      </c>
      <c r="H8827" s="15">
        <v>46054</v>
      </c>
      <c r="I8827">
        <v>21400</v>
      </c>
      <c r="J8827">
        <v>0</v>
      </c>
    </row>
    <row r="8828" spans="1:10" x14ac:dyDescent="0.3">
      <c r="A8828" s="15">
        <v>46235</v>
      </c>
      <c r="B8828" t="s">
        <v>485</v>
      </c>
      <c r="C8828" t="s">
        <v>125</v>
      </c>
      <c r="D8828" t="s">
        <v>82</v>
      </c>
      <c r="E8828" t="s">
        <v>89</v>
      </c>
      <c r="F8828">
        <v>65800</v>
      </c>
      <c r="G8828" t="s">
        <v>331</v>
      </c>
      <c r="H8828" s="15">
        <v>46054</v>
      </c>
      <c r="I8828">
        <v>65800</v>
      </c>
      <c r="J8828">
        <v>0</v>
      </c>
    </row>
    <row r="8829" spans="1:10" x14ac:dyDescent="0.3">
      <c r="A8829" s="15">
        <v>46235</v>
      </c>
      <c r="B8829" t="s">
        <v>486</v>
      </c>
      <c r="C8829" t="s">
        <v>81</v>
      </c>
      <c r="D8829" t="s">
        <v>82</v>
      </c>
      <c r="E8829" t="s">
        <v>87</v>
      </c>
      <c r="F8829">
        <v>1500</v>
      </c>
      <c r="G8829" t="s">
        <v>331</v>
      </c>
      <c r="H8829" s="15">
        <v>46054</v>
      </c>
      <c r="I8829">
        <v>1500</v>
      </c>
      <c r="J8829">
        <v>0</v>
      </c>
    </row>
    <row r="8830" spans="1:10" x14ac:dyDescent="0.3">
      <c r="A8830" s="15">
        <v>46235</v>
      </c>
      <c r="B8830" t="s">
        <v>487</v>
      </c>
      <c r="C8830" t="s">
        <v>81</v>
      </c>
      <c r="D8830" t="s">
        <v>86</v>
      </c>
      <c r="E8830" t="s">
        <v>83</v>
      </c>
      <c r="F8830">
        <v>1800</v>
      </c>
      <c r="G8830" t="s">
        <v>331</v>
      </c>
      <c r="H8830" s="15">
        <v>46054</v>
      </c>
      <c r="I8830">
        <v>1800</v>
      </c>
      <c r="J8830">
        <v>0</v>
      </c>
    </row>
    <row r="8831" spans="1:10" x14ac:dyDescent="0.3">
      <c r="A8831" s="15">
        <v>46235</v>
      </c>
      <c r="B8831" t="s">
        <v>488</v>
      </c>
      <c r="C8831" t="s">
        <v>91</v>
      </c>
      <c r="D8831" t="s">
        <v>86</v>
      </c>
      <c r="E8831" t="s">
        <v>89</v>
      </c>
      <c r="F8831">
        <v>6800</v>
      </c>
      <c r="G8831" t="s">
        <v>331</v>
      </c>
      <c r="H8831" s="15">
        <v>46054</v>
      </c>
      <c r="I8831">
        <v>6800</v>
      </c>
      <c r="J8831">
        <v>0</v>
      </c>
    </row>
    <row r="8832" spans="1:10" x14ac:dyDescent="0.3">
      <c r="A8832" s="15">
        <v>46235</v>
      </c>
      <c r="B8832" t="s">
        <v>489</v>
      </c>
      <c r="C8832" t="s">
        <v>81</v>
      </c>
      <c r="D8832" t="s">
        <v>96</v>
      </c>
      <c r="E8832" t="s">
        <v>97</v>
      </c>
      <c r="F8832">
        <v>1600</v>
      </c>
      <c r="G8832" t="s">
        <v>332</v>
      </c>
      <c r="H8832" s="15">
        <v>46054</v>
      </c>
      <c r="I8832">
        <v>1400</v>
      </c>
      <c r="J8832">
        <v>200</v>
      </c>
    </row>
    <row r="8833" spans="1:10" x14ac:dyDescent="0.3">
      <c r="A8833" s="15">
        <v>46235</v>
      </c>
      <c r="B8833" t="s">
        <v>490</v>
      </c>
      <c r="C8833" t="s">
        <v>81</v>
      </c>
      <c r="D8833" t="s">
        <v>86</v>
      </c>
      <c r="E8833" t="s">
        <v>103</v>
      </c>
      <c r="F8833">
        <v>1800</v>
      </c>
      <c r="G8833" t="s">
        <v>331</v>
      </c>
      <c r="H8833" s="15">
        <v>46054</v>
      </c>
      <c r="I8833">
        <v>1800</v>
      </c>
      <c r="J8833">
        <v>0</v>
      </c>
    </row>
    <row r="8834" spans="1:10" x14ac:dyDescent="0.3">
      <c r="A8834" s="15">
        <v>46235</v>
      </c>
      <c r="B8834" t="s">
        <v>491</v>
      </c>
      <c r="C8834" t="s">
        <v>81</v>
      </c>
      <c r="D8834" t="s">
        <v>96</v>
      </c>
      <c r="E8834" t="s">
        <v>92</v>
      </c>
      <c r="F8834">
        <v>1800</v>
      </c>
      <c r="G8834" t="s">
        <v>331</v>
      </c>
      <c r="H8834" s="15">
        <v>46054</v>
      </c>
      <c r="I8834">
        <v>1800</v>
      </c>
      <c r="J8834">
        <v>0</v>
      </c>
    </row>
    <row r="8835" spans="1:10" x14ac:dyDescent="0.3">
      <c r="A8835" s="15">
        <v>46235</v>
      </c>
      <c r="B8835" t="s">
        <v>492</v>
      </c>
      <c r="C8835" t="s">
        <v>81</v>
      </c>
      <c r="D8835" t="s">
        <v>99</v>
      </c>
      <c r="E8835" t="s">
        <v>92</v>
      </c>
      <c r="F8835">
        <v>1700</v>
      </c>
      <c r="G8835" t="s">
        <v>331</v>
      </c>
      <c r="H8835" s="15">
        <v>46082</v>
      </c>
      <c r="I8835">
        <v>1700</v>
      </c>
      <c r="J8835">
        <v>0</v>
      </c>
    </row>
    <row r="8836" spans="1:10" x14ac:dyDescent="0.3">
      <c r="A8836" s="15">
        <v>46235</v>
      </c>
      <c r="B8836" t="s">
        <v>493</v>
      </c>
      <c r="C8836" t="s">
        <v>81</v>
      </c>
      <c r="D8836" t="s">
        <v>96</v>
      </c>
      <c r="E8836" t="s">
        <v>101</v>
      </c>
      <c r="F8836">
        <v>1600</v>
      </c>
      <c r="G8836" t="s">
        <v>331</v>
      </c>
      <c r="H8836" s="15">
        <v>46082</v>
      </c>
      <c r="I8836">
        <v>1600</v>
      </c>
      <c r="J8836">
        <v>0</v>
      </c>
    </row>
    <row r="8837" spans="1:10" x14ac:dyDescent="0.3">
      <c r="A8837" s="15">
        <v>46235</v>
      </c>
      <c r="B8837" t="s">
        <v>494</v>
      </c>
      <c r="C8837" t="s">
        <v>110</v>
      </c>
      <c r="D8837" t="s">
        <v>82</v>
      </c>
      <c r="E8837" t="s">
        <v>103</v>
      </c>
      <c r="F8837">
        <v>21000</v>
      </c>
      <c r="G8837" t="s">
        <v>331</v>
      </c>
      <c r="H8837" s="15">
        <v>46082</v>
      </c>
      <c r="I8837">
        <v>21000</v>
      </c>
      <c r="J8837">
        <v>0</v>
      </c>
    </row>
    <row r="8838" spans="1:10" x14ac:dyDescent="0.3">
      <c r="A8838" s="15">
        <v>46235</v>
      </c>
      <c r="B8838" t="s">
        <v>495</v>
      </c>
      <c r="C8838" t="s">
        <v>81</v>
      </c>
      <c r="D8838" t="s">
        <v>86</v>
      </c>
      <c r="E8838" t="s">
        <v>87</v>
      </c>
      <c r="F8838">
        <v>1300</v>
      </c>
      <c r="G8838" t="s">
        <v>331</v>
      </c>
      <c r="H8838" s="15">
        <v>46082</v>
      </c>
      <c r="I8838">
        <v>1300</v>
      </c>
      <c r="J8838">
        <v>0</v>
      </c>
    </row>
    <row r="8839" spans="1:10" x14ac:dyDescent="0.3">
      <c r="A8839" s="15">
        <v>46235</v>
      </c>
      <c r="B8839" t="s">
        <v>496</v>
      </c>
      <c r="C8839" t="s">
        <v>110</v>
      </c>
      <c r="D8839" t="s">
        <v>99</v>
      </c>
      <c r="E8839" t="s">
        <v>97</v>
      </c>
      <c r="F8839">
        <v>16500</v>
      </c>
      <c r="G8839" t="s">
        <v>331</v>
      </c>
      <c r="H8839" s="15">
        <v>46082</v>
      </c>
      <c r="I8839">
        <v>16500</v>
      </c>
      <c r="J8839">
        <v>0</v>
      </c>
    </row>
    <row r="8840" spans="1:10" x14ac:dyDescent="0.3">
      <c r="A8840" s="15">
        <v>46235</v>
      </c>
      <c r="B8840" t="s">
        <v>497</v>
      </c>
      <c r="C8840" t="s">
        <v>91</v>
      </c>
      <c r="D8840" t="s">
        <v>86</v>
      </c>
      <c r="E8840" t="s">
        <v>97</v>
      </c>
      <c r="F8840">
        <v>4900</v>
      </c>
      <c r="G8840" t="s">
        <v>331</v>
      </c>
      <c r="H8840" s="15">
        <v>46082</v>
      </c>
      <c r="I8840">
        <v>4900</v>
      </c>
      <c r="J8840">
        <v>0</v>
      </c>
    </row>
    <row r="8841" spans="1:10" x14ac:dyDescent="0.3">
      <c r="A8841" s="15">
        <v>46235</v>
      </c>
      <c r="B8841" t="s">
        <v>498</v>
      </c>
      <c r="C8841" t="s">
        <v>91</v>
      </c>
      <c r="D8841" t="s">
        <v>82</v>
      </c>
      <c r="E8841" t="s">
        <v>83</v>
      </c>
      <c r="F8841">
        <v>7900</v>
      </c>
      <c r="G8841" t="s">
        <v>331</v>
      </c>
      <c r="H8841" s="15">
        <v>46113</v>
      </c>
      <c r="I8841">
        <v>7900</v>
      </c>
      <c r="J8841">
        <v>0</v>
      </c>
    </row>
    <row r="8842" spans="1:10" x14ac:dyDescent="0.3">
      <c r="A8842" s="15">
        <v>46235</v>
      </c>
      <c r="B8842" t="s">
        <v>499</v>
      </c>
      <c r="C8842" t="s">
        <v>91</v>
      </c>
      <c r="D8842" t="s">
        <v>82</v>
      </c>
      <c r="E8842" t="s">
        <v>101</v>
      </c>
      <c r="F8842">
        <v>7000</v>
      </c>
      <c r="G8842" t="s">
        <v>331</v>
      </c>
      <c r="H8842" s="15">
        <v>46113</v>
      </c>
      <c r="I8842">
        <v>7000</v>
      </c>
      <c r="J8842">
        <v>0</v>
      </c>
    </row>
    <row r="8843" spans="1:10" x14ac:dyDescent="0.3">
      <c r="A8843" s="15">
        <v>46235</v>
      </c>
      <c r="B8843" t="s">
        <v>500</v>
      </c>
      <c r="C8843" t="s">
        <v>81</v>
      </c>
      <c r="D8843" t="s">
        <v>86</v>
      </c>
      <c r="E8843" t="s">
        <v>83</v>
      </c>
      <c r="F8843">
        <v>2000</v>
      </c>
      <c r="G8843" t="s">
        <v>331</v>
      </c>
      <c r="H8843" s="15">
        <v>46113</v>
      </c>
      <c r="I8843">
        <v>2000</v>
      </c>
      <c r="J8843">
        <v>0</v>
      </c>
    </row>
    <row r="8844" spans="1:10" x14ac:dyDescent="0.3">
      <c r="A8844" s="15">
        <v>46235</v>
      </c>
      <c r="B8844" t="s">
        <v>501</v>
      </c>
      <c r="C8844" t="s">
        <v>110</v>
      </c>
      <c r="D8844" t="s">
        <v>86</v>
      </c>
      <c r="E8844" t="s">
        <v>97</v>
      </c>
      <c r="F8844">
        <v>27200</v>
      </c>
      <c r="G8844" t="s">
        <v>331</v>
      </c>
      <c r="H8844" s="15">
        <v>46113</v>
      </c>
      <c r="I8844">
        <v>27200</v>
      </c>
      <c r="J8844">
        <v>0</v>
      </c>
    </row>
    <row r="8845" spans="1:10" x14ac:dyDescent="0.3">
      <c r="A8845" s="15">
        <v>46235</v>
      </c>
      <c r="B8845" t="s">
        <v>502</v>
      </c>
      <c r="C8845" t="s">
        <v>81</v>
      </c>
      <c r="D8845" t="s">
        <v>99</v>
      </c>
      <c r="E8845" t="s">
        <v>83</v>
      </c>
      <c r="F8845">
        <v>2400</v>
      </c>
      <c r="G8845" t="s">
        <v>332</v>
      </c>
      <c r="H8845" s="15">
        <v>46113</v>
      </c>
      <c r="I8845">
        <v>2200</v>
      </c>
      <c r="J8845">
        <v>200</v>
      </c>
    </row>
    <row r="8846" spans="1:10" x14ac:dyDescent="0.3">
      <c r="A8846" s="15">
        <v>46235</v>
      </c>
      <c r="B8846" t="s">
        <v>503</v>
      </c>
      <c r="C8846" t="s">
        <v>110</v>
      </c>
      <c r="D8846" t="s">
        <v>86</v>
      </c>
      <c r="E8846" t="s">
        <v>87</v>
      </c>
      <c r="F8846">
        <v>40200</v>
      </c>
      <c r="G8846" t="s">
        <v>331</v>
      </c>
      <c r="H8846" s="15">
        <v>46113</v>
      </c>
      <c r="I8846">
        <v>40200</v>
      </c>
      <c r="J8846">
        <v>0</v>
      </c>
    </row>
    <row r="8847" spans="1:10" x14ac:dyDescent="0.3">
      <c r="A8847" s="15">
        <v>46235</v>
      </c>
      <c r="B8847" t="s">
        <v>504</v>
      </c>
      <c r="C8847" t="s">
        <v>81</v>
      </c>
      <c r="D8847" t="s">
        <v>86</v>
      </c>
      <c r="E8847" t="s">
        <v>103</v>
      </c>
      <c r="F8847">
        <v>1200</v>
      </c>
      <c r="G8847" t="s">
        <v>331</v>
      </c>
      <c r="H8847" s="15">
        <v>46113</v>
      </c>
      <c r="I8847">
        <v>1200</v>
      </c>
      <c r="J8847">
        <v>0</v>
      </c>
    </row>
    <row r="8848" spans="1:10" x14ac:dyDescent="0.3">
      <c r="A8848" s="15">
        <v>46235</v>
      </c>
      <c r="B8848" t="s">
        <v>505</v>
      </c>
      <c r="C8848" t="s">
        <v>81</v>
      </c>
      <c r="D8848" t="s">
        <v>86</v>
      </c>
      <c r="E8848" t="s">
        <v>97</v>
      </c>
      <c r="F8848">
        <v>2100</v>
      </c>
      <c r="G8848" t="s">
        <v>331</v>
      </c>
      <c r="H8848" s="15">
        <v>46113</v>
      </c>
      <c r="I8848">
        <v>2100</v>
      </c>
      <c r="J8848">
        <v>0</v>
      </c>
    </row>
    <row r="8849" spans="1:10" x14ac:dyDescent="0.3">
      <c r="A8849" s="15">
        <v>46235</v>
      </c>
      <c r="B8849" t="s">
        <v>506</v>
      </c>
      <c r="C8849" t="s">
        <v>91</v>
      </c>
      <c r="D8849" t="s">
        <v>82</v>
      </c>
      <c r="E8849" t="s">
        <v>89</v>
      </c>
      <c r="F8849">
        <v>5100</v>
      </c>
      <c r="G8849" t="s">
        <v>331</v>
      </c>
      <c r="H8849" s="15">
        <v>46113</v>
      </c>
      <c r="I8849">
        <v>5100</v>
      </c>
      <c r="J8849">
        <v>0</v>
      </c>
    </row>
    <row r="8850" spans="1:10" x14ac:dyDescent="0.3">
      <c r="A8850" s="15">
        <v>46235</v>
      </c>
      <c r="B8850" t="s">
        <v>507</v>
      </c>
      <c r="C8850" t="s">
        <v>81</v>
      </c>
      <c r="D8850" t="s">
        <v>86</v>
      </c>
      <c r="E8850" t="s">
        <v>89</v>
      </c>
      <c r="F8850">
        <v>1400</v>
      </c>
      <c r="G8850" t="s">
        <v>331</v>
      </c>
      <c r="H8850" s="15">
        <v>46143</v>
      </c>
      <c r="I8850">
        <v>1400</v>
      </c>
      <c r="J8850">
        <v>0</v>
      </c>
    </row>
    <row r="8851" spans="1:10" x14ac:dyDescent="0.3">
      <c r="A8851" s="15">
        <v>46235</v>
      </c>
      <c r="B8851" t="s">
        <v>508</v>
      </c>
      <c r="C8851" t="s">
        <v>91</v>
      </c>
      <c r="D8851" t="s">
        <v>82</v>
      </c>
      <c r="E8851" t="s">
        <v>83</v>
      </c>
      <c r="F8851">
        <v>7500</v>
      </c>
      <c r="G8851" t="s">
        <v>331</v>
      </c>
      <c r="H8851" s="15">
        <v>46143</v>
      </c>
      <c r="I8851">
        <v>7500</v>
      </c>
      <c r="J8851">
        <v>0</v>
      </c>
    </row>
    <row r="8852" spans="1:10" x14ac:dyDescent="0.3">
      <c r="A8852" s="15">
        <v>46235</v>
      </c>
      <c r="B8852" t="s">
        <v>509</v>
      </c>
      <c r="C8852" t="s">
        <v>91</v>
      </c>
      <c r="D8852" t="s">
        <v>86</v>
      </c>
      <c r="E8852" t="s">
        <v>103</v>
      </c>
      <c r="F8852">
        <v>8300</v>
      </c>
      <c r="G8852" t="s">
        <v>331</v>
      </c>
      <c r="H8852" s="15">
        <v>46143</v>
      </c>
      <c r="I8852">
        <v>8300</v>
      </c>
      <c r="J8852">
        <v>0</v>
      </c>
    </row>
    <row r="8853" spans="1:10" x14ac:dyDescent="0.3">
      <c r="A8853" s="15">
        <v>46235</v>
      </c>
      <c r="B8853" t="s">
        <v>510</v>
      </c>
      <c r="C8853" t="s">
        <v>91</v>
      </c>
      <c r="D8853" t="s">
        <v>86</v>
      </c>
      <c r="E8853" t="s">
        <v>101</v>
      </c>
      <c r="F8853">
        <v>8100</v>
      </c>
      <c r="G8853" t="s">
        <v>331</v>
      </c>
      <c r="H8853" s="15">
        <v>46143</v>
      </c>
      <c r="I8853">
        <v>8100</v>
      </c>
      <c r="J8853">
        <v>0</v>
      </c>
    </row>
    <row r="8854" spans="1:10" x14ac:dyDescent="0.3">
      <c r="A8854" s="15">
        <v>46235</v>
      </c>
      <c r="B8854" t="s">
        <v>511</v>
      </c>
      <c r="C8854" t="s">
        <v>91</v>
      </c>
      <c r="D8854" t="s">
        <v>99</v>
      </c>
      <c r="E8854" t="s">
        <v>101</v>
      </c>
      <c r="F8854">
        <v>7500</v>
      </c>
      <c r="G8854" t="s">
        <v>331</v>
      </c>
      <c r="H8854" s="15">
        <v>46143</v>
      </c>
      <c r="I8854">
        <v>7500</v>
      </c>
      <c r="J8854">
        <v>0</v>
      </c>
    </row>
    <row r="8855" spans="1:10" x14ac:dyDescent="0.3">
      <c r="A8855" s="15">
        <v>46235</v>
      </c>
      <c r="B8855" t="s">
        <v>512</v>
      </c>
      <c r="C8855" t="s">
        <v>110</v>
      </c>
      <c r="D8855" t="s">
        <v>96</v>
      </c>
      <c r="E8855" t="s">
        <v>103</v>
      </c>
      <c r="F8855">
        <v>30900</v>
      </c>
      <c r="G8855" t="s">
        <v>331</v>
      </c>
      <c r="H8855" s="15">
        <v>46143</v>
      </c>
      <c r="I8855">
        <v>30900</v>
      </c>
      <c r="J8855">
        <v>0</v>
      </c>
    </row>
    <row r="8856" spans="1:10" x14ac:dyDescent="0.3">
      <c r="A8856" s="15">
        <v>46235</v>
      </c>
      <c r="B8856" t="s">
        <v>513</v>
      </c>
      <c r="C8856" t="s">
        <v>91</v>
      </c>
      <c r="D8856" t="s">
        <v>96</v>
      </c>
      <c r="E8856" t="s">
        <v>103</v>
      </c>
      <c r="F8856">
        <v>7700</v>
      </c>
      <c r="G8856" t="s">
        <v>331</v>
      </c>
      <c r="H8856" s="15">
        <v>46143</v>
      </c>
      <c r="I8856">
        <v>7700</v>
      </c>
      <c r="J8856">
        <v>0</v>
      </c>
    </row>
    <row r="8857" spans="1:10" x14ac:dyDescent="0.3">
      <c r="A8857" s="15">
        <v>46235</v>
      </c>
      <c r="B8857" t="s">
        <v>514</v>
      </c>
      <c r="C8857" t="s">
        <v>81</v>
      </c>
      <c r="D8857" t="s">
        <v>99</v>
      </c>
      <c r="E8857" t="s">
        <v>92</v>
      </c>
      <c r="F8857">
        <v>2900</v>
      </c>
      <c r="G8857" t="s">
        <v>331</v>
      </c>
      <c r="H8857" s="15">
        <v>46174</v>
      </c>
      <c r="I8857">
        <v>2900</v>
      </c>
      <c r="J8857">
        <v>0</v>
      </c>
    </row>
    <row r="8858" spans="1:10" x14ac:dyDescent="0.3">
      <c r="A8858" s="15">
        <v>46235</v>
      </c>
      <c r="B8858" t="s">
        <v>515</v>
      </c>
      <c r="C8858" t="s">
        <v>110</v>
      </c>
      <c r="D8858" t="s">
        <v>86</v>
      </c>
      <c r="E8858" t="s">
        <v>101</v>
      </c>
      <c r="F8858">
        <v>32300</v>
      </c>
      <c r="G8858" t="s">
        <v>331</v>
      </c>
      <c r="H8858" s="15">
        <v>46174</v>
      </c>
      <c r="I8858">
        <v>32300</v>
      </c>
      <c r="J8858">
        <v>0</v>
      </c>
    </row>
    <row r="8859" spans="1:10" x14ac:dyDescent="0.3">
      <c r="A8859" s="15">
        <v>46235</v>
      </c>
      <c r="B8859" t="s">
        <v>516</v>
      </c>
      <c r="C8859" t="s">
        <v>81</v>
      </c>
      <c r="D8859" t="s">
        <v>99</v>
      </c>
      <c r="E8859" t="s">
        <v>89</v>
      </c>
      <c r="F8859">
        <v>1600</v>
      </c>
      <c r="G8859" t="s">
        <v>331</v>
      </c>
      <c r="H8859" s="15">
        <v>46174</v>
      </c>
      <c r="I8859">
        <v>1600</v>
      </c>
      <c r="J8859">
        <v>0</v>
      </c>
    </row>
    <row r="8860" spans="1:10" x14ac:dyDescent="0.3">
      <c r="A8860" s="15">
        <v>46235</v>
      </c>
      <c r="B8860" t="s">
        <v>517</v>
      </c>
      <c r="C8860" t="s">
        <v>91</v>
      </c>
      <c r="D8860" t="s">
        <v>82</v>
      </c>
      <c r="E8860" t="s">
        <v>97</v>
      </c>
      <c r="F8860">
        <v>6100</v>
      </c>
      <c r="G8860" t="s">
        <v>331</v>
      </c>
      <c r="H8860" s="15">
        <v>46174</v>
      </c>
      <c r="I8860">
        <v>6100</v>
      </c>
      <c r="J8860">
        <v>0</v>
      </c>
    </row>
    <row r="8861" spans="1:10" x14ac:dyDescent="0.3">
      <c r="A8861" s="15">
        <v>46235</v>
      </c>
      <c r="B8861" t="s">
        <v>518</v>
      </c>
      <c r="C8861" t="s">
        <v>110</v>
      </c>
      <c r="D8861" t="s">
        <v>96</v>
      </c>
      <c r="E8861" t="s">
        <v>103</v>
      </c>
      <c r="F8861">
        <v>26100</v>
      </c>
      <c r="G8861" t="s">
        <v>331</v>
      </c>
      <c r="H8861" s="15">
        <v>46174</v>
      </c>
      <c r="I8861">
        <v>26100</v>
      </c>
      <c r="J8861">
        <v>0</v>
      </c>
    </row>
    <row r="8862" spans="1:10" x14ac:dyDescent="0.3">
      <c r="A8862" s="15">
        <v>46235</v>
      </c>
      <c r="B8862" t="s">
        <v>519</v>
      </c>
      <c r="C8862" t="s">
        <v>91</v>
      </c>
      <c r="D8862" t="s">
        <v>86</v>
      </c>
      <c r="E8862" t="s">
        <v>89</v>
      </c>
      <c r="F8862">
        <v>7400</v>
      </c>
      <c r="G8862" t="s">
        <v>331</v>
      </c>
      <c r="H8862" s="15">
        <v>46174</v>
      </c>
      <c r="I8862">
        <v>7400</v>
      </c>
      <c r="J8862">
        <v>0</v>
      </c>
    </row>
    <row r="8863" spans="1:10" x14ac:dyDescent="0.3">
      <c r="A8863" s="15">
        <v>46235</v>
      </c>
      <c r="B8863" t="s">
        <v>520</v>
      </c>
      <c r="C8863" t="s">
        <v>91</v>
      </c>
      <c r="D8863" t="s">
        <v>86</v>
      </c>
      <c r="E8863" t="s">
        <v>101</v>
      </c>
      <c r="F8863">
        <v>5900</v>
      </c>
      <c r="G8863" t="s">
        <v>331</v>
      </c>
      <c r="H8863" s="15">
        <v>46174</v>
      </c>
      <c r="I8863">
        <v>5900</v>
      </c>
      <c r="J8863">
        <v>0</v>
      </c>
    </row>
    <row r="8864" spans="1:10" x14ac:dyDescent="0.3">
      <c r="A8864" s="15">
        <v>46235</v>
      </c>
      <c r="B8864" t="s">
        <v>521</v>
      </c>
      <c r="C8864" t="s">
        <v>81</v>
      </c>
      <c r="D8864" t="s">
        <v>86</v>
      </c>
      <c r="E8864" t="s">
        <v>97</v>
      </c>
      <c r="F8864">
        <v>1800</v>
      </c>
      <c r="G8864" t="s">
        <v>331</v>
      </c>
      <c r="H8864" s="15">
        <v>46174</v>
      </c>
      <c r="I8864">
        <v>1800</v>
      </c>
      <c r="J8864">
        <v>0</v>
      </c>
    </row>
    <row r="8865" spans="1:10" x14ac:dyDescent="0.3">
      <c r="A8865" s="15">
        <v>46235</v>
      </c>
      <c r="B8865" t="s">
        <v>522</v>
      </c>
      <c r="C8865" t="s">
        <v>91</v>
      </c>
      <c r="D8865" t="s">
        <v>86</v>
      </c>
      <c r="E8865" t="s">
        <v>92</v>
      </c>
      <c r="F8865">
        <v>4600</v>
      </c>
      <c r="G8865" t="s">
        <v>331</v>
      </c>
      <c r="H8865" s="15">
        <v>46174</v>
      </c>
      <c r="I8865">
        <v>4600</v>
      </c>
      <c r="J8865">
        <v>0</v>
      </c>
    </row>
    <row r="8866" spans="1:10" x14ac:dyDescent="0.3">
      <c r="A8866" s="15">
        <v>46235</v>
      </c>
      <c r="B8866" t="s">
        <v>523</v>
      </c>
      <c r="C8866" t="s">
        <v>91</v>
      </c>
      <c r="D8866" t="s">
        <v>82</v>
      </c>
      <c r="E8866" t="s">
        <v>97</v>
      </c>
      <c r="F8866">
        <v>6900</v>
      </c>
      <c r="G8866" t="s">
        <v>331</v>
      </c>
      <c r="H8866" s="15">
        <v>46174</v>
      </c>
      <c r="I8866">
        <v>6900</v>
      </c>
      <c r="J8866">
        <v>0</v>
      </c>
    </row>
    <row r="8867" spans="1:10" x14ac:dyDescent="0.3">
      <c r="A8867" s="15">
        <v>46235</v>
      </c>
      <c r="B8867" t="s">
        <v>524</v>
      </c>
      <c r="C8867" t="s">
        <v>81</v>
      </c>
      <c r="D8867" t="s">
        <v>99</v>
      </c>
      <c r="E8867" t="s">
        <v>83</v>
      </c>
      <c r="F8867">
        <v>1600</v>
      </c>
      <c r="G8867" t="s">
        <v>331</v>
      </c>
      <c r="H8867" s="15">
        <v>46204</v>
      </c>
      <c r="I8867">
        <v>1600</v>
      </c>
      <c r="J8867">
        <v>0</v>
      </c>
    </row>
    <row r="8868" spans="1:10" x14ac:dyDescent="0.3">
      <c r="A8868" s="15">
        <v>46235</v>
      </c>
      <c r="B8868" t="s">
        <v>525</v>
      </c>
      <c r="C8868" t="s">
        <v>81</v>
      </c>
      <c r="D8868" t="s">
        <v>82</v>
      </c>
      <c r="E8868" t="s">
        <v>92</v>
      </c>
      <c r="F8868">
        <v>1500</v>
      </c>
      <c r="G8868" t="s">
        <v>334</v>
      </c>
      <c r="H8868" s="15">
        <v>46204</v>
      </c>
      <c r="I8868">
        <v>1800</v>
      </c>
      <c r="J8868">
        <v>-300</v>
      </c>
    </row>
    <row r="8869" spans="1:10" x14ac:dyDescent="0.3">
      <c r="A8869" s="15">
        <v>46235</v>
      </c>
      <c r="B8869" t="s">
        <v>526</v>
      </c>
      <c r="C8869" t="s">
        <v>81</v>
      </c>
      <c r="D8869" t="s">
        <v>96</v>
      </c>
      <c r="E8869" t="s">
        <v>87</v>
      </c>
      <c r="F8869">
        <v>1500</v>
      </c>
      <c r="G8869" t="s">
        <v>331</v>
      </c>
      <c r="H8869" s="15">
        <v>46204</v>
      </c>
      <c r="I8869">
        <v>1500</v>
      </c>
      <c r="J8869">
        <v>0</v>
      </c>
    </row>
    <row r="8870" spans="1:10" x14ac:dyDescent="0.3">
      <c r="A8870" s="15">
        <v>46235</v>
      </c>
      <c r="B8870" t="s">
        <v>527</v>
      </c>
      <c r="C8870" t="s">
        <v>81</v>
      </c>
      <c r="D8870" t="s">
        <v>99</v>
      </c>
      <c r="E8870" t="s">
        <v>89</v>
      </c>
      <c r="F8870">
        <v>1500</v>
      </c>
      <c r="G8870" t="s">
        <v>331</v>
      </c>
      <c r="H8870" s="15">
        <v>46204</v>
      </c>
      <c r="I8870">
        <v>1500</v>
      </c>
      <c r="J8870">
        <v>0</v>
      </c>
    </row>
    <row r="8871" spans="1:10" x14ac:dyDescent="0.3">
      <c r="A8871" s="15">
        <v>46235</v>
      </c>
      <c r="B8871" t="s">
        <v>528</v>
      </c>
      <c r="C8871" t="s">
        <v>81</v>
      </c>
      <c r="D8871" t="s">
        <v>82</v>
      </c>
      <c r="E8871" t="s">
        <v>103</v>
      </c>
      <c r="F8871">
        <v>1700</v>
      </c>
      <c r="G8871" t="s">
        <v>331</v>
      </c>
      <c r="H8871" s="15">
        <v>46204</v>
      </c>
      <c r="I8871">
        <v>1700</v>
      </c>
      <c r="J8871">
        <v>0</v>
      </c>
    </row>
    <row r="8872" spans="1:10" x14ac:dyDescent="0.3">
      <c r="A8872" s="15">
        <v>46235</v>
      </c>
      <c r="B8872" t="s">
        <v>529</v>
      </c>
      <c r="C8872" t="s">
        <v>81</v>
      </c>
      <c r="D8872" t="s">
        <v>99</v>
      </c>
      <c r="E8872" t="s">
        <v>92</v>
      </c>
      <c r="F8872">
        <v>1500</v>
      </c>
      <c r="G8872" t="s">
        <v>332</v>
      </c>
      <c r="H8872" s="15">
        <v>46204</v>
      </c>
      <c r="I8872">
        <v>1400</v>
      </c>
      <c r="J8872">
        <v>100</v>
      </c>
    </row>
    <row r="8873" spans="1:10" x14ac:dyDescent="0.3">
      <c r="A8873" s="15">
        <v>46235</v>
      </c>
      <c r="B8873" t="s">
        <v>530</v>
      </c>
      <c r="C8873" t="s">
        <v>110</v>
      </c>
      <c r="D8873" t="s">
        <v>82</v>
      </c>
      <c r="E8873" t="s">
        <v>89</v>
      </c>
      <c r="F8873">
        <v>24200</v>
      </c>
      <c r="G8873" t="s">
        <v>331</v>
      </c>
      <c r="H8873" s="15">
        <v>46204</v>
      </c>
      <c r="I8873">
        <v>24200</v>
      </c>
      <c r="J8873">
        <v>0</v>
      </c>
    </row>
    <row r="8874" spans="1:10" x14ac:dyDescent="0.3">
      <c r="A8874" s="15">
        <v>46235</v>
      </c>
      <c r="B8874" t="s">
        <v>531</v>
      </c>
      <c r="C8874" t="s">
        <v>110</v>
      </c>
      <c r="D8874" t="s">
        <v>82</v>
      </c>
      <c r="E8874" t="s">
        <v>89</v>
      </c>
      <c r="F8874">
        <v>19800</v>
      </c>
      <c r="G8874" t="s">
        <v>331</v>
      </c>
      <c r="H8874" s="15">
        <v>46204</v>
      </c>
      <c r="I8874">
        <v>19800</v>
      </c>
      <c r="J8874">
        <v>0</v>
      </c>
    </row>
    <row r="8875" spans="1:10" x14ac:dyDescent="0.3">
      <c r="A8875" s="15">
        <v>46235</v>
      </c>
      <c r="B8875" t="s">
        <v>532</v>
      </c>
      <c r="C8875" t="s">
        <v>91</v>
      </c>
      <c r="D8875" t="s">
        <v>82</v>
      </c>
      <c r="E8875" t="s">
        <v>89</v>
      </c>
      <c r="F8875">
        <v>7000</v>
      </c>
      <c r="G8875" t="s">
        <v>84</v>
      </c>
      <c r="H8875" s="15">
        <v>46235</v>
      </c>
      <c r="I8875">
        <v>0</v>
      </c>
      <c r="J8875">
        <v>7000</v>
      </c>
    </row>
    <row r="8876" spans="1:10" x14ac:dyDescent="0.3">
      <c r="A8876" s="15">
        <v>46235</v>
      </c>
      <c r="B8876" t="s">
        <v>533</v>
      </c>
      <c r="C8876" t="s">
        <v>91</v>
      </c>
      <c r="D8876" t="s">
        <v>96</v>
      </c>
      <c r="E8876" t="s">
        <v>83</v>
      </c>
      <c r="F8876">
        <v>5500</v>
      </c>
      <c r="G8876" t="s">
        <v>84</v>
      </c>
      <c r="H8876" s="15">
        <v>46235</v>
      </c>
      <c r="I8876">
        <v>0</v>
      </c>
      <c r="J8876">
        <v>5500</v>
      </c>
    </row>
    <row r="8877" spans="1:10" x14ac:dyDescent="0.3">
      <c r="A8877" s="15">
        <v>46235</v>
      </c>
      <c r="B8877" t="s">
        <v>534</v>
      </c>
      <c r="C8877" t="s">
        <v>81</v>
      </c>
      <c r="D8877" t="s">
        <v>82</v>
      </c>
      <c r="E8877" t="s">
        <v>101</v>
      </c>
      <c r="F8877">
        <v>2000</v>
      </c>
      <c r="G8877" t="s">
        <v>84</v>
      </c>
      <c r="H8877" s="15">
        <v>46235</v>
      </c>
      <c r="I8877">
        <v>0</v>
      </c>
      <c r="J8877">
        <v>2000</v>
      </c>
    </row>
    <row r="8878" spans="1:10" x14ac:dyDescent="0.3">
      <c r="A8878" s="15">
        <v>46235</v>
      </c>
      <c r="B8878" t="s">
        <v>535</v>
      </c>
      <c r="C8878" t="s">
        <v>110</v>
      </c>
      <c r="D8878" t="s">
        <v>82</v>
      </c>
      <c r="E8878" t="s">
        <v>83</v>
      </c>
      <c r="F8878">
        <v>20100</v>
      </c>
      <c r="G8878" t="s">
        <v>84</v>
      </c>
      <c r="H8878" s="15">
        <v>46235</v>
      </c>
      <c r="I8878">
        <v>0</v>
      </c>
      <c r="J8878">
        <v>20100</v>
      </c>
    </row>
    <row r="8879" spans="1:10" x14ac:dyDescent="0.3">
      <c r="A8879" s="15">
        <v>46235</v>
      </c>
      <c r="B8879" t="s">
        <v>536</v>
      </c>
      <c r="C8879" t="s">
        <v>81</v>
      </c>
      <c r="D8879" t="s">
        <v>99</v>
      </c>
      <c r="E8879" t="s">
        <v>97</v>
      </c>
      <c r="F8879">
        <v>1700</v>
      </c>
      <c r="G8879" t="s">
        <v>84</v>
      </c>
      <c r="H8879" s="15">
        <v>46235</v>
      </c>
      <c r="I8879">
        <v>0</v>
      </c>
      <c r="J8879">
        <v>1700</v>
      </c>
    </row>
    <row r="8880" spans="1:10" x14ac:dyDescent="0.3">
      <c r="A8880" s="15">
        <v>46235</v>
      </c>
      <c r="B8880" t="s">
        <v>537</v>
      </c>
      <c r="C8880" t="s">
        <v>110</v>
      </c>
      <c r="D8880" t="s">
        <v>99</v>
      </c>
      <c r="E8880" t="s">
        <v>87</v>
      </c>
      <c r="F8880">
        <v>37600</v>
      </c>
      <c r="G8880" t="s">
        <v>84</v>
      </c>
      <c r="H8880" s="15">
        <v>46235</v>
      </c>
      <c r="I8880">
        <v>0</v>
      </c>
      <c r="J8880">
        <v>37600</v>
      </c>
    </row>
    <row r="8881" spans="1:10" x14ac:dyDescent="0.3">
      <c r="A8881" s="15">
        <v>46235</v>
      </c>
      <c r="B8881" t="s">
        <v>538</v>
      </c>
      <c r="C8881" t="s">
        <v>81</v>
      </c>
      <c r="D8881" t="s">
        <v>99</v>
      </c>
      <c r="E8881" t="s">
        <v>89</v>
      </c>
      <c r="F8881">
        <v>1900</v>
      </c>
      <c r="G8881" t="s">
        <v>84</v>
      </c>
      <c r="H8881" s="15">
        <v>46235</v>
      </c>
      <c r="I8881">
        <v>0</v>
      </c>
      <c r="J8881">
        <v>1900</v>
      </c>
    </row>
    <row r="8882" spans="1:10" x14ac:dyDescent="0.3">
      <c r="A8882" s="15">
        <v>46235</v>
      </c>
      <c r="B8882" t="s">
        <v>539</v>
      </c>
      <c r="C8882" t="s">
        <v>81</v>
      </c>
      <c r="D8882" t="s">
        <v>86</v>
      </c>
      <c r="E8882" t="s">
        <v>89</v>
      </c>
      <c r="F8882">
        <v>2400</v>
      </c>
      <c r="G8882" t="s">
        <v>84</v>
      </c>
      <c r="H8882" s="15">
        <v>46235</v>
      </c>
      <c r="I8882">
        <v>0</v>
      </c>
      <c r="J8882">
        <v>2400</v>
      </c>
    </row>
    <row r="8883" spans="1:10" x14ac:dyDescent="0.3">
      <c r="A8883" s="15">
        <v>46266</v>
      </c>
      <c r="B8883" t="s">
        <v>80</v>
      </c>
      <c r="C8883" t="s">
        <v>81</v>
      </c>
      <c r="D8883" t="s">
        <v>82</v>
      </c>
      <c r="E8883" t="s">
        <v>83</v>
      </c>
      <c r="F8883">
        <v>1900</v>
      </c>
      <c r="G8883" t="s">
        <v>331</v>
      </c>
      <c r="H8883" s="15">
        <v>45292</v>
      </c>
      <c r="I8883">
        <v>1900</v>
      </c>
      <c r="J8883">
        <v>0</v>
      </c>
    </row>
    <row r="8884" spans="1:10" x14ac:dyDescent="0.3">
      <c r="A8884" s="15">
        <v>46266</v>
      </c>
      <c r="B8884" t="s">
        <v>85</v>
      </c>
      <c r="C8884" t="s">
        <v>81</v>
      </c>
      <c r="D8884" t="s">
        <v>86</v>
      </c>
      <c r="E8884" t="s">
        <v>87</v>
      </c>
      <c r="F8884">
        <v>2200</v>
      </c>
      <c r="G8884" t="s">
        <v>331</v>
      </c>
      <c r="H8884" s="15">
        <v>45292</v>
      </c>
      <c r="I8884">
        <v>2200</v>
      </c>
      <c r="J8884">
        <v>0</v>
      </c>
    </row>
    <row r="8885" spans="1:10" x14ac:dyDescent="0.3">
      <c r="A8885" s="15">
        <v>46266</v>
      </c>
      <c r="B8885" t="s">
        <v>88</v>
      </c>
      <c r="C8885" t="s">
        <v>81</v>
      </c>
      <c r="D8885" t="s">
        <v>86</v>
      </c>
      <c r="E8885" t="s">
        <v>89</v>
      </c>
      <c r="F8885">
        <v>2400</v>
      </c>
      <c r="G8885" t="s">
        <v>331</v>
      </c>
      <c r="H8885" s="15">
        <v>45292</v>
      </c>
      <c r="I8885">
        <v>2400</v>
      </c>
      <c r="J8885">
        <v>0</v>
      </c>
    </row>
    <row r="8886" spans="1:10" x14ac:dyDescent="0.3">
      <c r="A8886" s="15">
        <v>46266</v>
      </c>
      <c r="B8886" t="s">
        <v>90</v>
      </c>
      <c r="C8886" t="s">
        <v>91</v>
      </c>
      <c r="D8886" t="s">
        <v>82</v>
      </c>
      <c r="E8886" t="s">
        <v>92</v>
      </c>
      <c r="F8886">
        <v>9200</v>
      </c>
      <c r="G8886" t="s">
        <v>331</v>
      </c>
      <c r="H8886" s="15">
        <v>45292</v>
      </c>
      <c r="I8886">
        <v>9200</v>
      </c>
      <c r="J8886">
        <v>0</v>
      </c>
    </row>
    <row r="8887" spans="1:10" x14ac:dyDescent="0.3">
      <c r="A8887" s="15">
        <v>46266</v>
      </c>
      <c r="B8887" t="s">
        <v>93</v>
      </c>
      <c r="C8887" t="s">
        <v>81</v>
      </c>
      <c r="D8887" t="s">
        <v>86</v>
      </c>
      <c r="E8887" t="s">
        <v>83</v>
      </c>
      <c r="F8887">
        <v>2600</v>
      </c>
      <c r="G8887" t="s">
        <v>331</v>
      </c>
      <c r="H8887" s="15">
        <v>45292</v>
      </c>
      <c r="I8887">
        <v>2600</v>
      </c>
      <c r="J8887">
        <v>0</v>
      </c>
    </row>
    <row r="8888" spans="1:10" x14ac:dyDescent="0.3">
      <c r="A8888" s="15">
        <v>46266</v>
      </c>
      <c r="B8888" t="s">
        <v>94</v>
      </c>
      <c r="C8888" t="s">
        <v>91</v>
      </c>
      <c r="D8888" t="s">
        <v>86</v>
      </c>
      <c r="E8888" t="s">
        <v>83</v>
      </c>
      <c r="F8888">
        <v>8900</v>
      </c>
      <c r="G8888" t="s">
        <v>331</v>
      </c>
      <c r="H8888" s="15">
        <v>45292</v>
      </c>
      <c r="I8888">
        <v>8900</v>
      </c>
      <c r="J8888">
        <v>0</v>
      </c>
    </row>
    <row r="8889" spans="1:10" x14ac:dyDescent="0.3">
      <c r="A8889" s="15">
        <v>46266</v>
      </c>
      <c r="B8889" t="s">
        <v>95</v>
      </c>
      <c r="C8889" t="s">
        <v>81</v>
      </c>
      <c r="D8889" t="s">
        <v>96</v>
      </c>
      <c r="E8889" t="s">
        <v>97</v>
      </c>
      <c r="F8889">
        <v>3100</v>
      </c>
      <c r="G8889" t="s">
        <v>331</v>
      </c>
      <c r="H8889" s="15">
        <v>45292</v>
      </c>
      <c r="I8889">
        <v>3100</v>
      </c>
      <c r="J8889">
        <v>0</v>
      </c>
    </row>
    <row r="8890" spans="1:10" x14ac:dyDescent="0.3">
      <c r="A8890" s="15">
        <v>46266</v>
      </c>
      <c r="B8890" t="s">
        <v>98</v>
      </c>
      <c r="C8890" t="s">
        <v>81</v>
      </c>
      <c r="D8890" t="s">
        <v>99</v>
      </c>
      <c r="E8890" t="s">
        <v>92</v>
      </c>
      <c r="F8890">
        <v>2000</v>
      </c>
      <c r="G8890" t="s">
        <v>331</v>
      </c>
      <c r="H8890" s="15">
        <v>45292</v>
      </c>
      <c r="I8890">
        <v>2000</v>
      </c>
      <c r="J8890">
        <v>0</v>
      </c>
    </row>
    <row r="8891" spans="1:10" x14ac:dyDescent="0.3">
      <c r="A8891" s="15">
        <v>46266</v>
      </c>
      <c r="B8891" t="s">
        <v>102</v>
      </c>
      <c r="C8891" t="s">
        <v>81</v>
      </c>
      <c r="D8891" t="s">
        <v>99</v>
      </c>
      <c r="E8891" t="s">
        <v>103</v>
      </c>
      <c r="F8891">
        <v>2500</v>
      </c>
      <c r="G8891" t="s">
        <v>331</v>
      </c>
      <c r="H8891" s="15">
        <v>45292</v>
      </c>
      <c r="I8891">
        <v>2500</v>
      </c>
      <c r="J8891">
        <v>0</v>
      </c>
    </row>
    <row r="8892" spans="1:10" x14ac:dyDescent="0.3">
      <c r="A8892" s="15">
        <v>46266</v>
      </c>
      <c r="B8892" t="s">
        <v>105</v>
      </c>
      <c r="C8892" t="s">
        <v>91</v>
      </c>
      <c r="D8892" t="s">
        <v>86</v>
      </c>
      <c r="E8892" t="s">
        <v>89</v>
      </c>
      <c r="F8892">
        <v>12900</v>
      </c>
      <c r="G8892" t="s">
        <v>331</v>
      </c>
      <c r="H8892" s="15">
        <v>45292</v>
      </c>
      <c r="I8892">
        <v>12900</v>
      </c>
      <c r="J8892">
        <v>0</v>
      </c>
    </row>
    <row r="8893" spans="1:10" x14ac:dyDescent="0.3">
      <c r="A8893" s="15">
        <v>46266</v>
      </c>
      <c r="B8893" t="s">
        <v>106</v>
      </c>
      <c r="C8893" t="s">
        <v>81</v>
      </c>
      <c r="D8893" t="s">
        <v>99</v>
      </c>
      <c r="E8893" t="s">
        <v>92</v>
      </c>
      <c r="F8893">
        <v>2700</v>
      </c>
      <c r="G8893" t="s">
        <v>331</v>
      </c>
      <c r="H8893" s="15">
        <v>45292</v>
      </c>
      <c r="I8893">
        <v>2700</v>
      </c>
      <c r="J8893">
        <v>0</v>
      </c>
    </row>
    <row r="8894" spans="1:10" x14ac:dyDescent="0.3">
      <c r="A8894" s="15">
        <v>46266</v>
      </c>
      <c r="B8894" t="s">
        <v>109</v>
      </c>
      <c r="C8894" t="s">
        <v>110</v>
      </c>
      <c r="D8894" t="s">
        <v>82</v>
      </c>
      <c r="E8894" t="s">
        <v>103</v>
      </c>
      <c r="F8894">
        <v>37500</v>
      </c>
      <c r="G8894" t="s">
        <v>331</v>
      </c>
      <c r="H8894" s="15">
        <v>45292</v>
      </c>
      <c r="I8894">
        <v>37500</v>
      </c>
      <c r="J8894">
        <v>0</v>
      </c>
    </row>
    <row r="8895" spans="1:10" x14ac:dyDescent="0.3">
      <c r="A8895" s="15">
        <v>46266</v>
      </c>
      <c r="B8895" t="s">
        <v>111</v>
      </c>
      <c r="C8895" t="s">
        <v>91</v>
      </c>
      <c r="D8895" t="s">
        <v>82</v>
      </c>
      <c r="E8895" t="s">
        <v>83</v>
      </c>
      <c r="F8895">
        <v>8800</v>
      </c>
      <c r="G8895" t="s">
        <v>331</v>
      </c>
      <c r="H8895" s="15">
        <v>45292</v>
      </c>
      <c r="I8895">
        <v>8800</v>
      </c>
      <c r="J8895">
        <v>0</v>
      </c>
    </row>
    <row r="8896" spans="1:10" x14ac:dyDescent="0.3">
      <c r="A8896" s="15">
        <v>46266</v>
      </c>
      <c r="B8896" t="s">
        <v>112</v>
      </c>
      <c r="C8896" t="s">
        <v>91</v>
      </c>
      <c r="D8896" t="s">
        <v>82</v>
      </c>
      <c r="E8896" t="s">
        <v>92</v>
      </c>
      <c r="F8896">
        <v>8600</v>
      </c>
      <c r="G8896" t="s">
        <v>331</v>
      </c>
      <c r="H8896" s="15">
        <v>45292</v>
      </c>
      <c r="I8896">
        <v>8600</v>
      </c>
      <c r="J8896">
        <v>0</v>
      </c>
    </row>
    <row r="8897" spans="1:10" x14ac:dyDescent="0.3">
      <c r="A8897" s="15">
        <v>46266</v>
      </c>
      <c r="B8897" t="s">
        <v>114</v>
      </c>
      <c r="C8897" t="s">
        <v>110</v>
      </c>
      <c r="D8897" t="s">
        <v>99</v>
      </c>
      <c r="E8897" t="s">
        <v>97</v>
      </c>
      <c r="F8897">
        <v>39000</v>
      </c>
      <c r="G8897" t="s">
        <v>331</v>
      </c>
      <c r="H8897" s="15">
        <v>45292</v>
      </c>
      <c r="I8897">
        <v>39000</v>
      </c>
      <c r="J8897">
        <v>0</v>
      </c>
    </row>
    <row r="8898" spans="1:10" x14ac:dyDescent="0.3">
      <c r="A8898" s="15">
        <v>46266</v>
      </c>
      <c r="B8898" t="s">
        <v>115</v>
      </c>
      <c r="C8898" t="s">
        <v>81</v>
      </c>
      <c r="D8898" t="s">
        <v>82</v>
      </c>
      <c r="E8898" t="s">
        <v>101</v>
      </c>
      <c r="F8898">
        <v>2600</v>
      </c>
      <c r="G8898" t="s">
        <v>331</v>
      </c>
      <c r="H8898" s="15">
        <v>45292</v>
      </c>
      <c r="I8898">
        <v>2600</v>
      </c>
      <c r="J8898">
        <v>0</v>
      </c>
    </row>
    <row r="8899" spans="1:10" x14ac:dyDescent="0.3">
      <c r="A8899" s="15">
        <v>46266</v>
      </c>
      <c r="B8899" t="s">
        <v>116</v>
      </c>
      <c r="C8899" t="s">
        <v>81</v>
      </c>
      <c r="D8899" t="s">
        <v>86</v>
      </c>
      <c r="E8899" t="s">
        <v>87</v>
      </c>
      <c r="F8899">
        <v>2700</v>
      </c>
      <c r="G8899" t="s">
        <v>331</v>
      </c>
      <c r="H8899" s="15">
        <v>45292</v>
      </c>
      <c r="I8899">
        <v>2700</v>
      </c>
      <c r="J8899">
        <v>0</v>
      </c>
    </row>
    <row r="8900" spans="1:10" x14ac:dyDescent="0.3">
      <c r="A8900" s="15">
        <v>46266</v>
      </c>
      <c r="B8900" t="s">
        <v>117</v>
      </c>
      <c r="C8900" t="s">
        <v>81</v>
      </c>
      <c r="D8900" t="s">
        <v>86</v>
      </c>
      <c r="E8900" t="s">
        <v>103</v>
      </c>
      <c r="F8900">
        <v>2500</v>
      </c>
      <c r="G8900" t="s">
        <v>331</v>
      </c>
      <c r="H8900" s="15">
        <v>45292</v>
      </c>
      <c r="I8900">
        <v>2500</v>
      </c>
      <c r="J8900">
        <v>0</v>
      </c>
    </row>
    <row r="8901" spans="1:10" x14ac:dyDescent="0.3">
      <c r="A8901" s="15">
        <v>46266</v>
      </c>
      <c r="B8901" t="s">
        <v>120</v>
      </c>
      <c r="C8901" t="s">
        <v>81</v>
      </c>
      <c r="D8901" t="s">
        <v>86</v>
      </c>
      <c r="E8901" t="s">
        <v>101</v>
      </c>
      <c r="F8901">
        <v>2200</v>
      </c>
      <c r="G8901" t="s">
        <v>331</v>
      </c>
      <c r="H8901" s="15">
        <v>45292</v>
      </c>
      <c r="I8901">
        <v>2200</v>
      </c>
      <c r="J8901">
        <v>0</v>
      </c>
    </row>
    <row r="8902" spans="1:10" x14ac:dyDescent="0.3">
      <c r="A8902" s="15">
        <v>46266</v>
      </c>
      <c r="B8902" t="s">
        <v>123</v>
      </c>
      <c r="C8902" t="s">
        <v>81</v>
      </c>
      <c r="D8902" t="s">
        <v>82</v>
      </c>
      <c r="E8902" t="s">
        <v>92</v>
      </c>
      <c r="F8902">
        <v>1900</v>
      </c>
      <c r="G8902" t="s">
        <v>331</v>
      </c>
      <c r="H8902" s="15">
        <v>45292</v>
      </c>
      <c r="I8902">
        <v>1900</v>
      </c>
      <c r="J8902">
        <v>0</v>
      </c>
    </row>
    <row r="8903" spans="1:10" x14ac:dyDescent="0.3">
      <c r="A8903" s="15">
        <v>46266</v>
      </c>
      <c r="B8903" t="s">
        <v>124</v>
      </c>
      <c r="C8903" t="s">
        <v>125</v>
      </c>
      <c r="D8903" t="s">
        <v>82</v>
      </c>
      <c r="E8903" t="s">
        <v>97</v>
      </c>
      <c r="F8903">
        <v>67900</v>
      </c>
      <c r="G8903" t="s">
        <v>331</v>
      </c>
      <c r="H8903" s="15">
        <v>45292</v>
      </c>
      <c r="I8903">
        <v>67900</v>
      </c>
      <c r="J8903">
        <v>0</v>
      </c>
    </row>
    <row r="8904" spans="1:10" x14ac:dyDescent="0.3">
      <c r="A8904" s="15">
        <v>46266</v>
      </c>
      <c r="B8904" t="s">
        <v>126</v>
      </c>
      <c r="C8904" t="s">
        <v>91</v>
      </c>
      <c r="D8904" t="s">
        <v>82</v>
      </c>
      <c r="E8904" t="s">
        <v>83</v>
      </c>
      <c r="F8904">
        <v>8800</v>
      </c>
      <c r="G8904" t="s">
        <v>331</v>
      </c>
      <c r="H8904" s="15">
        <v>45292</v>
      </c>
      <c r="I8904">
        <v>8800</v>
      </c>
      <c r="J8904">
        <v>0</v>
      </c>
    </row>
    <row r="8905" spans="1:10" x14ac:dyDescent="0.3">
      <c r="A8905" s="15">
        <v>46266</v>
      </c>
      <c r="B8905" t="s">
        <v>128</v>
      </c>
      <c r="C8905" t="s">
        <v>81</v>
      </c>
      <c r="D8905" t="s">
        <v>82</v>
      </c>
      <c r="E8905" t="s">
        <v>92</v>
      </c>
      <c r="F8905">
        <v>1700</v>
      </c>
      <c r="G8905" t="s">
        <v>331</v>
      </c>
      <c r="H8905" s="15">
        <v>45292</v>
      </c>
      <c r="I8905">
        <v>1700</v>
      </c>
      <c r="J8905">
        <v>0</v>
      </c>
    </row>
    <row r="8906" spans="1:10" x14ac:dyDescent="0.3">
      <c r="A8906" s="15">
        <v>46266</v>
      </c>
      <c r="B8906" t="s">
        <v>129</v>
      </c>
      <c r="C8906" t="s">
        <v>110</v>
      </c>
      <c r="D8906" t="s">
        <v>86</v>
      </c>
      <c r="E8906" t="s">
        <v>92</v>
      </c>
      <c r="F8906">
        <v>40500</v>
      </c>
      <c r="G8906" t="s">
        <v>331</v>
      </c>
      <c r="H8906" s="15">
        <v>45292</v>
      </c>
      <c r="I8906">
        <v>40500</v>
      </c>
      <c r="J8906">
        <v>0</v>
      </c>
    </row>
    <row r="8907" spans="1:10" x14ac:dyDescent="0.3">
      <c r="A8907" s="15">
        <v>46266</v>
      </c>
      <c r="B8907" t="s">
        <v>133</v>
      </c>
      <c r="C8907" t="s">
        <v>81</v>
      </c>
      <c r="D8907" t="s">
        <v>96</v>
      </c>
      <c r="E8907" t="s">
        <v>87</v>
      </c>
      <c r="F8907">
        <v>2700</v>
      </c>
      <c r="G8907" t="s">
        <v>331</v>
      </c>
      <c r="H8907" s="15">
        <v>45292</v>
      </c>
      <c r="I8907">
        <v>2700</v>
      </c>
      <c r="J8907">
        <v>0</v>
      </c>
    </row>
    <row r="8908" spans="1:10" x14ac:dyDescent="0.3">
      <c r="A8908" s="15">
        <v>46266</v>
      </c>
      <c r="B8908" t="s">
        <v>134</v>
      </c>
      <c r="C8908" t="s">
        <v>81</v>
      </c>
      <c r="D8908" t="s">
        <v>82</v>
      </c>
      <c r="E8908" t="s">
        <v>92</v>
      </c>
      <c r="F8908">
        <v>2600</v>
      </c>
      <c r="G8908" t="s">
        <v>331</v>
      </c>
      <c r="H8908" s="15">
        <v>45292</v>
      </c>
      <c r="I8908">
        <v>2600</v>
      </c>
      <c r="J8908">
        <v>0</v>
      </c>
    </row>
    <row r="8909" spans="1:10" x14ac:dyDescent="0.3">
      <c r="A8909" s="15">
        <v>46266</v>
      </c>
      <c r="B8909" t="s">
        <v>135</v>
      </c>
      <c r="C8909" t="s">
        <v>81</v>
      </c>
      <c r="D8909" t="s">
        <v>82</v>
      </c>
      <c r="E8909" t="s">
        <v>103</v>
      </c>
      <c r="F8909">
        <v>2400</v>
      </c>
      <c r="G8909" t="s">
        <v>331</v>
      </c>
      <c r="H8909" s="15">
        <v>45292</v>
      </c>
      <c r="I8909">
        <v>2400</v>
      </c>
      <c r="J8909">
        <v>0</v>
      </c>
    </row>
    <row r="8910" spans="1:10" x14ac:dyDescent="0.3">
      <c r="A8910" s="15">
        <v>46266</v>
      </c>
      <c r="B8910" t="s">
        <v>136</v>
      </c>
      <c r="C8910" t="s">
        <v>81</v>
      </c>
      <c r="D8910" t="s">
        <v>82</v>
      </c>
      <c r="E8910" t="s">
        <v>101</v>
      </c>
      <c r="F8910">
        <v>2900</v>
      </c>
      <c r="G8910" t="s">
        <v>331</v>
      </c>
      <c r="H8910" s="15">
        <v>45292</v>
      </c>
      <c r="I8910">
        <v>2900</v>
      </c>
      <c r="J8910">
        <v>0</v>
      </c>
    </row>
    <row r="8911" spans="1:10" x14ac:dyDescent="0.3">
      <c r="A8911" s="15">
        <v>46266</v>
      </c>
      <c r="B8911" t="s">
        <v>138</v>
      </c>
      <c r="C8911" t="s">
        <v>81</v>
      </c>
      <c r="D8911" t="s">
        <v>86</v>
      </c>
      <c r="E8911" t="s">
        <v>97</v>
      </c>
      <c r="F8911">
        <v>3300</v>
      </c>
      <c r="G8911" t="s">
        <v>331</v>
      </c>
      <c r="H8911" s="15">
        <v>45292</v>
      </c>
      <c r="I8911">
        <v>3300</v>
      </c>
      <c r="J8911">
        <v>0</v>
      </c>
    </row>
    <row r="8912" spans="1:10" x14ac:dyDescent="0.3">
      <c r="A8912" s="15">
        <v>46266</v>
      </c>
      <c r="B8912" t="s">
        <v>139</v>
      </c>
      <c r="C8912" t="s">
        <v>91</v>
      </c>
      <c r="D8912" t="s">
        <v>82</v>
      </c>
      <c r="E8912" t="s">
        <v>103</v>
      </c>
      <c r="F8912">
        <v>6800</v>
      </c>
      <c r="G8912" t="s">
        <v>331</v>
      </c>
      <c r="H8912" s="15">
        <v>45292</v>
      </c>
      <c r="I8912">
        <v>6800</v>
      </c>
      <c r="J8912">
        <v>0</v>
      </c>
    </row>
    <row r="8913" spans="1:10" x14ac:dyDescent="0.3">
      <c r="A8913" s="15">
        <v>46266</v>
      </c>
      <c r="B8913" t="s">
        <v>141</v>
      </c>
      <c r="C8913" t="s">
        <v>125</v>
      </c>
      <c r="D8913" t="s">
        <v>99</v>
      </c>
      <c r="E8913" t="s">
        <v>103</v>
      </c>
      <c r="F8913">
        <v>127400</v>
      </c>
      <c r="G8913" t="s">
        <v>331</v>
      </c>
      <c r="H8913" s="15">
        <v>45292</v>
      </c>
      <c r="I8913">
        <v>127400</v>
      </c>
      <c r="J8913">
        <v>0</v>
      </c>
    </row>
    <row r="8914" spans="1:10" x14ac:dyDescent="0.3">
      <c r="A8914" s="15">
        <v>46266</v>
      </c>
      <c r="B8914" t="s">
        <v>142</v>
      </c>
      <c r="C8914" t="s">
        <v>125</v>
      </c>
      <c r="D8914" t="s">
        <v>82</v>
      </c>
      <c r="E8914" t="s">
        <v>92</v>
      </c>
      <c r="F8914">
        <v>114200</v>
      </c>
      <c r="G8914" t="s">
        <v>331</v>
      </c>
      <c r="H8914" s="15">
        <v>45292</v>
      </c>
      <c r="I8914">
        <v>114200</v>
      </c>
      <c r="J8914">
        <v>0</v>
      </c>
    </row>
    <row r="8915" spans="1:10" x14ac:dyDescent="0.3">
      <c r="A8915" s="15">
        <v>46266</v>
      </c>
      <c r="B8915" t="s">
        <v>143</v>
      </c>
      <c r="C8915" t="s">
        <v>91</v>
      </c>
      <c r="D8915" t="s">
        <v>99</v>
      </c>
      <c r="E8915" t="s">
        <v>103</v>
      </c>
      <c r="F8915">
        <v>8500</v>
      </c>
      <c r="G8915" t="s">
        <v>332</v>
      </c>
      <c r="H8915" s="15">
        <v>45292</v>
      </c>
      <c r="I8915">
        <v>8000</v>
      </c>
      <c r="J8915">
        <v>500</v>
      </c>
    </row>
    <row r="8916" spans="1:10" x14ac:dyDescent="0.3">
      <c r="A8916" s="15">
        <v>46266</v>
      </c>
      <c r="B8916" t="s">
        <v>144</v>
      </c>
      <c r="C8916" t="s">
        <v>81</v>
      </c>
      <c r="D8916" t="s">
        <v>82</v>
      </c>
      <c r="E8916" t="s">
        <v>92</v>
      </c>
      <c r="F8916">
        <v>2500</v>
      </c>
      <c r="G8916" t="s">
        <v>331</v>
      </c>
      <c r="H8916" s="15">
        <v>45292</v>
      </c>
      <c r="I8916">
        <v>2500</v>
      </c>
      <c r="J8916">
        <v>0</v>
      </c>
    </row>
    <row r="8917" spans="1:10" x14ac:dyDescent="0.3">
      <c r="A8917" s="15">
        <v>46266</v>
      </c>
      <c r="B8917" t="s">
        <v>145</v>
      </c>
      <c r="C8917" t="s">
        <v>91</v>
      </c>
      <c r="D8917" t="s">
        <v>82</v>
      </c>
      <c r="E8917" t="s">
        <v>87</v>
      </c>
      <c r="F8917">
        <v>7400</v>
      </c>
      <c r="G8917" t="s">
        <v>331</v>
      </c>
      <c r="H8917" s="15">
        <v>45292</v>
      </c>
      <c r="I8917">
        <v>7400</v>
      </c>
      <c r="J8917">
        <v>0</v>
      </c>
    </row>
    <row r="8918" spans="1:10" x14ac:dyDescent="0.3">
      <c r="A8918" s="15">
        <v>46266</v>
      </c>
      <c r="B8918" t="s">
        <v>146</v>
      </c>
      <c r="C8918" t="s">
        <v>91</v>
      </c>
      <c r="D8918" t="s">
        <v>86</v>
      </c>
      <c r="E8918" t="s">
        <v>87</v>
      </c>
      <c r="F8918">
        <v>10100</v>
      </c>
      <c r="G8918" t="s">
        <v>331</v>
      </c>
      <c r="H8918" s="15">
        <v>45292</v>
      </c>
      <c r="I8918">
        <v>10100</v>
      </c>
      <c r="J8918">
        <v>0</v>
      </c>
    </row>
    <row r="8919" spans="1:10" x14ac:dyDescent="0.3">
      <c r="A8919" s="15">
        <v>46266</v>
      </c>
      <c r="B8919" t="s">
        <v>149</v>
      </c>
      <c r="C8919" t="s">
        <v>110</v>
      </c>
      <c r="D8919" t="s">
        <v>82</v>
      </c>
      <c r="E8919" t="s">
        <v>103</v>
      </c>
      <c r="F8919">
        <v>25500</v>
      </c>
      <c r="G8919" t="s">
        <v>331</v>
      </c>
      <c r="H8919" s="15">
        <v>45292</v>
      </c>
      <c r="I8919">
        <v>25500</v>
      </c>
      <c r="J8919">
        <v>0</v>
      </c>
    </row>
    <row r="8920" spans="1:10" x14ac:dyDescent="0.3">
      <c r="A8920" s="15">
        <v>46266</v>
      </c>
      <c r="B8920" t="s">
        <v>151</v>
      </c>
      <c r="C8920" t="s">
        <v>91</v>
      </c>
      <c r="D8920" t="s">
        <v>82</v>
      </c>
      <c r="E8920" t="s">
        <v>97</v>
      </c>
      <c r="F8920">
        <v>5600</v>
      </c>
      <c r="G8920" t="s">
        <v>331</v>
      </c>
      <c r="H8920" s="15">
        <v>45292</v>
      </c>
      <c r="I8920">
        <v>5600</v>
      </c>
      <c r="J8920">
        <v>0</v>
      </c>
    </row>
    <row r="8921" spans="1:10" x14ac:dyDescent="0.3">
      <c r="A8921" s="15">
        <v>46266</v>
      </c>
      <c r="B8921" t="s">
        <v>154</v>
      </c>
      <c r="C8921" t="s">
        <v>91</v>
      </c>
      <c r="D8921" t="s">
        <v>86</v>
      </c>
      <c r="E8921" t="s">
        <v>103</v>
      </c>
      <c r="F8921">
        <v>8300</v>
      </c>
      <c r="G8921" t="s">
        <v>331</v>
      </c>
      <c r="H8921" s="15">
        <v>45292</v>
      </c>
      <c r="I8921">
        <v>8300</v>
      </c>
      <c r="J8921">
        <v>0</v>
      </c>
    </row>
    <row r="8922" spans="1:10" x14ac:dyDescent="0.3">
      <c r="A8922" s="15">
        <v>46266</v>
      </c>
      <c r="B8922" t="s">
        <v>155</v>
      </c>
      <c r="C8922" t="s">
        <v>91</v>
      </c>
      <c r="D8922" t="s">
        <v>82</v>
      </c>
      <c r="E8922" t="s">
        <v>92</v>
      </c>
      <c r="F8922">
        <v>7300</v>
      </c>
      <c r="G8922" t="s">
        <v>331</v>
      </c>
      <c r="H8922" s="15">
        <v>45292</v>
      </c>
      <c r="I8922">
        <v>7300</v>
      </c>
      <c r="J8922">
        <v>0</v>
      </c>
    </row>
    <row r="8923" spans="1:10" x14ac:dyDescent="0.3">
      <c r="A8923" s="15">
        <v>46266</v>
      </c>
      <c r="B8923" t="s">
        <v>156</v>
      </c>
      <c r="C8923" t="s">
        <v>81</v>
      </c>
      <c r="D8923" t="s">
        <v>86</v>
      </c>
      <c r="E8923" t="s">
        <v>101</v>
      </c>
      <c r="F8923">
        <v>2500</v>
      </c>
      <c r="G8923" t="s">
        <v>331</v>
      </c>
      <c r="H8923" s="15">
        <v>45292</v>
      </c>
      <c r="I8923">
        <v>2500</v>
      </c>
      <c r="J8923">
        <v>0</v>
      </c>
    </row>
    <row r="8924" spans="1:10" x14ac:dyDescent="0.3">
      <c r="A8924" s="15">
        <v>46266</v>
      </c>
      <c r="B8924" t="s">
        <v>157</v>
      </c>
      <c r="C8924" t="s">
        <v>81</v>
      </c>
      <c r="D8924" t="s">
        <v>82</v>
      </c>
      <c r="E8924" t="s">
        <v>92</v>
      </c>
      <c r="F8924">
        <v>1800</v>
      </c>
      <c r="G8924" t="s">
        <v>331</v>
      </c>
      <c r="H8924" s="15">
        <v>45292</v>
      </c>
      <c r="I8924">
        <v>1800</v>
      </c>
      <c r="J8924">
        <v>0</v>
      </c>
    </row>
    <row r="8925" spans="1:10" x14ac:dyDescent="0.3">
      <c r="A8925" s="15">
        <v>46266</v>
      </c>
      <c r="B8925" t="s">
        <v>158</v>
      </c>
      <c r="C8925" t="s">
        <v>91</v>
      </c>
      <c r="D8925" t="s">
        <v>96</v>
      </c>
      <c r="E8925" t="s">
        <v>83</v>
      </c>
      <c r="F8925">
        <v>0</v>
      </c>
      <c r="G8925" t="s">
        <v>333</v>
      </c>
      <c r="H8925" s="15">
        <v>45292</v>
      </c>
      <c r="I8925">
        <v>12600</v>
      </c>
      <c r="J8925">
        <v>-12600</v>
      </c>
    </row>
    <row r="8926" spans="1:10" x14ac:dyDescent="0.3">
      <c r="A8926" s="15">
        <v>46266</v>
      </c>
      <c r="B8926" t="s">
        <v>159</v>
      </c>
      <c r="C8926" t="s">
        <v>81</v>
      </c>
      <c r="D8926" t="s">
        <v>86</v>
      </c>
      <c r="E8926" t="s">
        <v>87</v>
      </c>
      <c r="F8926">
        <v>2600</v>
      </c>
      <c r="G8926" t="s">
        <v>331</v>
      </c>
      <c r="H8926" s="15">
        <v>45292</v>
      </c>
      <c r="I8926">
        <v>2600</v>
      </c>
      <c r="J8926">
        <v>0</v>
      </c>
    </row>
    <row r="8927" spans="1:10" x14ac:dyDescent="0.3">
      <c r="A8927" s="15">
        <v>46266</v>
      </c>
      <c r="B8927" t="s">
        <v>161</v>
      </c>
      <c r="C8927" t="s">
        <v>91</v>
      </c>
      <c r="D8927" t="s">
        <v>99</v>
      </c>
      <c r="E8927" t="s">
        <v>83</v>
      </c>
      <c r="F8927">
        <v>10900</v>
      </c>
      <c r="G8927" t="s">
        <v>331</v>
      </c>
      <c r="H8927" s="15">
        <v>45292</v>
      </c>
      <c r="I8927">
        <v>10900</v>
      </c>
      <c r="J8927">
        <v>0</v>
      </c>
    </row>
    <row r="8928" spans="1:10" x14ac:dyDescent="0.3">
      <c r="A8928" s="15">
        <v>46266</v>
      </c>
      <c r="B8928" t="s">
        <v>164</v>
      </c>
      <c r="C8928" t="s">
        <v>81</v>
      </c>
      <c r="D8928" t="s">
        <v>99</v>
      </c>
      <c r="E8928" t="s">
        <v>89</v>
      </c>
      <c r="F8928">
        <v>2800</v>
      </c>
      <c r="G8928" t="s">
        <v>331</v>
      </c>
      <c r="H8928" s="15">
        <v>45292</v>
      </c>
      <c r="I8928">
        <v>2800</v>
      </c>
      <c r="J8928">
        <v>0</v>
      </c>
    </row>
    <row r="8929" spans="1:10" x14ac:dyDescent="0.3">
      <c r="A8929" s="15">
        <v>46266</v>
      </c>
      <c r="B8929" t="s">
        <v>166</v>
      </c>
      <c r="C8929" t="s">
        <v>81</v>
      </c>
      <c r="D8929" t="s">
        <v>99</v>
      </c>
      <c r="E8929" t="s">
        <v>103</v>
      </c>
      <c r="F8929">
        <v>2600</v>
      </c>
      <c r="G8929" t="s">
        <v>331</v>
      </c>
      <c r="H8929" s="15">
        <v>45292</v>
      </c>
      <c r="I8929">
        <v>2600</v>
      </c>
      <c r="J8929">
        <v>0</v>
      </c>
    </row>
    <row r="8930" spans="1:10" x14ac:dyDescent="0.3">
      <c r="A8930" s="15">
        <v>46266</v>
      </c>
      <c r="B8930" t="s">
        <v>167</v>
      </c>
      <c r="C8930" t="s">
        <v>81</v>
      </c>
      <c r="D8930" t="s">
        <v>82</v>
      </c>
      <c r="E8930" t="s">
        <v>97</v>
      </c>
      <c r="F8930">
        <v>2000</v>
      </c>
      <c r="G8930" t="s">
        <v>331</v>
      </c>
      <c r="H8930" s="15">
        <v>45292</v>
      </c>
      <c r="I8930">
        <v>2000</v>
      </c>
      <c r="J8930">
        <v>0</v>
      </c>
    </row>
    <row r="8931" spans="1:10" x14ac:dyDescent="0.3">
      <c r="A8931" s="15">
        <v>46266</v>
      </c>
      <c r="B8931" t="s">
        <v>168</v>
      </c>
      <c r="C8931" t="s">
        <v>91</v>
      </c>
      <c r="D8931" t="s">
        <v>86</v>
      </c>
      <c r="E8931" t="s">
        <v>103</v>
      </c>
      <c r="F8931">
        <v>10700</v>
      </c>
      <c r="G8931" t="s">
        <v>331</v>
      </c>
      <c r="H8931" s="15">
        <v>45292</v>
      </c>
      <c r="I8931">
        <v>10700</v>
      </c>
      <c r="J8931">
        <v>0</v>
      </c>
    </row>
    <row r="8932" spans="1:10" x14ac:dyDescent="0.3">
      <c r="A8932" s="15">
        <v>46266</v>
      </c>
      <c r="B8932" t="s">
        <v>170</v>
      </c>
      <c r="C8932" t="s">
        <v>91</v>
      </c>
      <c r="D8932" t="s">
        <v>99</v>
      </c>
      <c r="E8932" t="s">
        <v>83</v>
      </c>
      <c r="F8932">
        <v>5500</v>
      </c>
      <c r="G8932" t="s">
        <v>331</v>
      </c>
      <c r="H8932" s="15">
        <v>45292</v>
      </c>
      <c r="I8932">
        <v>5500</v>
      </c>
      <c r="J8932">
        <v>0</v>
      </c>
    </row>
    <row r="8933" spans="1:10" x14ac:dyDescent="0.3">
      <c r="A8933" s="15">
        <v>46266</v>
      </c>
      <c r="B8933" t="s">
        <v>171</v>
      </c>
      <c r="C8933" t="s">
        <v>81</v>
      </c>
      <c r="D8933" t="s">
        <v>99</v>
      </c>
      <c r="E8933" t="s">
        <v>97</v>
      </c>
      <c r="F8933">
        <v>1700</v>
      </c>
      <c r="G8933" t="s">
        <v>331</v>
      </c>
      <c r="H8933" s="15">
        <v>45292</v>
      </c>
      <c r="I8933">
        <v>1700</v>
      </c>
      <c r="J8933">
        <v>0</v>
      </c>
    </row>
    <row r="8934" spans="1:10" x14ac:dyDescent="0.3">
      <c r="A8934" s="15">
        <v>46266</v>
      </c>
      <c r="B8934" t="s">
        <v>174</v>
      </c>
      <c r="C8934" t="s">
        <v>81</v>
      </c>
      <c r="D8934" t="s">
        <v>82</v>
      </c>
      <c r="E8934" t="s">
        <v>92</v>
      </c>
      <c r="F8934">
        <v>2400</v>
      </c>
      <c r="G8934" t="s">
        <v>331</v>
      </c>
      <c r="H8934" s="15">
        <v>45292</v>
      </c>
      <c r="I8934">
        <v>2400</v>
      </c>
      <c r="J8934">
        <v>0</v>
      </c>
    </row>
    <row r="8935" spans="1:10" x14ac:dyDescent="0.3">
      <c r="A8935" s="15">
        <v>46266</v>
      </c>
      <c r="B8935" t="s">
        <v>175</v>
      </c>
      <c r="C8935" t="s">
        <v>91</v>
      </c>
      <c r="D8935" t="s">
        <v>96</v>
      </c>
      <c r="E8935" t="s">
        <v>83</v>
      </c>
      <c r="F8935">
        <v>8800</v>
      </c>
      <c r="G8935" t="s">
        <v>331</v>
      </c>
      <c r="H8935" s="15">
        <v>45292</v>
      </c>
      <c r="I8935">
        <v>8800</v>
      </c>
      <c r="J8935">
        <v>0</v>
      </c>
    </row>
    <row r="8936" spans="1:10" x14ac:dyDescent="0.3">
      <c r="A8936" s="15">
        <v>46266</v>
      </c>
      <c r="B8936" t="s">
        <v>176</v>
      </c>
      <c r="C8936" t="s">
        <v>81</v>
      </c>
      <c r="D8936" t="s">
        <v>99</v>
      </c>
      <c r="E8936" t="s">
        <v>92</v>
      </c>
      <c r="F8936">
        <v>2900</v>
      </c>
      <c r="G8936" t="s">
        <v>331</v>
      </c>
      <c r="H8936" s="15">
        <v>45292</v>
      </c>
      <c r="I8936">
        <v>2900</v>
      </c>
      <c r="J8936">
        <v>0</v>
      </c>
    </row>
    <row r="8937" spans="1:10" x14ac:dyDescent="0.3">
      <c r="A8937" s="15">
        <v>46266</v>
      </c>
      <c r="B8937" t="s">
        <v>177</v>
      </c>
      <c r="C8937" t="s">
        <v>81</v>
      </c>
      <c r="D8937" t="s">
        <v>96</v>
      </c>
      <c r="E8937" t="s">
        <v>83</v>
      </c>
      <c r="F8937">
        <v>2900</v>
      </c>
      <c r="G8937" t="s">
        <v>331</v>
      </c>
      <c r="H8937" s="15">
        <v>45292</v>
      </c>
      <c r="I8937">
        <v>2900</v>
      </c>
      <c r="J8937">
        <v>0</v>
      </c>
    </row>
    <row r="8938" spans="1:10" x14ac:dyDescent="0.3">
      <c r="A8938" s="15">
        <v>46266</v>
      </c>
      <c r="B8938" t="s">
        <v>178</v>
      </c>
      <c r="C8938" t="s">
        <v>91</v>
      </c>
      <c r="D8938" t="s">
        <v>82</v>
      </c>
      <c r="E8938" t="s">
        <v>89</v>
      </c>
      <c r="F8938">
        <v>8400</v>
      </c>
      <c r="G8938" t="s">
        <v>331</v>
      </c>
      <c r="H8938" s="15">
        <v>45292</v>
      </c>
      <c r="I8938">
        <v>8400</v>
      </c>
      <c r="J8938">
        <v>0</v>
      </c>
    </row>
    <row r="8939" spans="1:10" x14ac:dyDescent="0.3">
      <c r="A8939" s="15">
        <v>46266</v>
      </c>
      <c r="B8939" t="s">
        <v>179</v>
      </c>
      <c r="C8939" t="s">
        <v>110</v>
      </c>
      <c r="D8939" t="s">
        <v>86</v>
      </c>
      <c r="E8939" t="s">
        <v>87</v>
      </c>
      <c r="F8939">
        <v>27000</v>
      </c>
      <c r="G8939" t="s">
        <v>331</v>
      </c>
      <c r="H8939" s="15">
        <v>45292</v>
      </c>
      <c r="I8939">
        <v>27000</v>
      </c>
      <c r="J8939">
        <v>0</v>
      </c>
    </row>
    <row r="8940" spans="1:10" x14ac:dyDescent="0.3">
      <c r="A8940" s="15">
        <v>46266</v>
      </c>
      <c r="B8940" t="s">
        <v>180</v>
      </c>
      <c r="C8940" t="s">
        <v>91</v>
      </c>
      <c r="D8940" t="s">
        <v>86</v>
      </c>
      <c r="E8940" t="s">
        <v>83</v>
      </c>
      <c r="F8940">
        <v>8500</v>
      </c>
      <c r="G8940" t="s">
        <v>331</v>
      </c>
      <c r="H8940" s="15">
        <v>45292</v>
      </c>
      <c r="I8940">
        <v>8500</v>
      </c>
      <c r="J8940">
        <v>0</v>
      </c>
    </row>
    <row r="8941" spans="1:10" x14ac:dyDescent="0.3">
      <c r="A8941" s="15">
        <v>46266</v>
      </c>
      <c r="B8941" t="s">
        <v>181</v>
      </c>
      <c r="C8941" t="s">
        <v>91</v>
      </c>
      <c r="D8941" t="s">
        <v>82</v>
      </c>
      <c r="E8941" t="s">
        <v>97</v>
      </c>
      <c r="F8941">
        <v>10100</v>
      </c>
      <c r="G8941" t="s">
        <v>331</v>
      </c>
      <c r="H8941" s="15">
        <v>45292</v>
      </c>
      <c r="I8941">
        <v>10100</v>
      </c>
      <c r="J8941">
        <v>0</v>
      </c>
    </row>
    <row r="8942" spans="1:10" x14ac:dyDescent="0.3">
      <c r="A8942" s="15">
        <v>46266</v>
      </c>
      <c r="B8942" t="s">
        <v>182</v>
      </c>
      <c r="C8942" t="s">
        <v>125</v>
      </c>
      <c r="D8942" t="s">
        <v>82</v>
      </c>
      <c r="E8942" t="s">
        <v>92</v>
      </c>
      <c r="F8942">
        <v>100200</v>
      </c>
      <c r="G8942" t="s">
        <v>331</v>
      </c>
      <c r="H8942" s="15">
        <v>45292</v>
      </c>
      <c r="I8942">
        <v>100200</v>
      </c>
      <c r="J8942">
        <v>0</v>
      </c>
    </row>
    <row r="8943" spans="1:10" x14ac:dyDescent="0.3">
      <c r="A8943" s="15">
        <v>46266</v>
      </c>
      <c r="B8943" t="s">
        <v>183</v>
      </c>
      <c r="C8943" t="s">
        <v>91</v>
      </c>
      <c r="D8943" t="s">
        <v>96</v>
      </c>
      <c r="E8943" t="s">
        <v>92</v>
      </c>
      <c r="F8943">
        <v>9500</v>
      </c>
      <c r="G8943" t="s">
        <v>331</v>
      </c>
      <c r="H8943" s="15">
        <v>45292</v>
      </c>
      <c r="I8943">
        <v>9500</v>
      </c>
      <c r="J8943">
        <v>0</v>
      </c>
    </row>
    <row r="8944" spans="1:10" x14ac:dyDescent="0.3">
      <c r="A8944" s="15">
        <v>46266</v>
      </c>
      <c r="B8944" t="s">
        <v>184</v>
      </c>
      <c r="C8944" t="s">
        <v>81</v>
      </c>
      <c r="D8944" t="s">
        <v>82</v>
      </c>
      <c r="E8944" t="s">
        <v>83</v>
      </c>
      <c r="F8944">
        <v>2400</v>
      </c>
      <c r="G8944" t="s">
        <v>331</v>
      </c>
      <c r="H8944" s="15">
        <v>45292</v>
      </c>
      <c r="I8944">
        <v>2400</v>
      </c>
      <c r="J8944">
        <v>0</v>
      </c>
    </row>
    <row r="8945" spans="1:10" x14ac:dyDescent="0.3">
      <c r="A8945" s="15">
        <v>46266</v>
      </c>
      <c r="B8945" t="s">
        <v>185</v>
      </c>
      <c r="C8945" t="s">
        <v>81</v>
      </c>
      <c r="D8945" t="s">
        <v>96</v>
      </c>
      <c r="E8945" t="s">
        <v>97</v>
      </c>
      <c r="F8945">
        <v>1900</v>
      </c>
      <c r="G8945" t="s">
        <v>331</v>
      </c>
      <c r="H8945" s="15">
        <v>45292</v>
      </c>
      <c r="I8945">
        <v>1900</v>
      </c>
      <c r="J8945">
        <v>0</v>
      </c>
    </row>
    <row r="8946" spans="1:10" x14ac:dyDescent="0.3">
      <c r="A8946" s="15">
        <v>46266</v>
      </c>
      <c r="B8946" t="s">
        <v>186</v>
      </c>
      <c r="C8946" t="s">
        <v>91</v>
      </c>
      <c r="D8946" t="s">
        <v>82</v>
      </c>
      <c r="E8946" t="s">
        <v>103</v>
      </c>
      <c r="F8946">
        <v>13900</v>
      </c>
      <c r="G8946" t="s">
        <v>331</v>
      </c>
      <c r="H8946" s="15">
        <v>45292</v>
      </c>
      <c r="I8946">
        <v>13900</v>
      </c>
      <c r="J8946">
        <v>0</v>
      </c>
    </row>
    <row r="8947" spans="1:10" x14ac:dyDescent="0.3">
      <c r="A8947" s="15">
        <v>46266</v>
      </c>
      <c r="B8947" t="s">
        <v>187</v>
      </c>
      <c r="C8947" t="s">
        <v>110</v>
      </c>
      <c r="D8947" t="s">
        <v>86</v>
      </c>
      <c r="E8947" t="s">
        <v>97</v>
      </c>
      <c r="F8947">
        <v>30100</v>
      </c>
      <c r="G8947" t="s">
        <v>331</v>
      </c>
      <c r="H8947" s="15">
        <v>45292</v>
      </c>
      <c r="I8947">
        <v>30100</v>
      </c>
      <c r="J8947">
        <v>0</v>
      </c>
    </row>
    <row r="8948" spans="1:10" x14ac:dyDescent="0.3">
      <c r="A8948" s="15">
        <v>46266</v>
      </c>
      <c r="B8948" t="s">
        <v>188</v>
      </c>
      <c r="C8948" t="s">
        <v>91</v>
      </c>
      <c r="D8948" t="s">
        <v>82</v>
      </c>
      <c r="E8948" t="s">
        <v>92</v>
      </c>
      <c r="F8948">
        <v>12800</v>
      </c>
      <c r="G8948" t="s">
        <v>331</v>
      </c>
      <c r="H8948" s="15">
        <v>45292</v>
      </c>
      <c r="I8948">
        <v>12800</v>
      </c>
      <c r="J8948">
        <v>0</v>
      </c>
    </row>
    <row r="8949" spans="1:10" x14ac:dyDescent="0.3">
      <c r="A8949" s="15">
        <v>46266</v>
      </c>
      <c r="B8949" t="s">
        <v>189</v>
      </c>
      <c r="C8949" t="s">
        <v>81</v>
      </c>
      <c r="D8949" t="s">
        <v>86</v>
      </c>
      <c r="E8949" t="s">
        <v>103</v>
      </c>
      <c r="F8949">
        <v>2300</v>
      </c>
      <c r="G8949" t="s">
        <v>331</v>
      </c>
      <c r="H8949" s="15">
        <v>45292</v>
      </c>
      <c r="I8949">
        <v>2300</v>
      </c>
      <c r="J8949">
        <v>0</v>
      </c>
    </row>
    <row r="8950" spans="1:10" x14ac:dyDescent="0.3">
      <c r="A8950" s="15">
        <v>46266</v>
      </c>
      <c r="B8950" t="s">
        <v>190</v>
      </c>
      <c r="C8950" t="s">
        <v>81</v>
      </c>
      <c r="D8950" t="s">
        <v>99</v>
      </c>
      <c r="E8950" t="s">
        <v>89</v>
      </c>
      <c r="F8950">
        <v>1900</v>
      </c>
      <c r="G8950" t="s">
        <v>331</v>
      </c>
      <c r="H8950" s="15">
        <v>45292</v>
      </c>
      <c r="I8950">
        <v>1900</v>
      </c>
      <c r="J8950">
        <v>0</v>
      </c>
    </row>
    <row r="8951" spans="1:10" x14ac:dyDescent="0.3">
      <c r="A8951" s="15">
        <v>46266</v>
      </c>
      <c r="B8951" t="s">
        <v>191</v>
      </c>
      <c r="C8951" t="s">
        <v>91</v>
      </c>
      <c r="D8951" t="s">
        <v>86</v>
      </c>
      <c r="E8951" t="s">
        <v>87</v>
      </c>
      <c r="F8951">
        <v>6900</v>
      </c>
      <c r="G8951" t="s">
        <v>331</v>
      </c>
      <c r="H8951" s="15">
        <v>45292</v>
      </c>
      <c r="I8951">
        <v>6900</v>
      </c>
      <c r="J8951">
        <v>0</v>
      </c>
    </row>
    <row r="8952" spans="1:10" x14ac:dyDescent="0.3">
      <c r="A8952" s="15">
        <v>46266</v>
      </c>
      <c r="B8952" t="s">
        <v>193</v>
      </c>
      <c r="C8952" t="s">
        <v>81</v>
      </c>
      <c r="D8952" t="s">
        <v>82</v>
      </c>
      <c r="E8952" t="s">
        <v>87</v>
      </c>
      <c r="F8952">
        <v>3200</v>
      </c>
      <c r="G8952" t="s">
        <v>331</v>
      </c>
      <c r="H8952" s="15">
        <v>45292</v>
      </c>
      <c r="I8952">
        <v>3200</v>
      </c>
      <c r="J8952">
        <v>0</v>
      </c>
    </row>
    <row r="8953" spans="1:10" x14ac:dyDescent="0.3">
      <c r="A8953" s="15">
        <v>46266</v>
      </c>
      <c r="B8953" t="s">
        <v>195</v>
      </c>
      <c r="C8953" t="s">
        <v>91</v>
      </c>
      <c r="D8953" t="s">
        <v>86</v>
      </c>
      <c r="E8953" t="s">
        <v>97</v>
      </c>
      <c r="F8953">
        <v>6800</v>
      </c>
      <c r="G8953" t="s">
        <v>331</v>
      </c>
      <c r="H8953" s="15">
        <v>45292</v>
      </c>
      <c r="I8953">
        <v>6800</v>
      </c>
      <c r="J8953">
        <v>0</v>
      </c>
    </row>
    <row r="8954" spans="1:10" x14ac:dyDescent="0.3">
      <c r="A8954" s="15">
        <v>46266</v>
      </c>
      <c r="B8954" t="s">
        <v>197</v>
      </c>
      <c r="C8954" t="s">
        <v>91</v>
      </c>
      <c r="D8954" t="s">
        <v>82</v>
      </c>
      <c r="E8954" t="s">
        <v>89</v>
      </c>
      <c r="F8954">
        <v>12000</v>
      </c>
      <c r="G8954" t="s">
        <v>331</v>
      </c>
      <c r="H8954" s="15">
        <v>45292</v>
      </c>
      <c r="I8954">
        <v>12000</v>
      </c>
      <c r="J8954">
        <v>0</v>
      </c>
    </row>
    <row r="8955" spans="1:10" x14ac:dyDescent="0.3">
      <c r="A8955" s="15">
        <v>46266</v>
      </c>
      <c r="B8955" t="s">
        <v>198</v>
      </c>
      <c r="C8955" t="s">
        <v>81</v>
      </c>
      <c r="D8955" t="s">
        <v>82</v>
      </c>
      <c r="E8955" t="s">
        <v>89</v>
      </c>
      <c r="F8955">
        <v>2900</v>
      </c>
      <c r="G8955" t="s">
        <v>331</v>
      </c>
      <c r="H8955" s="15">
        <v>45292</v>
      </c>
      <c r="I8955">
        <v>2900</v>
      </c>
      <c r="J8955">
        <v>0</v>
      </c>
    </row>
    <row r="8956" spans="1:10" x14ac:dyDescent="0.3">
      <c r="A8956" s="15">
        <v>46266</v>
      </c>
      <c r="B8956" t="s">
        <v>199</v>
      </c>
      <c r="C8956" t="s">
        <v>81</v>
      </c>
      <c r="D8956" t="s">
        <v>86</v>
      </c>
      <c r="E8956" t="s">
        <v>89</v>
      </c>
      <c r="F8956">
        <v>2200</v>
      </c>
      <c r="G8956" t="s">
        <v>331</v>
      </c>
      <c r="H8956" s="15">
        <v>45292</v>
      </c>
      <c r="I8956">
        <v>2200</v>
      </c>
      <c r="J8956">
        <v>0</v>
      </c>
    </row>
    <row r="8957" spans="1:10" x14ac:dyDescent="0.3">
      <c r="A8957" s="15">
        <v>46266</v>
      </c>
      <c r="B8957" t="s">
        <v>200</v>
      </c>
      <c r="C8957" t="s">
        <v>91</v>
      </c>
      <c r="D8957" t="s">
        <v>86</v>
      </c>
      <c r="E8957" t="s">
        <v>92</v>
      </c>
      <c r="F8957">
        <v>8800</v>
      </c>
      <c r="G8957" t="s">
        <v>331</v>
      </c>
      <c r="H8957" s="15">
        <v>45292</v>
      </c>
      <c r="I8957">
        <v>8800</v>
      </c>
      <c r="J8957">
        <v>0</v>
      </c>
    </row>
    <row r="8958" spans="1:10" x14ac:dyDescent="0.3">
      <c r="A8958" s="15">
        <v>46266</v>
      </c>
      <c r="B8958" t="s">
        <v>201</v>
      </c>
      <c r="C8958" t="s">
        <v>81</v>
      </c>
      <c r="D8958" t="s">
        <v>86</v>
      </c>
      <c r="E8958" t="s">
        <v>83</v>
      </c>
      <c r="F8958">
        <v>1500</v>
      </c>
      <c r="G8958" t="s">
        <v>331</v>
      </c>
      <c r="H8958" s="15">
        <v>45292</v>
      </c>
      <c r="I8958">
        <v>1500</v>
      </c>
      <c r="J8958">
        <v>0</v>
      </c>
    </row>
    <row r="8959" spans="1:10" x14ac:dyDescent="0.3">
      <c r="A8959" s="15">
        <v>46266</v>
      </c>
      <c r="B8959" t="s">
        <v>202</v>
      </c>
      <c r="C8959" t="s">
        <v>91</v>
      </c>
      <c r="D8959" t="s">
        <v>82</v>
      </c>
      <c r="E8959" t="s">
        <v>92</v>
      </c>
      <c r="F8959">
        <v>12700</v>
      </c>
      <c r="G8959" t="s">
        <v>331</v>
      </c>
      <c r="H8959" s="15">
        <v>45292</v>
      </c>
      <c r="I8959">
        <v>12700</v>
      </c>
      <c r="J8959">
        <v>0</v>
      </c>
    </row>
    <row r="8960" spans="1:10" x14ac:dyDescent="0.3">
      <c r="A8960" s="15">
        <v>46266</v>
      </c>
      <c r="B8960" t="s">
        <v>204</v>
      </c>
      <c r="C8960" t="s">
        <v>81</v>
      </c>
      <c r="D8960" t="s">
        <v>82</v>
      </c>
      <c r="E8960" t="s">
        <v>87</v>
      </c>
      <c r="F8960">
        <v>1900</v>
      </c>
      <c r="G8960" t="s">
        <v>331</v>
      </c>
      <c r="H8960" s="15">
        <v>45292</v>
      </c>
      <c r="I8960">
        <v>1900</v>
      </c>
      <c r="J8960">
        <v>0</v>
      </c>
    </row>
    <row r="8961" spans="1:10" x14ac:dyDescent="0.3">
      <c r="A8961" s="15">
        <v>46266</v>
      </c>
      <c r="B8961" t="s">
        <v>205</v>
      </c>
      <c r="C8961" t="s">
        <v>91</v>
      </c>
      <c r="D8961" t="s">
        <v>86</v>
      </c>
      <c r="E8961" t="s">
        <v>103</v>
      </c>
      <c r="F8961">
        <v>9800</v>
      </c>
      <c r="G8961" t="s">
        <v>331</v>
      </c>
      <c r="H8961" s="15">
        <v>45292</v>
      </c>
      <c r="I8961">
        <v>9800</v>
      </c>
      <c r="J8961">
        <v>0</v>
      </c>
    </row>
    <row r="8962" spans="1:10" x14ac:dyDescent="0.3">
      <c r="A8962" s="15">
        <v>46266</v>
      </c>
      <c r="B8962" t="s">
        <v>206</v>
      </c>
      <c r="C8962" t="s">
        <v>81</v>
      </c>
      <c r="D8962" t="s">
        <v>86</v>
      </c>
      <c r="E8962" t="s">
        <v>89</v>
      </c>
      <c r="F8962">
        <v>3000</v>
      </c>
      <c r="G8962" t="s">
        <v>331</v>
      </c>
      <c r="H8962" s="15">
        <v>45292</v>
      </c>
      <c r="I8962">
        <v>3000</v>
      </c>
      <c r="J8962">
        <v>0</v>
      </c>
    </row>
    <row r="8963" spans="1:10" x14ac:dyDescent="0.3">
      <c r="A8963" s="15">
        <v>46266</v>
      </c>
      <c r="B8963" t="s">
        <v>207</v>
      </c>
      <c r="C8963" t="s">
        <v>81</v>
      </c>
      <c r="D8963" t="s">
        <v>82</v>
      </c>
      <c r="E8963" t="s">
        <v>89</v>
      </c>
      <c r="F8963">
        <v>3500</v>
      </c>
      <c r="G8963" t="s">
        <v>331</v>
      </c>
      <c r="H8963" s="15">
        <v>45292</v>
      </c>
      <c r="I8963">
        <v>3500</v>
      </c>
      <c r="J8963">
        <v>0</v>
      </c>
    </row>
    <row r="8964" spans="1:10" x14ac:dyDescent="0.3">
      <c r="A8964" s="15">
        <v>46266</v>
      </c>
      <c r="B8964" t="s">
        <v>208</v>
      </c>
      <c r="C8964" t="s">
        <v>91</v>
      </c>
      <c r="D8964" t="s">
        <v>99</v>
      </c>
      <c r="E8964" t="s">
        <v>89</v>
      </c>
      <c r="F8964">
        <v>7700</v>
      </c>
      <c r="G8964" t="s">
        <v>331</v>
      </c>
      <c r="H8964" s="15">
        <v>45292</v>
      </c>
      <c r="I8964">
        <v>7700</v>
      </c>
      <c r="J8964">
        <v>0</v>
      </c>
    </row>
    <row r="8965" spans="1:10" x14ac:dyDescent="0.3">
      <c r="A8965" s="15">
        <v>46266</v>
      </c>
      <c r="B8965" t="s">
        <v>209</v>
      </c>
      <c r="C8965" t="s">
        <v>81</v>
      </c>
      <c r="D8965" t="s">
        <v>86</v>
      </c>
      <c r="E8965" t="s">
        <v>83</v>
      </c>
      <c r="F8965">
        <v>3000</v>
      </c>
      <c r="G8965" t="s">
        <v>331</v>
      </c>
      <c r="H8965" s="15">
        <v>45292</v>
      </c>
      <c r="I8965">
        <v>3000</v>
      </c>
      <c r="J8965">
        <v>0</v>
      </c>
    </row>
    <row r="8966" spans="1:10" x14ac:dyDescent="0.3">
      <c r="A8966" s="15">
        <v>46266</v>
      </c>
      <c r="B8966" t="s">
        <v>210</v>
      </c>
      <c r="C8966" t="s">
        <v>125</v>
      </c>
      <c r="D8966" t="s">
        <v>96</v>
      </c>
      <c r="E8966" t="s">
        <v>89</v>
      </c>
      <c r="F8966">
        <v>82900</v>
      </c>
      <c r="G8966" t="s">
        <v>331</v>
      </c>
      <c r="H8966" s="15">
        <v>45292</v>
      </c>
      <c r="I8966">
        <v>82900</v>
      </c>
      <c r="J8966">
        <v>0</v>
      </c>
    </row>
    <row r="8967" spans="1:10" x14ac:dyDescent="0.3">
      <c r="A8967" s="15">
        <v>46266</v>
      </c>
      <c r="B8967" t="s">
        <v>213</v>
      </c>
      <c r="C8967" t="s">
        <v>81</v>
      </c>
      <c r="D8967" t="s">
        <v>82</v>
      </c>
      <c r="E8967" t="s">
        <v>97</v>
      </c>
      <c r="F8967">
        <v>3300</v>
      </c>
      <c r="G8967" t="s">
        <v>331</v>
      </c>
      <c r="H8967" s="15">
        <v>45292</v>
      </c>
      <c r="I8967">
        <v>3300</v>
      </c>
      <c r="J8967">
        <v>0</v>
      </c>
    </row>
    <row r="8968" spans="1:10" x14ac:dyDescent="0.3">
      <c r="A8968" s="15">
        <v>46266</v>
      </c>
      <c r="B8968" t="s">
        <v>214</v>
      </c>
      <c r="C8968" t="s">
        <v>91</v>
      </c>
      <c r="D8968" t="s">
        <v>82</v>
      </c>
      <c r="E8968" t="s">
        <v>89</v>
      </c>
      <c r="F8968">
        <v>8700</v>
      </c>
      <c r="G8968" t="s">
        <v>331</v>
      </c>
      <c r="H8968" s="15">
        <v>45292</v>
      </c>
      <c r="I8968">
        <v>8700</v>
      </c>
      <c r="J8968">
        <v>0</v>
      </c>
    </row>
    <row r="8969" spans="1:10" x14ac:dyDescent="0.3">
      <c r="A8969" s="15">
        <v>46266</v>
      </c>
      <c r="B8969" t="s">
        <v>216</v>
      </c>
      <c r="C8969" t="s">
        <v>81</v>
      </c>
      <c r="D8969" t="s">
        <v>82</v>
      </c>
      <c r="E8969" t="s">
        <v>97</v>
      </c>
      <c r="F8969">
        <v>3500</v>
      </c>
      <c r="G8969" t="s">
        <v>331</v>
      </c>
      <c r="H8969" s="15">
        <v>45292</v>
      </c>
      <c r="I8969">
        <v>3500</v>
      </c>
      <c r="J8969">
        <v>0</v>
      </c>
    </row>
    <row r="8970" spans="1:10" x14ac:dyDescent="0.3">
      <c r="A8970" s="15">
        <v>46266</v>
      </c>
      <c r="B8970" t="s">
        <v>218</v>
      </c>
      <c r="C8970" t="s">
        <v>110</v>
      </c>
      <c r="D8970" t="s">
        <v>99</v>
      </c>
      <c r="E8970" t="s">
        <v>92</v>
      </c>
      <c r="F8970">
        <v>32200</v>
      </c>
      <c r="G8970" t="s">
        <v>331</v>
      </c>
      <c r="H8970" s="15">
        <v>45292</v>
      </c>
      <c r="I8970">
        <v>32200</v>
      </c>
      <c r="J8970">
        <v>0</v>
      </c>
    </row>
    <row r="8971" spans="1:10" x14ac:dyDescent="0.3">
      <c r="A8971" s="15">
        <v>46266</v>
      </c>
      <c r="B8971" t="s">
        <v>220</v>
      </c>
      <c r="C8971" t="s">
        <v>110</v>
      </c>
      <c r="D8971" t="s">
        <v>82</v>
      </c>
      <c r="E8971" t="s">
        <v>89</v>
      </c>
      <c r="F8971">
        <v>30800</v>
      </c>
      <c r="G8971" t="s">
        <v>331</v>
      </c>
      <c r="H8971" s="15">
        <v>45292</v>
      </c>
      <c r="I8971">
        <v>30800</v>
      </c>
      <c r="J8971">
        <v>0</v>
      </c>
    </row>
    <row r="8972" spans="1:10" x14ac:dyDescent="0.3">
      <c r="A8972" s="15">
        <v>46266</v>
      </c>
      <c r="B8972" t="s">
        <v>224</v>
      </c>
      <c r="C8972" t="s">
        <v>91</v>
      </c>
      <c r="D8972" t="s">
        <v>82</v>
      </c>
      <c r="E8972" t="s">
        <v>101</v>
      </c>
      <c r="F8972">
        <v>10000</v>
      </c>
      <c r="G8972" t="s">
        <v>331</v>
      </c>
      <c r="H8972" s="15">
        <v>45292</v>
      </c>
      <c r="I8972">
        <v>10000</v>
      </c>
      <c r="J8972">
        <v>0</v>
      </c>
    </row>
    <row r="8973" spans="1:10" x14ac:dyDescent="0.3">
      <c r="A8973" s="15">
        <v>46266</v>
      </c>
      <c r="B8973" t="s">
        <v>225</v>
      </c>
      <c r="C8973" t="s">
        <v>110</v>
      </c>
      <c r="D8973" t="s">
        <v>99</v>
      </c>
      <c r="E8973" t="s">
        <v>103</v>
      </c>
      <c r="F8973">
        <v>42200</v>
      </c>
      <c r="G8973" t="s">
        <v>331</v>
      </c>
      <c r="H8973" s="15">
        <v>45292</v>
      </c>
      <c r="I8973">
        <v>42200</v>
      </c>
      <c r="J8973">
        <v>0</v>
      </c>
    </row>
    <row r="8974" spans="1:10" x14ac:dyDescent="0.3">
      <c r="A8974" s="15">
        <v>46266</v>
      </c>
      <c r="B8974" t="s">
        <v>226</v>
      </c>
      <c r="C8974" t="s">
        <v>91</v>
      </c>
      <c r="D8974" t="s">
        <v>82</v>
      </c>
      <c r="E8974" t="s">
        <v>103</v>
      </c>
      <c r="F8974">
        <v>6600</v>
      </c>
      <c r="G8974" t="s">
        <v>331</v>
      </c>
      <c r="H8974" s="15">
        <v>45292</v>
      </c>
      <c r="I8974">
        <v>6600</v>
      </c>
      <c r="J8974">
        <v>0</v>
      </c>
    </row>
    <row r="8975" spans="1:10" x14ac:dyDescent="0.3">
      <c r="A8975" s="15">
        <v>46266</v>
      </c>
      <c r="B8975" t="s">
        <v>227</v>
      </c>
      <c r="C8975" t="s">
        <v>110</v>
      </c>
      <c r="D8975" t="s">
        <v>86</v>
      </c>
      <c r="E8975" t="s">
        <v>87</v>
      </c>
      <c r="F8975">
        <v>25400</v>
      </c>
      <c r="G8975" t="s">
        <v>334</v>
      </c>
      <c r="H8975" s="15">
        <v>45292</v>
      </c>
      <c r="I8975">
        <v>27900</v>
      </c>
      <c r="J8975">
        <v>-2500</v>
      </c>
    </row>
    <row r="8976" spans="1:10" x14ac:dyDescent="0.3">
      <c r="A8976" s="15">
        <v>46266</v>
      </c>
      <c r="B8976" t="s">
        <v>228</v>
      </c>
      <c r="C8976" t="s">
        <v>91</v>
      </c>
      <c r="D8976" t="s">
        <v>96</v>
      </c>
      <c r="E8976" t="s">
        <v>89</v>
      </c>
      <c r="F8976">
        <v>12000</v>
      </c>
      <c r="G8976" t="s">
        <v>331</v>
      </c>
      <c r="H8976" s="15">
        <v>45292</v>
      </c>
      <c r="I8976">
        <v>12000</v>
      </c>
      <c r="J8976">
        <v>0</v>
      </c>
    </row>
    <row r="8977" spans="1:10" x14ac:dyDescent="0.3">
      <c r="A8977" s="15">
        <v>46266</v>
      </c>
      <c r="B8977" t="s">
        <v>229</v>
      </c>
      <c r="C8977" t="s">
        <v>81</v>
      </c>
      <c r="D8977" t="s">
        <v>82</v>
      </c>
      <c r="E8977" t="s">
        <v>83</v>
      </c>
      <c r="F8977">
        <v>3700</v>
      </c>
      <c r="G8977" t="s">
        <v>331</v>
      </c>
      <c r="H8977" s="15">
        <v>45292</v>
      </c>
      <c r="I8977">
        <v>3700</v>
      </c>
      <c r="J8977">
        <v>0</v>
      </c>
    </row>
    <row r="8978" spans="1:10" x14ac:dyDescent="0.3">
      <c r="A8978" s="15">
        <v>46266</v>
      </c>
      <c r="B8978" t="s">
        <v>230</v>
      </c>
      <c r="C8978" t="s">
        <v>81</v>
      </c>
      <c r="D8978" t="s">
        <v>86</v>
      </c>
      <c r="E8978" t="s">
        <v>101</v>
      </c>
      <c r="F8978">
        <v>3700</v>
      </c>
      <c r="G8978" t="s">
        <v>332</v>
      </c>
      <c r="H8978" s="15">
        <v>45292</v>
      </c>
      <c r="I8978">
        <v>3400</v>
      </c>
      <c r="J8978">
        <v>300</v>
      </c>
    </row>
    <row r="8979" spans="1:10" x14ac:dyDescent="0.3">
      <c r="A8979" s="15">
        <v>46266</v>
      </c>
      <c r="B8979" t="s">
        <v>231</v>
      </c>
      <c r="C8979" t="s">
        <v>91</v>
      </c>
      <c r="D8979" t="s">
        <v>82</v>
      </c>
      <c r="E8979" t="s">
        <v>92</v>
      </c>
      <c r="F8979">
        <v>0</v>
      </c>
      <c r="G8979" t="s">
        <v>333</v>
      </c>
      <c r="H8979" s="15">
        <v>45292</v>
      </c>
      <c r="I8979">
        <v>6900</v>
      </c>
      <c r="J8979">
        <v>-6900</v>
      </c>
    </row>
    <row r="8980" spans="1:10" x14ac:dyDescent="0.3">
      <c r="A8980" s="15">
        <v>46266</v>
      </c>
      <c r="B8980" t="s">
        <v>232</v>
      </c>
      <c r="C8980" t="s">
        <v>125</v>
      </c>
      <c r="D8980" t="s">
        <v>86</v>
      </c>
      <c r="E8980" t="s">
        <v>83</v>
      </c>
      <c r="F8980">
        <v>121100</v>
      </c>
      <c r="G8980" t="s">
        <v>331</v>
      </c>
      <c r="H8980" s="15">
        <v>45292</v>
      </c>
      <c r="I8980">
        <v>121100</v>
      </c>
      <c r="J8980">
        <v>0</v>
      </c>
    </row>
    <row r="8981" spans="1:10" x14ac:dyDescent="0.3">
      <c r="A8981" s="15">
        <v>46266</v>
      </c>
      <c r="B8981" t="s">
        <v>233</v>
      </c>
      <c r="C8981" t="s">
        <v>81</v>
      </c>
      <c r="D8981" t="s">
        <v>82</v>
      </c>
      <c r="E8981" t="s">
        <v>87</v>
      </c>
      <c r="F8981">
        <v>3300</v>
      </c>
      <c r="G8981" t="s">
        <v>331</v>
      </c>
      <c r="H8981" s="15">
        <v>45292</v>
      </c>
      <c r="I8981">
        <v>3300</v>
      </c>
      <c r="J8981">
        <v>0</v>
      </c>
    </row>
    <row r="8982" spans="1:10" x14ac:dyDescent="0.3">
      <c r="A8982" s="15">
        <v>46266</v>
      </c>
      <c r="B8982" t="s">
        <v>235</v>
      </c>
      <c r="C8982" t="s">
        <v>91</v>
      </c>
      <c r="D8982" t="s">
        <v>96</v>
      </c>
      <c r="E8982" t="s">
        <v>103</v>
      </c>
      <c r="F8982">
        <v>11100</v>
      </c>
      <c r="G8982" t="s">
        <v>331</v>
      </c>
      <c r="H8982" s="15">
        <v>45292</v>
      </c>
      <c r="I8982">
        <v>11100</v>
      </c>
      <c r="J8982">
        <v>0</v>
      </c>
    </row>
    <row r="8983" spans="1:10" x14ac:dyDescent="0.3">
      <c r="A8983" s="15">
        <v>46266</v>
      </c>
      <c r="B8983" t="s">
        <v>237</v>
      </c>
      <c r="C8983" t="s">
        <v>91</v>
      </c>
      <c r="D8983" t="s">
        <v>82</v>
      </c>
      <c r="E8983" t="s">
        <v>83</v>
      </c>
      <c r="F8983">
        <v>6900</v>
      </c>
      <c r="G8983" t="s">
        <v>331</v>
      </c>
      <c r="H8983" s="15">
        <v>45292</v>
      </c>
      <c r="I8983">
        <v>6900</v>
      </c>
      <c r="J8983">
        <v>0</v>
      </c>
    </row>
    <row r="8984" spans="1:10" x14ac:dyDescent="0.3">
      <c r="A8984" s="15">
        <v>46266</v>
      </c>
      <c r="B8984" t="s">
        <v>238</v>
      </c>
      <c r="C8984" t="s">
        <v>81</v>
      </c>
      <c r="D8984" t="s">
        <v>99</v>
      </c>
      <c r="E8984" t="s">
        <v>97</v>
      </c>
      <c r="F8984">
        <v>2300</v>
      </c>
      <c r="G8984" t="s">
        <v>331</v>
      </c>
      <c r="H8984" s="15">
        <v>45292</v>
      </c>
      <c r="I8984">
        <v>2300</v>
      </c>
      <c r="J8984">
        <v>0</v>
      </c>
    </row>
    <row r="8985" spans="1:10" x14ac:dyDescent="0.3">
      <c r="A8985" s="15">
        <v>46266</v>
      </c>
      <c r="B8985" t="s">
        <v>239</v>
      </c>
      <c r="C8985" t="s">
        <v>81</v>
      </c>
      <c r="D8985" t="s">
        <v>82</v>
      </c>
      <c r="E8985" t="s">
        <v>103</v>
      </c>
      <c r="F8985">
        <v>2500</v>
      </c>
      <c r="G8985" t="s">
        <v>331</v>
      </c>
      <c r="H8985" s="15">
        <v>45292</v>
      </c>
      <c r="I8985">
        <v>2500</v>
      </c>
      <c r="J8985">
        <v>0</v>
      </c>
    </row>
    <row r="8986" spans="1:10" x14ac:dyDescent="0.3">
      <c r="A8986" s="15">
        <v>46266</v>
      </c>
      <c r="B8986" t="s">
        <v>240</v>
      </c>
      <c r="C8986" t="s">
        <v>81</v>
      </c>
      <c r="D8986" t="s">
        <v>99</v>
      </c>
      <c r="E8986" t="s">
        <v>103</v>
      </c>
      <c r="F8986">
        <v>2300</v>
      </c>
      <c r="G8986" t="s">
        <v>331</v>
      </c>
      <c r="H8986" s="15">
        <v>45292</v>
      </c>
      <c r="I8986">
        <v>2300</v>
      </c>
      <c r="J8986">
        <v>0</v>
      </c>
    </row>
    <row r="8987" spans="1:10" x14ac:dyDescent="0.3">
      <c r="A8987" s="15">
        <v>46266</v>
      </c>
      <c r="B8987" t="s">
        <v>241</v>
      </c>
      <c r="C8987" t="s">
        <v>91</v>
      </c>
      <c r="D8987" t="s">
        <v>96</v>
      </c>
      <c r="E8987" t="s">
        <v>87</v>
      </c>
      <c r="F8987">
        <v>13000</v>
      </c>
      <c r="G8987" t="s">
        <v>331</v>
      </c>
      <c r="H8987" s="15">
        <v>45292</v>
      </c>
      <c r="I8987">
        <v>13000</v>
      </c>
      <c r="J8987">
        <v>0</v>
      </c>
    </row>
    <row r="8988" spans="1:10" x14ac:dyDescent="0.3">
      <c r="A8988" s="15">
        <v>46266</v>
      </c>
      <c r="B8988" t="s">
        <v>242</v>
      </c>
      <c r="C8988" t="s">
        <v>110</v>
      </c>
      <c r="D8988" t="s">
        <v>99</v>
      </c>
      <c r="E8988" t="s">
        <v>101</v>
      </c>
      <c r="F8988">
        <v>34800</v>
      </c>
      <c r="G8988" t="s">
        <v>331</v>
      </c>
      <c r="H8988" s="15">
        <v>45292</v>
      </c>
      <c r="I8988">
        <v>34800</v>
      </c>
      <c r="J8988">
        <v>0</v>
      </c>
    </row>
    <row r="8989" spans="1:10" x14ac:dyDescent="0.3">
      <c r="A8989" s="15">
        <v>46266</v>
      </c>
      <c r="B8989" t="s">
        <v>244</v>
      </c>
      <c r="C8989" t="s">
        <v>91</v>
      </c>
      <c r="D8989" t="s">
        <v>82</v>
      </c>
      <c r="E8989" t="s">
        <v>92</v>
      </c>
      <c r="F8989">
        <v>7800</v>
      </c>
      <c r="G8989" t="s">
        <v>331</v>
      </c>
      <c r="H8989" s="15">
        <v>45292</v>
      </c>
      <c r="I8989">
        <v>7800</v>
      </c>
      <c r="J8989">
        <v>0</v>
      </c>
    </row>
    <row r="8990" spans="1:10" x14ac:dyDescent="0.3">
      <c r="A8990" s="15">
        <v>46266</v>
      </c>
      <c r="B8990" t="s">
        <v>245</v>
      </c>
      <c r="C8990" t="s">
        <v>81</v>
      </c>
      <c r="D8990" t="s">
        <v>99</v>
      </c>
      <c r="E8990" t="s">
        <v>97</v>
      </c>
      <c r="F8990">
        <v>2900</v>
      </c>
      <c r="G8990" t="s">
        <v>331</v>
      </c>
      <c r="H8990" s="15">
        <v>45292</v>
      </c>
      <c r="I8990">
        <v>2900</v>
      </c>
      <c r="J8990">
        <v>0</v>
      </c>
    </row>
    <row r="8991" spans="1:10" x14ac:dyDescent="0.3">
      <c r="A8991" s="15">
        <v>46266</v>
      </c>
      <c r="B8991" t="s">
        <v>246</v>
      </c>
      <c r="C8991" t="s">
        <v>91</v>
      </c>
      <c r="D8991" t="s">
        <v>86</v>
      </c>
      <c r="E8991" t="s">
        <v>103</v>
      </c>
      <c r="F8991">
        <v>10100</v>
      </c>
      <c r="G8991" t="s">
        <v>331</v>
      </c>
      <c r="H8991" s="15">
        <v>45292</v>
      </c>
      <c r="I8991">
        <v>10100</v>
      </c>
      <c r="J8991">
        <v>0</v>
      </c>
    </row>
    <row r="8992" spans="1:10" x14ac:dyDescent="0.3">
      <c r="A8992" s="15">
        <v>46266</v>
      </c>
      <c r="B8992" t="s">
        <v>247</v>
      </c>
      <c r="C8992" t="s">
        <v>91</v>
      </c>
      <c r="D8992" t="s">
        <v>86</v>
      </c>
      <c r="E8992" t="s">
        <v>89</v>
      </c>
      <c r="F8992">
        <v>8800</v>
      </c>
      <c r="G8992" t="s">
        <v>331</v>
      </c>
      <c r="H8992" s="15">
        <v>45292</v>
      </c>
      <c r="I8992">
        <v>8800</v>
      </c>
      <c r="J8992">
        <v>0</v>
      </c>
    </row>
    <row r="8993" spans="1:10" x14ac:dyDescent="0.3">
      <c r="A8993" s="15">
        <v>46266</v>
      </c>
      <c r="B8993" t="s">
        <v>248</v>
      </c>
      <c r="C8993" t="s">
        <v>81</v>
      </c>
      <c r="D8993" t="s">
        <v>82</v>
      </c>
      <c r="E8993" t="s">
        <v>103</v>
      </c>
      <c r="F8993">
        <v>2100</v>
      </c>
      <c r="G8993" t="s">
        <v>331</v>
      </c>
      <c r="H8993" s="15">
        <v>45292</v>
      </c>
      <c r="I8993">
        <v>2100</v>
      </c>
      <c r="J8993">
        <v>0</v>
      </c>
    </row>
    <row r="8994" spans="1:10" x14ac:dyDescent="0.3">
      <c r="A8994" s="15">
        <v>46266</v>
      </c>
      <c r="B8994" t="s">
        <v>250</v>
      </c>
      <c r="C8994" t="s">
        <v>81</v>
      </c>
      <c r="D8994" t="s">
        <v>86</v>
      </c>
      <c r="E8994" t="s">
        <v>87</v>
      </c>
      <c r="F8994">
        <v>2800</v>
      </c>
      <c r="G8994" t="s">
        <v>331</v>
      </c>
      <c r="H8994" s="15">
        <v>45292</v>
      </c>
      <c r="I8994">
        <v>2800</v>
      </c>
      <c r="J8994">
        <v>0</v>
      </c>
    </row>
    <row r="8995" spans="1:10" x14ac:dyDescent="0.3">
      <c r="A8995" s="15">
        <v>46266</v>
      </c>
      <c r="B8995" t="s">
        <v>251</v>
      </c>
      <c r="C8995" t="s">
        <v>91</v>
      </c>
      <c r="D8995" t="s">
        <v>99</v>
      </c>
      <c r="E8995" t="s">
        <v>103</v>
      </c>
      <c r="F8995">
        <v>8800</v>
      </c>
      <c r="G8995" t="s">
        <v>331</v>
      </c>
      <c r="H8995" s="15">
        <v>45292</v>
      </c>
      <c r="I8995">
        <v>8800</v>
      </c>
      <c r="J8995">
        <v>0</v>
      </c>
    </row>
    <row r="8996" spans="1:10" x14ac:dyDescent="0.3">
      <c r="A8996" s="15">
        <v>46266</v>
      </c>
      <c r="B8996" t="s">
        <v>252</v>
      </c>
      <c r="C8996" t="s">
        <v>81</v>
      </c>
      <c r="D8996" t="s">
        <v>99</v>
      </c>
      <c r="E8996" t="s">
        <v>92</v>
      </c>
      <c r="F8996">
        <v>3400</v>
      </c>
      <c r="G8996" t="s">
        <v>331</v>
      </c>
      <c r="H8996" s="15">
        <v>45292</v>
      </c>
      <c r="I8996">
        <v>3400</v>
      </c>
      <c r="J8996">
        <v>0</v>
      </c>
    </row>
    <row r="8997" spans="1:10" x14ac:dyDescent="0.3">
      <c r="A8997" s="15">
        <v>46266</v>
      </c>
      <c r="B8997" t="s">
        <v>253</v>
      </c>
      <c r="C8997" t="s">
        <v>81</v>
      </c>
      <c r="D8997" t="s">
        <v>96</v>
      </c>
      <c r="E8997" t="s">
        <v>89</v>
      </c>
      <c r="F8997">
        <v>2800</v>
      </c>
      <c r="G8997" t="s">
        <v>332</v>
      </c>
      <c r="H8997" s="15">
        <v>45292</v>
      </c>
      <c r="I8997">
        <v>2400</v>
      </c>
      <c r="J8997">
        <v>400</v>
      </c>
    </row>
    <row r="8998" spans="1:10" x14ac:dyDescent="0.3">
      <c r="A8998" s="15">
        <v>46266</v>
      </c>
      <c r="B8998" t="s">
        <v>255</v>
      </c>
      <c r="C8998" t="s">
        <v>91</v>
      </c>
      <c r="D8998" t="s">
        <v>86</v>
      </c>
      <c r="E8998" t="s">
        <v>89</v>
      </c>
      <c r="F8998">
        <v>9700</v>
      </c>
      <c r="G8998" t="s">
        <v>331</v>
      </c>
      <c r="H8998" s="15">
        <v>45292</v>
      </c>
      <c r="I8998">
        <v>9700</v>
      </c>
      <c r="J8998">
        <v>0</v>
      </c>
    </row>
    <row r="8999" spans="1:10" x14ac:dyDescent="0.3">
      <c r="A8999" s="15">
        <v>46266</v>
      </c>
      <c r="B8999" t="s">
        <v>256</v>
      </c>
      <c r="C8999" t="s">
        <v>81</v>
      </c>
      <c r="D8999" t="s">
        <v>82</v>
      </c>
      <c r="E8999" t="s">
        <v>103</v>
      </c>
      <c r="F8999">
        <v>1800</v>
      </c>
      <c r="G8999" t="s">
        <v>331</v>
      </c>
      <c r="H8999" s="15">
        <v>45292</v>
      </c>
      <c r="I8999">
        <v>1800</v>
      </c>
      <c r="J8999">
        <v>0</v>
      </c>
    </row>
    <row r="9000" spans="1:10" x14ac:dyDescent="0.3">
      <c r="A9000" s="15">
        <v>46266</v>
      </c>
      <c r="B9000" t="s">
        <v>258</v>
      </c>
      <c r="C9000" t="s">
        <v>125</v>
      </c>
      <c r="D9000" t="s">
        <v>86</v>
      </c>
      <c r="E9000" t="s">
        <v>83</v>
      </c>
      <c r="F9000">
        <v>96300</v>
      </c>
      <c r="G9000" t="s">
        <v>331</v>
      </c>
      <c r="H9000" s="15">
        <v>45292</v>
      </c>
      <c r="I9000">
        <v>96300</v>
      </c>
      <c r="J9000">
        <v>0</v>
      </c>
    </row>
    <row r="9001" spans="1:10" x14ac:dyDescent="0.3">
      <c r="A9001" s="15">
        <v>46266</v>
      </c>
      <c r="B9001" t="s">
        <v>259</v>
      </c>
      <c r="C9001" t="s">
        <v>81</v>
      </c>
      <c r="D9001" t="s">
        <v>86</v>
      </c>
      <c r="E9001" t="s">
        <v>89</v>
      </c>
      <c r="F9001">
        <v>1900</v>
      </c>
      <c r="G9001" t="s">
        <v>331</v>
      </c>
      <c r="H9001" s="15">
        <v>45292</v>
      </c>
      <c r="I9001">
        <v>1900</v>
      </c>
      <c r="J9001">
        <v>0</v>
      </c>
    </row>
    <row r="9002" spans="1:10" x14ac:dyDescent="0.3">
      <c r="A9002" s="15">
        <v>46266</v>
      </c>
      <c r="B9002" t="s">
        <v>260</v>
      </c>
      <c r="C9002" t="s">
        <v>81</v>
      </c>
      <c r="D9002" t="s">
        <v>86</v>
      </c>
      <c r="E9002" t="s">
        <v>97</v>
      </c>
      <c r="F9002">
        <v>2100</v>
      </c>
      <c r="G9002" t="s">
        <v>331</v>
      </c>
      <c r="H9002" s="15">
        <v>45292</v>
      </c>
      <c r="I9002">
        <v>2100</v>
      </c>
      <c r="J9002">
        <v>0</v>
      </c>
    </row>
    <row r="9003" spans="1:10" x14ac:dyDescent="0.3">
      <c r="A9003" s="15">
        <v>46266</v>
      </c>
      <c r="B9003" t="s">
        <v>262</v>
      </c>
      <c r="C9003" t="s">
        <v>91</v>
      </c>
      <c r="D9003" t="s">
        <v>82</v>
      </c>
      <c r="E9003" t="s">
        <v>92</v>
      </c>
      <c r="F9003">
        <v>10800</v>
      </c>
      <c r="G9003" t="s">
        <v>331</v>
      </c>
      <c r="H9003" s="15">
        <v>45292</v>
      </c>
      <c r="I9003">
        <v>10800</v>
      </c>
      <c r="J9003">
        <v>0</v>
      </c>
    </row>
    <row r="9004" spans="1:10" x14ac:dyDescent="0.3">
      <c r="A9004" s="15">
        <v>46266</v>
      </c>
      <c r="B9004" t="s">
        <v>264</v>
      </c>
      <c r="C9004" t="s">
        <v>110</v>
      </c>
      <c r="D9004" t="s">
        <v>86</v>
      </c>
      <c r="E9004" t="s">
        <v>97</v>
      </c>
      <c r="F9004">
        <v>31500</v>
      </c>
      <c r="G9004" t="s">
        <v>331</v>
      </c>
      <c r="H9004" s="15">
        <v>45292</v>
      </c>
      <c r="I9004">
        <v>31500</v>
      </c>
      <c r="J9004">
        <v>0</v>
      </c>
    </row>
    <row r="9005" spans="1:10" x14ac:dyDescent="0.3">
      <c r="A9005" s="15">
        <v>46266</v>
      </c>
      <c r="B9005" t="s">
        <v>265</v>
      </c>
      <c r="C9005" t="s">
        <v>125</v>
      </c>
      <c r="D9005" t="s">
        <v>86</v>
      </c>
      <c r="E9005" t="s">
        <v>101</v>
      </c>
      <c r="F9005">
        <v>76700</v>
      </c>
      <c r="G9005" t="s">
        <v>331</v>
      </c>
      <c r="H9005" s="15">
        <v>45292</v>
      </c>
      <c r="I9005">
        <v>76700</v>
      </c>
      <c r="J9005">
        <v>0</v>
      </c>
    </row>
    <row r="9006" spans="1:10" x14ac:dyDescent="0.3">
      <c r="A9006" s="15">
        <v>46266</v>
      </c>
      <c r="B9006" t="s">
        <v>266</v>
      </c>
      <c r="C9006" t="s">
        <v>81</v>
      </c>
      <c r="D9006" t="s">
        <v>82</v>
      </c>
      <c r="E9006" t="s">
        <v>83</v>
      </c>
      <c r="F9006">
        <v>2200</v>
      </c>
      <c r="G9006" t="s">
        <v>331</v>
      </c>
      <c r="H9006" s="15">
        <v>45292</v>
      </c>
      <c r="I9006">
        <v>2200</v>
      </c>
      <c r="J9006">
        <v>0</v>
      </c>
    </row>
    <row r="9007" spans="1:10" x14ac:dyDescent="0.3">
      <c r="A9007" s="15">
        <v>46266</v>
      </c>
      <c r="B9007" t="s">
        <v>267</v>
      </c>
      <c r="C9007" t="s">
        <v>91</v>
      </c>
      <c r="D9007" t="s">
        <v>82</v>
      </c>
      <c r="E9007" t="s">
        <v>97</v>
      </c>
      <c r="F9007">
        <v>7300</v>
      </c>
      <c r="G9007" t="s">
        <v>331</v>
      </c>
      <c r="H9007" s="15">
        <v>45292</v>
      </c>
      <c r="I9007">
        <v>7300</v>
      </c>
      <c r="J9007">
        <v>0</v>
      </c>
    </row>
    <row r="9008" spans="1:10" x14ac:dyDescent="0.3">
      <c r="A9008" s="15">
        <v>46266</v>
      </c>
      <c r="B9008" t="s">
        <v>272</v>
      </c>
      <c r="C9008" t="s">
        <v>125</v>
      </c>
      <c r="D9008" t="s">
        <v>96</v>
      </c>
      <c r="E9008" t="s">
        <v>103</v>
      </c>
      <c r="F9008">
        <v>101100</v>
      </c>
      <c r="G9008" t="s">
        <v>331</v>
      </c>
      <c r="H9008" s="15">
        <v>45292</v>
      </c>
      <c r="I9008">
        <v>101100</v>
      </c>
      <c r="J9008">
        <v>0</v>
      </c>
    </row>
    <row r="9009" spans="1:10" x14ac:dyDescent="0.3">
      <c r="A9009" s="15">
        <v>46266</v>
      </c>
      <c r="B9009" t="s">
        <v>273</v>
      </c>
      <c r="C9009" t="s">
        <v>81</v>
      </c>
      <c r="D9009" t="s">
        <v>82</v>
      </c>
      <c r="E9009" t="s">
        <v>101</v>
      </c>
      <c r="F9009">
        <v>3300</v>
      </c>
      <c r="G9009" t="s">
        <v>331</v>
      </c>
      <c r="H9009" s="15">
        <v>45292</v>
      </c>
      <c r="I9009">
        <v>3300</v>
      </c>
      <c r="J9009">
        <v>0</v>
      </c>
    </row>
    <row r="9010" spans="1:10" x14ac:dyDescent="0.3">
      <c r="A9010" s="15">
        <v>46266</v>
      </c>
      <c r="B9010" t="s">
        <v>274</v>
      </c>
      <c r="C9010" t="s">
        <v>91</v>
      </c>
      <c r="D9010" t="s">
        <v>99</v>
      </c>
      <c r="E9010" t="s">
        <v>87</v>
      </c>
      <c r="F9010">
        <v>11400</v>
      </c>
      <c r="G9010" t="s">
        <v>331</v>
      </c>
      <c r="H9010" s="15">
        <v>45292</v>
      </c>
      <c r="I9010">
        <v>11400</v>
      </c>
      <c r="J9010">
        <v>0</v>
      </c>
    </row>
    <row r="9011" spans="1:10" x14ac:dyDescent="0.3">
      <c r="A9011" s="15">
        <v>46266</v>
      </c>
      <c r="B9011" t="s">
        <v>276</v>
      </c>
      <c r="C9011" t="s">
        <v>81</v>
      </c>
      <c r="D9011" t="s">
        <v>82</v>
      </c>
      <c r="E9011" t="s">
        <v>103</v>
      </c>
      <c r="F9011">
        <v>3300</v>
      </c>
      <c r="G9011" t="s">
        <v>331</v>
      </c>
      <c r="H9011" s="15">
        <v>45292</v>
      </c>
      <c r="I9011">
        <v>3300</v>
      </c>
      <c r="J9011">
        <v>0</v>
      </c>
    </row>
    <row r="9012" spans="1:10" x14ac:dyDescent="0.3">
      <c r="A9012" s="15">
        <v>46266</v>
      </c>
      <c r="B9012" t="s">
        <v>277</v>
      </c>
      <c r="C9012" t="s">
        <v>91</v>
      </c>
      <c r="D9012" t="s">
        <v>86</v>
      </c>
      <c r="E9012" t="s">
        <v>97</v>
      </c>
      <c r="F9012">
        <v>9900</v>
      </c>
      <c r="G9012" t="s">
        <v>331</v>
      </c>
      <c r="H9012" s="15">
        <v>45292</v>
      </c>
      <c r="I9012">
        <v>9900</v>
      </c>
      <c r="J9012">
        <v>0</v>
      </c>
    </row>
    <row r="9013" spans="1:10" x14ac:dyDescent="0.3">
      <c r="A9013" s="15">
        <v>46266</v>
      </c>
      <c r="B9013" t="s">
        <v>279</v>
      </c>
      <c r="C9013" t="s">
        <v>91</v>
      </c>
      <c r="D9013" t="s">
        <v>99</v>
      </c>
      <c r="E9013" t="s">
        <v>89</v>
      </c>
      <c r="F9013">
        <v>9800</v>
      </c>
      <c r="G9013" t="s">
        <v>331</v>
      </c>
      <c r="H9013" s="15">
        <v>45292</v>
      </c>
      <c r="I9013">
        <v>9800</v>
      </c>
      <c r="J9013">
        <v>0</v>
      </c>
    </row>
    <row r="9014" spans="1:10" x14ac:dyDescent="0.3">
      <c r="A9014" s="15">
        <v>46266</v>
      </c>
      <c r="B9014" t="s">
        <v>282</v>
      </c>
      <c r="C9014" t="s">
        <v>91</v>
      </c>
      <c r="D9014" t="s">
        <v>86</v>
      </c>
      <c r="E9014" t="s">
        <v>92</v>
      </c>
      <c r="F9014">
        <v>6100</v>
      </c>
      <c r="G9014" t="s">
        <v>331</v>
      </c>
      <c r="H9014" s="15">
        <v>45292</v>
      </c>
      <c r="I9014">
        <v>6100</v>
      </c>
      <c r="J9014">
        <v>0</v>
      </c>
    </row>
    <row r="9015" spans="1:10" x14ac:dyDescent="0.3">
      <c r="A9015" s="15">
        <v>46266</v>
      </c>
      <c r="B9015" t="s">
        <v>283</v>
      </c>
      <c r="C9015" t="s">
        <v>110</v>
      </c>
      <c r="D9015" t="s">
        <v>82</v>
      </c>
      <c r="E9015" t="s">
        <v>87</v>
      </c>
      <c r="F9015">
        <v>34200</v>
      </c>
      <c r="G9015" t="s">
        <v>331</v>
      </c>
      <c r="H9015" s="15">
        <v>45292</v>
      </c>
      <c r="I9015">
        <v>34200</v>
      </c>
      <c r="J9015">
        <v>0</v>
      </c>
    </row>
    <row r="9016" spans="1:10" x14ac:dyDescent="0.3">
      <c r="A9016" s="15">
        <v>46266</v>
      </c>
      <c r="B9016" t="s">
        <v>285</v>
      </c>
      <c r="C9016" t="s">
        <v>91</v>
      </c>
      <c r="D9016" t="s">
        <v>82</v>
      </c>
      <c r="E9016" t="s">
        <v>83</v>
      </c>
      <c r="F9016">
        <v>9600</v>
      </c>
      <c r="G9016" t="s">
        <v>331</v>
      </c>
      <c r="H9016" s="15">
        <v>45292</v>
      </c>
      <c r="I9016">
        <v>9600</v>
      </c>
      <c r="J9016">
        <v>0</v>
      </c>
    </row>
    <row r="9017" spans="1:10" x14ac:dyDescent="0.3">
      <c r="A9017" s="15">
        <v>46266</v>
      </c>
      <c r="B9017" t="s">
        <v>286</v>
      </c>
      <c r="C9017" t="s">
        <v>125</v>
      </c>
      <c r="D9017" t="s">
        <v>86</v>
      </c>
      <c r="E9017" t="s">
        <v>92</v>
      </c>
      <c r="F9017">
        <v>92400</v>
      </c>
      <c r="G9017" t="s">
        <v>331</v>
      </c>
      <c r="H9017" s="15">
        <v>45292</v>
      </c>
      <c r="I9017">
        <v>92400</v>
      </c>
      <c r="J9017">
        <v>0</v>
      </c>
    </row>
    <row r="9018" spans="1:10" x14ac:dyDescent="0.3">
      <c r="A9018" s="15">
        <v>46266</v>
      </c>
      <c r="B9018" t="s">
        <v>287</v>
      </c>
      <c r="C9018" t="s">
        <v>81</v>
      </c>
      <c r="D9018" t="s">
        <v>99</v>
      </c>
      <c r="E9018" t="s">
        <v>87</v>
      </c>
      <c r="F9018">
        <v>2400</v>
      </c>
      <c r="G9018" t="s">
        <v>331</v>
      </c>
      <c r="H9018" s="15">
        <v>45292</v>
      </c>
      <c r="I9018">
        <v>2400</v>
      </c>
      <c r="J9018">
        <v>0</v>
      </c>
    </row>
    <row r="9019" spans="1:10" x14ac:dyDescent="0.3">
      <c r="A9019" s="15">
        <v>46266</v>
      </c>
      <c r="B9019" t="s">
        <v>288</v>
      </c>
      <c r="C9019" t="s">
        <v>81</v>
      </c>
      <c r="D9019" t="s">
        <v>99</v>
      </c>
      <c r="E9019" t="s">
        <v>97</v>
      </c>
      <c r="F9019">
        <v>3100</v>
      </c>
      <c r="G9019" t="s">
        <v>332</v>
      </c>
      <c r="H9019" s="15">
        <v>45292</v>
      </c>
      <c r="I9019">
        <v>2900</v>
      </c>
      <c r="J9019">
        <v>200</v>
      </c>
    </row>
    <row r="9020" spans="1:10" x14ac:dyDescent="0.3">
      <c r="A9020" s="15">
        <v>46266</v>
      </c>
      <c r="B9020" t="s">
        <v>289</v>
      </c>
      <c r="C9020" t="s">
        <v>91</v>
      </c>
      <c r="D9020" t="s">
        <v>86</v>
      </c>
      <c r="E9020" t="s">
        <v>101</v>
      </c>
      <c r="F9020">
        <v>9400</v>
      </c>
      <c r="G9020" t="s">
        <v>331</v>
      </c>
      <c r="H9020" s="15">
        <v>45292</v>
      </c>
      <c r="I9020">
        <v>9400</v>
      </c>
      <c r="J9020">
        <v>0</v>
      </c>
    </row>
    <row r="9021" spans="1:10" x14ac:dyDescent="0.3">
      <c r="A9021" s="15">
        <v>46266</v>
      </c>
      <c r="B9021" t="s">
        <v>290</v>
      </c>
      <c r="C9021" t="s">
        <v>81</v>
      </c>
      <c r="D9021" t="s">
        <v>82</v>
      </c>
      <c r="E9021" t="s">
        <v>103</v>
      </c>
      <c r="F9021">
        <v>2800</v>
      </c>
      <c r="G9021" t="s">
        <v>331</v>
      </c>
      <c r="H9021" s="15">
        <v>45292</v>
      </c>
      <c r="I9021">
        <v>2800</v>
      </c>
      <c r="J9021">
        <v>0</v>
      </c>
    </row>
    <row r="9022" spans="1:10" x14ac:dyDescent="0.3">
      <c r="A9022" s="15">
        <v>46266</v>
      </c>
      <c r="B9022" t="s">
        <v>291</v>
      </c>
      <c r="C9022" t="s">
        <v>81</v>
      </c>
      <c r="D9022" t="s">
        <v>82</v>
      </c>
      <c r="E9022" t="s">
        <v>83</v>
      </c>
      <c r="F9022">
        <v>3100</v>
      </c>
      <c r="G9022" t="s">
        <v>331</v>
      </c>
      <c r="H9022" s="15">
        <v>45292</v>
      </c>
      <c r="I9022">
        <v>3100</v>
      </c>
      <c r="J9022">
        <v>0</v>
      </c>
    </row>
    <row r="9023" spans="1:10" x14ac:dyDescent="0.3">
      <c r="A9023" s="15">
        <v>46266</v>
      </c>
      <c r="B9023" t="s">
        <v>292</v>
      </c>
      <c r="C9023" t="s">
        <v>91</v>
      </c>
      <c r="D9023" t="s">
        <v>86</v>
      </c>
      <c r="E9023" t="s">
        <v>89</v>
      </c>
      <c r="F9023">
        <v>9900</v>
      </c>
      <c r="G9023" t="s">
        <v>331</v>
      </c>
      <c r="H9023" s="15">
        <v>45292</v>
      </c>
      <c r="I9023">
        <v>9900</v>
      </c>
      <c r="J9023">
        <v>0</v>
      </c>
    </row>
    <row r="9024" spans="1:10" x14ac:dyDescent="0.3">
      <c r="A9024" s="15">
        <v>46266</v>
      </c>
      <c r="B9024" t="s">
        <v>293</v>
      </c>
      <c r="C9024" t="s">
        <v>81</v>
      </c>
      <c r="D9024" t="s">
        <v>86</v>
      </c>
      <c r="E9024" t="s">
        <v>103</v>
      </c>
      <c r="F9024">
        <v>2200</v>
      </c>
      <c r="G9024" t="s">
        <v>331</v>
      </c>
      <c r="H9024" s="15">
        <v>45292</v>
      </c>
      <c r="I9024">
        <v>2200</v>
      </c>
      <c r="J9024">
        <v>0</v>
      </c>
    </row>
    <row r="9025" spans="1:10" x14ac:dyDescent="0.3">
      <c r="A9025" s="15">
        <v>46266</v>
      </c>
      <c r="B9025" t="s">
        <v>294</v>
      </c>
      <c r="C9025" t="s">
        <v>91</v>
      </c>
      <c r="D9025" t="s">
        <v>82</v>
      </c>
      <c r="E9025" t="s">
        <v>97</v>
      </c>
      <c r="F9025">
        <v>7000</v>
      </c>
      <c r="G9025" t="s">
        <v>334</v>
      </c>
      <c r="H9025" s="15">
        <v>45292</v>
      </c>
      <c r="I9025">
        <v>8200</v>
      </c>
      <c r="J9025">
        <v>-1200</v>
      </c>
    </row>
    <row r="9026" spans="1:10" x14ac:dyDescent="0.3">
      <c r="A9026" s="15">
        <v>46266</v>
      </c>
      <c r="B9026" t="s">
        <v>295</v>
      </c>
      <c r="C9026" t="s">
        <v>81</v>
      </c>
      <c r="D9026" t="s">
        <v>82</v>
      </c>
      <c r="E9026" t="s">
        <v>103</v>
      </c>
      <c r="F9026">
        <v>2000</v>
      </c>
      <c r="G9026" t="s">
        <v>331</v>
      </c>
      <c r="H9026" s="15">
        <v>45292</v>
      </c>
      <c r="I9026">
        <v>2000</v>
      </c>
      <c r="J9026">
        <v>0</v>
      </c>
    </row>
    <row r="9027" spans="1:10" x14ac:dyDescent="0.3">
      <c r="A9027" s="15">
        <v>46266</v>
      </c>
      <c r="B9027" t="s">
        <v>298</v>
      </c>
      <c r="C9027" t="s">
        <v>81</v>
      </c>
      <c r="D9027" t="s">
        <v>86</v>
      </c>
      <c r="E9027" t="s">
        <v>89</v>
      </c>
      <c r="F9027">
        <v>2700</v>
      </c>
      <c r="G9027" t="s">
        <v>331</v>
      </c>
      <c r="H9027" s="15">
        <v>45292</v>
      </c>
      <c r="I9027">
        <v>2700</v>
      </c>
      <c r="J9027">
        <v>0</v>
      </c>
    </row>
    <row r="9028" spans="1:10" x14ac:dyDescent="0.3">
      <c r="A9028" s="15">
        <v>46266</v>
      </c>
      <c r="B9028" t="s">
        <v>299</v>
      </c>
      <c r="C9028" t="s">
        <v>81</v>
      </c>
      <c r="D9028" t="s">
        <v>99</v>
      </c>
      <c r="E9028" t="s">
        <v>103</v>
      </c>
      <c r="F9028">
        <v>2900</v>
      </c>
      <c r="G9028" t="s">
        <v>331</v>
      </c>
      <c r="H9028" s="15">
        <v>45292</v>
      </c>
      <c r="I9028">
        <v>2900</v>
      </c>
      <c r="J9028">
        <v>0</v>
      </c>
    </row>
    <row r="9029" spans="1:10" x14ac:dyDescent="0.3">
      <c r="A9029" s="15">
        <v>46266</v>
      </c>
      <c r="B9029" t="s">
        <v>300</v>
      </c>
      <c r="C9029" t="s">
        <v>91</v>
      </c>
      <c r="D9029" t="s">
        <v>82</v>
      </c>
      <c r="E9029" t="s">
        <v>89</v>
      </c>
      <c r="F9029">
        <v>11500</v>
      </c>
      <c r="G9029" t="s">
        <v>331</v>
      </c>
      <c r="H9029" s="15">
        <v>45292</v>
      </c>
      <c r="I9029">
        <v>11500</v>
      </c>
      <c r="J9029">
        <v>0</v>
      </c>
    </row>
    <row r="9030" spans="1:10" x14ac:dyDescent="0.3">
      <c r="A9030" s="15">
        <v>46266</v>
      </c>
      <c r="B9030" t="s">
        <v>303</v>
      </c>
      <c r="C9030" t="s">
        <v>81</v>
      </c>
      <c r="D9030" t="s">
        <v>82</v>
      </c>
      <c r="E9030" t="s">
        <v>83</v>
      </c>
      <c r="F9030">
        <v>1500</v>
      </c>
      <c r="G9030" t="s">
        <v>331</v>
      </c>
      <c r="H9030" s="15">
        <v>45292</v>
      </c>
      <c r="I9030">
        <v>1500</v>
      </c>
      <c r="J9030">
        <v>0</v>
      </c>
    </row>
    <row r="9031" spans="1:10" x14ac:dyDescent="0.3">
      <c r="A9031" s="15">
        <v>46266</v>
      </c>
      <c r="B9031" t="s">
        <v>304</v>
      </c>
      <c r="C9031" t="s">
        <v>81</v>
      </c>
      <c r="D9031" t="s">
        <v>86</v>
      </c>
      <c r="E9031" t="s">
        <v>92</v>
      </c>
      <c r="F9031">
        <v>2300</v>
      </c>
      <c r="G9031" t="s">
        <v>331</v>
      </c>
      <c r="H9031" s="15">
        <v>45292</v>
      </c>
      <c r="I9031">
        <v>2300</v>
      </c>
      <c r="J9031">
        <v>0</v>
      </c>
    </row>
    <row r="9032" spans="1:10" x14ac:dyDescent="0.3">
      <c r="A9032" s="15">
        <v>46266</v>
      </c>
      <c r="B9032" t="s">
        <v>306</v>
      </c>
      <c r="C9032" t="s">
        <v>91</v>
      </c>
      <c r="D9032" t="s">
        <v>82</v>
      </c>
      <c r="E9032" t="s">
        <v>87</v>
      </c>
      <c r="F9032">
        <v>13200</v>
      </c>
      <c r="G9032" t="s">
        <v>331</v>
      </c>
      <c r="H9032" s="15">
        <v>45292</v>
      </c>
      <c r="I9032">
        <v>13200</v>
      </c>
      <c r="J9032">
        <v>0</v>
      </c>
    </row>
    <row r="9033" spans="1:10" x14ac:dyDescent="0.3">
      <c r="A9033" s="15">
        <v>46266</v>
      </c>
      <c r="B9033" t="s">
        <v>307</v>
      </c>
      <c r="C9033" t="s">
        <v>81</v>
      </c>
      <c r="D9033" t="s">
        <v>86</v>
      </c>
      <c r="E9033" t="s">
        <v>97</v>
      </c>
      <c r="F9033">
        <v>2600</v>
      </c>
      <c r="G9033" t="s">
        <v>331</v>
      </c>
      <c r="H9033" s="15">
        <v>45292</v>
      </c>
      <c r="I9033">
        <v>2600</v>
      </c>
      <c r="J9033">
        <v>0</v>
      </c>
    </row>
    <row r="9034" spans="1:10" x14ac:dyDescent="0.3">
      <c r="A9034" s="15">
        <v>46266</v>
      </c>
      <c r="B9034" t="s">
        <v>309</v>
      </c>
      <c r="C9034" t="s">
        <v>91</v>
      </c>
      <c r="D9034" t="s">
        <v>82</v>
      </c>
      <c r="E9034" t="s">
        <v>87</v>
      </c>
      <c r="F9034">
        <v>11800</v>
      </c>
      <c r="G9034" t="s">
        <v>331</v>
      </c>
      <c r="H9034" s="15">
        <v>45292</v>
      </c>
      <c r="I9034">
        <v>11800</v>
      </c>
      <c r="J9034">
        <v>0</v>
      </c>
    </row>
    <row r="9035" spans="1:10" x14ac:dyDescent="0.3">
      <c r="A9035" s="15">
        <v>46266</v>
      </c>
      <c r="B9035" t="s">
        <v>310</v>
      </c>
      <c r="C9035" t="s">
        <v>91</v>
      </c>
      <c r="D9035" t="s">
        <v>99</v>
      </c>
      <c r="E9035" t="s">
        <v>87</v>
      </c>
      <c r="F9035">
        <v>10800</v>
      </c>
      <c r="G9035" t="s">
        <v>332</v>
      </c>
      <c r="H9035" s="15">
        <v>45292</v>
      </c>
      <c r="I9035">
        <v>10000</v>
      </c>
      <c r="J9035">
        <v>800</v>
      </c>
    </row>
    <row r="9036" spans="1:10" x14ac:dyDescent="0.3">
      <c r="A9036" s="15">
        <v>46266</v>
      </c>
      <c r="B9036" t="s">
        <v>315</v>
      </c>
      <c r="C9036" t="s">
        <v>125</v>
      </c>
      <c r="D9036" t="s">
        <v>86</v>
      </c>
      <c r="E9036" t="s">
        <v>92</v>
      </c>
      <c r="F9036">
        <v>76200</v>
      </c>
      <c r="G9036" t="s">
        <v>331</v>
      </c>
      <c r="H9036" s="15">
        <v>45292</v>
      </c>
      <c r="I9036">
        <v>76200</v>
      </c>
      <c r="J9036">
        <v>0</v>
      </c>
    </row>
    <row r="9037" spans="1:10" x14ac:dyDescent="0.3">
      <c r="A9037" s="15">
        <v>46266</v>
      </c>
      <c r="B9037" t="s">
        <v>316</v>
      </c>
      <c r="C9037" t="s">
        <v>81</v>
      </c>
      <c r="D9037" t="s">
        <v>96</v>
      </c>
      <c r="E9037" t="s">
        <v>92</v>
      </c>
      <c r="F9037">
        <v>2000</v>
      </c>
      <c r="G9037" t="s">
        <v>331</v>
      </c>
      <c r="H9037" s="15">
        <v>45292</v>
      </c>
      <c r="I9037">
        <v>2000</v>
      </c>
      <c r="J9037">
        <v>0</v>
      </c>
    </row>
    <row r="9038" spans="1:10" x14ac:dyDescent="0.3">
      <c r="A9038" s="15">
        <v>46266</v>
      </c>
      <c r="B9038" t="s">
        <v>318</v>
      </c>
      <c r="C9038" t="s">
        <v>110</v>
      </c>
      <c r="D9038" t="s">
        <v>82</v>
      </c>
      <c r="E9038" t="s">
        <v>97</v>
      </c>
      <c r="F9038">
        <v>29600</v>
      </c>
      <c r="G9038" t="s">
        <v>331</v>
      </c>
      <c r="H9038" s="15">
        <v>45292</v>
      </c>
      <c r="I9038">
        <v>29600</v>
      </c>
      <c r="J9038">
        <v>0</v>
      </c>
    </row>
    <row r="9039" spans="1:10" x14ac:dyDescent="0.3">
      <c r="A9039" s="15">
        <v>46266</v>
      </c>
      <c r="B9039" t="s">
        <v>320</v>
      </c>
      <c r="C9039" t="s">
        <v>91</v>
      </c>
      <c r="D9039" t="s">
        <v>86</v>
      </c>
      <c r="E9039" t="s">
        <v>97</v>
      </c>
      <c r="F9039">
        <v>7700</v>
      </c>
      <c r="G9039" t="s">
        <v>331</v>
      </c>
      <c r="H9039" s="15">
        <v>45292</v>
      </c>
      <c r="I9039">
        <v>7700</v>
      </c>
      <c r="J9039">
        <v>0</v>
      </c>
    </row>
    <row r="9040" spans="1:10" x14ac:dyDescent="0.3">
      <c r="A9040" s="15">
        <v>46266</v>
      </c>
      <c r="B9040" t="s">
        <v>322</v>
      </c>
      <c r="C9040" t="s">
        <v>81</v>
      </c>
      <c r="D9040" t="s">
        <v>82</v>
      </c>
      <c r="E9040" t="s">
        <v>103</v>
      </c>
      <c r="F9040">
        <v>2000</v>
      </c>
      <c r="G9040" t="s">
        <v>331</v>
      </c>
      <c r="H9040" s="15">
        <v>45292</v>
      </c>
      <c r="I9040">
        <v>2000</v>
      </c>
      <c r="J9040">
        <v>0</v>
      </c>
    </row>
    <row r="9041" spans="1:10" x14ac:dyDescent="0.3">
      <c r="A9041" s="15">
        <v>46266</v>
      </c>
      <c r="B9041" t="s">
        <v>323</v>
      </c>
      <c r="C9041" t="s">
        <v>110</v>
      </c>
      <c r="D9041" t="s">
        <v>82</v>
      </c>
      <c r="E9041" t="s">
        <v>89</v>
      </c>
      <c r="F9041">
        <v>22100</v>
      </c>
      <c r="G9041" t="s">
        <v>331</v>
      </c>
      <c r="H9041" s="15">
        <v>45292</v>
      </c>
      <c r="I9041">
        <v>22100</v>
      </c>
      <c r="J9041">
        <v>0</v>
      </c>
    </row>
    <row r="9042" spans="1:10" x14ac:dyDescent="0.3">
      <c r="A9042" s="15">
        <v>46266</v>
      </c>
      <c r="B9042" t="s">
        <v>324</v>
      </c>
      <c r="C9042" t="s">
        <v>81</v>
      </c>
      <c r="D9042" t="s">
        <v>86</v>
      </c>
      <c r="E9042" t="s">
        <v>87</v>
      </c>
      <c r="F9042">
        <v>2400</v>
      </c>
      <c r="G9042" t="s">
        <v>331</v>
      </c>
      <c r="H9042" s="15">
        <v>45292</v>
      </c>
      <c r="I9042">
        <v>2400</v>
      </c>
      <c r="J9042">
        <v>0</v>
      </c>
    </row>
    <row r="9043" spans="1:10" x14ac:dyDescent="0.3">
      <c r="A9043" s="15">
        <v>46266</v>
      </c>
      <c r="B9043" t="s">
        <v>325</v>
      </c>
      <c r="C9043" t="s">
        <v>91</v>
      </c>
      <c r="D9043" t="s">
        <v>86</v>
      </c>
      <c r="E9043" t="s">
        <v>87</v>
      </c>
      <c r="F9043">
        <v>9400</v>
      </c>
      <c r="G9043" t="s">
        <v>331</v>
      </c>
      <c r="H9043" s="15">
        <v>45292</v>
      </c>
      <c r="I9043">
        <v>9400</v>
      </c>
      <c r="J9043">
        <v>0</v>
      </c>
    </row>
    <row r="9044" spans="1:10" x14ac:dyDescent="0.3">
      <c r="A9044" s="15">
        <v>46266</v>
      </c>
      <c r="B9044" t="s">
        <v>327</v>
      </c>
      <c r="C9044" t="s">
        <v>125</v>
      </c>
      <c r="D9044" t="s">
        <v>99</v>
      </c>
      <c r="E9044" t="s">
        <v>97</v>
      </c>
      <c r="F9044">
        <v>77500</v>
      </c>
      <c r="G9044" t="s">
        <v>331</v>
      </c>
      <c r="H9044" s="15">
        <v>45292</v>
      </c>
      <c r="I9044">
        <v>77500</v>
      </c>
      <c r="J9044">
        <v>0</v>
      </c>
    </row>
    <row r="9045" spans="1:10" x14ac:dyDescent="0.3">
      <c r="A9045" s="15">
        <v>46266</v>
      </c>
      <c r="B9045" t="s">
        <v>329</v>
      </c>
      <c r="C9045" t="s">
        <v>81</v>
      </c>
      <c r="D9045" t="s">
        <v>86</v>
      </c>
      <c r="E9045" t="s">
        <v>101</v>
      </c>
      <c r="F9045">
        <v>2200</v>
      </c>
      <c r="G9045" t="s">
        <v>331</v>
      </c>
      <c r="H9045" s="15">
        <v>45292</v>
      </c>
      <c r="I9045">
        <v>2200</v>
      </c>
      <c r="J9045">
        <v>0</v>
      </c>
    </row>
    <row r="9046" spans="1:10" x14ac:dyDescent="0.3">
      <c r="A9046" s="15">
        <v>46266</v>
      </c>
      <c r="B9046" t="s">
        <v>330</v>
      </c>
      <c r="C9046" t="s">
        <v>125</v>
      </c>
      <c r="D9046" t="s">
        <v>86</v>
      </c>
      <c r="E9046" t="s">
        <v>87</v>
      </c>
      <c r="F9046">
        <v>105400</v>
      </c>
      <c r="G9046" t="s">
        <v>331</v>
      </c>
      <c r="H9046" s="15">
        <v>45292</v>
      </c>
      <c r="I9046">
        <v>105400</v>
      </c>
      <c r="J9046">
        <v>0</v>
      </c>
    </row>
    <row r="9047" spans="1:10" x14ac:dyDescent="0.3">
      <c r="A9047" s="15">
        <v>46266</v>
      </c>
      <c r="B9047" t="s">
        <v>335</v>
      </c>
      <c r="C9047" t="s">
        <v>91</v>
      </c>
      <c r="D9047" t="s">
        <v>86</v>
      </c>
      <c r="E9047" t="s">
        <v>89</v>
      </c>
      <c r="F9047">
        <v>6500</v>
      </c>
      <c r="G9047" t="s">
        <v>331</v>
      </c>
      <c r="H9047" s="15">
        <v>45323</v>
      </c>
      <c r="I9047">
        <v>6500</v>
      </c>
      <c r="J9047">
        <v>0</v>
      </c>
    </row>
    <row r="9048" spans="1:10" x14ac:dyDescent="0.3">
      <c r="A9048" s="15">
        <v>46266</v>
      </c>
      <c r="B9048" t="s">
        <v>339</v>
      </c>
      <c r="C9048" t="s">
        <v>81</v>
      </c>
      <c r="D9048" t="s">
        <v>82</v>
      </c>
      <c r="E9048" t="s">
        <v>103</v>
      </c>
      <c r="F9048">
        <v>1400</v>
      </c>
      <c r="G9048" t="s">
        <v>331</v>
      </c>
      <c r="H9048" s="15">
        <v>45323</v>
      </c>
      <c r="I9048">
        <v>1400</v>
      </c>
      <c r="J9048">
        <v>0</v>
      </c>
    </row>
    <row r="9049" spans="1:10" x14ac:dyDescent="0.3">
      <c r="A9049" s="15">
        <v>46266</v>
      </c>
      <c r="B9049" t="s">
        <v>341</v>
      </c>
      <c r="C9049" t="s">
        <v>110</v>
      </c>
      <c r="D9049" t="s">
        <v>82</v>
      </c>
      <c r="E9049" t="s">
        <v>92</v>
      </c>
      <c r="F9049">
        <v>18800</v>
      </c>
      <c r="G9049" t="s">
        <v>331</v>
      </c>
      <c r="H9049" s="15">
        <v>45323</v>
      </c>
      <c r="I9049">
        <v>18800</v>
      </c>
      <c r="J9049">
        <v>0</v>
      </c>
    </row>
    <row r="9050" spans="1:10" x14ac:dyDescent="0.3">
      <c r="A9050" s="15">
        <v>46266</v>
      </c>
      <c r="B9050" t="s">
        <v>342</v>
      </c>
      <c r="C9050" t="s">
        <v>91</v>
      </c>
      <c r="D9050" t="s">
        <v>82</v>
      </c>
      <c r="E9050" t="s">
        <v>83</v>
      </c>
      <c r="F9050">
        <v>7300</v>
      </c>
      <c r="G9050" t="s">
        <v>331</v>
      </c>
      <c r="H9050" s="15">
        <v>45352</v>
      </c>
      <c r="I9050">
        <v>7300</v>
      </c>
      <c r="J9050">
        <v>0</v>
      </c>
    </row>
    <row r="9051" spans="1:10" x14ac:dyDescent="0.3">
      <c r="A9051" s="15">
        <v>46266</v>
      </c>
      <c r="B9051" t="s">
        <v>343</v>
      </c>
      <c r="C9051" t="s">
        <v>81</v>
      </c>
      <c r="D9051" t="s">
        <v>82</v>
      </c>
      <c r="E9051" t="s">
        <v>89</v>
      </c>
      <c r="F9051">
        <v>2500</v>
      </c>
      <c r="G9051" t="s">
        <v>331</v>
      </c>
      <c r="H9051" s="15">
        <v>45352</v>
      </c>
      <c r="I9051">
        <v>2500</v>
      </c>
      <c r="J9051">
        <v>0</v>
      </c>
    </row>
    <row r="9052" spans="1:10" x14ac:dyDescent="0.3">
      <c r="A9052" s="15">
        <v>46266</v>
      </c>
      <c r="B9052" t="s">
        <v>344</v>
      </c>
      <c r="C9052" t="s">
        <v>110</v>
      </c>
      <c r="D9052" t="s">
        <v>86</v>
      </c>
      <c r="E9052" t="s">
        <v>89</v>
      </c>
      <c r="F9052">
        <v>25800</v>
      </c>
      <c r="G9052" t="s">
        <v>331</v>
      </c>
      <c r="H9052" s="15">
        <v>45352</v>
      </c>
      <c r="I9052">
        <v>25800</v>
      </c>
      <c r="J9052">
        <v>0</v>
      </c>
    </row>
    <row r="9053" spans="1:10" x14ac:dyDescent="0.3">
      <c r="A9053" s="15">
        <v>46266</v>
      </c>
      <c r="B9053" t="s">
        <v>345</v>
      </c>
      <c r="C9053" t="s">
        <v>91</v>
      </c>
      <c r="D9053" t="s">
        <v>86</v>
      </c>
      <c r="E9053" t="s">
        <v>83</v>
      </c>
      <c r="F9053">
        <v>7900</v>
      </c>
      <c r="G9053" t="s">
        <v>331</v>
      </c>
      <c r="H9053" s="15">
        <v>45352</v>
      </c>
      <c r="I9053">
        <v>7900</v>
      </c>
      <c r="J9053">
        <v>0</v>
      </c>
    </row>
    <row r="9054" spans="1:10" x14ac:dyDescent="0.3">
      <c r="A9054" s="15">
        <v>46266</v>
      </c>
      <c r="B9054" t="s">
        <v>346</v>
      </c>
      <c r="C9054" t="s">
        <v>81</v>
      </c>
      <c r="D9054" t="s">
        <v>86</v>
      </c>
      <c r="E9054" t="s">
        <v>97</v>
      </c>
      <c r="F9054">
        <v>1700</v>
      </c>
      <c r="G9054" t="s">
        <v>331</v>
      </c>
      <c r="H9054" s="15">
        <v>45352</v>
      </c>
      <c r="I9054">
        <v>1700</v>
      </c>
      <c r="J9054">
        <v>0</v>
      </c>
    </row>
    <row r="9055" spans="1:10" x14ac:dyDescent="0.3">
      <c r="A9055" s="15">
        <v>46266</v>
      </c>
      <c r="B9055" t="s">
        <v>347</v>
      </c>
      <c r="C9055" t="s">
        <v>91</v>
      </c>
      <c r="D9055" t="s">
        <v>82</v>
      </c>
      <c r="E9055" t="s">
        <v>83</v>
      </c>
      <c r="F9055">
        <v>4700</v>
      </c>
      <c r="G9055" t="s">
        <v>331</v>
      </c>
      <c r="H9055" s="15">
        <v>45383</v>
      </c>
      <c r="I9055">
        <v>4700</v>
      </c>
      <c r="J9055">
        <v>0</v>
      </c>
    </row>
    <row r="9056" spans="1:10" x14ac:dyDescent="0.3">
      <c r="A9056" s="15">
        <v>46266</v>
      </c>
      <c r="B9056" t="s">
        <v>350</v>
      </c>
      <c r="C9056" t="s">
        <v>91</v>
      </c>
      <c r="D9056" t="s">
        <v>82</v>
      </c>
      <c r="E9056" t="s">
        <v>83</v>
      </c>
      <c r="F9056">
        <v>4400</v>
      </c>
      <c r="G9056" t="s">
        <v>331</v>
      </c>
      <c r="H9056" s="15">
        <v>45383</v>
      </c>
      <c r="I9056">
        <v>4400</v>
      </c>
      <c r="J9056">
        <v>0</v>
      </c>
    </row>
    <row r="9057" spans="1:10" x14ac:dyDescent="0.3">
      <c r="A9057" s="15">
        <v>46266</v>
      </c>
      <c r="B9057" t="s">
        <v>351</v>
      </c>
      <c r="C9057" t="s">
        <v>81</v>
      </c>
      <c r="D9057" t="s">
        <v>86</v>
      </c>
      <c r="E9057" t="s">
        <v>83</v>
      </c>
      <c r="F9057">
        <v>2700</v>
      </c>
      <c r="G9057" t="s">
        <v>331</v>
      </c>
      <c r="H9057" s="15">
        <v>45383</v>
      </c>
      <c r="I9057">
        <v>2700</v>
      </c>
      <c r="J9057">
        <v>0</v>
      </c>
    </row>
    <row r="9058" spans="1:10" x14ac:dyDescent="0.3">
      <c r="A9058" s="15">
        <v>46266</v>
      </c>
      <c r="B9058" t="s">
        <v>352</v>
      </c>
      <c r="C9058" t="s">
        <v>91</v>
      </c>
      <c r="D9058" t="s">
        <v>82</v>
      </c>
      <c r="E9058" t="s">
        <v>89</v>
      </c>
      <c r="F9058">
        <v>8800</v>
      </c>
      <c r="G9058" t="s">
        <v>331</v>
      </c>
      <c r="H9058" s="15">
        <v>45383</v>
      </c>
      <c r="I9058">
        <v>8800</v>
      </c>
      <c r="J9058">
        <v>0</v>
      </c>
    </row>
    <row r="9059" spans="1:10" x14ac:dyDescent="0.3">
      <c r="A9059" s="15">
        <v>46266</v>
      </c>
      <c r="B9059" t="s">
        <v>353</v>
      </c>
      <c r="C9059" t="s">
        <v>81</v>
      </c>
      <c r="D9059" t="s">
        <v>99</v>
      </c>
      <c r="E9059" t="s">
        <v>103</v>
      </c>
      <c r="F9059">
        <v>1200</v>
      </c>
      <c r="G9059" t="s">
        <v>331</v>
      </c>
      <c r="H9059" s="15">
        <v>45383</v>
      </c>
      <c r="I9059">
        <v>1200</v>
      </c>
      <c r="J9059">
        <v>0</v>
      </c>
    </row>
    <row r="9060" spans="1:10" x14ac:dyDescent="0.3">
      <c r="A9060" s="15">
        <v>46266</v>
      </c>
      <c r="B9060" t="s">
        <v>354</v>
      </c>
      <c r="C9060" t="s">
        <v>81</v>
      </c>
      <c r="D9060" t="s">
        <v>82</v>
      </c>
      <c r="E9060" t="s">
        <v>92</v>
      </c>
      <c r="F9060">
        <v>1700</v>
      </c>
      <c r="G9060" t="s">
        <v>331</v>
      </c>
      <c r="H9060" s="15">
        <v>45413</v>
      </c>
      <c r="I9060">
        <v>1700</v>
      </c>
      <c r="J9060">
        <v>0</v>
      </c>
    </row>
    <row r="9061" spans="1:10" x14ac:dyDescent="0.3">
      <c r="A9061" s="15">
        <v>46266</v>
      </c>
      <c r="B9061" t="s">
        <v>355</v>
      </c>
      <c r="C9061" t="s">
        <v>81</v>
      </c>
      <c r="D9061" t="s">
        <v>86</v>
      </c>
      <c r="E9061" t="s">
        <v>97</v>
      </c>
      <c r="F9061">
        <v>2000</v>
      </c>
      <c r="G9061" t="s">
        <v>331</v>
      </c>
      <c r="H9061" s="15">
        <v>45413</v>
      </c>
      <c r="I9061">
        <v>2000</v>
      </c>
      <c r="J9061">
        <v>0</v>
      </c>
    </row>
    <row r="9062" spans="1:10" x14ac:dyDescent="0.3">
      <c r="A9062" s="15">
        <v>46266</v>
      </c>
      <c r="B9062" t="s">
        <v>356</v>
      </c>
      <c r="C9062" t="s">
        <v>110</v>
      </c>
      <c r="D9062" t="s">
        <v>82</v>
      </c>
      <c r="E9062" t="s">
        <v>97</v>
      </c>
      <c r="F9062">
        <v>33000</v>
      </c>
      <c r="G9062" t="s">
        <v>331</v>
      </c>
      <c r="H9062" s="15">
        <v>45413</v>
      </c>
      <c r="I9062">
        <v>33000</v>
      </c>
      <c r="J9062">
        <v>0</v>
      </c>
    </row>
    <row r="9063" spans="1:10" x14ac:dyDescent="0.3">
      <c r="A9063" s="15">
        <v>46266</v>
      </c>
      <c r="B9063" t="s">
        <v>359</v>
      </c>
      <c r="C9063" t="s">
        <v>110</v>
      </c>
      <c r="D9063" t="s">
        <v>86</v>
      </c>
      <c r="E9063" t="s">
        <v>101</v>
      </c>
      <c r="F9063">
        <v>28900</v>
      </c>
      <c r="G9063" t="s">
        <v>331</v>
      </c>
      <c r="H9063" s="15">
        <v>45413</v>
      </c>
      <c r="I9063">
        <v>28900</v>
      </c>
      <c r="J9063">
        <v>0</v>
      </c>
    </row>
    <row r="9064" spans="1:10" x14ac:dyDescent="0.3">
      <c r="A9064" s="15">
        <v>46266</v>
      </c>
      <c r="B9064" t="s">
        <v>361</v>
      </c>
      <c r="C9064" t="s">
        <v>91</v>
      </c>
      <c r="D9064" t="s">
        <v>86</v>
      </c>
      <c r="E9064" t="s">
        <v>83</v>
      </c>
      <c r="F9064">
        <v>6600</v>
      </c>
      <c r="G9064" t="s">
        <v>332</v>
      </c>
      <c r="H9064" s="15">
        <v>45444</v>
      </c>
      <c r="I9064">
        <v>5700</v>
      </c>
      <c r="J9064">
        <v>900</v>
      </c>
    </row>
    <row r="9065" spans="1:10" x14ac:dyDescent="0.3">
      <c r="A9065" s="15">
        <v>46266</v>
      </c>
      <c r="B9065" t="s">
        <v>362</v>
      </c>
      <c r="C9065" t="s">
        <v>91</v>
      </c>
      <c r="D9065" t="s">
        <v>82</v>
      </c>
      <c r="E9065" t="s">
        <v>101</v>
      </c>
      <c r="F9065">
        <v>5700</v>
      </c>
      <c r="G9065" t="s">
        <v>331</v>
      </c>
      <c r="H9065" s="15">
        <v>45444</v>
      </c>
      <c r="I9065">
        <v>5700</v>
      </c>
      <c r="J9065">
        <v>0</v>
      </c>
    </row>
    <row r="9066" spans="1:10" x14ac:dyDescent="0.3">
      <c r="A9066" s="15">
        <v>46266</v>
      </c>
      <c r="B9066" t="s">
        <v>363</v>
      </c>
      <c r="C9066" t="s">
        <v>91</v>
      </c>
      <c r="D9066" t="s">
        <v>86</v>
      </c>
      <c r="E9066" t="s">
        <v>83</v>
      </c>
      <c r="F9066">
        <v>4400</v>
      </c>
      <c r="G9066" t="s">
        <v>331</v>
      </c>
      <c r="H9066" s="15">
        <v>45444</v>
      </c>
      <c r="I9066">
        <v>4400</v>
      </c>
      <c r="J9066">
        <v>0</v>
      </c>
    </row>
    <row r="9067" spans="1:10" x14ac:dyDescent="0.3">
      <c r="A9067" s="15">
        <v>46266</v>
      </c>
      <c r="B9067" t="s">
        <v>364</v>
      </c>
      <c r="C9067" t="s">
        <v>91</v>
      </c>
      <c r="D9067" t="s">
        <v>82</v>
      </c>
      <c r="E9067" t="s">
        <v>101</v>
      </c>
      <c r="F9067">
        <v>7600</v>
      </c>
      <c r="G9067" t="s">
        <v>331</v>
      </c>
      <c r="H9067" s="15">
        <v>45444</v>
      </c>
      <c r="I9067">
        <v>7600</v>
      </c>
      <c r="J9067">
        <v>0</v>
      </c>
    </row>
    <row r="9068" spans="1:10" x14ac:dyDescent="0.3">
      <c r="A9068" s="15">
        <v>46266</v>
      </c>
      <c r="B9068" t="s">
        <v>366</v>
      </c>
      <c r="C9068" t="s">
        <v>81</v>
      </c>
      <c r="D9068" t="s">
        <v>99</v>
      </c>
      <c r="E9068" t="s">
        <v>92</v>
      </c>
      <c r="F9068">
        <v>1600</v>
      </c>
      <c r="G9068" t="s">
        <v>331</v>
      </c>
      <c r="H9068" s="15">
        <v>45474</v>
      </c>
      <c r="I9068">
        <v>1600</v>
      </c>
      <c r="J9068">
        <v>0</v>
      </c>
    </row>
    <row r="9069" spans="1:10" x14ac:dyDescent="0.3">
      <c r="A9069" s="15">
        <v>46266</v>
      </c>
      <c r="B9069" t="s">
        <v>368</v>
      </c>
      <c r="C9069" t="s">
        <v>81</v>
      </c>
      <c r="D9069" t="s">
        <v>86</v>
      </c>
      <c r="E9069" t="s">
        <v>89</v>
      </c>
      <c r="F9069">
        <v>1200</v>
      </c>
      <c r="G9069" t="s">
        <v>331</v>
      </c>
      <c r="H9069" s="15">
        <v>45474</v>
      </c>
      <c r="I9069">
        <v>1200</v>
      </c>
      <c r="J9069">
        <v>0</v>
      </c>
    </row>
    <row r="9070" spans="1:10" x14ac:dyDescent="0.3">
      <c r="A9070" s="15">
        <v>46266</v>
      </c>
      <c r="B9070" t="s">
        <v>370</v>
      </c>
      <c r="C9070" t="s">
        <v>81</v>
      </c>
      <c r="D9070" t="s">
        <v>99</v>
      </c>
      <c r="E9070" t="s">
        <v>87</v>
      </c>
      <c r="F9070">
        <v>2300</v>
      </c>
      <c r="G9070" t="s">
        <v>331</v>
      </c>
      <c r="H9070" s="15">
        <v>45474</v>
      </c>
      <c r="I9070">
        <v>2300</v>
      </c>
      <c r="J9070">
        <v>0</v>
      </c>
    </row>
    <row r="9071" spans="1:10" x14ac:dyDescent="0.3">
      <c r="A9071" s="15">
        <v>46266</v>
      </c>
      <c r="B9071" t="s">
        <v>376</v>
      </c>
      <c r="C9071" t="s">
        <v>110</v>
      </c>
      <c r="D9071" t="s">
        <v>86</v>
      </c>
      <c r="E9071" t="s">
        <v>103</v>
      </c>
      <c r="F9071">
        <v>22900</v>
      </c>
      <c r="G9071" t="s">
        <v>331</v>
      </c>
      <c r="H9071" s="15">
        <v>45505</v>
      </c>
      <c r="I9071">
        <v>22900</v>
      </c>
      <c r="J9071">
        <v>0</v>
      </c>
    </row>
    <row r="9072" spans="1:10" x14ac:dyDescent="0.3">
      <c r="A9072" s="15">
        <v>46266</v>
      </c>
      <c r="B9072" t="s">
        <v>377</v>
      </c>
      <c r="C9072" t="s">
        <v>81</v>
      </c>
      <c r="D9072" t="s">
        <v>99</v>
      </c>
      <c r="E9072" t="s">
        <v>92</v>
      </c>
      <c r="F9072">
        <v>2300</v>
      </c>
      <c r="G9072" t="s">
        <v>331</v>
      </c>
      <c r="H9072" s="15">
        <v>45536</v>
      </c>
      <c r="I9072">
        <v>2300</v>
      </c>
      <c r="J9072">
        <v>0</v>
      </c>
    </row>
    <row r="9073" spans="1:10" x14ac:dyDescent="0.3">
      <c r="A9073" s="15">
        <v>46266</v>
      </c>
      <c r="B9073" t="s">
        <v>379</v>
      </c>
      <c r="C9073" t="s">
        <v>81</v>
      </c>
      <c r="D9073" t="s">
        <v>99</v>
      </c>
      <c r="E9073" t="s">
        <v>101</v>
      </c>
      <c r="F9073">
        <v>2300</v>
      </c>
      <c r="G9073" t="s">
        <v>331</v>
      </c>
      <c r="H9073" s="15">
        <v>45536</v>
      </c>
      <c r="I9073">
        <v>2300</v>
      </c>
      <c r="J9073">
        <v>0</v>
      </c>
    </row>
    <row r="9074" spans="1:10" x14ac:dyDescent="0.3">
      <c r="A9074" s="15">
        <v>46266</v>
      </c>
      <c r="B9074" t="s">
        <v>381</v>
      </c>
      <c r="C9074" t="s">
        <v>91</v>
      </c>
      <c r="D9074" t="s">
        <v>86</v>
      </c>
      <c r="E9074" t="s">
        <v>92</v>
      </c>
      <c r="F9074">
        <v>4600</v>
      </c>
      <c r="G9074" t="s">
        <v>331</v>
      </c>
      <c r="H9074" s="15">
        <v>45536</v>
      </c>
      <c r="I9074">
        <v>4600</v>
      </c>
      <c r="J9074">
        <v>0</v>
      </c>
    </row>
    <row r="9075" spans="1:10" x14ac:dyDescent="0.3">
      <c r="A9075" s="15">
        <v>46266</v>
      </c>
      <c r="B9075" t="s">
        <v>382</v>
      </c>
      <c r="C9075" t="s">
        <v>81</v>
      </c>
      <c r="D9075" t="s">
        <v>96</v>
      </c>
      <c r="E9075" t="s">
        <v>101</v>
      </c>
      <c r="F9075">
        <v>2100</v>
      </c>
      <c r="G9075" t="s">
        <v>331</v>
      </c>
      <c r="H9075" s="15">
        <v>45536</v>
      </c>
      <c r="I9075">
        <v>2100</v>
      </c>
      <c r="J9075">
        <v>0</v>
      </c>
    </row>
    <row r="9076" spans="1:10" x14ac:dyDescent="0.3">
      <c r="A9076" s="15">
        <v>46266</v>
      </c>
      <c r="B9076" t="s">
        <v>383</v>
      </c>
      <c r="C9076" t="s">
        <v>81</v>
      </c>
      <c r="D9076" t="s">
        <v>82</v>
      </c>
      <c r="E9076" t="s">
        <v>87</v>
      </c>
      <c r="F9076">
        <v>1600</v>
      </c>
      <c r="G9076" t="s">
        <v>331</v>
      </c>
      <c r="H9076" s="15">
        <v>45536</v>
      </c>
      <c r="I9076">
        <v>1600</v>
      </c>
      <c r="J9076">
        <v>0</v>
      </c>
    </row>
    <row r="9077" spans="1:10" x14ac:dyDescent="0.3">
      <c r="A9077" s="15">
        <v>46266</v>
      </c>
      <c r="B9077" t="s">
        <v>385</v>
      </c>
      <c r="C9077" t="s">
        <v>91</v>
      </c>
      <c r="D9077" t="s">
        <v>99</v>
      </c>
      <c r="E9077" t="s">
        <v>83</v>
      </c>
      <c r="F9077">
        <v>8300</v>
      </c>
      <c r="G9077" t="s">
        <v>331</v>
      </c>
      <c r="H9077" s="15">
        <v>45566</v>
      </c>
      <c r="I9077">
        <v>8300</v>
      </c>
      <c r="J9077">
        <v>0</v>
      </c>
    </row>
    <row r="9078" spans="1:10" x14ac:dyDescent="0.3">
      <c r="A9078" s="15">
        <v>46266</v>
      </c>
      <c r="B9078" t="s">
        <v>386</v>
      </c>
      <c r="C9078" t="s">
        <v>81</v>
      </c>
      <c r="D9078" t="s">
        <v>82</v>
      </c>
      <c r="E9078" t="s">
        <v>103</v>
      </c>
      <c r="F9078">
        <v>2200</v>
      </c>
      <c r="G9078" t="s">
        <v>331</v>
      </c>
      <c r="H9078" s="15">
        <v>45566</v>
      </c>
      <c r="I9078">
        <v>2200</v>
      </c>
      <c r="J9078">
        <v>0</v>
      </c>
    </row>
    <row r="9079" spans="1:10" x14ac:dyDescent="0.3">
      <c r="A9079" s="15">
        <v>46266</v>
      </c>
      <c r="B9079" t="s">
        <v>387</v>
      </c>
      <c r="C9079" t="s">
        <v>81</v>
      </c>
      <c r="D9079" t="s">
        <v>86</v>
      </c>
      <c r="E9079" t="s">
        <v>92</v>
      </c>
      <c r="F9079">
        <v>1500</v>
      </c>
      <c r="G9079" t="s">
        <v>331</v>
      </c>
      <c r="H9079" s="15">
        <v>45566</v>
      </c>
      <c r="I9079">
        <v>1500</v>
      </c>
      <c r="J9079">
        <v>0</v>
      </c>
    </row>
    <row r="9080" spans="1:10" x14ac:dyDescent="0.3">
      <c r="A9080" s="15">
        <v>46266</v>
      </c>
      <c r="B9080" t="s">
        <v>388</v>
      </c>
      <c r="C9080" t="s">
        <v>81</v>
      </c>
      <c r="D9080" t="s">
        <v>99</v>
      </c>
      <c r="E9080" t="s">
        <v>103</v>
      </c>
      <c r="F9080">
        <v>1800</v>
      </c>
      <c r="G9080" t="s">
        <v>331</v>
      </c>
      <c r="H9080" s="15">
        <v>45566</v>
      </c>
      <c r="I9080">
        <v>1800</v>
      </c>
      <c r="J9080">
        <v>0</v>
      </c>
    </row>
    <row r="9081" spans="1:10" x14ac:dyDescent="0.3">
      <c r="A9081" s="15">
        <v>46266</v>
      </c>
      <c r="B9081" t="s">
        <v>390</v>
      </c>
      <c r="C9081" t="s">
        <v>91</v>
      </c>
      <c r="D9081" t="s">
        <v>82</v>
      </c>
      <c r="E9081" t="s">
        <v>89</v>
      </c>
      <c r="F9081">
        <v>6200</v>
      </c>
      <c r="G9081" t="s">
        <v>331</v>
      </c>
      <c r="H9081" s="15">
        <v>45566</v>
      </c>
      <c r="I9081">
        <v>6200</v>
      </c>
      <c r="J9081">
        <v>0</v>
      </c>
    </row>
    <row r="9082" spans="1:10" x14ac:dyDescent="0.3">
      <c r="A9082" s="15">
        <v>46266</v>
      </c>
      <c r="B9082" t="s">
        <v>392</v>
      </c>
      <c r="C9082" t="s">
        <v>91</v>
      </c>
      <c r="D9082" t="s">
        <v>86</v>
      </c>
      <c r="E9082" t="s">
        <v>97</v>
      </c>
      <c r="F9082">
        <v>10000</v>
      </c>
      <c r="G9082" t="s">
        <v>331</v>
      </c>
      <c r="H9082" s="15">
        <v>45597</v>
      </c>
      <c r="I9082">
        <v>10000</v>
      </c>
      <c r="J9082">
        <v>0</v>
      </c>
    </row>
    <row r="9083" spans="1:10" x14ac:dyDescent="0.3">
      <c r="A9083" s="15">
        <v>46266</v>
      </c>
      <c r="B9083" t="s">
        <v>393</v>
      </c>
      <c r="C9083" t="s">
        <v>81</v>
      </c>
      <c r="D9083" t="s">
        <v>82</v>
      </c>
      <c r="E9083" t="s">
        <v>92</v>
      </c>
      <c r="F9083">
        <v>2100</v>
      </c>
      <c r="G9083" t="s">
        <v>331</v>
      </c>
      <c r="H9083" s="15">
        <v>45597</v>
      </c>
      <c r="I9083">
        <v>2100</v>
      </c>
      <c r="J9083">
        <v>0</v>
      </c>
    </row>
    <row r="9084" spans="1:10" x14ac:dyDescent="0.3">
      <c r="A9084" s="15">
        <v>46266</v>
      </c>
      <c r="B9084" t="s">
        <v>394</v>
      </c>
      <c r="C9084" t="s">
        <v>81</v>
      </c>
      <c r="D9084" t="s">
        <v>99</v>
      </c>
      <c r="E9084" t="s">
        <v>87</v>
      </c>
      <c r="F9084">
        <v>1500</v>
      </c>
      <c r="G9084" t="s">
        <v>331</v>
      </c>
      <c r="H9084" s="15">
        <v>45597</v>
      </c>
      <c r="I9084">
        <v>1500</v>
      </c>
      <c r="J9084">
        <v>0</v>
      </c>
    </row>
    <row r="9085" spans="1:10" x14ac:dyDescent="0.3">
      <c r="A9085" s="15">
        <v>46266</v>
      </c>
      <c r="B9085" t="s">
        <v>395</v>
      </c>
      <c r="C9085" t="s">
        <v>81</v>
      </c>
      <c r="D9085" t="s">
        <v>82</v>
      </c>
      <c r="E9085" t="s">
        <v>97</v>
      </c>
      <c r="F9085">
        <v>2500</v>
      </c>
      <c r="G9085" t="s">
        <v>331</v>
      </c>
      <c r="H9085" s="15">
        <v>45627</v>
      </c>
      <c r="I9085">
        <v>2500</v>
      </c>
      <c r="J9085">
        <v>0</v>
      </c>
    </row>
    <row r="9086" spans="1:10" x14ac:dyDescent="0.3">
      <c r="A9086" s="15">
        <v>46266</v>
      </c>
      <c r="B9086" t="s">
        <v>398</v>
      </c>
      <c r="C9086" t="s">
        <v>81</v>
      </c>
      <c r="D9086" t="s">
        <v>86</v>
      </c>
      <c r="E9086" t="s">
        <v>92</v>
      </c>
      <c r="F9086">
        <v>1400</v>
      </c>
      <c r="G9086" t="s">
        <v>331</v>
      </c>
      <c r="H9086" s="15">
        <v>45627</v>
      </c>
      <c r="I9086">
        <v>1400</v>
      </c>
      <c r="J9086">
        <v>0</v>
      </c>
    </row>
    <row r="9087" spans="1:10" x14ac:dyDescent="0.3">
      <c r="A9087" s="15">
        <v>46266</v>
      </c>
      <c r="B9087" t="s">
        <v>399</v>
      </c>
      <c r="C9087" t="s">
        <v>110</v>
      </c>
      <c r="D9087" t="s">
        <v>82</v>
      </c>
      <c r="E9087" t="s">
        <v>101</v>
      </c>
      <c r="F9087">
        <v>17400</v>
      </c>
      <c r="G9087" t="s">
        <v>331</v>
      </c>
      <c r="H9087" s="15">
        <v>45627</v>
      </c>
      <c r="I9087">
        <v>17400</v>
      </c>
      <c r="J9087">
        <v>0</v>
      </c>
    </row>
    <row r="9088" spans="1:10" x14ac:dyDescent="0.3">
      <c r="A9088" s="15">
        <v>46266</v>
      </c>
      <c r="B9088" t="s">
        <v>400</v>
      </c>
      <c r="C9088" t="s">
        <v>91</v>
      </c>
      <c r="D9088" t="s">
        <v>82</v>
      </c>
      <c r="E9088" t="s">
        <v>103</v>
      </c>
      <c r="F9088">
        <v>4600</v>
      </c>
      <c r="G9088" t="s">
        <v>331</v>
      </c>
      <c r="H9088" s="15">
        <v>45627</v>
      </c>
      <c r="I9088">
        <v>4600</v>
      </c>
      <c r="J9088">
        <v>0</v>
      </c>
    </row>
    <row r="9089" spans="1:10" x14ac:dyDescent="0.3">
      <c r="A9089" s="15">
        <v>46266</v>
      </c>
      <c r="B9089" t="s">
        <v>403</v>
      </c>
      <c r="C9089" t="s">
        <v>81</v>
      </c>
      <c r="D9089" t="s">
        <v>82</v>
      </c>
      <c r="E9089" t="s">
        <v>101</v>
      </c>
      <c r="F9089">
        <v>1900</v>
      </c>
      <c r="G9089" t="s">
        <v>331</v>
      </c>
      <c r="H9089" s="15">
        <v>45658</v>
      </c>
      <c r="I9089">
        <v>1900</v>
      </c>
      <c r="J9089">
        <v>0</v>
      </c>
    </row>
    <row r="9090" spans="1:10" x14ac:dyDescent="0.3">
      <c r="A9090" s="15">
        <v>46266</v>
      </c>
      <c r="B9090" t="s">
        <v>404</v>
      </c>
      <c r="C9090" t="s">
        <v>81</v>
      </c>
      <c r="D9090" t="s">
        <v>86</v>
      </c>
      <c r="E9090" t="s">
        <v>83</v>
      </c>
      <c r="F9090">
        <v>2100</v>
      </c>
      <c r="G9090" t="s">
        <v>331</v>
      </c>
      <c r="H9090" s="15">
        <v>45658</v>
      </c>
      <c r="I9090">
        <v>2100</v>
      </c>
      <c r="J9090">
        <v>0</v>
      </c>
    </row>
    <row r="9091" spans="1:10" x14ac:dyDescent="0.3">
      <c r="A9091" s="15">
        <v>46266</v>
      </c>
      <c r="B9091" t="s">
        <v>405</v>
      </c>
      <c r="C9091" t="s">
        <v>81</v>
      </c>
      <c r="D9091" t="s">
        <v>82</v>
      </c>
      <c r="E9091" t="s">
        <v>92</v>
      </c>
      <c r="F9091">
        <v>1600</v>
      </c>
      <c r="G9091" t="s">
        <v>331</v>
      </c>
      <c r="H9091" s="15">
        <v>45658</v>
      </c>
      <c r="I9091">
        <v>1600</v>
      </c>
      <c r="J9091">
        <v>0</v>
      </c>
    </row>
    <row r="9092" spans="1:10" x14ac:dyDescent="0.3">
      <c r="A9092" s="15">
        <v>46266</v>
      </c>
      <c r="B9092" t="s">
        <v>407</v>
      </c>
      <c r="C9092" t="s">
        <v>81</v>
      </c>
      <c r="D9092" t="s">
        <v>82</v>
      </c>
      <c r="E9092" t="s">
        <v>92</v>
      </c>
      <c r="F9092">
        <v>2400</v>
      </c>
      <c r="G9092" t="s">
        <v>331</v>
      </c>
      <c r="H9092" s="15">
        <v>45689</v>
      </c>
      <c r="I9092">
        <v>2400</v>
      </c>
      <c r="J9092">
        <v>0</v>
      </c>
    </row>
    <row r="9093" spans="1:10" x14ac:dyDescent="0.3">
      <c r="A9093" s="15">
        <v>46266</v>
      </c>
      <c r="B9093" t="s">
        <v>409</v>
      </c>
      <c r="C9093" t="s">
        <v>81</v>
      </c>
      <c r="D9093" t="s">
        <v>82</v>
      </c>
      <c r="E9093" t="s">
        <v>83</v>
      </c>
      <c r="F9093">
        <v>1700</v>
      </c>
      <c r="G9093" t="s">
        <v>331</v>
      </c>
      <c r="H9093" s="15">
        <v>45689</v>
      </c>
      <c r="I9093">
        <v>1700</v>
      </c>
      <c r="J9093">
        <v>0</v>
      </c>
    </row>
    <row r="9094" spans="1:10" x14ac:dyDescent="0.3">
      <c r="A9094" s="15">
        <v>46266</v>
      </c>
      <c r="B9094" t="s">
        <v>410</v>
      </c>
      <c r="C9094" t="s">
        <v>125</v>
      </c>
      <c r="D9094" t="s">
        <v>82</v>
      </c>
      <c r="E9094" t="s">
        <v>103</v>
      </c>
      <c r="F9094">
        <v>56400</v>
      </c>
      <c r="G9094" t="s">
        <v>331</v>
      </c>
      <c r="H9094" s="15">
        <v>45689</v>
      </c>
      <c r="I9094">
        <v>56400</v>
      </c>
      <c r="J9094">
        <v>0</v>
      </c>
    </row>
    <row r="9095" spans="1:10" x14ac:dyDescent="0.3">
      <c r="A9095" s="15">
        <v>46266</v>
      </c>
      <c r="B9095" t="s">
        <v>411</v>
      </c>
      <c r="C9095" t="s">
        <v>91</v>
      </c>
      <c r="D9095" t="s">
        <v>86</v>
      </c>
      <c r="E9095" t="s">
        <v>92</v>
      </c>
      <c r="F9095">
        <v>7700</v>
      </c>
      <c r="G9095" t="s">
        <v>331</v>
      </c>
      <c r="H9095" s="15">
        <v>45689</v>
      </c>
      <c r="I9095">
        <v>7700</v>
      </c>
      <c r="J9095">
        <v>0</v>
      </c>
    </row>
    <row r="9096" spans="1:10" x14ac:dyDescent="0.3">
      <c r="A9096" s="15">
        <v>46266</v>
      </c>
      <c r="B9096" t="s">
        <v>413</v>
      </c>
      <c r="C9096" t="s">
        <v>81</v>
      </c>
      <c r="D9096" t="s">
        <v>99</v>
      </c>
      <c r="E9096" t="s">
        <v>101</v>
      </c>
      <c r="F9096">
        <v>2000</v>
      </c>
      <c r="G9096" t="s">
        <v>331</v>
      </c>
      <c r="H9096" s="15">
        <v>45717</v>
      </c>
      <c r="I9096">
        <v>2000</v>
      </c>
      <c r="J9096">
        <v>0</v>
      </c>
    </row>
    <row r="9097" spans="1:10" x14ac:dyDescent="0.3">
      <c r="A9097" s="15">
        <v>46266</v>
      </c>
      <c r="B9097" t="s">
        <v>414</v>
      </c>
      <c r="C9097" t="s">
        <v>110</v>
      </c>
      <c r="D9097" t="s">
        <v>99</v>
      </c>
      <c r="E9097" t="s">
        <v>89</v>
      </c>
      <c r="F9097">
        <v>30900</v>
      </c>
      <c r="G9097" t="s">
        <v>331</v>
      </c>
      <c r="H9097" s="15">
        <v>45717</v>
      </c>
      <c r="I9097">
        <v>30900</v>
      </c>
      <c r="J9097">
        <v>0</v>
      </c>
    </row>
    <row r="9098" spans="1:10" x14ac:dyDescent="0.3">
      <c r="A9098" s="15">
        <v>46266</v>
      </c>
      <c r="B9098" t="s">
        <v>417</v>
      </c>
      <c r="C9098" t="s">
        <v>110</v>
      </c>
      <c r="D9098" t="s">
        <v>86</v>
      </c>
      <c r="E9098" t="s">
        <v>92</v>
      </c>
      <c r="F9098">
        <v>35600</v>
      </c>
      <c r="G9098" t="s">
        <v>331</v>
      </c>
      <c r="H9098" s="15">
        <v>45717</v>
      </c>
      <c r="I9098">
        <v>35600</v>
      </c>
      <c r="J9098">
        <v>0</v>
      </c>
    </row>
    <row r="9099" spans="1:10" x14ac:dyDescent="0.3">
      <c r="A9099" s="15">
        <v>46266</v>
      </c>
      <c r="B9099" t="s">
        <v>418</v>
      </c>
      <c r="C9099" t="s">
        <v>81</v>
      </c>
      <c r="D9099" t="s">
        <v>86</v>
      </c>
      <c r="E9099" t="s">
        <v>92</v>
      </c>
      <c r="F9099">
        <v>1800</v>
      </c>
      <c r="G9099" t="s">
        <v>331</v>
      </c>
      <c r="H9099" s="15">
        <v>45748</v>
      </c>
      <c r="I9099">
        <v>1800</v>
      </c>
      <c r="J9099">
        <v>0</v>
      </c>
    </row>
    <row r="9100" spans="1:10" x14ac:dyDescent="0.3">
      <c r="A9100" s="15">
        <v>46266</v>
      </c>
      <c r="B9100" t="s">
        <v>419</v>
      </c>
      <c r="C9100" t="s">
        <v>125</v>
      </c>
      <c r="D9100" t="s">
        <v>96</v>
      </c>
      <c r="E9100" t="s">
        <v>103</v>
      </c>
      <c r="F9100">
        <v>73300</v>
      </c>
      <c r="G9100" t="s">
        <v>331</v>
      </c>
      <c r="H9100" s="15">
        <v>45748</v>
      </c>
      <c r="I9100">
        <v>73300</v>
      </c>
      <c r="J9100">
        <v>0</v>
      </c>
    </row>
    <row r="9101" spans="1:10" x14ac:dyDescent="0.3">
      <c r="A9101" s="15">
        <v>46266</v>
      </c>
      <c r="B9101" t="s">
        <v>420</v>
      </c>
      <c r="C9101" t="s">
        <v>110</v>
      </c>
      <c r="D9101" t="s">
        <v>96</v>
      </c>
      <c r="E9101" t="s">
        <v>103</v>
      </c>
      <c r="F9101">
        <v>22900</v>
      </c>
      <c r="G9101" t="s">
        <v>331</v>
      </c>
      <c r="H9101" s="15">
        <v>45748</v>
      </c>
      <c r="I9101">
        <v>22900</v>
      </c>
      <c r="J9101">
        <v>0</v>
      </c>
    </row>
    <row r="9102" spans="1:10" x14ac:dyDescent="0.3">
      <c r="A9102" s="15">
        <v>46266</v>
      </c>
      <c r="B9102" t="s">
        <v>421</v>
      </c>
      <c r="C9102" t="s">
        <v>110</v>
      </c>
      <c r="D9102" t="s">
        <v>82</v>
      </c>
      <c r="E9102" t="s">
        <v>103</v>
      </c>
      <c r="F9102">
        <v>18800</v>
      </c>
      <c r="G9102" t="s">
        <v>331</v>
      </c>
      <c r="H9102" s="15">
        <v>45748</v>
      </c>
      <c r="I9102">
        <v>18800</v>
      </c>
      <c r="J9102">
        <v>0</v>
      </c>
    </row>
    <row r="9103" spans="1:10" x14ac:dyDescent="0.3">
      <c r="A9103" s="15">
        <v>46266</v>
      </c>
      <c r="B9103" t="s">
        <v>422</v>
      </c>
      <c r="C9103" t="s">
        <v>81</v>
      </c>
      <c r="D9103" t="s">
        <v>82</v>
      </c>
      <c r="E9103" t="s">
        <v>97</v>
      </c>
      <c r="F9103">
        <v>2300</v>
      </c>
      <c r="G9103" t="s">
        <v>331</v>
      </c>
      <c r="H9103" s="15">
        <v>45748</v>
      </c>
      <c r="I9103">
        <v>2300</v>
      </c>
      <c r="J9103">
        <v>0</v>
      </c>
    </row>
    <row r="9104" spans="1:10" x14ac:dyDescent="0.3">
      <c r="A9104" s="15">
        <v>46266</v>
      </c>
      <c r="B9104" t="s">
        <v>423</v>
      </c>
      <c r="C9104" t="s">
        <v>125</v>
      </c>
      <c r="D9104" t="s">
        <v>86</v>
      </c>
      <c r="E9104" t="s">
        <v>97</v>
      </c>
      <c r="F9104">
        <v>45600</v>
      </c>
      <c r="G9104" t="s">
        <v>331</v>
      </c>
      <c r="H9104" s="15">
        <v>45748</v>
      </c>
      <c r="I9104">
        <v>45600</v>
      </c>
      <c r="J9104">
        <v>0</v>
      </c>
    </row>
    <row r="9105" spans="1:10" x14ac:dyDescent="0.3">
      <c r="A9105" s="15">
        <v>46266</v>
      </c>
      <c r="B9105" t="s">
        <v>425</v>
      </c>
      <c r="C9105" t="s">
        <v>110</v>
      </c>
      <c r="D9105" t="s">
        <v>82</v>
      </c>
      <c r="E9105" t="s">
        <v>97</v>
      </c>
      <c r="F9105">
        <v>22700</v>
      </c>
      <c r="G9105" t="s">
        <v>331</v>
      </c>
      <c r="H9105" s="15">
        <v>45778</v>
      </c>
      <c r="I9105">
        <v>22700</v>
      </c>
      <c r="J9105">
        <v>0</v>
      </c>
    </row>
    <row r="9106" spans="1:10" x14ac:dyDescent="0.3">
      <c r="A9106" s="15">
        <v>46266</v>
      </c>
      <c r="B9106" t="s">
        <v>426</v>
      </c>
      <c r="C9106" t="s">
        <v>81</v>
      </c>
      <c r="D9106" t="s">
        <v>82</v>
      </c>
      <c r="E9106" t="s">
        <v>89</v>
      </c>
      <c r="F9106">
        <v>1600</v>
      </c>
      <c r="G9106" t="s">
        <v>331</v>
      </c>
      <c r="H9106" s="15">
        <v>45778</v>
      </c>
      <c r="I9106">
        <v>1600</v>
      </c>
      <c r="J9106">
        <v>0</v>
      </c>
    </row>
    <row r="9107" spans="1:10" x14ac:dyDescent="0.3">
      <c r="A9107" s="15">
        <v>46266</v>
      </c>
      <c r="B9107" t="s">
        <v>427</v>
      </c>
      <c r="C9107" t="s">
        <v>110</v>
      </c>
      <c r="D9107" t="s">
        <v>82</v>
      </c>
      <c r="E9107" t="s">
        <v>83</v>
      </c>
      <c r="F9107">
        <v>25300</v>
      </c>
      <c r="G9107" t="s">
        <v>331</v>
      </c>
      <c r="H9107" s="15">
        <v>45778</v>
      </c>
      <c r="I9107">
        <v>25300</v>
      </c>
      <c r="J9107">
        <v>0</v>
      </c>
    </row>
    <row r="9108" spans="1:10" x14ac:dyDescent="0.3">
      <c r="A9108" s="15">
        <v>46266</v>
      </c>
      <c r="B9108" t="s">
        <v>428</v>
      </c>
      <c r="C9108" t="s">
        <v>81</v>
      </c>
      <c r="D9108" t="s">
        <v>86</v>
      </c>
      <c r="E9108" t="s">
        <v>89</v>
      </c>
      <c r="F9108">
        <v>2300</v>
      </c>
      <c r="G9108" t="s">
        <v>331</v>
      </c>
      <c r="H9108" s="15">
        <v>45778</v>
      </c>
      <c r="I9108">
        <v>2300</v>
      </c>
      <c r="J9108">
        <v>0</v>
      </c>
    </row>
    <row r="9109" spans="1:10" x14ac:dyDescent="0.3">
      <c r="A9109" s="15">
        <v>46266</v>
      </c>
      <c r="B9109" t="s">
        <v>430</v>
      </c>
      <c r="C9109" t="s">
        <v>110</v>
      </c>
      <c r="D9109" t="s">
        <v>82</v>
      </c>
      <c r="E9109" t="s">
        <v>87</v>
      </c>
      <c r="F9109">
        <v>24300</v>
      </c>
      <c r="G9109" t="s">
        <v>331</v>
      </c>
      <c r="H9109" s="15">
        <v>45809</v>
      </c>
      <c r="I9109">
        <v>24300</v>
      </c>
      <c r="J9109">
        <v>0</v>
      </c>
    </row>
    <row r="9110" spans="1:10" x14ac:dyDescent="0.3">
      <c r="A9110" s="15">
        <v>46266</v>
      </c>
      <c r="B9110" t="s">
        <v>431</v>
      </c>
      <c r="C9110" t="s">
        <v>110</v>
      </c>
      <c r="D9110" t="s">
        <v>82</v>
      </c>
      <c r="E9110" t="s">
        <v>101</v>
      </c>
      <c r="F9110">
        <v>19800</v>
      </c>
      <c r="G9110" t="s">
        <v>331</v>
      </c>
      <c r="H9110" s="15">
        <v>45809</v>
      </c>
      <c r="I9110">
        <v>19800</v>
      </c>
      <c r="J9110">
        <v>0</v>
      </c>
    </row>
    <row r="9111" spans="1:10" x14ac:dyDescent="0.3">
      <c r="A9111" s="15">
        <v>46266</v>
      </c>
      <c r="B9111" t="s">
        <v>435</v>
      </c>
      <c r="C9111" t="s">
        <v>81</v>
      </c>
      <c r="D9111" t="s">
        <v>82</v>
      </c>
      <c r="E9111" t="s">
        <v>92</v>
      </c>
      <c r="F9111">
        <v>1400</v>
      </c>
      <c r="G9111" t="s">
        <v>331</v>
      </c>
      <c r="H9111" s="15">
        <v>45809</v>
      </c>
      <c r="I9111">
        <v>1400</v>
      </c>
      <c r="J9111">
        <v>0</v>
      </c>
    </row>
    <row r="9112" spans="1:10" x14ac:dyDescent="0.3">
      <c r="A9112" s="15">
        <v>46266</v>
      </c>
      <c r="B9112" t="s">
        <v>436</v>
      </c>
      <c r="C9112" t="s">
        <v>81</v>
      </c>
      <c r="D9112" t="s">
        <v>82</v>
      </c>
      <c r="E9112" t="s">
        <v>97</v>
      </c>
      <c r="F9112">
        <v>2100</v>
      </c>
      <c r="G9112" t="s">
        <v>331</v>
      </c>
      <c r="H9112" s="15">
        <v>45839</v>
      </c>
      <c r="I9112">
        <v>2100</v>
      </c>
      <c r="J9112">
        <v>0</v>
      </c>
    </row>
    <row r="9113" spans="1:10" x14ac:dyDescent="0.3">
      <c r="A9113" s="15">
        <v>46266</v>
      </c>
      <c r="B9113" t="s">
        <v>437</v>
      </c>
      <c r="C9113" t="s">
        <v>81</v>
      </c>
      <c r="D9113" t="s">
        <v>99</v>
      </c>
      <c r="E9113" t="s">
        <v>92</v>
      </c>
      <c r="F9113">
        <v>1800</v>
      </c>
      <c r="G9113" t="s">
        <v>331</v>
      </c>
      <c r="H9113" s="15">
        <v>45839</v>
      </c>
      <c r="I9113">
        <v>1800</v>
      </c>
      <c r="J9113">
        <v>0</v>
      </c>
    </row>
    <row r="9114" spans="1:10" x14ac:dyDescent="0.3">
      <c r="A9114" s="15">
        <v>46266</v>
      </c>
      <c r="B9114" t="s">
        <v>438</v>
      </c>
      <c r="C9114" t="s">
        <v>91</v>
      </c>
      <c r="D9114" t="s">
        <v>96</v>
      </c>
      <c r="E9114" t="s">
        <v>101</v>
      </c>
      <c r="F9114">
        <v>8600</v>
      </c>
      <c r="G9114" t="s">
        <v>331</v>
      </c>
      <c r="H9114" s="15">
        <v>45839</v>
      </c>
      <c r="I9114">
        <v>8600</v>
      </c>
      <c r="J9114">
        <v>0</v>
      </c>
    </row>
    <row r="9115" spans="1:10" x14ac:dyDescent="0.3">
      <c r="A9115" s="15">
        <v>46266</v>
      </c>
      <c r="B9115" t="s">
        <v>439</v>
      </c>
      <c r="C9115" t="s">
        <v>81</v>
      </c>
      <c r="D9115" t="s">
        <v>99</v>
      </c>
      <c r="E9115" t="s">
        <v>87</v>
      </c>
      <c r="F9115">
        <v>1700</v>
      </c>
      <c r="G9115" t="s">
        <v>331</v>
      </c>
      <c r="H9115" s="15">
        <v>45839</v>
      </c>
      <c r="I9115">
        <v>1700</v>
      </c>
      <c r="J9115">
        <v>0</v>
      </c>
    </row>
    <row r="9116" spans="1:10" x14ac:dyDescent="0.3">
      <c r="A9116" s="15">
        <v>46266</v>
      </c>
      <c r="B9116" t="s">
        <v>440</v>
      </c>
      <c r="C9116" t="s">
        <v>81</v>
      </c>
      <c r="D9116" t="s">
        <v>82</v>
      </c>
      <c r="E9116" t="s">
        <v>97</v>
      </c>
      <c r="F9116">
        <v>2200</v>
      </c>
      <c r="G9116" t="s">
        <v>331</v>
      </c>
      <c r="H9116" s="15">
        <v>45839</v>
      </c>
      <c r="I9116">
        <v>2200</v>
      </c>
      <c r="J9116">
        <v>0</v>
      </c>
    </row>
    <row r="9117" spans="1:10" x14ac:dyDescent="0.3">
      <c r="A9117" s="15">
        <v>46266</v>
      </c>
      <c r="B9117" t="s">
        <v>441</v>
      </c>
      <c r="C9117" t="s">
        <v>110</v>
      </c>
      <c r="D9117" t="s">
        <v>86</v>
      </c>
      <c r="E9117" t="s">
        <v>97</v>
      </c>
      <c r="F9117">
        <v>35800</v>
      </c>
      <c r="G9117" t="s">
        <v>331</v>
      </c>
      <c r="H9117" s="15">
        <v>45839</v>
      </c>
      <c r="I9117">
        <v>35800</v>
      </c>
      <c r="J9117">
        <v>0</v>
      </c>
    </row>
    <row r="9118" spans="1:10" x14ac:dyDescent="0.3">
      <c r="A9118" s="15">
        <v>46266</v>
      </c>
      <c r="B9118" t="s">
        <v>442</v>
      </c>
      <c r="C9118" t="s">
        <v>110</v>
      </c>
      <c r="D9118" t="s">
        <v>86</v>
      </c>
      <c r="E9118" t="s">
        <v>83</v>
      </c>
      <c r="F9118">
        <v>23900</v>
      </c>
      <c r="G9118" t="s">
        <v>331</v>
      </c>
      <c r="H9118" s="15">
        <v>45870</v>
      </c>
      <c r="I9118">
        <v>23900</v>
      </c>
      <c r="J9118">
        <v>0</v>
      </c>
    </row>
    <row r="9119" spans="1:10" x14ac:dyDescent="0.3">
      <c r="A9119" s="15">
        <v>46266</v>
      </c>
      <c r="B9119" t="s">
        <v>443</v>
      </c>
      <c r="C9119" t="s">
        <v>81</v>
      </c>
      <c r="D9119" t="s">
        <v>86</v>
      </c>
      <c r="E9119" t="s">
        <v>101</v>
      </c>
      <c r="F9119">
        <v>1800</v>
      </c>
      <c r="G9119" t="s">
        <v>331</v>
      </c>
      <c r="H9119" s="15">
        <v>45870</v>
      </c>
      <c r="I9119">
        <v>1800</v>
      </c>
      <c r="J9119">
        <v>0</v>
      </c>
    </row>
    <row r="9120" spans="1:10" x14ac:dyDescent="0.3">
      <c r="A9120" s="15">
        <v>46266</v>
      </c>
      <c r="B9120" t="s">
        <v>444</v>
      </c>
      <c r="C9120" t="s">
        <v>125</v>
      </c>
      <c r="D9120" t="s">
        <v>82</v>
      </c>
      <c r="E9120" t="s">
        <v>92</v>
      </c>
      <c r="F9120">
        <v>71600</v>
      </c>
      <c r="G9120" t="s">
        <v>331</v>
      </c>
      <c r="H9120" s="15">
        <v>45870</v>
      </c>
      <c r="I9120">
        <v>71600</v>
      </c>
      <c r="J9120">
        <v>0</v>
      </c>
    </row>
    <row r="9121" spans="1:10" x14ac:dyDescent="0.3">
      <c r="A9121" s="15">
        <v>46266</v>
      </c>
      <c r="B9121" t="s">
        <v>445</v>
      </c>
      <c r="C9121" t="s">
        <v>91</v>
      </c>
      <c r="D9121" t="s">
        <v>82</v>
      </c>
      <c r="E9121" t="s">
        <v>89</v>
      </c>
      <c r="F9121">
        <v>4700</v>
      </c>
      <c r="G9121" t="s">
        <v>331</v>
      </c>
      <c r="H9121" s="15">
        <v>45870</v>
      </c>
      <c r="I9121">
        <v>4700</v>
      </c>
      <c r="J9121">
        <v>0</v>
      </c>
    </row>
    <row r="9122" spans="1:10" x14ac:dyDescent="0.3">
      <c r="A9122" s="15">
        <v>46266</v>
      </c>
      <c r="B9122" t="s">
        <v>446</v>
      </c>
      <c r="C9122" t="s">
        <v>81</v>
      </c>
      <c r="D9122" t="s">
        <v>86</v>
      </c>
      <c r="E9122" t="s">
        <v>97</v>
      </c>
      <c r="F9122">
        <v>1600</v>
      </c>
      <c r="G9122" t="s">
        <v>331</v>
      </c>
      <c r="H9122" s="15">
        <v>45870</v>
      </c>
      <c r="I9122">
        <v>1600</v>
      </c>
      <c r="J9122">
        <v>0</v>
      </c>
    </row>
    <row r="9123" spans="1:10" x14ac:dyDescent="0.3">
      <c r="A9123" s="15">
        <v>46266</v>
      </c>
      <c r="B9123" t="s">
        <v>447</v>
      </c>
      <c r="C9123" t="s">
        <v>81</v>
      </c>
      <c r="D9123" t="s">
        <v>86</v>
      </c>
      <c r="E9123" t="s">
        <v>103</v>
      </c>
      <c r="F9123">
        <v>2300</v>
      </c>
      <c r="G9123" t="s">
        <v>331</v>
      </c>
      <c r="H9123" s="15">
        <v>45870</v>
      </c>
      <c r="I9123">
        <v>2300</v>
      </c>
      <c r="J9123">
        <v>0</v>
      </c>
    </row>
    <row r="9124" spans="1:10" x14ac:dyDescent="0.3">
      <c r="A9124" s="15">
        <v>46266</v>
      </c>
      <c r="B9124" t="s">
        <v>449</v>
      </c>
      <c r="C9124" t="s">
        <v>81</v>
      </c>
      <c r="D9124" t="s">
        <v>82</v>
      </c>
      <c r="E9124" t="s">
        <v>92</v>
      </c>
      <c r="F9124">
        <v>1600</v>
      </c>
      <c r="G9124" t="s">
        <v>331</v>
      </c>
      <c r="H9124" s="15">
        <v>45870</v>
      </c>
      <c r="I9124">
        <v>1600</v>
      </c>
      <c r="J9124">
        <v>0</v>
      </c>
    </row>
    <row r="9125" spans="1:10" x14ac:dyDescent="0.3">
      <c r="A9125" s="15">
        <v>46266</v>
      </c>
      <c r="B9125" t="s">
        <v>450</v>
      </c>
      <c r="C9125" t="s">
        <v>81</v>
      </c>
      <c r="D9125" t="s">
        <v>86</v>
      </c>
      <c r="E9125" t="s">
        <v>89</v>
      </c>
      <c r="F9125">
        <v>1900</v>
      </c>
      <c r="G9125" t="s">
        <v>331</v>
      </c>
      <c r="H9125" s="15">
        <v>45901</v>
      </c>
      <c r="I9125">
        <v>1900</v>
      </c>
      <c r="J9125">
        <v>0</v>
      </c>
    </row>
    <row r="9126" spans="1:10" x14ac:dyDescent="0.3">
      <c r="A9126" s="15">
        <v>46266</v>
      </c>
      <c r="B9126" t="s">
        <v>452</v>
      </c>
      <c r="C9126" t="s">
        <v>91</v>
      </c>
      <c r="D9126" t="s">
        <v>86</v>
      </c>
      <c r="E9126" t="s">
        <v>92</v>
      </c>
      <c r="F9126">
        <v>8600</v>
      </c>
      <c r="G9126" t="s">
        <v>331</v>
      </c>
      <c r="H9126" s="15">
        <v>45901</v>
      </c>
      <c r="I9126">
        <v>8600</v>
      </c>
      <c r="J9126">
        <v>0</v>
      </c>
    </row>
    <row r="9127" spans="1:10" x14ac:dyDescent="0.3">
      <c r="A9127" s="15">
        <v>46266</v>
      </c>
      <c r="B9127" t="s">
        <v>454</v>
      </c>
      <c r="C9127" t="s">
        <v>91</v>
      </c>
      <c r="D9127" t="s">
        <v>82</v>
      </c>
      <c r="E9127" t="s">
        <v>89</v>
      </c>
      <c r="F9127">
        <v>6200</v>
      </c>
      <c r="G9127" t="s">
        <v>331</v>
      </c>
      <c r="H9127" s="15">
        <v>45901</v>
      </c>
      <c r="I9127">
        <v>6200</v>
      </c>
      <c r="J9127">
        <v>0</v>
      </c>
    </row>
    <row r="9128" spans="1:10" x14ac:dyDescent="0.3">
      <c r="A9128" s="15">
        <v>46266</v>
      </c>
      <c r="B9128" t="s">
        <v>455</v>
      </c>
      <c r="C9128" t="s">
        <v>125</v>
      </c>
      <c r="D9128" t="s">
        <v>99</v>
      </c>
      <c r="E9128" t="s">
        <v>103</v>
      </c>
      <c r="F9128">
        <v>75900</v>
      </c>
      <c r="G9128" t="s">
        <v>331</v>
      </c>
      <c r="H9128" s="15">
        <v>45901</v>
      </c>
      <c r="I9128">
        <v>75900</v>
      </c>
      <c r="J9128">
        <v>0</v>
      </c>
    </row>
    <row r="9129" spans="1:10" x14ac:dyDescent="0.3">
      <c r="A9129" s="15">
        <v>46266</v>
      </c>
      <c r="B9129" t="s">
        <v>457</v>
      </c>
      <c r="C9129" t="s">
        <v>81</v>
      </c>
      <c r="D9129" t="s">
        <v>86</v>
      </c>
      <c r="E9129" t="s">
        <v>89</v>
      </c>
      <c r="F9129">
        <v>2600</v>
      </c>
      <c r="G9129" t="s">
        <v>331</v>
      </c>
      <c r="H9129" s="15">
        <v>45931</v>
      </c>
      <c r="I9129">
        <v>2600</v>
      </c>
      <c r="J9129">
        <v>0</v>
      </c>
    </row>
    <row r="9130" spans="1:10" x14ac:dyDescent="0.3">
      <c r="A9130" s="15">
        <v>46266</v>
      </c>
      <c r="B9130" t="s">
        <v>458</v>
      </c>
      <c r="C9130" t="s">
        <v>91</v>
      </c>
      <c r="D9130" t="s">
        <v>86</v>
      </c>
      <c r="E9130" t="s">
        <v>83</v>
      </c>
      <c r="F9130">
        <v>8900</v>
      </c>
      <c r="G9130" t="s">
        <v>331</v>
      </c>
      <c r="H9130" s="15">
        <v>45931</v>
      </c>
      <c r="I9130">
        <v>8900</v>
      </c>
      <c r="J9130">
        <v>0</v>
      </c>
    </row>
    <row r="9131" spans="1:10" x14ac:dyDescent="0.3">
      <c r="A9131" s="15">
        <v>46266</v>
      </c>
      <c r="B9131" t="s">
        <v>461</v>
      </c>
      <c r="C9131" t="s">
        <v>81</v>
      </c>
      <c r="D9131" t="s">
        <v>86</v>
      </c>
      <c r="E9131" t="s">
        <v>92</v>
      </c>
      <c r="F9131">
        <v>1700</v>
      </c>
      <c r="G9131" t="s">
        <v>331</v>
      </c>
      <c r="H9131" s="15">
        <v>45931</v>
      </c>
      <c r="I9131">
        <v>1700</v>
      </c>
      <c r="J9131">
        <v>0</v>
      </c>
    </row>
    <row r="9132" spans="1:10" x14ac:dyDescent="0.3">
      <c r="A9132" s="15">
        <v>46266</v>
      </c>
      <c r="B9132" t="s">
        <v>462</v>
      </c>
      <c r="C9132" t="s">
        <v>81</v>
      </c>
      <c r="D9132" t="s">
        <v>86</v>
      </c>
      <c r="E9132" t="s">
        <v>92</v>
      </c>
      <c r="F9132">
        <v>2200</v>
      </c>
      <c r="G9132" t="s">
        <v>331</v>
      </c>
      <c r="H9132" s="15">
        <v>45931</v>
      </c>
      <c r="I9132">
        <v>2200</v>
      </c>
      <c r="J9132">
        <v>0</v>
      </c>
    </row>
    <row r="9133" spans="1:10" x14ac:dyDescent="0.3">
      <c r="A9133" s="15">
        <v>46266</v>
      </c>
      <c r="B9133" t="s">
        <v>464</v>
      </c>
      <c r="C9133" t="s">
        <v>91</v>
      </c>
      <c r="D9133" t="s">
        <v>99</v>
      </c>
      <c r="E9133" t="s">
        <v>87</v>
      </c>
      <c r="F9133">
        <v>6000</v>
      </c>
      <c r="G9133" t="s">
        <v>331</v>
      </c>
      <c r="H9133" s="15">
        <v>45962</v>
      </c>
      <c r="I9133">
        <v>6000</v>
      </c>
      <c r="J9133">
        <v>0</v>
      </c>
    </row>
    <row r="9134" spans="1:10" x14ac:dyDescent="0.3">
      <c r="A9134" s="15">
        <v>46266</v>
      </c>
      <c r="B9134" t="s">
        <v>466</v>
      </c>
      <c r="C9134" t="s">
        <v>81</v>
      </c>
      <c r="D9134" t="s">
        <v>99</v>
      </c>
      <c r="E9134" t="s">
        <v>92</v>
      </c>
      <c r="F9134">
        <v>1400</v>
      </c>
      <c r="G9134" t="s">
        <v>331</v>
      </c>
      <c r="H9134" s="15">
        <v>45962</v>
      </c>
      <c r="I9134">
        <v>1400</v>
      </c>
      <c r="J9134">
        <v>0</v>
      </c>
    </row>
    <row r="9135" spans="1:10" x14ac:dyDescent="0.3">
      <c r="A9135" s="15">
        <v>46266</v>
      </c>
      <c r="B9135" t="s">
        <v>467</v>
      </c>
      <c r="C9135" t="s">
        <v>91</v>
      </c>
      <c r="D9135" t="s">
        <v>86</v>
      </c>
      <c r="E9135" t="s">
        <v>89</v>
      </c>
      <c r="F9135">
        <v>8200</v>
      </c>
      <c r="G9135" t="s">
        <v>331</v>
      </c>
      <c r="H9135" s="15">
        <v>45962</v>
      </c>
      <c r="I9135">
        <v>8200</v>
      </c>
      <c r="J9135">
        <v>0</v>
      </c>
    </row>
    <row r="9136" spans="1:10" x14ac:dyDescent="0.3">
      <c r="A9136" s="15">
        <v>46266</v>
      </c>
      <c r="B9136" t="s">
        <v>469</v>
      </c>
      <c r="C9136" t="s">
        <v>81</v>
      </c>
      <c r="D9136" t="s">
        <v>86</v>
      </c>
      <c r="E9136" t="s">
        <v>87</v>
      </c>
      <c r="F9136">
        <v>2000</v>
      </c>
      <c r="G9136" t="s">
        <v>332</v>
      </c>
      <c r="H9136" s="15">
        <v>45992</v>
      </c>
      <c r="I9136">
        <v>1800</v>
      </c>
      <c r="J9136">
        <v>200</v>
      </c>
    </row>
    <row r="9137" spans="1:10" x14ac:dyDescent="0.3">
      <c r="A9137" s="15">
        <v>46266</v>
      </c>
      <c r="B9137" t="s">
        <v>470</v>
      </c>
      <c r="C9137" t="s">
        <v>81</v>
      </c>
      <c r="D9137" t="s">
        <v>86</v>
      </c>
      <c r="E9137" t="s">
        <v>103</v>
      </c>
      <c r="F9137">
        <v>1600</v>
      </c>
      <c r="G9137" t="s">
        <v>331</v>
      </c>
      <c r="H9137" s="15">
        <v>45992</v>
      </c>
      <c r="I9137">
        <v>1600</v>
      </c>
      <c r="J9137">
        <v>0</v>
      </c>
    </row>
    <row r="9138" spans="1:10" x14ac:dyDescent="0.3">
      <c r="A9138" s="15">
        <v>46266</v>
      </c>
      <c r="B9138" t="s">
        <v>471</v>
      </c>
      <c r="C9138" t="s">
        <v>110</v>
      </c>
      <c r="D9138" t="s">
        <v>86</v>
      </c>
      <c r="E9138" t="s">
        <v>103</v>
      </c>
      <c r="F9138">
        <v>31000</v>
      </c>
      <c r="G9138" t="s">
        <v>331</v>
      </c>
      <c r="H9138" s="15">
        <v>45992</v>
      </c>
      <c r="I9138">
        <v>31000</v>
      </c>
      <c r="J9138">
        <v>0</v>
      </c>
    </row>
    <row r="9139" spans="1:10" x14ac:dyDescent="0.3">
      <c r="A9139" s="15">
        <v>46266</v>
      </c>
      <c r="B9139" t="s">
        <v>472</v>
      </c>
      <c r="C9139" t="s">
        <v>91</v>
      </c>
      <c r="D9139" t="s">
        <v>86</v>
      </c>
      <c r="E9139" t="s">
        <v>97</v>
      </c>
      <c r="F9139">
        <v>5100</v>
      </c>
      <c r="G9139" t="s">
        <v>331</v>
      </c>
      <c r="H9139" s="15">
        <v>45992</v>
      </c>
      <c r="I9139">
        <v>5100</v>
      </c>
      <c r="J9139">
        <v>0</v>
      </c>
    </row>
    <row r="9140" spans="1:10" x14ac:dyDescent="0.3">
      <c r="A9140" s="15">
        <v>46266</v>
      </c>
      <c r="B9140" t="s">
        <v>475</v>
      </c>
      <c r="C9140" t="s">
        <v>110</v>
      </c>
      <c r="D9140" t="s">
        <v>82</v>
      </c>
      <c r="E9140" t="s">
        <v>101</v>
      </c>
      <c r="F9140">
        <v>35000</v>
      </c>
      <c r="G9140" t="s">
        <v>331</v>
      </c>
      <c r="H9140" s="15">
        <v>45992</v>
      </c>
      <c r="I9140">
        <v>35000</v>
      </c>
      <c r="J9140">
        <v>0</v>
      </c>
    </row>
    <row r="9141" spans="1:10" x14ac:dyDescent="0.3">
      <c r="A9141" s="15">
        <v>46266</v>
      </c>
      <c r="B9141" t="s">
        <v>476</v>
      </c>
      <c r="C9141" t="s">
        <v>81</v>
      </c>
      <c r="D9141" t="s">
        <v>82</v>
      </c>
      <c r="E9141" t="s">
        <v>89</v>
      </c>
      <c r="F9141">
        <v>2600</v>
      </c>
      <c r="G9141" t="s">
        <v>331</v>
      </c>
      <c r="H9141" s="15">
        <v>45992</v>
      </c>
      <c r="I9141">
        <v>2600</v>
      </c>
      <c r="J9141">
        <v>0</v>
      </c>
    </row>
    <row r="9142" spans="1:10" x14ac:dyDescent="0.3">
      <c r="A9142" s="15">
        <v>46266</v>
      </c>
      <c r="B9142" t="s">
        <v>477</v>
      </c>
      <c r="C9142" t="s">
        <v>81</v>
      </c>
      <c r="D9142" t="s">
        <v>82</v>
      </c>
      <c r="E9142" t="s">
        <v>92</v>
      </c>
      <c r="F9142">
        <v>2100</v>
      </c>
      <c r="G9142" t="s">
        <v>331</v>
      </c>
      <c r="H9142" s="15">
        <v>46023</v>
      </c>
      <c r="I9142">
        <v>2100</v>
      </c>
      <c r="J9142">
        <v>0</v>
      </c>
    </row>
    <row r="9143" spans="1:10" x14ac:dyDescent="0.3">
      <c r="A9143" s="15">
        <v>46266</v>
      </c>
      <c r="B9143" t="s">
        <v>478</v>
      </c>
      <c r="C9143" t="s">
        <v>91</v>
      </c>
      <c r="D9143" t="s">
        <v>82</v>
      </c>
      <c r="E9143" t="s">
        <v>97</v>
      </c>
      <c r="F9143">
        <v>6500</v>
      </c>
      <c r="G9143" t="s">
        <v>331</v>
      </c>
      <c r="H9143" s="15">
        <v>46023</v>
      </c>
      <c r="I9143">
        <v>6500</v>
      </c>
      <c r="J9143">
        <v>0</v>
      </c>
    </row>
    <row r="9144" spans="1:10" x14ac:dyDescent="0.3">
      <c r="A9144" s="15">
        <v>46266</v>
      </c>
      <c r="B9144" t="s">
        <v>479</v>
      </c>
      <c r="C9144" t="s">
        <v>81</v>
      </c>
      <c r="D9144" t="s">
        <v>82</v>
      </c>
      <c r="E9144" t="s">
        <v>87</v>
      </c>
      <c r="F9144">
        <v>1800</v>
      </c>
      <c r="G9144" t="s">
        <v>331</v>
      </c>
      <c r="H9144" s="15">
        <v>46023</v>
      </c>
      <c r="I9144">
        <v>1800</v>
      </c>
      <c r="J9144">
        <v>0</v>
      </c>
    </row>
    <row r="9145" spans="1:10" x14ac:dyDescent="0.3">
      <c r="A9145" s="15">
        <v>46266</v>
      </c>
      <c r="B9145" t="s">
        <v>480</v>
      </c>
      <c r="C9145" t="s">
        <v>81</v>
      </c>
      <c r="D9145" t="s">
        <v>86</v>
      </c>
      <c r="E9145" t="s">
        <v>103</v>
      </c>
      <c r="F9145">
        <v>1600</v>
      </c>
      <c r="G9145" t="s">
        <v>331</v>
      </c>
      <c r="H9145" s="15">
        <v>46023</v>
      </c>
      <c r="I9145">
        <v>1600</v>
      </c>
      <c r="J9145">
        <v>0</v>
      </c>
    </row>
    <row r="9146" spans="1:10" x14ac:dyDescent="0.3">
      <c r="A9146" s="15">
        <v>46266</v>
      </c>
      <c r="B9146" t="s">
        <v>481</v>
      </c>
      <c r="C9146" t="s">
        <v>81</v>
      </c>
      <c r="D9146" t="s">
        <v>82</v>
      </c>
      <c r="E9146" t="s">
        <v>103</v>
      </c>
      <c r="F9146">
        <v>1800</v>
      </c>
      <c r="G9146" t="s">
        <v>331</v>
      </c>
      <c r="H9146" s="15">
        <v>46023</v>
      </c>
      <c r="I9146">
        <v>1800</v>
      </c>
      <c r="J9146">
        <v>0</v>
      </c>
    </row>
    <row r="9147" spans="1:10" x14ac:dyDescent="0.3">
      <c r="A9147" s="15">
        <v>46266</v>
      </c>
      <c r="B9147" t="s">
        <v>482</v>
      </c>
      <c r="C9147" t="s">
        <v>110</v>
      </c>
      <c r="D9147" t="s">
        <v>82</v>
      </c>
      <c r="E9147" t="s">
        <v>83</v>
      </c>
      <c r="F9147">
        <v>18100</v>
      </c>
      <c r="G9147" t="s">
        <v>331</v>
      </c>
      <c r="H9147" s="15">
        <v>46023</v>
      </c>
      <c r="I9147">
        <v>18100</v>
      </c>
      <c r="J9147">
        <v>0</v>
      </c>
    </row>
    <row r="9148" spans="1:10" x14ac:dyDescent="0.3">
      <c r="A9148" s="15">
        <v>46266</v>
      </c>
      <c r="B9148" t="s">
        <v>483</v>
      </c>
      <c r="C9148" t="s">
        <v>81</v>
      </c>
      <c r="D9148" t="s">
        <v>82</v>
      </c>
      <c r="E9148" t="s">
        <v>89</v>
      </c>
      <c r="F9148">
        <v>2000</v>
      </c>
      <c r="G9148" t="s">
        <v>331</v>
      </c>
      <c r="H9148" s="15">
        <v>46023</v>
      </c>
      <c r="I9148">
        <v>2000</v>
      </c>
      <c r="J9148">
        <v>0</v>
      </c>
    </row>
    <row r="9149" spans="1:10" x14ac:dyDescent="0.3">
      <c r="A9149" s="15">
        <v>46266</v>
      </c>
      <c r="B9149" t="s">
        <v>484</v>
      </c>
      <c r="C9149" t="s">
        <v>110</v>
      </c>
      <c r="D9149" t="s">
        <v>99</v>
      </c>
      <c r="E9149" t="s">
        <v>101</v>
      </c>
      <c r="F9149">
        <v>21400</v>
      </c>
      <c r="G9149" t="s">
        <v>331</v>
      </c>
      <c r="H9149" s="15">
        <v>46054</v>
      </c>
      <c r="I9149">
        <v>21400</v>
      </c>
      <c r="J9149">
        <v>0</v>
      </c>
    </row>
    <row r="9150" spans="1:10" x14ac:dyDescent="0.3">
      <c r="A9150" s="15">
        <v>46266</v>
      </c>
      <c r="B9150" t="s">
        <v>485</v>
      </c>
      <c r="C9150" t="s">
        <v>125</v>
      </c>
      <c r="D9150" t="s">
        <v>82</v>
      </c>
      <c r="E9150" t="s">
        <v>89</v>
      </c>
      <c r="F9150">
        <v>65800</v>
      </c>
      <c r="G9150" t="s">
        <v>331</v>
      </c>
      <c r="H9150" s="15">
        <v>46054</v>
      </c>
      <c r="I9150">
        <v>65800</v>
      </c>
      <c r="J9150">
        <v>0</v>
      </c>
    </row>
    <row r="9151" spans="1:10" x14ac:dyDescent="0.3">
      <c r="A9151" s="15">
        <v>46266</v>
      </c>
      <c r="B9151" t="s">
        <v>486</v>
      </c>
      <c r="C9151" t="s">
        <v>81</v>
      </c>
      <c r="D9151" t="s">
        <v>82</v>
      </c>
      <c r="E9151" t="s">
        <v>87</v>
      </c>
      <c r="F9151">
        <v>1500</v>
      </c>
      <c r="G9151" t="s">
        <v>331</v>
      </c>
      <c r="H9151" s="15">
        <v>46054</v>
      </c>
      <c r="I9151">
        <v>1500</v>
      </c>
      <c r="J9151">
        <v>0</v>
      </c>
    </row>
    <row r="9152" spans="1:10" x14ac:dyDescent="0.3">
      <c r="A9152" s="15">
        <v>46266</v>
      </c>
      <c r="B9152" t="s">
        <v>487</v>
      </c>
      <c r="C9152" t="s">
        <v>81</v>
      </c>
      <c r="D9152" t="s">
        <v>86</v>
      </c>
      <c r="E9152" t="s">
        <v>83</v>
      </c>
      <c r="F9152">
        <v>1800</v>
      </c>
      <c r="G9152" t="s">
        <v>331</v>
      </c>
      <c r="H9152" s="15">
        <v>46054</v>
      </c>
      <c r="I9152">
        <v>1800</v>
      </c>
      <c r="J9152">
        <v>0</v>
      </c>
    </row>
    <row r="9153" spans="1:10" x14ac:dyDescent="0.3">
      <c r="A9153" s="15">
        <v>46266</v>
      </c>
      <c r="B9153" t="s">
        <v>488</v>
      </c>
      <c r="C9153" t="s">
        <v>91</v>
      </c>
      <c r="D9153" t="s">
        <v>86</v>
      </c>
      <c r="E9153" t="s">
        <v>89</v>
      </c>
      <c r="F9153">
        <v>6800</v>
      </c>
      <c r="G9153" t="s">
        <v>331</v>
      </c>
      <c r="H9153" s="15">
        <v>46054</v>
      </c>
      <c r="I9153">
        <v>6800</v>
      </c>
      <c r="J9153">
        <v>0</v>
      </c>
    </row>
    <row r="9154" spans="1:10" x14ac:dyDescent="0.3">
      <c r="A9154" s="15">
        <v>46266</v>
      </c>
      <c r="B9154" t="s">
        <v>489</v>
      </c>
      <c r="C9154" t="s">
        <v>81</v>
      </c>
      <c r="D9154" t="s">
        <v>96</v>
      </c>
      <c r="E9154" t="s">
        <v>97</v>
      </c>
      <c r="F9154">
        <v>1600</v>
      </c>
      <c r="G9154" t="s">
        <v>331</v>
      </c>
      <c r="H9154" s="15">
        <v>46054</v>
      </c>
      <c r="I9154">
        <v>1600</v>
      </c>
      <c r="J9154">
        <v>0</v>
      </c>
    </row>
    <row r="9155" spans="1:10" x14ac:dyDescent="0.3">
      <c r="A9155" s="15">
        <v>46266</v>
      </c>
      <c r="B9155" t="s">
        <v>490</v>
      </c>
      <c r="C9155" t="s">
        <v>81</v>
      </c>
      <c r="D9155" t="s">
        <v>86</v>
      </c>
      <c r="E9155" t="s">
        <v>103</v>
      </c>
      <c r="F9155">
        <v>1800</v>
      </c>
      <c r="G9155" t="s">
        <v>331</v>
      </c>
      <c r="H9155" s="15">
        <v>46054</v>
      </c>
      <c r="I9155">
        <v>1800</v>
      </c>
      <c r="J9155">
        <v>0</v>
      </c>
    </row>
    <row r="9156" spans="1:10" x14ac:dyDescent="0.3">
      <c r="A9156" s="15">
        <v>46266</v>
      </c>
      <c r="B9156" t="s">
        <v>491</v>
      </c>
      <c r="C9156" t="s">
        <v>81</v>
      </c>
      <c r="D9156" t="s">
        <v>96</v>
      </c>
      <c r="E9156" t="s">
        <v>92</v>
      </c>
      <c r="F9156">
        <v>1800</v>
      </c>
      <c r="G9156" t="s">
        <v>331</v>
      </c>
      <c r="H9156" s="15">
        <v>46054</v>
      </c>
      <c r="I9156">
        <v>1800</v>
      </c>
      <c r="J9156">
        <v>0</v>
      </c>
    </row>
    <row r="9157" spans="1:10" x14ac:dyDescent="0.3">
      <c r="A9157" s="15">
        <v>46266</v>
      </c>
      <c r="B9157" t="s">
        <v>492</v>
      </c>
      <c r="C9157" t="s">
        <v>81</v>
      </c>
      <c r="D9157" t="s">
        <v>99</v>
      </c>
      <c r="E9157" t="s">
        <v>92</v>
      </c>
      <c r="F9157">
        <v>1700</v>
      </c>
      <c r="G9157" t="s">
        <v>331</v>
      </c>
      <c r="H9157" s="15">
        <v>46082</v>
      </c>
      <c r="I9157">
        <v>1700</v>
      </c>
      <c r="J9157">
        <v>0</v>
      </c>
    </row>
    <row r="9158" spans="1:10" x14ac:dyDescent="0.3">
      <c r="A9158" s="15">
        <v>46266</v>
      </c>
      <c r="B9158" t="s">
        <v>493</v>
      </c>
      <c r="C9158" t="s">
        <v>81</v>
      </c>
      <c r="D9158" t="s">
        <v>96</v>
      </c>
      <c r="E9158" t="s">
        <v>101</v>
      </c>
      <c r="F9158">
        <v>1600</v>
      </c>
      <c r="G9158" t="s">
        <v>331</v>
      </c>
      <c r="H9158" s="15">
        <v>46082</v>
      </c>
      <c r="I9158">
        <v>1600</v>
      </c>
      <c r="J9158">
        <v>0</v>
      </c>
    </row>
    <row r="9159" spans="1:10" x14ac:dyDescent="0.3">
      <c r="A9159" s="15">
        <v>46266</v>
      </c>
      <c r="B9159" t="s">
        <v>494</v>
      </c>
      <c r="C9159" t="s">
        <v>110</v>
      </c>
      <c r="D9159" t="s">
        <v>82</v>
      </c>
      <c r="E9159" t="s">
        <v>103</v>
      </c>
      <c r="F9159">
        <v>21000</v>
      </c>
      <c r="G9159" t="s">
        <v>331</v>
      </c>
      <c r="H9159" s="15">
        <v>46082</v>
      </c>
      <c r="I9159">
        <v>21000</v>
      </c>
      <c r="J9159">
        <v>0</v>
      </c>
    </row>
    <row r="9160" spans="1:10" x14ac:dyDescent="0.3">
      <c r="A9160" s="15">
        <v>46266</v>
      </c>
      <c r="B9160" t="s">
        <v>495</v>
      </c>
      <c r="C9160" t="s">
        <v>81</v>
      </c>
      <c r="D9160" t="s">
        <v>86</v>
      </c>
      <c r="E9160" t="s">
        <v>87</v>
      </c>
      <c r="F9160">
        <v>0</v>
      </c>
      <c r="G9160" t="s">
        <v>333</v>
      </c>
      <c r="H9160" s="15">
        <v>46082</v>
      </c>
      <c r="I9160">
        <v>1300</v>
      </c>
      <c r="J9160">
        <v>-1300</v>
      </c>
    </row>
    <row r="9161" spans="1:10" x14ac:dyDescent="0.3">
      <c r="A9161" s="15">
        <v>46266</v>
      </c>
      <c r="B9161" t="s">
        <v>496</v>
      </c>
      <c r="C9161" t="s">
        <v>110</v>
      </c>
      <c r="D9161" t="s">
        <v>99</v>
      </c>
      <c r="E9161" t="s">
        <v>97</v>
      </c>
      <c r="F9161">
        <v>16500</v>
      </c>
      <c r="G9161" t="s">
        <v>331</v>
      </c>
      <c r="H9161" s="15">
        <v>46082</v>
      </c>
      <c r="I9161">
        <v>16500</v>
      </c>
      <c r="J9161">
        <v>0</v>
      </c>
    </row>
    <row r="9162" spans="1:10" x14ac:dyDescent="0.3">
      <c r="A9162" s="15">
        <v>46266</v>
      </c>
      <c r="B9162" t="s">
        <v>497</v>
      </c>
      <c r="C9162" t="s">
        <v>91</v>
      </c>
      <c r="D9162" t="s">
        <v>86</v>
      </c>
      <c r="E9162" t="s">
        <v>97</v>
      </c>
      <c r="F9162">
        <v>4900</v>
      </c>
      <c r="G9162" t="s">
        <v>331</v>
      </c>
      <c r="H9162" s="15">
        <v>46082</v>
      </c>
      <c r="I9162">
        <v>4900</v>
      </c>
      <c r="J9162">
        <v>0</v>
      </c>
    </row>
    <row r="9163" spans="1:10" x14ac:dyDescent="0.3">
      <c r="A9163" s="15">
        <v>46266</v>
      </c>
      <c r="B9163" t="s">
        <v>498</v>
      </c>
      <c r="C9163" t="s">
        <v>91</v>
      </c>
      <c r="D9163" t="s">
        <v>82</v>
      </c>
      <c r="E9163" t="s">
        <v>83</v>
      </c>
      <c r="F9163">
        <v>7900</v>
      </c>
      <c r="G9163" t="s">
        <v>331</v>
      </c>
      <c r="H9163" s="15">
        <v>46113</v>
      </c>
      <c r="I9163">
        <v>7900</v>
      </c>
      <c r="J9163">
        <v>0</v>
      </c>
    </row>
    <row r="9164" spans="1:10" x14ac:dyDescent="0.3">
      <c r="A9164" s="15">
        <v>46266</v>
      </c>
      <c r="B9164" t="s">
        <v>499</v>
      </c>
      <c r="C9164" t="s">
        <v>91</v>
      </c>
      <c r="D9164" t="s">
        <v>82</v>
      </c>
      <c r="E9164" t="s">
        <v>101</v>
      </c>
      <c r="F9164">
        <v>7000</v>
      </c>
      <c r="G9164" t="s">
        <v>331</v>
      </c>
      <c r="H9164" s="15">
        <v>46113</v>
      </c>
      <c r="I9164">
        <v>7000</v>
      </c>
      <c r="J9164">
        <v>0</v>
      </c>
    </row>
    <row r="9165" spans="1:10" x14ac:dyDescent="0.3">
      <c r="A9165" s="15">
        <v>46266</v>
      </c>
      <c r="B9165" t="s">
        <v>500</v>
      </c>
      <c r="C9165" t="s">
        <v>81</v>
      </c>
      <c r="D9165" t="s">
        <v>86</v>
      </c>
      <c r="E9165" t="s">
        <v>83</v>
      </c>
      <c r="F9165">
        <v>2000</v>
      </c>
      <c r="G9165" t="s">
        <v>331</v>
      </c>
      <c r="H9165" s="15">
        <v>46113</v>
      </c>
      <c r="I9165">
        <v>2000</v>
      </c>
      <c r="J9165">
        <v>0</v>
      </c>
    </row>
    <row r="9166" spans="1:10" x14ac:dyDescent="0.3">
      <c r="A9166" s="15">
        <v>46266</v>
      </c>
      <c r="B9166" t="s">
        <v>501</v>
      </c>
      <c r="C9166" t="s">
        <v>110</v>
      </c>
      <c r="D9166" t="s">
        <v>86</v>
      </c>
      <c r="E9166" t="s">
        <v>97</v>
      </c>
      <c r="F9166">
        <v>27200</v>
      </c>
      <c r="G9166" t="s">
        <v>331</v>
      </c>
      <c r="H9166" s="15">
        <v>46113</v>
      </c>
      <c r="I9166">
        <v>27200</v>
      </c>
      <c r="J9166">
        <v>0</v>
      </c>
    </row>
    <row r="9167" spans="1:10" x14ac:dyDescent="0.3">
      <c r="A9167" s="15">
        <v>46266</v>
      </c>
      <c r="B9167" t="s">
        <v>502</v>
      </c>
      <c r="C9167" t="s">
        <v>81</v>
      </c>
      <c r="D9167" t="s">
        <v>99</v>
      </c>
      <c r="E9167" t="s">
        <v>83</v>
      </c>
      <c r="F9167">
        <v>2400</v>
      </c>
      <c r="G9167" t="s">
        <v>331</v>
      </c>
      <c r="H9167" s="15">
        <v>46113</v>
      </c>
      <c r="I9167">
        <v>2400</v>
      </c>
      <c r="J9167">
        <v>0</v>
      </c>
    </row>
    <row r="9168" spans="1:10" x14ac:dyDescent="0.3">
      <c r="A9168" s="15">
        <v>46266</v>
      </c>
      <c r="B9168" t="s">
        <v>503</v>
      </c>
      <c r="C9168" t="s">
        <v>110</v>
      </c>
      <c r="D9168" t="s">
        <v>86</v>
      </c>
      <c r="E9168" t="s">
        <v>87</v>
      </c>
      <c r="F9168">
        <v>40200</v>
      </c>
      <c r="G9168" t="s">
        <v>331</v>
      </c>
      <c r="H9168" s="15">
        <v>46113</v>
      </c>
      <c r="I9168">
        <v>40200</v>
      </c>
      <c r="J9168">
        <v>0</v>
      </c>
    </row>
    <row r="9169" spans="1:10" x14ac:dyDescent="0.3">
      <c r="A9169" s="15">
        <v>46266</v>
      </c>
      <c r="B9169" t="s">
        <v>504</v>
      </c>
      <c r="C9169" t="s">
        <v>81</v>
      </c>
      <c r="D9169" t="s">
        <v>86</v>
      </c>
      <c r="E9169" t="s">
        <v>103</v>
      </c>
      <c r="F9169">
        <v>1200</v>
      </c>
      <c r="G9169" t="s">
        <v>331</v>
      </c>
      <c r="H9169" s="15">
        <v>46113</v>
      </c>
      <c r="I9169">
        <v>1200</v>
      </c>
      <c r="J9169">
        <v>0</v>
      </c>
    </row>
    <row r="9170" spans="1:10" x14ac:dyDescent="0.3">
      <c r="A9170" s="15">
        <v>46266</v>
      </c>
      <c r="B9170" t="s">
        <v>505</v>
      </c>
      <c r="C9170" t="s">
        <v>81</v>
      </c>
      <c r="D9170" t="s">
        <v>86</v>
      </c>
      <c r="E9170" t="s">
        <v>97</v>
      </c>
      <c r="F9170">
        <v>2100</v>
      </c>
      <c r="G9170" t="s">
        <v>331</v>
      </c>
      <c r="H9170" s="15">
        <v>46113</v>
      </c>
      <c r="I9170">
        <v>2100</v>
      </c>
      <c r="J9170">
        <v>0</v>
      </c>
    </row>
    <row r="9171" spans="1:10" x14ac:dyDescent="0.3">
      <c r="A9171" s="15">
        <v>46266</v>
      </c>
      <c r="B9171" t="s">
        <v>506</v>
      </c>
      <c r="C9171" t="s">
        <v>91</v>
      </c>
      <c r="D9171" t="s">
        <v>82</v>
      </c>
      <c r="E9171" t="s">
        <v>89</v>
      </c>
      <c r="F9171">
        <v>5100</v>
      </c>
      <c r="G9171" t="s">
        <v>331</v>
      </c>
      <c r="H9171" s="15">
        <v>46113</v>
      </c>
      <c r="I9171">
        <v>5100</v>
      </c>
      <c r="J9171">
        <v>0</v>
      </c>
    </row>
    <row r="9172" spans="1:10" x14ac:dyDescent="0.3">
      <c r="A9172" s="15">
        <v>46266</v>
      </c>
      <c r="B9172" t="s">
        <v>507</v>
      </c>
      <c r="C9172" t="s">
        <v>81</v>
      </c>
      <c r="D9172" t="s">
        <v>86</v>
      </c>
      <c r="E9172" t="s">
        <v>89</v>
      </c>
      <c r="F9172">
        <v>1400</v>
      </c>
      <c r="G9172" t="s">
        <v>331</v>
      </c>
      <c r="H9172" s="15">
        <v>46143</v>
      </c>
      <c r="I9172">
        <v>1400</v>
      </c>
      <c r="J9172">
        <v>0</v>
      </c>
    </row>
    <row r="9173" spans="1:10" x14ac:dyDescent="0.3">
      <c r="A9173" s="15">
        <v>46266</v>
      </c>
      <c r="B9173" t="s">
        <v>508</v>
      </c>
      <c r="C9173" t="s">
        <v>91</v>
      </c>
      <c r="D9173" t="s">
        <v>82</v>
      </c>
      <c r="E9173" t="s">
        <v>83</v>
      </c>
      <c r="F9173">
        <v>7500</v>
      </c>
      <c r="G9173" t="s">
        <v>331</v>
      </c>
      <c r="H9173" s="15">
        <v>46143</v>
      </c>
      <c r="I9173">
        <v>7500</v>
      </c>
      <c r="J9173">
        <v>0</v>
      </c>
    </row>
    <row r="9174" spans="1:10" x14ac:dyDescent="0.3">
      <c r="A9174" s="15">
        <v>46266</v>
      </c>
      <c r="B9174" t="s">
        <v>509</v>
      </c>
      <c r="C9174" t="s">
        <v>91</v>
      </c>
      <c r="D9174" t="s">
        <v>86</v>
      </c>
      <c r="E9174" t="s">
        <v>103</v>
      </c>
      <c r="F9174">
        <v>8300</v>
      </c>
      <c r="G9174" t="s">
        <v>331</v>
      </c>
      <c r="H9174" s="15">
        <v>46143</v>
      </c>
      <c r="I9174">
        <v>8300</v>
      </c>
      <c r="J9174">
        <v>0</v>
      </c>
    </row>
    <row r="9175" spans="1:10" x14ac:dyDescent="0.3">
      <c r="A9175" s="15">
        <v>46266</v>
      </c>
      <c r="B9175" t="s">
        <v>510</v>
      </c>
      <c r="C9175" t="s">
        <v>91</v>
      </c>
      <c r="D9175" t="s">
        <v>86</v>
      </c>
      <c r="E9175" t="s">
        <v>101</v>
      </c>
      <c r="F9175">
        <v>8100</v>
      </c>
      <c r="G9175" t="s">
        <v>331</v>
      </c>
      <c r="H9175" s="15">
        <v>46143</v>
      </c>
      <c r="I9175">
        <v>8100</v>
      </c>
      <c r="J9175">
        <v>0</v>
      </c>
    </row>
    <row r="9176" spans="1:10" x14ac:dyDescent="0.3">
      <c r="A9176" s="15">
        <v>46266</v>
      </c>
      <c r="B9176" t="s">
        <v>511</v>
      </c>
      <c r="C9176" t="s">
        <v>91</v>
      </c>
      <c r="D9176" t="s">
        <v>99</v>
      </c>
      <c r="E9176" t="s">
        <v>101</v>
      </c>
      <c r="F9176">
        <v>7500</v>
      </c>
      <c r="G9176" t="s">
        <v>331</v>
      </c>
      <c r="H9176" s="15">
        <v>46143</v>
      </c>
      <c r="I9176">
        <v>7500</v>
      </c>
      <c r="J9176">
        <v>0</v>
      </c>
    </row>
    <row r="9177" spans="1:10" x14ac:dyDescent="0.3">
      <c r="A9177" s="15">
        <v>46266</v>
      </c>
      <c r="B9177" t="s">
        <v>512</v>
      </c>
      <c r="C9177" t="s">
        <v>110</v>
      </c>
      <c r="D9177" t="s">
        <v>96</v>
      </c>
      <c r="E9177" t="s">
        <v>103</v>
      </c>
      <c r="F9177">
        <v>30900</v>
      </c>
      <c r="G9177" t="s">
        <v>331</v>
      </c>
      <c r="H9177" s="15">
        <v>46143</v>
      </c>
      <c r="I9177">
        <v>30900</v>
      </c>
      <c r="J9177">
        <v>0</v>
      </c>
    </row>
    <row r="9178" spans="1:10" x14ac:dyDescent="0.3">
      <c r="A9178" s="15">
        <v>46266</v>
      </c>
      <c r="B9178" t="s">
        <v>513</v>
      </c>
      <c r="C9178" t="s">
        <v>91</v>
      </c>
      <c r="D9178" t="s">
        <v>96</v>
      </c>
      <c r="E9178" t="s">
        <v>103</v>
      </c>
      <c r="F9178">
        <v>7700</v>
      </c>
      <c r="G9178" t="s">
        <v>331</v>
      </c>
      <c r="H9178" s="15">
        <v>46143</v>
      </c>
      <c r="I9178">
        <v>7700</v>
      </c>
      <c r="J9178">
        <v>0</v>
      </c>
    </row>
    <row r="9179" spans="1:10" x14ac:dyDescent="0.3">
      <c r="A9179" s="15">
        <v>46266</v>
      </c>
      <c r="B9179" t="s">
        <v>514</v>
      </c>
      <c r="C9179" t="s">
        <v>81</v>
      </c>
      <c r="D9179" t="s">
        <v>99</v>
      </c>
      <c r="E9179" t="s">
        <v>92</v>
      </c>
      <c r="F9179">
        <v>2900</v>
      </c>
      <c r="G9179" t="s">
        <v>331</v>
      </c>
      <c r="H9179" s="15">
        <v>46174</v>
      </c>
      <c r="I9179">
        <v>2900</v>
      </c>
      <c r="J9179">
        <v>0</v>
      </c>
    </row>
    <row r="9180" spans="1:10" x14ac:dyDescent="0.3">
      <c r="A9180" s="15">
        <v>46266</v>
      </c>
      <c r="B9180" t="s">
        <v>515</v>
      </c>
      <c r="C9180" t="s">
        <v>110</v>
      </c>
      <c r="D9180" t="s">
        <v>86</v>
      </c>
      <c r="E9180" t="s">
        <v>101</v>
      </c>
      <c r="F9180">
        <v>32300</v>
      </c>
      <c r="G9180" t="s">
        <v>331</v>
      </c>
      <c r="H9180" s="15">
        <v>46174</v>
      </c>
      <c r="I9180">
        <v>32300</v>
      </c>
      <c r="J9180">
        <v>0</v>
      </c>
    </row>
    <row r="9181" spans="1:10" x14ac:dyDescent="0.3">
      <c r="A9181" s="15">
        <v>46266</v>
      </c>
      <c r="B9181" t="s">
        <v>516</v>
      </c>
      <c r="C9181" t="s">
        <v>81</v>
      </c>
      <c r="D9181" t="s">
        <v>99</v>
      </c>
      <c r="E9181" t="s">
        <v>89</v>
      </c>
      <c r="F9181">
        <v>1600</v>
      </c>
      <c r="G9181" t="s">
        <v>331</v>
      </c>
      <c r="H9181" s="15">
        <v>46174</v>
      </c>
      <c r="I9181">
        <v>1600</v>
      </c>
      <c r="J9181">
        <v>0</v>
      </c>
    </row>
    <row r="9182" spans="1:10" x14ac:dyDescent="0.3">
      <c r="A9182" s="15">
        <v>46266</v>
      </c>
      <c r="B9182" t="s">
        <v>517</v>
      </c>
      <c r="C9182" t="s">
        <v>91</v>
      </c>
      <c r="D9182" t="s">
        <v>82</v>
      </c>
      <c r="E9182" t="s">
        <v>97</v>
      </c>
      <c r="F9182">
        <v>6100</v>
      </c>
      <c r="G9182" t="s">
        <v>331</v>
      </c>
      <c r="H9182" s="15">
        <v>46174</v>
      </c>
      <c r="I9182">
        <v>6100</v>
      </c>
      <c r="J9182">
        <v>0</v>
      </c>
    </row>
    <row r="9183" spans="1:10" x14ac:dyDescent="0.3">
      <c r="A9183" s="15">
        <v>46266</v>
      </c>
      <c r="B9183" t="s">
        <v>518</v>
      </c>
      <c r="C9183" t="s">
        <v>110</v>
      </c>
      <c r="D9183" t="s">
        <v>96</v>
      </c>
      <c r="E9183" t="s">
        <v>103</v>
      </c>
      <c r="F9183">
        <v>26100</v>
      </c>
      <c r="G9183" t="s">
        <v>331</v>
      </c>
      <c r="H9183" s="15">
        <v>46174</v>
      </c>
      <c r="I9183">
        <v>26100</v>
      </c>
      <c r="J9183">
        <v>0</v>
      </c>
    </row>
    <row r="9184" spans="1:10" x14ac:dyDescent="0.3">
      <c r="A9184" s="15">
        <v>46266</v>
      </c>
      <c r="B9184" t="s">
        <v>519</v>
      </c>
      <c r="C9184" t="s">
        <v>91</v>
      </c>
      <c r="D9184" t="s">
        <v>86</v>
      </c>
      <c r="E9184" t="s">
        <v>89</v>
      </c>
      <c r="F9184">
        <v>7400</v>
      </c>
      <c r="G9184" t="s">
        <v>331</v>
      </c>
      <c r="H9184" s="15">
        <v>46174</v>
      </c>
      <c r="I9184">
        <v>7400</v>
      </c>
      <c r="J9184">
        <v>0</v>
      </c>
    </row>
    <row r="9185" spans="1:10" x14ac:dyDescent="0.3">
      <c r="A9185" s="15">
        <v>46266</v>
      </c>
      <c r="B9185" t="s">
        <v>520</v>
      </c>
      <c r="C9185" t="s">
        <v>91</v>
      </c>
      <c r="D9185" t="s">
        <v>86</v>
      </c>
      <c r="E9185" t="s">
        <v>101</v>
      </c>
      <c r="F9185">
        <v>5900</v>
      </c>
      <c r="G9185" t="s">
        <v>331</v>
      </c>
      <c r="H9185" s="15">
        <v>46174</v>
      </c>
      <c r="I9185">
        <v>5900</v>
      </c>
      <c r="J9185">
        <v>0</v>
      </c>
    </row>
    <row r="9186" spans="1:10" x14ac:dyDescent="0.3">
      <c r="A9186" s="15">
        <v>46266</v>
      </c>
      <c r="B9186" t="s">
        <v>521</v>
      </c>
      <c r="C9186" t="s">
        <v>81</v>
      </c>
      <c r="D9186" t="s">
        <v>86</v>
      </c>
      <c r="E9186" t="s">
        <v>97</v>
      </c>
      <c r="F9186">
        <v>1800</v>
      </c>
      <c r="G9186" t="s">
        <v>331</v>
      </c>
      <c r="H9186" s="15">
        <v>46174</v>
      </c>
      <c r="I9186">
        <v>1800</v>
      </c>
      <c r="J9186">
        <v>0</v>
      </c>
    </row>
    <row r="9187" spans="1:10" x14ac:dyDescent="0.3">
      <c r="A9187" s="15">
        <v>46266</v>
      </c>
      <c r="B9187" t="s">
        <v>522</v>
      </c>
      <c r="C9187" t="s">
        <v>91</v>
      </c>
      <c r="D9187" t="s">
        <v>86</v>
      </c>
      <c r="E9187" t="s">
        <v>92</v>
      </c>
      <c r="F9187">
        <v>4600</v>
      </c>
      <c r="G9187" t="s">
        <v>331</v>
      </c>
      <c r="H9187" s="15">
        <v>46174</v>
      </c>
      <c r="I9187">
        <v>4600</v>
      </c>
      <c r="J9187">
        <v>0</v>
      </c>
    </row>
    <row r="9188" spans="1:10" x14ac:dyDescent="0.3">
      <c r="A9188" s="15">
        <v>46266</v>
      </c>
      <c r="B9188" t="s">
        <v>523</v>
      </c>
      <c r="C9188" t="s">
        <v>91</v>
      </c>
      <c r="D9188" t="s">
        <v>82</v>
      </c>
      <c r="E9188" t="s">
        <v>97</v>
      </c>
      <c r="F9188">
        <v>6900</v>
      </c>
      <c r="G9188" t="s">
        <v>331</v>
      </c>
      <c r="H9188" s="15">
        <v>46174</v>
      </c>
      <c r="I9188">
        <v>6900</v>
      </c>
      <c r="J9188">
        <v>0</v>
      </c>
    </row>
    <row r="9189" spans="1:10" x14ac:dyDescent="0.3">
      <c r="A9189" s="15">
        <v>46266</v>
      </c>
      <c r="B9189" t="s">
        <v>524</v>
      </c>
      <c r="C9189" t="s">
        <v>81</v>
      </c>
      <c r="D9189" t="s">
        <v>99</v>
      </c>
      <c r="E9189" t="s">
        <v>83</v>
      </c>
      <c r="F9189">
        <v>1600</v>
      </c>
      <c r="G9189" t="s">
        <v>331</v>
      </c>
      <c r="H9189" s="15">
        <v>46204</v>
      </c>
      <c r="I9189">
        <v>1600</v>
      </c>
      <c r="J9189">
        <v>0</v>
      </c>
    </row>
    <row r="9190" spans="1:10" x14ac:dyDescent="0.3">
      <c r="A9190" s="15">
        <v>46266</v>
      </c>
      <c r="B9190" t="s">
        <v>525</v>
      </c>
      <c r="C9190" t="s">
        <v>81</v>
      </c>
      <c r="D9190" t="s">
        <v>82</v>
      </c>
      <c r="E9190" t="s">
        <v>92</v>
      </c>
      <c r="F9190">
        <v>1500</v>
      </c>
      <c r="G9190" t="s">
        <v>331</v>
      </c>
      <c r="H9190" s="15">
        <v>46204</v>
      </c>
      <c r="I9190">
        <v>1500</v>
      </c>
      <c r="J9190">
        <v>0</v>
      </c>
    </row>
    <row r="9191" spans="1:10" x14ac:dyDescent="0.3">
      <c r="A9191" s="15">
        <v>46266</v>
      </c>
      <c r="B9191" t="s">
        <v>526</v>
      </c>
      <c r="C9191" t="s">
        <v>81</v>
      </c>
      <c r="D9191" t="s">
        <v>96</v>
      </c>
      <c r="E9191" t="s">
        <v>87</v>
      </c>
      <c r="F9191">
        <v>1500</v>
      </c>
      <c r="G9191" t="s">
        <v>331</v>
      </c>
      <c r="H9191" s="15">
        <v>46204</v>
      </c>
      <c r="I9191">
        <v>1500</v>
      </c>
      <c r="J9191">
        <v>0</v>
      </c>
    </row>
    <row r="9192" spans="1:10" x14ac:dyDescent="0.3">
      <c r="A9192" s="15">
        <v>46266</v>
      </c>
      <c r="B9192" t="s">
        <v>527</v>
      </c>
      <c r="C9192" t="s">
        <v>81</v>
      </c>
      <c r="D9192" t="s">
        <v>99</v>
      </c>
      <c r="E9192" t="s">
        <v>89</v>
      </c>
      <c r="F9192">
        <v>1500</v>
      </c>
      <c r="G9192" t="s">
        <v>331</v>
      </c>
      <c r="H9192" s="15">
        <v>46204</v>
      </c>
      <c r="I9192">
        <v>1500</v>
      </c>
      <c r="J9192">
        <v>0</v>
      </c>
    </row>
    <row r="9193" spans="1:10" x14ac:dyDescent="0.3">
      <c r="A9193" s="15">
        <v>46266</v>
      </c>
      <c r="B9193" t="s">
        <v>528</v>
      </c>
      <c r="C9193" t="s">
        <v>81</v>
      </c>
      <c r="D9193" t="s">
        <v>82</v>
      </c>
      <c r="E9193" t="s">
        <v>103</v>
      </c>
      <c r="F9193">
        <v>1700</v>
      </c>
      <c r="G9193" t="s">
        <v>331</v>
      </c>
      <c r="H9193" s="15">
        <v>46204</v>
      </c>
      <c r="I9193">
        <v>1700</v>
      </c>
      <c r="J9193">
        <v>0</v>
      </c>
    </row>
    <row r="9194" spans="1:10" x14ac:dyDescent="0.3">
      <c r="A9194" s="15">
        <v>46266</v>
      </c>
      <c r="B9194" t="s">
        <v>529</v>
      </c>
      <c r="C9194" t="s">
        <v>81</v>
      </c>
      <c r="D9194" t="s">
        <v>99</v>
      </c>
      <c r="E9194" t="s">
        <v>92</v>
      </c>
      <c r="F9194">
        <v>1500</v>
      </c>
      <c r="G9194" t="s">
        <v>331</v>
      </c>
      <c r="H9194" s="15">
        <v>46204</v>
      </c>
      <c r="I9194">
        <v>1500</v>
      </c>
      <c r="J9194">
        <v>0</v>
      </c>
    </row>
    <row r="9195" spans="1:10" x14ac:dyDescent="0.3">
      <c r="A9195" s="15">
        <v>46266</v>
      </c>
      <c r="B9195" t="s">
        <v>530</v>
      </c>
      <c r="C9195" t="s">
        <v>110</v>
      </c>
      <c r="D9195" t="s">
        <v>82</v>
      </c>
      <c r="E9195" t="s">
        <v>89</v>
      </c>
      <c r="F9195">
        <v>24200</v>
      </c>
      <c r="G9195" t="s">
        <v>331</v>
      </c>
      <c r="H9195" s="15">
        <v>46204</v>
      </c>
      <c r="I9195">
        <v>24200</v>
      </c>
      <c r="J9195">
        <v>0</v>
      </c>
    </row>
    <row r="9196" spans="1:10" x14ac:dyDescent="0.3">
      <c r="A9196" s="15">
        <v>46266</v>
      </c>
      <c r="B9196" t="s">
        <v>531</v>
      </c>
      <c r="C9196" t="s">
        <v>110</v>
      </c>
      <c r="D9196" t="s">
        <v>82</v>
      </c>
      <c r="E9196" t="s">
        <v>89</v>
      </c>
      <c r="F9196">
        <v>19800</v>
      </c>
      <c r="G9196" t="s">
        <v>331</v>
      </c>
      <c r="H9196" s="15">
        <v>46204</v>
      </c>
      <c r="I9196">
        <v>19800</v>
      </c>
      <c r="J9196">
        <v>0</v>
      </c>
    </row>
    <row r="9197" spans="1:10" x14ac:dyDescent="0.3">
      <c r="A9197" s="15">
        <v>46266</v>
      </c>
      <c r="B9197" t="s">
        <v>532</v>
      </c>
      <c r="C9197" t="s">
        <v>91</v>
      </c>
      <c r="D9197" t="s">
        <v>82</v>
      </c>
      <c r="E9197" t="s">
        <v>89</v>
      </c>
      <c r="F9197">
        <v>7000</v>
      </c>
      <c r="G9197" t="s">
        <v>331</v>
      </c>
      <c r="H9197" s="15">
        <v>46235</v>
      </c>
      <c r="I9197">
        <v>7000</v>
      </c>
      <c r="J9197">
        <v>0</v>
      </c>
    </row>
    <row r="9198" spans="1:10" x14ac:dyDescent="0.3">
      <c r="A9198" s="15">
        <v>46266</v>
      </c>
      <c r="B9198" t="s">
        <v>533</v>
      </c>
      <c r="C9198" t="s">
        <v>91</v>
      </c>
      <c r="D9198" t="s">
        <v>96</v>
      </c>
      <c r="E9198" t="s">
        <v>83</v>
      </c>
      <c r="F9198">
        <v>5500</v>
      </c>
      <c r="G9198" t="s">
        <v>331</v>
      </c>
      <c r="H9198" s="15">
        <v>46235</v>
      </c>
      <c r="I9198">
        <v>5500</v>
      </c>
      <c r="J9198">
        <v>0</v>
      </c>
    </row>
    <row r="9199" spans="1:10" x14ac:dyDescent="0.3">
      <c r="A9199" s="15">
        <v>46266</v>
      </c>
      <c r="B9199" t="s">
        <v>534</v>
      </c>
      <c r="C9199" t="s">
        <v>81</v>
      </c>
      <c r="D9199" t="s">
        <v>82</v>
      </c>
      <c r="E9199" t="s">
        <v>101</v>
      </c>
      <c r="F9199">
        <v>2000</v>
      </c>
      <c r="G9199" t="s">
        <v>331</v>
      </c>
      <c r="H9199" s="15">
        <v>46235</v>
      </c>
      <c r="I9199">
        <v>2000</v>
      </c>
      <c r="J9199">
        <v>0</v>
      </c>
    </row>
    <row r="9200" spans="1:10" x14ac:dyDescent="0.3">
      <c r="A9200" s="15">
        <v>46266</v>
      </c>
      <c r="B9200" t="s">
        <v>535</v>
      </c>
      <c r="C9200" t="s">
        <v>110</v>
      </c>
      <c r="D9200" t="s">
        <v>82</v>
      </c>
      <c r="E9200" t="s">
        <v>83</v>
      </c>
      <c r="F9200">
        <v>20100</v>
      </c>
      <c r="G9200" t="s">
        <v>331</v>
      </c>
      <c r="H9200" s="15">
        <v>46235</v>
      </c>
      <c r="I9200">
        <v>20100</v>
      </c>
      <c r="J9200">
        <v>0</v>
      </c>
    </row>
    <row r="9201" spans="1:10" x14ac:dyDescent="0.3">
      <c r="A9201" s="15">
        <v>46266</v>
      </c>
      <c r="B9201" t="s">
        <v>536</v>
      </c>
      <c r="C9201" t="s">
        <v>81</v>
      </c>
      <c r="D9201" t="s">
        <v>99</v>
      </c>
      <c r="E9201" t="s">
        <v>97</v>
      </c>
      <c r="F9201">
        <v>1700</v>
      </c>
      <c r="G9201" t="s">
        <v>331</v>
      </c>
      <c r="H9201" s="15">
        <v>46235</v>
      </c>
      <c r="I9201">
        <v>1700</v>
      </c>
      <c r="J9201">
        <v>0</v>
      </c>
    </row>
    <row r="9202" spans="1:10" x14ac:dyDescent="0.3">
      <c r="A9202" s="15">
        <v>46266</v>
      </c>
      <c r="B9202" t="s">
        <v>537</v>
      </c>
      <c r="C9202" t="s">
        <v>110</v>
      </c>
      <c r="D9202" t="s">
        <v>99</v>
      </c>
      <c r="E9202" t="s">
        <v>87</v>
      </c>
      <c r="F9202">
        <v>37600</v>
      </c>
      <c r="G9202" t="s">
        <v>331</v>
      </c>
      <c r="H9202" s="15">
        <v>46235</v>
      </c>
      <c r="I9202">
        <v>37600</v>
      </c>
      <c r="J9202">
        <v>0</v>
      </c>
    </row>
    <row r="9203" spans="1:10" x14ac:dyDescent="0.3">
      <c r="A9203" s="15">
        <v>46266</v>
      </c>
      <c r="B9203" t="s">
        <v>538</v>
      </c>
      <c r="C9203" t="s">
        <v>81</v>
      </c>
      <c r="D9203" t="s">
        <v>99</v>
      </c>
      <c r="E9203" t="s">
        <v>89</v>
      </c>
      <c r="F9203">
        <v>1900</v>
      </c>
      <c r="G9203" t="s">
        <v>331</v>
      </c>
      <c r="H9203" s="15">
        <v>46235</v>
      </c>
      <c r="I9203">
        <v>1900</v>
      </c>
      <c r="J9203">
        <v>0</v>
      </c>
    </row>
    <row r="9204" spans="1:10" x14ac:dyDescent="0.3">
      <c r="A9204" s="15">
        <v>46266</v>
      </c>
      <c r="B9204" t="s">
        <v>539</v>
      </c>
      <c r="C9204" t="s">
        <v>81</v>
      </c>
      <c r="D9204" t="s">
        <v>86</v>
      </c>
      <c r="E9204" t="s">
        <v>89</v>
      </c>
      <c r="F9204">
        <v>2400</v>
      </c>
      <c r="G9204" t="s">
        <v>331</v>
      </c>
      <c r="H9204" s="15">
        <v>46235</v>
      </c>
      <c r="I9204">
        <v>2400</v>
      </c>
      <c r="J9204">
        <v>0</v>
      </c>
    </row>
    <row r="9205" spans="1:10" x14ac:dyDescent="0.3">
      <c r="A9205" s="15">
        <v>46266</v>
      </c>
      <c r="B9205" t="s">
        <v>540</v>
      </c>
      <c r="C9205" t="s">
        <v>81</v>
      </c>
      <c r="D9205" t="s">
        <v>82</v>
      </c>
      <c r="E9205" t="s">
        <v>92</v>
      </c>
      <c r="F9205">
        <v>2400</v>
      </c>
      <c r="G9205" t="s">
        <v>84</v>
      </c>
      <c r="H9205" s="15">
        <v>46266</v>
      </c>
      <c r="I9205">
        <v>0</v>
      </c>
      <c r="J9205">
        <v>2400</v>
      </c>
    </row>
    <row r="9206" spans="1:10" x14ac:dyDescent="0.3">
      <c r="A9206" s="15">
        <v>46266</v>
      </c>
      <c r="B9206" t="s">
        <v>541</v>
      </c>
      <c r="C9206" t="s">
        <v>81</v>
      </c>
      <c r="D9206" t="s">
        <v>99</v>
      </c>
      <c r="E9206" t="s">
        <v>89</v>
      </c>
      <c r="F9206">
        <v>2000</v>
      </c>
      <c r="G9206" t="s">
        <v>84</v>
      </c>
      <c r="H9206" s="15">
        <v>46266</v>
      </c>
      <c r="I9206">
        <v>0</v>
      </c>
      <c r="J9206">
        <v>2000</v>
      </c>
    </row>
    <row r="9207" spans="1:10" x14ac:dyDescent="0.3">
      <c r="A9207" s="15">
        <v>46266</v>
      </c>
      <c r="B9207" t="s">
        <v>542</v>
      </c>
      <c r="C9207" t="s">
        <v>125</v>
      </c>
      <c r="D9207" t="s">
        <v>82</v>
      </c>
      <c r="E9207" t="s">
        <v>87</v>
      </c>
      <c r="F9207">
        <v>70300</v>
      </c>
      <c r="G9207" t="s">
        <v>84</v>
      </c>
      <c r="H9207" s="15">
        <v>46266</v>
      </c>
      <c r="I9207">
        <v>0</v>
      </c>
      <c r="J9207">
        <v>70300</v>
      </c>
    </row>
    <row r="9208" spans="1:10" x14ac:dyDescent="0.3">
      <c r="A9208" s="15">
        <v>46266</v>
      </c>
      <c r="B9208" t="s">
        <v>543</v>
      </c>
      <c r="C9208" t="s">
        <v>91</v>
      </c>
      <c r="D9208" t="s">
        <v>86</v>
      </c>
      <c r="E9208" t="s">
        <v>101</v>
      </c>
      <c r="F9208">
        <v>6800</v>
      </c>
      <c r="G9208" t="s">
        <v>84</v>
      </c>
      <c r="H9208" s="15">
        <v>46266</v>
      </c>
      <c r="I9208">
        <v>0</v>
      </c>
      <c r="J9208">
        <v>6800</v>
      </c>
    </row>
    <row r="9209" spans="1:10" x14ac:dyDescent="0.3">
      <c r="A9209" s="15">
        <v>46266</v>
      </c>
      <c r="B9209" t="s">
        <v>544</v>
      </c>
      <c r="C9209" t="s">
        <v>81</v>
      </c>
      <c r="D9209" t="s">
        <v>99</v>
      </c>
      <c r="E9209" t="s">
        <v>87</v>
      </c>
      <c r="F9209">
        <v>2500</v>
      </c>
      <c r="G9209" t="s">
        <v>84</v>
      </c>
      <c r="H9209" s="15">
        <v>46266</v>
      </c>
      <c r="I9209">
        <v>0</v>
      </c>
      <c r="J9209">
        <v>2500</v>
      </c>
    </row>
    <row r="9210" spans="1:10" x14ac:dyDescent="0.3">
      <c r="A9210" s="15">
        <v>46266</v>
      </c>
      <c r="B9210" t="s">
        <v>545</v>
      </c>
      <c r="C9210" t="s">
        <v>91</v>
      </c>
      <c r="D9210" t="s">
        <v>82</v>
      </c>
      <c r="E9210" t="s">
        <v>97</v>
      </c>
      <c r="F9210">
        <v>5000</v>
      </c>
      <c r="G9210" t="s">
        <v>84</v>
      </c>
      <c r="H9210" s="15">
        <v>46266</v>
      </c>
      <c r="I9210">
        <v>0</v>
      </c>
      <c r="J9210">
        <v>5000</v>
      </c>
    </row>
    <row r="9211" spans="1:10" x14ac:dyDescent="0.3">
      <c r="A9211" s="15">
        <v>46266</v>
      </c>
      <c r="B9211" t="s">
        <v>546</v>
      </c>
      <c r="C9211" t="s">
        <v>91</v>
      </c>
      <c r="D9211" t="s">
        <v>99</v>
      </c>
      <c r="E9211" t="s">
        <v>101</v>
      </c>
      <c r="F9211">
        <v>7200</v>
      </c>
      <c r="G9211" t="s">
        <v>84</v>
      </c>
      <c r="H9211" s="15">
        <v>46266</v>
      </c>
      <c r="I9211">
        <v>0</v>
      </c>
      <c r="J9211">
        <v>7200</v>
      </c>
    </row>
    <row r="9212" spans="1:10" x14ac:dyDescent="0.3">
      <c r="A9212" s="15">
        <v>46296</v>
      </c>
      <c r="B9212" t="s">
        <v>80</v>
      </c>
      <c r="C9212" t="s">
        <v>81</v>
      </c>
      <c r="D9212" t="s">
        <v>82</v>
      </c>
      <c r="E9212" t="s">
        <v>83</v>
      </c>
      <c r="F9212">
        <v>1900</v>
      </c>
      <c r="G9212" t="s">
        <v>331</v>
      </c>
      <c r="H9212" s="15">
        <v>45292</v>
      </c>
      <c r="I9212">
        <v>1900</v>
      </c>
      <c r="J9212">
        <v>0</v>
      </c>
    </row>
    <row r="9213" spans="1:10" x14ac:dyDescent="0.3">
      <c r="A9213" s="15">
        <v>46296</v>
      </c>
      <c r="B9213" t="s">
        <v>85</v>
      </c>
      <c r="C9213" t="s">
        <v>81</v>
      </c>
      <c r="D9213" t="s">
        <v>86</v>
      </c>
      <c r="E9213" t="s">
        <v>87</v>
      </c>
      <c r="F9213">
        <v>2200</v>
      </c>
      <c r="G9213" t="s">
        <v>331</v>
      </c>
      <c r="H9213" s="15">
        <v>45292</v>
      </c>
      <c r="I9213">
        <v>2200</v>
      </c>
      <c r="J9213">
        <v>0</v>
      </c>
    </row>
    <row r="9214" spans="1:10" x14ac:dyDescent="0.3">
      <c r="A9214" s="15">
        <v>46296</v>
      </c>
      <c r="B9214" t="s">
        <v>88</v>
      </c>
      <c r="C9214" t="s">
        <v>81</v>
      </c>
      <c r="D9214" t="s">
        <v>86</v>
      </c>
      <c r="E9214" t="s">
        <v>89</v>
      </c>
      <c r="F9214">
        <v>2400</v>
      </c>
      <c r="G9214" t="s">
        <v>331</v>
      </c>
      <c r="H9214" s="15">
        <v>45292</v>
      </c>
      <c r="I9214">
        <v>2400</v>
      </c>
      <c r="J9214">
        <v>0</v>
      </c>
    </row>
    <row r="9215" spans="1:10" x14ac:dyDescent="0.3">
      <c r="A9215" s="15">
        <v>46296</v>
      </c>
      <c r="B9215" t="s">
        <v>90</v>
      </c>
      <c r="C9215" t="s">
        <v>91</v>
      </c>
      <c r="D9215" t="s">
        <v>82</v>
      </c>
      <c r="E9215" t="s">
        <v>92</v>
      </c>
      <c r="F9215">
        <v>9200</v>
      </c>
      <c r="G9215" t="s">
        <v>331</v>
      </c>
      <c r="H9215" s="15">
        <v>45292</v>
      </c>
      <c r="I9215">
        <v>9200</v>
      </c>
      <c r="J9215">
        <v>0</v>
      </c>
    </row>
    <row r="9216" spans="1:10" x14ac:dyDescent="0.3">
      <c r="A9216" s="15">
        <v>46296</v>
      </c>
      <c r="B9216" t="s">
        <v>93</v>
      </c>
      <c r="C9216" t="s">
        <v>81</v>
      </c>
      <c r="D9216" t="s">
        <v>86</v>
      </c>
      <c r="E9216" t="s">
        <v>83</v>
      </c>
      <c r="F9216">
        <v>2600</v>
      </c>
      <c r="G9216" t="s">
        <v>331</v>
      </c>
      <c r="H9216" s="15">
        <v>45292</v>
      </c>
      <c r="I9216">
        <v>2600</v>
      </c>
      <c r="J9216">
        <v>0</v>
      </c>
    </row>
    <row r="9217" spans="1:10" x14ac:dyDescent="0.3">
      <c r="A9217" s="15">
        <v>46296</v>
      </c>
      <c r="B9217" t="s">
        <v>94</v>
      </c>
      <c r="C9217" t="s">
        <v>91</v>
      </c>
      <c r="D9217" t="s">
        <v>86</v>
      </c>
      <c r="E9217" t="s">
        <v>83</v>
      </c>
      <c r="F9217">
        <v>8900</v>
      </c>
      <c r="G9217" t="s">
        <v>331</v>
      </c>
      <c r="H9217" s="15">
        <v>45292</v>
      </c>
      <c r="I9217">
        <v>8900</v>
      </c>
      <c r="J9217">
        <v>0</v>
      </c>
    </row>
    <row r="9218" spans="1:10" x14ac:dyDescent="0.3">
      <c r="A9218" s="15">
        <v>46296</v>
      </c>
      <c r="B9218" t="s">
        <v>95</v>
      </c>
      <c r="C9218" t="s">
        <v>81</v>
      </c>
      <c r="D9218" t="s">
        <v>96</v>
      </c>
      <c r="E9218" t="s">
        <v>97</v>
      </c>
      <c r="F9218">
        <v>3100</v>
      </c>
      <c r="G9218" t="s">
        <v>331</v>
      </c>
      <c r="H9218" s="15">
        <v>45292</v>
      </c>
      <c r="I9218">
        <v>3100</v>
      </c>
      <c r="J9218">
        <v>0</v>
      </c>
    </row>
    <row r="9219" spans="1:10" x14ac:dyDescent="0.3">
      <c r="A9219" s="15">
        <v>46296</v>
      </c>
      <c r="B9219" t="s">
        <v>98</v>
      </c>
      <c r="C9219" t="s">
        <v>81</v>
      </c>
      <c r="D9219" t="s">
        <v>99</v>
      </c>
      <c r="E9219" t="s">
        <v>92</v>
      </c>
      <c r="F9219">
        <v>2000</v>
      </c>
      <c r="G9219" t="s">
        <v>331</v>
      </c>
      <c r="H9219" s="15">
        <v>45292</v>
      </c>
      <c r="I9219">
        <v>2000</v>
      </c>
      <c r="J9219">
        <v>0</v>
      </c>
    </row>
    <row r="9220" spans="1:10" x14ac:dyDescent="0.3">
      <c r="A9220" s="15">
        <v>46296</v>
      </c>
      <c r="B9220" t="s">
        <v>102</v>
      </c>
      <c r="C9220" t="s">
        <v>81</v>
      </c>
      <c r="D9220" t="s">
        <v>99</v>
      </c>
      <c r="E9220" t="s">
        <v>103</v>
      </c>
      <c r="F9220">
        <v>2500</v>
      </c>
      <c r="G9220" t="s">
        <v>331</v>
      </c>
      <c r="H9220" s="15">
        <v>45292</v>
      </c>
      <c r="I9220">
        <v>2500</v>
      </c>
      <c r="J9220">
        <v>0</v>
      </c>
    </row>
    <row r="9221" spans="1:10" x14ac:dyDescent="0.3">
      <c r="A9221" s="15">
        <v>46296</v>
      </c>
      <c r="B9221" t="s">
        <v>105</v>
      </c>
      <c r="C9221" t="s">
        <v>91</v>
      </c>
      <c r="D9221" t="s">
        <v>86</v>
      </c>
      <c r="E9221" t="s">
        <v>89</v>
      </c>
      <c r="F9221">
        <v>12900</v>
      </c>
      <c r="G9221" t="s">
        <v>331</v>
      </c>
      <c r="H9221" s="15">
        <v>45292</v>
      </c>
      <c r="I9221">
        <v>12900</v>
      </c>
      <c r="J9221">
        <v>0</v>
      </c>
    </row>
    <row r="9222" spans="1:10" x14ac:dyDescent="0.3">
      <c r="A9222" s="15">
        <v>46296</v>
      </c>
      <c r="B9222" t="s">
        <v>106</v>
      </c>
      <c r="C9222" t="s">
        <v>81</v>
      </c>
      <c r="D9222" t="s">
        <v>99</v>
      </c>
      <c r="E9222" t="s">
        <v>92</v>
      </c>
      <c r="F9222">
        <v>2700</v>
      </c>
      <c r="G9222" t="s">
        <v>331</v>
      </c>
      <c r="H9222" s="15">
        <v>45292</v>
      </c>
      <c r="I9222">
        <v>2700</v>
      </c>
      <c r="J9222">
        <v>0</v>
      </c>
    </row>
    <row r="9223" spans="1:10" x14ac:dyDescent="0.3">
      <c r="A9223" s="15">
        <v>46296</v>
      </c>
      <c r="B9223" t="s">
        <v>109</v>
      </c>
      <c r="C9223" t="s">
        <v>110</v>
      </c>
      <c r="D9223" t="s">
        <v>82</v>
      </c>
      <c r="E9223" t="s">
        <v>103</v>
      </c>
      <c r="F9223">
        <v>37500</v>
      </c>
      <c r="G9223" t="s">
        <v>331</v>
      </c>
      <c r="H9223" s="15">
        <v>45292</v>
      </c>
      <c r="I9223">
        <v>37500</v>
      </c>
      <c r="J9223">
        <v>0</v>
      </c>
    </row>
    <row r="9224" spans="1:10" x14ac:dyDescent="0.3">
      <c r="A9224" s="15">
        <v>46296</v>
      </c>
      <c r="B9224" t="s">
        <v>111</v>
      </c>
      <c r="C9224" t="s">
        <v>91</v>
      </c>
      <c r="D9224" t="s">
        <v>82</v>
      </c>
      <c r="E9224" t="s">
        <v>83</v>
      </c>
      <c r="F9224">
        <v>8800</v>
      </c>
      <c r="G9224" t="s">
        <v>331</v>
      </c>
      <c r="H9224" s="15">
        <v>45292</v>
      </c>
      <c r="I9224">
        <v>8800</v>
      </c>
      <c r="J9224">
        <v>0</v>
      </c>
    </row>
    <row r="9225" spans="1:10" x14ac:dyDescent="0.3">
      <c r="A9225" s="15">
        <v>46296</v>
      </c>
      <c r="B9225" t="s">
        <v>112</v>
      </c>
      <c r="C9225" t="s">
        <v>91</v>
      </c>
      <c r="D9225" t="s">
        <v>82</v>
      </c>
      <c r="E9225" t="s">
        <v>92</v>
      </c>
      <c r="F9225">
        <v>8600</v>
      </c>
      <c r="G9225" t="s">
        <v>331</v>
      </c>
      <c r="H9225" s="15">
        <v>45292</v>
      </c>
      <c r="I9225">
        <v>8600</v>
      </c>
      <c r="J9225">
        <v>0</v>
      </c>
    </row>
    <row r="9226" spans="1:10" x14ac:dyDescent="0.3">
      <c r="A9226" s="15">
        <v>46296</v>
      </c>
      <c r="B9226" t="s">
        <v>114</v>
      </c>
      <c r="C9226" t="s">
        <v>110</v>
      </c>
      <c r="D9226" t="s">
        <v>99</v>
      </c>
      <c r="E9226" t="s">
        <v>97</v>
      </c>
      <c r="F9226">
        <v>39000</v>
      </c>
      <c r="G9226" t="s">
        <v>331</v>
      </c>
      <c r="H9226" s="15">
        <v>45292</v>
      </c>
      <c r="I9226">
        <v>39000</v>
      </c>
      <c r="J9226">
        <v>0</v>
      </c>
    </row>
    <row r="9227" spans="1:10" x14ac:dyDescent="0.3">
      <c r="A9227" s="15">
        <v>46296</v>
      </c>
      <c r="B9227" t="s">
        <v>115</v>
      </c>
      <c r="C9227" t="s">
        <v>81</v>
      </c>
      <c r="D9227" t="s">
        <v>82</v>
      </c>
      <c r="E9227" t="s">
        <v>101</v>
      </c>
      <c r="F9227">
        <v>2600</v>
      </c>
      <c r="G9227" t="s">
        <v>331</v>
      </c>
      <c r="H9227" s="15">
        <v>45292</v>
      </c>
      <c r="I9227">
        <v>2600</v>
      </c>
      <c r="J9227">
        <v>0</v>
      </c>
    </row>
    <row r="9228" spans="1:10" x14ac:dyDescent="0.3">
      <c r="A9228" s="15">
        <v>46296</v>
      </c>
      <c r="B9228" t="s">
        <v>116</v>
      </c>
      <c r="C9228" t="s">
        <v>81</v>
      </c>
      <c r="D9228" t="s">
        <v>86</v>
      </c>
      <c r="E9228" t="s">
        <v>87</v>
      </c>
      <c r="F9228">
        <v>2700</v>
      </c>
      <c r="G9228" t="s">
        <v>331</v>
      </c>
      <c r="H9228" s="15">
        <v>45292</v>
      </c>
      <c r="I9228">
        <v>2700</v>
      </c>
      <c r="J9228">
        <v>0</v>
      </c>
    </row>
    <row r="9229" spans="1:10" x14ac:dyDescent="0.3">
      <c r="A9229" s="15">
        <v>46296</v>
      </c>
      <c r="B9229" t="s">
        <v>117</v>
      </c>
      <c r="C9229" t="s">
        <v>81</v>
      </c>
      <c r="D9229" t="s">
        <v>86</v>
      </c>
      <c r="E9229" t="s">
        <v>103</v>
      </c>
      <c r="F9229">
        <v>2500</v>
      </c>
      <c r="G9229" t="s">
        <v>331</v>
      </c>
      <c r="H9229" s="15">
        <v>45292</v>
      </c>
      <c r="I9229">
        <v>2500</v>
      </c>
      <c r="J9229">
        <v>0</v>
      </c>
    </row>
    <row r="9230" spans="1:10" x14ac:dyDescent="0.3">
      <c r="A9230" s="15">
        <v>46296</v>
      </c>
      <c r="B9230" t="s">
        <v>120</v>
      </c>
      <c r="C9230" t="s">
        <v>81</v>
      </c>
      <c r="D9230" t="s">
        <v>86</v>
      </c>
      <c r="E9230" t="s">
        <v>101</v>
      </c>
      <c r="F9230">
        <v>2200</v>
      </c>
      <c r="G9230" t="s">
        <v>331</v>
      </c>
      <c r="H9230" s="15">
        <v>45292</v>
      </c>
      <c r="I9230">
        <v>2200</v>
      </c>
      <c r="J9230">
        <v>0</v>
      </c>
    </row>
    <row r="9231" spans="1:10" x14ac:dyDescent="0.3">
      <c r="A9231" s="15">
        <v>46296</v>
      </c>
      <c r="B9231" t="s">
        <v>123</v>
      </c>
      <c r="C9231" t="s">
        <v>81</v>
      </c>
      <c r="D9231" t="s">
        <v>82</v>
      </c>
      <c r="E9231" t="s">
        <v>92</v>
      </c>
      <c r="F9231">
        <v>1900</v>
      </c>
      <c r="G9231" t="s">
        <v>331</v>
      </c>
      <c r="H9231" s="15">
        <v>45292</v>
      </c>
      <c r="I9231">
        <v>1900</v>
      </c>
      <c r="J9231">
        <v>0</v>
      </c>
    </row>
    <row r="9232" spans="1:10" x14ac:dyDescent="0.3">
      <c r="A9232" s="15">
        <v>46296</v>
      </c>
      <c r="B9232" t="s">
        <v>124</v>
      </c>
      <c r="C9232" t="s">
        <v>125</v>
      </c>
      <c r="D9232" t="s">
        <v>82</v>
      </c>
      <c r="E9232" t="s">
        <v>97</v>
      </c>
      <c r="F9232">
        <v>67900</v>
      </c>
      <c r="G9232" t="s">
        <v>331</v>
      </c>
      <c r="H9232" s="15">
        <v>45292</v>
      </c>
      <c r="I9232">
        <v>67900</v>
      </c>
      <c r="J9232">
        <v>0</v>
      </c>
    </row>
    <row r="9233" spans="1:10" x14ac:dyDescent="0.3">
      <c r="A9233" s="15">
        <v>46296</v>
      </c>
      <c r="B9233" t="s">
        <v>126</v>
      </c>
      <c r="C9233" t="s">
        <v>91</v>
      </c>
      <c r="D9233" t="s">
        <v>82</v>
      </c>
      <c r="E9233" t="s">
        <v>83</v>
      </c>
      <c r="F9233">
        <v>8800</v>
      </c>
      <c r="G9233" t="s">
        <v>331</v>
      </c>
      <c r="H9233" s="15">
        <v>45292</v>
      </c>
      <c r="I9233">
        <v>8800</v>
      </c>
      <c r="J9233">
        <v>0</v>
      </c>
    </row>
    <row r="9234" spans="1:10" x14ac:dyDescent="0.3">
      <c r="A9234" s="15">
        <v>46296</v>
      </c>
      <c r="B9234" t="s">
        <v>128</v>
      </c>
      <c r="C9234" t="s">
        <v>81</v>
      </c>
      <c r="D9234" t="s">
        <v>82</v>
      </c>
      <c r="E9234" t="s">
        <v>92</v>
      </c>
      <c r="F9234">
        <v>1700</v>
      </c>
      <c r="G9234" t="s">
        <v>331</v>
      </c>
      <c r="H9234" s="15">
        <v>45292</v>
      </c>
      <c r="I9234">
        <v>1700</v>
      </c>
      <c r="J9234">
        <v>0</v>
      </c>
    </row>
    <row r="9235" spans="1:10" x14ac:dyDescent="0.3">
      <c r="A9235" s="15">
        <v>46296</v>
      </c>
      <c r="B9235" t="s">
        <v>129</v>
      </c>
      <c r="C9235" t="s">
        <v>110</v>
      </c>
      <c r="D9235" t="s">
        <v>86</v>
      </c>
      <c r="E9235" t="s">
        <v>92</v>
      </c>
      <c r="F9235">
        <v>40500</v>
      </c>
      <c r="G9235" t="s">
        <v>331</v>
      </c>
      <c r="H9235" s="15">
        <v>45292</v>
      </c>
      <c r="I9235">
        <v>40500</v>
      </c>
      <c r="J9235">
        <v>0</v>
      </c>
    </row>
    <row r="9236" spans="1:10" x14ac:dyDescent="0.3">
      <c r="A9236" s="15">
        <v>46296</v>
      </c>
      <c r="B9236" t="s">
        <v>133</v>
      </c>
      <c r="C9236" t="s">
        <v>81</v>
      </c>
      <c r="D9236" t="s">
        <v>96</v>
      </c>
      <c r="E9236" t="s">
        <v>87</v>
      </c>
      <c r="F9236">
        <v>2700</v>
      </c>
      <c r="G9236" t="s">
        <v>331</v>
      </c>
      <c r="H9236" s="15">
        <v>45292</v>
      </c>
      <c r="I9236">
        <v>2700</v>
      </c>
      <c r="J9236">
        <v>0</v>
      </c>
    </row>
    <row r="9237" spans="1:10" x14ac:dyDescent="0.3">
      <c r="A9237" s="15">
        <v>46296</v>
      </c>
      <c r="B9237" t="s">
        <v>134</v>
      </c>
      <c r="C9237" t="s">
        <v>81</v>
      </c>
      <c r="D9237" t="s">
        <v>82</v>
      </c>
      <c r="E9237" t="s">
        <v>92</v>
      </c>
      <c r="F9237">
        <v>2600</v>
      </c>
      <c r="G9237" t="s">
        <v>331</v>
      </c>
      <c r="H9237" s="15">
        <v>45292</v>
      </c>
      <c r="I9237">
        <v>2600</v>
      </c>
      <c r="J9237">
        <v>0</v>
      </c>
    </row>
    <row r="9238" spans="1:10" x14ac:dyDescent="0.3">
      <c r="A9238" s="15">
        <v>46296</v>
      </c>
      <c r="B9238" t="s">
        <v>135</v>
      </c>
      <c r="C9238" t="s">
        <v>81</v>
      </c>
      <c r="D9238" t="s">
        <v>82</v>
      </c>
      <c r="E9238" t="s">
        <v>103</v>
      </c>
      <c r="F9238">
        <v>2400</v>
      </c>
      <c r="G9238" t="s">
        <v>331</v>
      </c>
      <c r="H9238" s="15">
        <v>45292</v>
      </c>
      <c r="I9238">
        <v>2400</v>
      </c>
      <c r="J9238">
        <v>0</v>
      </c>
    </row>
    <row r="9239" spans="1:10" x14ac:dyDescent="0.3">
      <c r="A9239" s="15">
        <v>46296</v>
      </c>
      <c r="B9239" t="s">
        <v>136</v>
      </c>
      <c r="C9239" t="s">
        <v>81</v>
      </c>
      <c r="D9239" t="s">
        <v>82</v>
      </c>
      <c r="E9239" t="s">
        <v>101</v>
      </c>
      <c r="F9239">
        <v>2900</v>
      </c>
      <c r="G9239" t="s">
        <v>331</v>
      </c>
      <c r="H9239" s="15">
        <v>45292</v>
      </c>
      <c r="I9239">
        <v>2900</v>
      </c>
      <c r="J9239">
        <v>0</v>
      </c>
    </row>
    <row r="9240" spans="1:10" x14ac:dyDescent="0.3">
      <c r="A9240" s="15">
        <v>46296</v>
      </c>
      <c r="B9240" t="s">
        <v>138</v>
      </c>
      <c r="C9240" t="s">
        <v>81</v>
      </c>
      <c r="D9240" t="s">
        <v>86</v>
      </c>
      <c r="E9240" t="s">
        <v>97</v>
      </c>
      <c r="F9240">
        <v>3300</v>
      </c>
      <c r="G9240" t="s">
        <v>331</v>
      </c>
      <c r="H9240" s="15">
        <v>45292</v>
      </c>
      <c r="I9240">
        <v>3300</v>
      </c>
      <c r="J9240">
        <v>0</v>
      </c>
    </row>
    <row r="9241" spans="1:10" x14ac:dyDescent="0.3">
      <c r="A9241" s="15">
        <v>46296</v>
      </c>
      <c r="B9241" t="s">
        <v>139</v>
      </c>
      <c r="C9241" t="s">
        <v>91</v>
      </c>
      <c r="D9241" t="s">
        <v>82</v>
      </c>
      <c r="E9241" t="s">
        <v>103</v>
      </c>
      <c r="F9241">
        <v>6800</v>
      </c>
      <c r="G9241" t="s">
        <v>331</v>
      </c>
      <c r="H9241" s="15">
        <v>45292</v>
      </c>
      <c r="I9241">
        <v>6800</v>
      </c>
      <c r="J9241">
        <v>0</v>
      </c>
    </row>
    <row r="9242" spans="1:10" x14ac:dyDescent="0.3">
      <c r="A9242" s="15">
        <v>46296</v>
      </c>
      <c r="B9242" t="s">
        <v>141</v>
      </c>
      <c r="C9242" t="s">
        <v>125</v>
      </c>
      <c r="D9242" t="s">
        <v>99</v>
      </c>
      <c r="E9242" t="s">
        <v>103</v>
      </c>
      <c r="F9242">
        <v>127400</v>
      </c>
      <c r="G9242" t="s">
        <v>331</v>
      </c>
      <c r="H9242" s="15">
        <v>45292</v>
      </c>
      <c r="I9242">
        <v>127400</v>
      </c>
      <c r="J9242">
        <v>0</v>
      </c>
    </row>
    <row r="9243" spans="1:10" x14ac:dyDescent="0.3">
      <c r="A9243" s="15">
        <v>46296</v>
      </c>
      <c r="B9243" t="s">
        <v>142</v>
      </c>
      <c r="C9243" t="s">
        <v>125</v>
      </c>
      <c r="D9243" t="s">
        <v>82</v>
      </c>
      <c r="E9243" t="s">
        <v>92</v>
      </c>
      <c r="F9243">
        <v>114200</v>
      </c>
      <c r="G9243" t="s">
        <v>331</v>
      </c>
      <c r="H9243" s="15">
        <v>45292</v>
      </c>
      <c r="I9243">
        <v>114200</v>
      </c>
      <c r="J9243">
        <v>0</v>
      </c>
    </row>
    <row r="9244" spans="1:10" x14ac:dyDescent="0.3">
      <c r="A9244" s="15">
        <v>46296</v>
      </c>
      <c r="B9244" t="s">
        <v>143</v>
      </c>
      <c r="C9244" t="s">
        <v>91</v>
      </c>
      <c r="D9244" t="s">
        <v>99</v>
      </c>
      <c r="E9244" t="s">
        <v>103</v>
      </c>
      <c r="F9244">
        <v>8500</v>
      </c>
      <c r="G9244" t="s">
        <v>331</v>
      </c>
      <c r="H9244" s="15">
        <v>45292</v>
      </c>
      <c r="I9244">
        <v>8500</v>
      </c>
      <c r="J9244">
        <v>0</v>
      </c>
    </row>
    <row r="9245" spans="1:10" x14ac:dyDescent="0.3">
      <c r="A9245" s="15">
        <v>46296</v>
      </c>
      <c r="B9245" t="s">
        <v>144</v>
      </c>
      <c r="C9245" t="s">
        <v>81</v>
      </c>
      <c r="D9245" t="s">
        <v>82</v>
      </c>
      <c r="E9245" t="s">
        <v>92</v>
      </c>
      <c r="F9245">
        <v>2500</v>
      </c>
      <c r="G9245" t="s">
        <v>331</v>
      </c>
      <c r="H9245" s="15">
        <v>45292</v>
      </c>
      <c r="I9245">
        <v>2500</v>
      </c>
      <c r="J9245">
        <v>0</v>
      </c>
    </row>
    <row r="9246" spans="1:10" x14ac:dyDescent="0.3">
      <c r="A9246" s="15">
        <v>46296</v>
      </c>
      <c r="B9246" t="s">
        <v>145</v>
      </c>
      <c r="C9246" t="s">
        <v>91</v>
      </c>
      <c r="D9246" t="s">
        <v>82</v>
      </c>
      <c r="E9246" t="s">
        <v>87</v>
      </c>
      <c r="F9246">
        <v>7400</v>
      </c>
      <c r="G9246" t="s">
        <v>331</v>
      </c>
      <c r="H9246" s="15">
        <v>45292</v>
      </c>
      <c r="I9246">
        <v>7400</v>
      </c>
      <c r="J9246">
        <v>0</v>
      </c>
    </row>
    <row r="9247" spans="1:10" x14ac:dyDescent="0.3">
      <c r="A9247" s="15">
        <v>46296</v>
      </c>
      <c r="B9247" t="s">
        <v>146</v>
      </c>
      <c r="C9247" t="s">
        <v>91</v>
      </c>
      <c r="D9247" t="s">
        <v>86</v>
      </c>
      <c r="E9247" t="s">
        <v>87</v>
      </c>
      <c r="F9247">
        <v>10100</v>
      </c>
      <c r="G9247" t="s">
        <v>331</v>
      </c>
      <c r="H9247" s="15">
        <v>45292</v>
      </c>
      <c r="I9247">
        <v>10100</v>
      </c>
      <c r="J9247">
        <v>0</v>
      </c>
    </row>
    <row r="9248" spans="1:10" x14ac:dyDescent="0.3">
      <c r="A9248" s="15">
        <v>46296</v>
      </c>
      <c r="B9248" t="s">
        <v>149</v>
      </c>
      <c r="C9248" t="s">
        <v>110</v>
      </c>
      <c r="D9248" t="s">
        <v>82</v>
      </c>
      <c r="E9248" t="s">
        <v>103</v>
      </c>
      <c r="F9248">
        <v>25500</v>
      </c>
      <c r="G9248" t="s">
        <v>331</v>
      </c>
      <c r="H9248" s="15">
        <v>45292</v>
      </c>
      <c r="I9248">
        <v>25500</v>
      </c>
      <c r="J9248">
        <v>0</v>
      </c>
    </row>
    <row r="9249" spans="1:10" x14ac:dyDescent="0.3">
      <c r="A9249" s="15">
        <v>46296</v>
      </c>
      <c r="B9249" t="s">
        <v>151</v>
      </c>
      <c r="C9249" t="s">
        <v>91</v>
      </c>
      <c r="D9249" t="s">
        <v>82</v>
      </c>
      <c r="E9249" t="s">
        <v>97</v>
      </c>
      <c r="F9249">
        <v>5600</v>
      </c>
      <c r="G9249" t="s">
        <v>331</v>
      </c>
      <c r="H9249" s="15">
        <v>45292</v>
      </c>
      <c r="I9249">
        <v>5600</v>
      </c>
      <c r="J9249">
        <v>0</v>
      </c>
    </row>
    <row r="9250" spans="1:10" x14ac:dyDescent="0.3">
      <c r="A9250" s="15">
        <v>46296</v>
      </c>
      <c r="B9250" t="s">
        <v>154</v>
      </c>
      <c r="C9250" t="s">
        <v>91</v>
      </c>
      <c r="D9250" t="s">
        <v>86</v>
      </c>
      <c r="E9250" t="s">
        <v>103</v>
      </c>
      <c r="F9250">
        <v>8300</v>
      </c>
      <c r="G9250" t="s">
        <v>331</v>
      </c>
      <c r="H9250" s="15">
        <v>45292</v>
      </c>
      <c r="I9250">
        <v>8300</v>
      </c>
      <c r="J9250">
        <v>0</v>
      </c>
    </row>
    <row r="9251" spans="1:10" x14ac:dyDescent="0.3">
      <c r="A9251" s="15">
        <v>46296</v>
      </c>
      <c r="B9251" t="s">
        <v>155</v>
      </c>
      <c r="C9251" t="s">
        <v>91</v>
      </c>
      <c r="D9251" t="s">
        <v>82</v>
      </c>
      <c r="E9251" t="s">
        <v>92</v>
      </c>
      <c r="F9251">
        <v>7300</v>
      </c>
      <c r="G9251" t="s">
        <v>331</v>
      </c>
      <c r="H9251" s="15">
        <v>45292</v>
      </c>
      <c r="I9251">
        <v>7300</v>
      </c>
      <c r="J9251">
        <v>0</v>
      </c>
    </row>
    <row r="9252" spans="1:10" x14ac:dyDescent="0.3">
      <c r="A9252" s="15">
        <v>46296</v>
      </c>
      <c r="B9252" t="s">
        <v>156</v>
      </c>
      <c r="C9252" t="s">
        <v>81</v>
      </c>
      <c r="D9252" t="s">
        <v>86</v>
      </c>
      <c r="E9252" t="s">
        <v>101</v>
      </c>
      <c r="F9252">
        <v>0</v>
      </c>
      <c r="G9252" t="s">
        <v>333</v>
      </c>
      <c r="H9252" s="15">
        <v>45292</v>
      </c>
      <c r="I9252">
        <v>2500</v>
      </c>
      <c r="J9252">
        <v>-2500</v>
      </c>
    </row>
    <row r="9253" spans="1:10" x14ac:dyDescent="0.3">
      <c r="A9253" s="15">
        <v>46296</v>
      </c>
      <c r="B9253" t="s">
        <v>157</v>
      </c>
      <c r="C9253" t="s">
        <v>81</v>
      </c>
      <c r="D9253" t="s">
        <v>82</v>
      </c>
      <c r="E9253" t="s">
        <v>92</v>
      </c>
      <c r="F9253">
        <v>1800</v>
      </c>
      <c r="G9253" t="s">
        <v>331</v>
      </c>
      <c r="H9253" s="15">
        <v>45292</v>
      </c>
      <c r="I9253">
        <v>1800</v>
      </c>
      <c r="J9253">
        <v>0</v>
      </c>
    </row>
    <row r="9254" spans="1:10" x14ac:dyDescent="0.3">
      <c r="A9254" s="15">
        <v>46296</v>
      </c>
      <c r="B9254" t="s">
        <v>159</v>
      </c>
      <c r="C9254" t="s">
        <v>81</v>
      </c>
      <c r="D9254" t="s">
        <v>86</v>
      </c>
      <c r="E9254" t="s">
        <v>87</v>
      </c>
      <c r="F9254">
        <v>2600</v>
      </c>
      <c r="G9254" t="s">
        <v>331</v>
      </c>
      <c r="H9254" s="15">
        <v>45292</v>
      </c>
      <c r="I9254">
        <v>2600</v>
      </c>
      <c r="J9254">
        <v>0</v>
      </c>
    </row>
    <row r="9255" spans="1:10" x14ac:dyDescent="0.3">
      <c r="A9255" s="15">
        <v>46296</v>
      </c>
      <c r="B9255" t="s">
        <v>161</v>
      </c>
      <c r="C9255" t="s">
        <v>91</v>
      </c>
      <c r="D9255" t="s">
        <v>99</v>
      </c>
      <c r="E9255" t="s">
        <v>83</v>
      </c>
      <c r="F9255">
        <v>10900</v>
      </c>
      <c r="G9255" t="s">
        <v>331</v>
      </c>
      <c r="H9255" s="15">
        <v>45292</v>
      </c>
      <c r="I9255">
        <v>10900</v>
      </c>
      <c r="J9255">
        <v>0</v>
      </c>
    </row>
    <row r="9256" spans="1:10" x14ac:dyDescent="0.3">
      <c r="A9256" s="15">
        <v>46296</v>
      </c>
      <c r="B9256" t="s">
        <v>164</v>
      </c>
      <c r="C9256" t="s">
        <v>81</v>
      </c>
      <c r="D9256" t="s">
        <v>99</v>
      </c>
      <c r="E9256" t="s">
        <v>89</v>
      </c>
      <c r="F9256">
        <v>2800</v>
      </c>
      <c r="G9256" t="s">
        <v>331</v>
      </c>
      <c r="H9256" s="15">
        <v>45292</v>
      </c>
      <c r="I9256">
        <v>2800</v>
      </c>
      <c r="J9256">
        <v>0</v>
      </c>
    </row>
    <row r="9257" spans="1:10" x14ac:dyDescent="0.3">
      <c r="A9257" s="15">
        <v>46296</v>
      </c>
      <c r="B9257" t="s">
        <v>166</v>
      </c>
      <c r="C9257" t="s">
        <v>81</v>
      </c>
      <c r="D9257" t="s">
        <v>99</v>
      </c>
      <c r="E9257" t="s">
        <v>103</v>
      </c>
      <c r="F9257">
        <v>2600</v>
      </c>
      <c r="G9257" t="s">
        <v>331</v>
      </c>
      <c r="H9257" s="15">
        <v>45292</v>
      </c>
      <c r="I9257">
        <v>2600</v>
      </c>
      <c r="J9257">
        <v>0</v>
      </c>
    </row>
    <row r="9258" spans="1:10" x14ac:dyDescent="0.3">
      <c r="A9258" s="15">
        <v>46296</v>
      </c>
      <c r="B9258" t="s">
        <v>167</v>
      </c>
      <c r="C9258" t="s">
        <v>81</v>
      </c>
      <c r="D9258" t="s">
        <v>82</v>
      </c>
      <c r="E9258" t="s">
        <v>97</v>
      </c>
      <c r="F9258">
        <v>2000</v>
      </c>
      <c r="G9258" t="s">
        <v>331</v>
      </c>
      <c r="H9258" s="15">
        <v>45292</v>
      </c>
      <c r="I9258">
        <v>2000</v>
      </c>
      <c r="J9258">
        <v>0</v>
      </c>
    </row>
    <row r="9259" spans="1:10" x14ac:dyDescent="0.3">
      <c r="A9259" s="15">
        <v>46296</v>
      </c>
      <c r="B9259" t="s">
        <v>168</v>
      </c>
      <c r="C9259" t="s">
        <v>91</v>
      </c>
      <c r="D9259" t="s">
        <v>86</v>
      </c>
      <c r="E9259" t="s">
        <v>103</v>
      </c>
      <c r="F9259">
        <v>10700</v>
      </c>
      <c r="G9259" t="s">
        <v>331</v>
      </c>
      <c r="H9259" s="15">
        <v>45292</v>
      </c>
      <c r="I9259">
        <v>10700</v>
      </c>
      <c r="J9259">
        <v>0</v>
      </c>
    </row>
    <row r="9260" spans="1:10" x14ac:dyDescent="0.3">
      <c r="A9260" s="15">
        <v>46296</v>
      </c>
      <c r="B9260" t="s">
        <v>170</v>
      </c>
      <c r="C9260" t="s">
        <v>91</v>
      </c>
      <c r="D9260" t="s">
        <v>99</v>
      </c>
      <c r="E9260" t="s">
        <v>83</v>
      </c>
      <c r="F9260">
        <v>5500</v>
      </c>
      <c r="G9260" t="s">
        <v>331</v>
      </c>
      <c r="H9260" s="15">
        <v>45292</v>
      </c>
      <c r="I9260">
        <v>5500</v>
      </c>
      <c r="J9260">
        <v>0</v>
      </c>
    </row>
    <row r="9261" spans="1:10" x14ac:dyDescent="0.3">
      <c r="A9261" s="15">
        <v>46296</v>
      </c>
      <c r="B9261" t="s">
        <v>171</v>
      </c>
      <c r="C9261" t="s">
        <v>81</v>
      </c>
      <c r="D9261" t="s">
        <v>99</v>
      </c>
      <c r="E9261" t="s">
        <v>97</v>
      </c>
      <c r="F9261">
        <v>1700</v>
      </c>
      <c r="G9261" t="s">
        <v>331</v>
      </c>
      <c r="H9261" s="15">
        <v>45292</v>
      </c>
      <c r="I9261">
        <v>1700</v>
      </c>
      <c r="J9261">
        <v>0</v>
      </c>
    </row>
    <row r="9262" spans="1:10" x14ac:dyDescent="0.3">
      <c r="A9262" s="15">
        <v>46296</v>
      </c>
      <c r="B9262" t="s">
        <v>174</v>
      </c>
      <c r="C9262" t="s">
        <v>81</v>
      </c>
      <c r="D9262" t="s">
        <v>82</v>
      </c>
      <c r="E9262" t="s">
        <v>92</v>
      </c>
      <c r="F9262">
        <v>2400</v>
      </c>
      <c r="G9262" t="s">
        <v>331</v>
      </c>
      <c r="H9262" s="15">
        <v>45292</v>
      </c>
      <c r="I9262">
        <v>2400</v>
      </c>
      <c r="J9262">
        <v>0</v>
      </c>
    </row>
    <row r="9263" spans="1:10" x14ac:dyDescent="0.3">
      <c r="A9263" s="15">
        <v>46296</v>
      </c>
      <c r="B9263" t="s">
        <v>175</v>
      </c>
      <c r="C9263" t="s">
        <v>91</v>
      </c>
      <c r="D9263" t="s">
        <v>96</v>
      </c>
      <c r="E9263" t="s">
        <v>83</v>
      </c>
      <c r="F9263">
        <v>8800</v>
      </c>
      <c r="G9263" t="s">
        <v>331</v>
      </c>
      <c r="H9263" s="15">
        <v>45292</v>
      </c>
      <c r="I9263">
        <v>8800</v>
      </c>
      <c r="J9263">
        <v>0</v>
      </c>
    </row>
    <row r="9264" spans="1:10" x14ac:dyDescent="0.3">
      <c r="A9264" s="15">
        <v>46296</v>
      </c>
      <c r="B9264" t="s">
        <v>176</v>
      </c>
      <c r="C9264" t="s">
        <v>81</v>
      </c>
      <c r="D9264" t="s">
        <v>99</v>
      </c>
      <c r="E9264" t="s">
        <v>92</v>
      </c>
      <c r="F9264">
        <v>2900</v>
      </c>
      <c r="G9264" t="s">
        <v>331</v>
      </c>
      <c r="H9264" s="15">
        <v>45292</v>
      </c>
      <c r="I9264">
        <v>2900</v>
      </c>
      <c r="J9264">
        <v>0</v>
      </c>
    </row>
    <row r="9265" spans="1:10" x14ac:dyDescent="0.3">
      <c r="A9265" s="15">
        <v>46296</v>
      </c>
      <c r="B9265" t="s">
        <v>177</v>
      </c>
      <c r="C9265" t="s">
        <v>81</v>
      </c>
      <c r="D9265" t="s">
        <v>96</v>
      </c>
      <c r="E9265" t="s">
        <v>83</v>
      </c>
      <c r="F9265">
        <v>2900</v>
      </c>
      <c r="G9265" t="s">
        <v>331</v>
      </c>
      <c r="H9265" s="15">
        <v>45292</v>
      </c>
      <c r="I9265">
        <v>2900</v>
      </c>
      <c r="J9265">
        <v>0</v>
      </c>
    </row>
    <row r="9266" spans="1:10" x14ac:dyDescent="0.3">
      <c r="A9266" s="15">
        <v>46296</v>
      </c>
      <c r="B9266" t="s">
        <v>178</v>
      </c>
      <c r="C9266" t="s">
        <v>91</v>
      </c>
      <c r="D9266" t="s">
        <v>82</v>
      </c>
      <c r="E9266" t="s">
        <v>89</v>
      </c>
      <c r="F9266">
        <v>8400</v>
      </c>
      <c r="G9266" t="s">
        <v>331</v>
      </c>
      <c r="H9266" s="15">
        <v>45292</v>
      </c>
      <c r="I9266">
        <v>8400</v>
      </c>
      <c r="J9266">
        <v>0</v>
      </c>
    </row>
    <row r="9267" spans="1:10" x14ac:dyDescent="0.3">
      <c r="A9267" s="15">
        <v>46296</v>
      </c>
      <c r="B9267" t="s">
        <v>179</v>
      </c>
      <c r="C9267" t="s">
        <v>110</v>
      </c>
      <c r="D9267" t="s">
        <v>86</v>
      </c>
      <c r="E9267" t="s">
        <v>87</v>
      </c>
      <c r="F9267">
        <v>27000</v>
      </c>
      <c r="G9267" t="s">
        <v>331</v>
      </c>
      <c r="H9267" s="15">
        <v>45292</v>
      </c>
      <c r="I9267">
        <v>27000</v>
      </c>
      <c r="J9267">
        <v>0</v>
      </c>
    </row>
    <row r="9268" spans="1:10" x14ac:dyDescent="0.3">
      <c r="A9268" s="15">
        <v>46296</v>
      </c>
      <c r="B9268" t="s">
        <v>180</v>
      </c>
      <c r="C9268" t="s">
        <v>91</v>
      </c>
      <c r="D9268" t="s">
        <v>86</v>
      </c>
      <c r="E9268" t="s">
        <v>83</v>
      </c>
      <c r="F9268">
        <v>8500</v>
      </c>
      <c r="G9268" t="s">
        <v>331</v>
      </c>
      <c r="H9268" s="15">
        <v>45292</v>
      </c>
      <c r="I9268">
        <v>8500</v>
      </c>
      <c r="J9268">
        <v>0</v>
      </c>
    </row>
    <row r="9269" spans="1:10" x14ac:dyDescent="0.3">
      <c r="A9269" s="15">
        <v>46296</v>
      </c>
      <c r="B9269" t="s">
        <v>181</v>
      </c>
      <c r="C9269" t="s">
        <v>91</v>
      </c>
      <c r="D9269" t="s">
        <v>82</v>
      </c>
      <c r="E9269" t="s">
        <v>97</v>
      </c>
      <c r="F9269">
        <v>10100</v>
      </c>
      <c r="G9269" t="s">
        <v>331</v>
      </c>
      <c r="H9269" s="15">
        <v>45292</v>
      </c>
      <c r="I9269">
        <v>10100</v>
      </c>
      <c r="J9269">
        <v>0</v>
      </c>
    </row>
    <row r="9270" spans="1:10" x14ac:dyDescent="0.3">
      <c r="A9270" s="15">
        <v>46296</v>
      </c>
      <c r="B9270" t="s">
        <v>182</v>
      </c>
      <c r="C9270" t="s">
        <v>125</v>
      </c>
      <c r="D9270" t="s">
        <v>82</v>
      </c>
      <c r="E9270" t="s">
        <v>92</v>
      </c>
      <c r="F9270">
        <v>100200</v>
      </c>
      <c r="G9270" t="s">
        <v>331</v>
      </c>
      <c r="H9270" s="15">
        <v>45292</v>
      </c>
      <c r="I9270">
        <v>100200</v>
      </c>
      <c r="J9270">
        <v>0</v>
      </c>
    </row>
    <row r="9271" spans="1:10" x14ac:dyDescent="0.3">
      <c r="A9271" s="15">
        <v>46296</v>
      </c>
      <c r="B9271" t="s">
        <v>183</v>
      </c>
      <c r="C9271" t="s">
        <v>91</v>
      </c>
      <c r="D9271" t="s">
        <v>96</v>
      </c>
      <c r="E9271" t="s">
        <v>92</v>
      </c>
      <c r="F9271">
        <v>9500</v>
      </c>
      <c r="G9271" t="s">
        <v>331</v>
      </c>
      <c r="H9271" s="15">
        <v>45292</v>
      </c>
      <c r="I9271">
        <v>9500</v>
      </c>
      <c r="J9271">
        <v>0</v>
      </c>
    </row>
    <row r="9272" spans="1:10" x14ac:dyDescent="0.3">
      <c r="A9272" s="15">
        <v>46296</v>
      </c>
      <c r="B9272" t="s">
        <v>184</v>
      </c>
      <c r="C9272" t="s">
        <v>81</v>
      </c>
      <c r="D9272" t="s">
        <v>82</v>
      </c>
      <c r="E9272" t="s">
        <v>83</v>
      </c>
      <c r="F9272">
        <v>2400</v>
      </c>
      <c r="G9272" t="s">
        <v>331</v>
      </c>
      <c r="H9272" s="15">
        <v>45292</v>
      </c>
      <c r="I9272">
        <v>2400</v>
      </c>
      <c r="J9272">
        <v>0</v>
      </c>
    </row>
    <row r="9273" spans="1:10" x14ac:dyDescent="0.3">
      <c r="A9273" s="15">
        <v>46296</v>
      </c>
      <c r="B9273" t="s">
        <v>185</v>
      </c>
      <c r="C9273" t="s">
        <v>81</v>
      </c>
      <c r="D9273" t="s">
        <v>96</v>
      </c>
      <c r="E9273" t="s">
        <v>97</v>
      </c>
      <c r="F9273">
        <v>1900</v>
      </c>
      <c r="G9273" t="s">
        <v>331</v>
      </c>
      <c r="H9273" s="15">
        <v>45292</v>
      </c>
      <c r="I9273">
        <v>1900</v>
      </c>
      <c r="J9273">
        <v>0</v>
      </c>
    </row>
    <row r="9274" spans="1:10" x14ac:dyDescent="0.3">
      <c r="A9274" s="15">
        <v>46296</v>
      </c>
      <c r="B9274" t="s">
        <v>186</v>
      </c>
      <c r="C9274" t="s">
        <v>91</v>
      </c>
      <c r="D9274" t="s">
        <v>82</v>
      </c>
      <c r="E9274" t="s">
        <v>103</v>
      </c>
      <c r="F9274">
        <v>13900</v>
      </c>
      <c r="G9274" t="s">
        <v>331</v>
      </c>
      <c r="H9274" s="15">
        <v>45292</v>
      </c>
      <c r="I9274">
        <v>13900</v>
      </c>
      <c r="J9274">
        <v>0</v>
      </c>
    </row>
    <row r="9275" spans="1:10" x14ac:dyDescent="0.3">
      <c r="A9275" s="15">
        <v>46296</v>
      </c>
      <c r="B9275" t="s">
        <v>187</v>
      </c>
      <c r="C9275" t="s">
        <v>110</v>
      </c>
      <c r="D9275" t="s">
        <v>86</v>
      </c>
      <c r="E9275" t="s">
        <v>97</v>
      </c>
      <c r="F9275">
        <v>30100</v>
      </c>
      <c r="G9275" t="s">
        <v>331</v>
      </c>
      <c r="H9275" s="15">
        <v>45292</v>
      </c>
      <c r="I9275">
        <v>30100</v>
      </c>
      <c r="J9275">
        <v>0</v>
      </c>
    </row>
    <row r="9276" spans="1:10" x14ac:dyDescent="0.3">
      <c r="A9276" s="15">
        <v>46296</v>
      </c>
      <c r="B9276" t="s">
        <v>188</v>
      </c>
      <c r="C9276" t="s">
        <v>91</v>
      </c>
      <c r="D9276" t="s">
        <v>82</v>
      </c>
      <c r="E9276" t="s">
        <v>92</v>
      </c>
      <c r="F9276">
        <v>12800</v>
      </c>
      <c r="G9276" t="s">
        <v>331</v>
      </c>
      <c r="H9276" s="15">
        <v>45292</v>
      </c>
      <c r="I9276">
        <v>12800</v>
      </c>
      <c r="J9276">
        <v>0</v>
      </c>
    </row>
    <row r="9277" spans="1:10" x14ac:dyDescent="0.3">
      <c r="A9277" s="15">
        <v>46296</v>
      </c>
      <c r="B9277" t="s">
        <v>189</v>
      </c>
      <c r="C9277" t="s">
        <v>81</v>
      </c>
      <c r="D9277" t="s">
        <v>86</v>
      </c>
      <c r="E9277" t="s">
        <v>103</v>
      </c>
      <c r="F9277">
        <v>2300</v>
      </c>
      <c r="G9277" t="s">
        <v>331</v>
      </c>
      <c r="H9277" s="15">
        <v>45292</v>
      </c>
      <c r="I9277">
        <v>2300</v>
      </c>
      <c r="J9277">
        <v>0</v>
      </c>
    </row>
    <row r="9278" spans="1:10" x14ac:dyDescent="0.3">
      <c r="A9278" s="15">
        <v>46296</v>
      </c>
      <c r="B9278" t="s">
        <v>190</v>
      </c>
      <c r="C9278" t="s">
        <v>81</v>
      </c>
      <c r="D9278" t="s">
        <v>99</v>
      </c>
      <c r="E9278" t="s">
        <v>89</v>
      </c>
      <c r="F9278">
        <v>1900</v>
      </c>
      <c r="G9278" t="s">
        <v>331</v>
      </c>
      <c r="H9278" s="15">
        <v>45292</v>
      </c>
      <c r="I9278">
        <v>1900</v>
      </c>
      <c r="J9278">
        <v>0</v>
      </c>
    </row>
    <row r="9279" spans="1:10" x14ac:dyDescent="0.3">
      <c r="A9279" s="15">
        <v>46296</v>
      </c>
      <c r="B9279" t="s">
        <v>191</v>
      </c>
      <c r="C9279" t="s">
        <v>91</v>
      </c>
      <c r="D9279" t="s">
        <v>86</v>
      </c>
      <c r="E9279" t="s">
        <v>87</v>
      </c>
      <c r="F9279">
        <v>6900</v>
      </c>
      <c r="G9279" t="s">
        <v>331</v>
      </c>
      <c r="H9279" s="15">
        <v>45292</v>
      </c>
      <c r="I9279">
        <v>6900</v>
      </c>
      <c r="J9279">
        <v>0</v>
      </c>
    </row>
    <row r="9280" spans="1:10" x14ac:dyDescent="0.3">
      <c r="A9280" s="15">
        <v>46296</v>
      </c>
      <c r="B9280" t="s">
        <v>193</v>
      </c>
      <c r="C9280" t="s">
        <v>81</v>
      </c>
      <c r="D9280" t="s">
        <v>82</v>
      </c>
      <c r="E9280" t="s">
        <v>87</v>
      </c>
      <c r="F9280">
        <v>3200</v>
      </c>
      <c r="G9280" t="s">
        <v>331</v>
      </c>
      <c r="H9280" s="15">
        <v>45292</v>
      </c>
      <c r="I9280">
        <v>3200</v>
      </c>
      <c r="J9280">
        <v>0</v>
      </c>
    </row>
    <row r="9281" spans="1:10" x14ac:dyDescent="0.3">
      <c r="A9281" s="15">
        <v>46296</v>
      </c>
      <c r="B9281" t="s">
        <v>195</v>
      </c>
      <c r="C9281" t="s">
        <v>91</v>
      </c>
      <c r="D9281" t="s">
        <v>86</v>
      </c>
      <c r="E9281" t="s">
        <v>97</v>
      </c>
      <c r="F9281">
        <v>6800</v>
      </c>
      <c r="G9281" t="s">
        <v>331</v>
      </c>
      <c r="H9281" s="15">
        <v>45292</v>
      </c>
      <c r="I9281">
        <v>6800</v>
      </c>
      <c r="J9281">
        <v>0</v>
      </c>
    </row>
    <row r="9282" spans="1:10" x14ac:dyDescent="0.3">
      <c r="A9282" s="15">
        <v>46296</v>
      </c>
      <c r="B9282" t="s">
        <v>197</v>
      </c>
      <c r="C9282" t="s">
        <v>91</v>
      </c>
      <c r="D9282" t="s">
        <v>82</v>
      </c>
      <c r="E9282" t="s">
        <v>89</v>
      </c>
      <c r="F9282">
        <v>12000</v>
      </c>
      <c r="G9282" t="s">
        <v>331</v>
      </c>
      <c r="H9282" s="15">
        <v>45292</v>
      </c>
      <c r="I9282">
        <v>12000</v>
      </c>
      <c r="J9282">
        <v>0</v>
      </c>
    </row>
    <row r="9283" spans="1:10" x14ac:dyDescent="0.3">
      <c r="A9283" s="15">
        <v>46296</v>
      </c>
      <c r="B9283" t="s">
        <v>198</v>
      </c>
      <c r="C9283" t="s">
        <v>81</v>
      </c>
      <c r="D9283" t="s">
        <v>82</v>
      </c>
      <c r="E9283" t="s">
        <v>89</v>
      </c>
      <c r="F9283">
        <v>2900</v>
      </c>
      <c r="G9283" t="s">
        <v>331</v>
      </c>
      <c r="H9283" s="15">
        <v>45292</v>
      </c>
      <c r="I9283">
        <v>2900</v>
      </c>
      <c r="J9283">
        <v>0</v>
      </c>
    </row>
    <row r="9284" spans="1:10" x14ac:dyDescent="0.3">
      <c r="A9284" s="15">
        <v>46296</v>
      </c>
      <c r="B9284" t="s">
        <v>199</v>
      </c>
      <c r="C9284" t="s">
        <v>81</v>
      </c>
      <c r="D9284" t="s">
        <v>86</v>
      </c>
      <c r="E9284" t="s">
        <v>89</v>
      </c>
      <c r="F9284">
        <v>2200</v>
      </c>
      <c r="G9284" t="s">
        <v>331</v>
      </c>
      <c r="H9284" s="15">
        <v>45292</v>
      </c>
      <c r="I9284">
        <v>2200</v>
      </c>
      <c r="J9284">
        <v>0</v>
      </c>
    </row>
    <row r="9285" spans="1:10" x14ac:dyDescent="0.3">
      <c r="A9285" s="15">
        <v>46296</v>
      </c>
      <c r="B9285" t="s">
        <v>200</v>
      </c>
      <c r="C9285" t="s">
        <v>91</v>
      </c>
      <c r="D9285" t="s">
        <v>86</v>
      </c>
      <c r="E9285" t="s">
        <v>92</v>
      </c>
      <c r="F9285">
        <v>8800</v>
      </c>
      <c r="G9285" t="s">
        <v>331</v>
      </c>
      <c r="H9285" s="15">
        <v>45292</v>
      </c>
      <c r="I9285">
        <v>8800</v>
      </c>
      <c r="J9285">
        <v>0</v>
      </c>
    </row>
    <row r="9286" spans="1:10" x14ac:dyDescent="0.3">
      <c r="A9286" s="15">
        <v>46296</v>
      </c>
      <c r="B9286" t="s">
        <v>201</v>
      </c>
      <c r="C9286" t="s">
        <v>81</v>
      </c>
      <c r="D9286" t="s">
        <v>86</v>
      </c>
      <c r="E9286" t="s">
        <v>83</v>
      </c>
      <c r="F9286">
        <v>1500</v>
      </c>
      <c r="G9286" t="s">
        <v>331</v>
      </c>
      <c r="H9286" s="15">
        <v>45292</v>
      </c>
      <c r="I9286">
        <v>1500</v>
      </c>
      <c r="J9286">
        <v>0</v>
      </c>
    </row>
    <row r="9287" spans="1:10" x14ac:dyDescent="0.3">
      <c r="A9287" s="15">
        <v>46296</v>
      </c>
      <c r="B9287" t="s">
        <v>202</v>
      </c>
      <c r="C9287" t="s">
        <v>91</v>
      </c>
      <c r="D9287" t="s">
        <v>82</v>
      </c>
      <c r="E9287" t="s">
        <v>92</v>
      </c>
      <c r="F9287">
        <v>12700</v>
      </c>
      <c r="G9287" t="s">
        <v>331</v>
      </c>
      <c r="H9287" s="15">
        <v>45292</v>
      </c>
      <c r="I9287">
        <v>12700</v>
      </c>
      <c r="J9287">
        <v>0</v>
      </c>
    </row>
    <row r="9288" spans="1:10" x14ac:dyDescent="0.3">
      <c r="A9288" s="15">
        <v>46296</v>
      </c>
      <c r="B9288" t="s">
        <v>204</v>
      </c>
      <c r="C9288" t="s">
        <v>81</v>
      </c>
      <c r="D9288" t="s">
        <v>82</v>
      </c>
      <c r="E9288" t="s">
        <v>87</v>
      </c>
      <c r="F9288">
        <v>1900</v>
      </c>
      <c r="G9288" t="s">
        <v>331</v>
      </c>
      <c r="H9288" s="15">
        <v>45292</v>
      </c>
      <c r="I9288">
        <v>1900</v>
      </c>
      <c r="J9288">
        <v>0</v>
      </c>
    </row>
    <row r="9289" spans="1:10" x14ac:dyDescent="0.3">
      <c r="A9289" s="15">
        <v>46296</v>
      </c>
      <c r="B9289" t="s">
        <v>205</v>
      </c>
      <c r="C9289" t="s">
        <v>91</v>
      </c>
      <c r="D9289" t="s">
        <v>86</v>
      </c>
      <c r="E9289" t="s">
        <v>103</v>
      </c>
      <c r="F9289">
        <v>9800</v>
      </c>
      <c r="G9289" t="s">
        <v>331</v>
      </c>
      <c r="H9289" s="15">
        <v>45292</v>
      </c>
      <c r="I9289">
        <v>9800</v>
      </c>
      <c r="J9289">
        <v>0</v>
      </c>
    </row>
    <row r="9290" spans="1:10" x14ac:dyDescent="0.3">
      <c r="A9290" s="15">
        <v>46296</v>
      </c>
      <c r="B9290" t="s">
        <v>206</v>
      </c>
      <c r="C9290" t="s">
        <v>81</v>
      </c>
      <c r="D9290" t="s">
        <v>86</v>
      </c>
      <c r="E9290" t="s">
        <v>89</v>
      </c>
      <c r="F9290">
        <v>3300</v>
      </c>
      <c r="G9290" t="s">
        <v>332</v>
      </c>
      <c r="H9290" s="15">
        <v>45292</v>
      </c>
      <c r="I9290">
        <v>3000</v>
      </c>
      <c r="J9290">
        <v>300</v>
      </c>
    </row>
    <row r="9291" spans="1:10" x14ac:dyDescent="0.3">
      <c r="A9291" s="15">
        <v>46296</v>
      </c>
      <c r="B9291" t="s">
        <v>207</v>
      </c>
      <c r="C9291" t="s">
        <v>81</v>
      </c>
      <c r="D9291" t="s">
        <v>82</v>
      </c>
      <c r="E9291" t="s">
        <v>89</v>
      </c>
      <c r="F9291">
        <v>3500</v>
      </c>
      <c r="G9291" t="s">
        <v>331</v>
      </c>
      <c r="H9291" s="15">
        <v>45292</v>
      </c>
      <c r="I9291">
        <v>3500</v>
      </c>
      <c r="J9291">
        <v>0</v>
      </c>
    </row>
    <row r="9292" spans="1:10" x14ac:dyDescent="0.3">
      <c r="A9292" s="15">
        <v>46296</v>
      </c>
      <c r="B9292" t="s">
        <v>208</v>
      </c>
      <c r="C9292" t="s">
        <v>91</v>
      </c>
      <c r="D9292" t="s">
        <v>99</v>
      </c>
      <c r="E9292" t="s">
        <v>89</v>
      </c>
      <c r="F9292">
        <v>7700</v>
      </c>
      <c r="G9292" t="s">
        <v>331</v>
      </c>
      <c r="H9292" s="15">
        <v>45292</v>
      </c>
      <c r="I9292">
        <v>7700</v>
      </c>
      <c r="J9292">
        <v>0</v>
      </c>
    </row>
    <row r="9293" spans="1:10" x14ac:dyDescent="0.3">
      <c r="A9293" s="15">
        <v>46296</v>
      </c>
      <c r="B9293" t="s">
        <v>209</v>
      </c>
      <c r="C9293" t="s">
        <v>81</v>
      </c>
      <c r="D9293" t="s">
        <v>86</v>
      </c>
      <c r="E9293" t="s">
        <v>83</v>
      </c>
      <c r="F9293">
        <v>3000</v>
      </c>
      <c r="G9293" t="s">
        <v>331</v>
      </c>
      <c r="H9293" s="15">
        <v>45292</v>
      </c>
      <c r="I9293">
        <v>3000</v>
      </c>
      <c r="J9293">
        <v>0</v>
      </c>
    </row>
    <row r="9294" spans="1:10" x14ac:dyDescent="0.3">
      <c r="A9294" s="15">
        <v>46296</v>
      </c>
      <c r="B9294" t="s">
        <v>210</v>
      </c>
      <c r="C9294" t="s">
        <v>125</v>
      </c>
      <c r="D9294" t="s">
        <v>96</v>
      </c>
      <c r="E9294" t="s">
        <v>89</v>
      </c>
      <c r="F9294">
        <v>82900</v>
      </c>
      <c r="G9294" t="s">
        <v>331</v>
      </c>
      <c r="H9294" s="15">
        <v>45292</v>
      </c>
      <c r="I9294">
        <v>82900</v>
      </c>
      <c r="J9294">
        <v>0</v>
      </c>
    </row>
    <row r="9295" spans="1:10" x14ac:dyDescent="0.3">
      <c r="A9295" s="15">
        <v>46296</v>
      </c>
      <c r="B9295" t="s">
        <v>213</v>
      </c>
      <c r="C9295" t="s">
        <v>81</v>
      </c>
      <c r="D9295" t="s">
        <v>82</v>
      </c>
      <c r="E9295" t="s">
        <v>97</v>
      </c>
      <c r="F9295">
        <v>3300</v>
      </c>
      <c r="G9295" t="s">
        <v>331</v>
      </c>
      <c r="H9295" s="15">
        <v>45292</v>
      </c>
      <c r="I9295">
        <v>3300</v>
      </c>
      <c r="J9295">
        <v>0</v>
      </c>
    </row>
    <row r="9296" spans="1:10" x14ac:dyDescent="0.3">
      <c r="A9296" s="15">
        <v>46296</v>
      </c>
      <c r="B9296" t="s">
        <v>214</v>
      </c>
      <c r="C9296" t="s">
        <v>91</v>
      </c>
      <c r="D9296" t="s">
        <v>82</v>
      </c>
      <c r="E9296" t="s">
        <v>89</v>
      </c>
      <c r="F9296">
        <v>8700</v>
      </c>
      <c r="G9296" t="s">
        <v>331</v>
      </c>
      <c r="H9296" s="15">
        <v>45292</v>
      </c>
      <c r="I9296">
        <v>8700</v>
      </c>
      <c r="J9296">
        <v>0</v>
      </c>
    </row>
    <row r="9297" spans="1:10" x14ac:dyDescent="0.3">
      <c r="A9297" s="15">
        <v>46296</v>
      </c>
      <c r="B9297" t="s">
        <v>216</v>
      </c>
      <c r="C9297" t="s">
        <v>81</v>
      </c>
      <c r="D9297" t="s">
        <v>82</v>
      </c>
      <c r="E9297" t="s">
        <v>97</v>
      </c>
      <c r="F9297">
        <v>3500</v>
      </c>
      <c r="G9297" t="s">
        <v>331</v>
      </c>
      <c r="H9297" s="15">
        <v>45292</v>
      </c>
      <c r="I9297">
        <v>3500</v>
      </c>
      <c r="J9297">
        <v>0</v>
      </c>
    </row>
    <row r="9298" spans="1:10" x14ac:dyDescent="0.3">
      <c r="A9298" s="15">
        <v>46296</v>
      </c>
      <c r="B9298" t="s">
        <v>218</v>
      </c>
      <c r="C9298" t="s">
        <v>110</v>
      </c>
      <c r="D9298" t="s">
        <v>99</v>
      </c>
      <c r="E9298" t="s">
        <v>92</v>
      </c>
      <c r="F9298">
        <v>32200</v>
      </c>
      <c r="G9298" t="s">
        <v>331</v>
      </c>
      <c r="H9298" s="15">
        <v>45292</v>
      </c>
      <c r="I9298">
        <v>32200</v>
      </c>
      <c r="J9298">
        <v>0</v>
      </c>
    </row>
    <row r="9299" spans="1:10" x14ac:dyDescent="0.3">
      <c r="A9299" s="15">
        <v>46296</v>
      </c>
      <c r="B9299" t="s">
        <v>220</v>
      </c>
      <c r="C9299" t="s">
        <v>110</v>
      </c>
      <c r="D9299" t="s">
        <v>82</v>
      </c>
      <c r="E9299" t="s">
        <v>89</v>
      </c>
      <c r="F9299">
        <v>30800</v>
      </c>
      <c r="G9299" t="s">
        <v>331</v>
      </c>
      <c r="H9299" s="15">
        <v>45292</v>
      </c>
      <c r="I9299">
        <v>30800</v>
      </c>
      <c r="J9299">
        <v>0</v>
      </c>
    </row>
    <row r="9300" spans="1:10" x14ac:dyDescent="0.3">
      <c r="A9300" s="15">
        <v>46296</v>
      </c>
      <c r="B9300" t="s">
        <v>224</v>
      </c>
      <c r="C9300" t="s">
        <v>91</v>
      </c>
      <c r="D9300" t="s">
        <v>82</v>
      </c>
      <c r="E9300" t="s">
        <v>101</v>
      </c>
      <c r="F9300">
        <v>10000</v>
      </c>
      <c r="G9300" t="s">
        <v>331</v>
      </c>
      <c r="H9300" s="15">
        <v>45292</v>
      </c>
      <c r="I9300">
        <v>10000</v>
      </c>
      <c r="J9300">
        <v>0</v>
      </c>
    </row>
    <row r="9301" spans="1:10" x14ac:dyDescent="0.3">
      <c r="A9301" s="15">
        <v>46296</v>
      </c>
      <c r="B9301" t="s">
        <v>225</v>
      </c>
      <c r="C9301" t="s">
        <v>110</v>
      </c>
      <c r="D9301" t="s">
        <v>99</v>
      </c>
      <c r="E9301" t="s">
        <v>103</v>
      </c>
      <c r="F9301">
        <v>42200</v>
      </c>
      <c r="G9301" t="s">
        <v>331</v>
      </c>
      <c r="H9301" s="15">
        <v>45292</v>
      </c>
      <c r="I9301">
        <v>42200</v>
      </c>
      <c r="J9301">
        <v>0</v>
      </c>
    </row>
    <row r="9302" spans="1:10" x14ac:dyDescent="0.3">
      <c r="A9302" s="15">
        <v>46296</v>
      </c>
      <c r="B9302" t="s">
        <v>226</v>
      </c>
      <c r="C9302" t="s">
        <v>91</v>
      </c>
      <c r="D9302" t="s">
        <v>82</v>
      </c>
      <c r="E9302" t="s">
        <v>103</v>
      </c>
      <c r="F9302">
        <v>7200</v>
      </c>
      <c r="G9302" t="s">
        <v>332</v>
      </c>
      <c r="H9302" s="15">
        <v>45292</v>
      </c>
      <c r="I9302">
        <v>6600</v>
      </c>
      <c r="J9302">
        <v>600</v>
      </c>
    </row>
    <row r="9303" spans="1:10" x14ac:dyDescent="0.3">
      <c r="A9303" s="15">
        <v>46296</v>
      </c>
      <c r="B9303" t="s">
        <v>227</v>
      </c>
      <c r="C9303" t="s">
        <v>110</v>
      </c>
      <c r="D9303" t="s">
        <v>86</v>
      </c>
      <c r="E9303" t="s">
        <v>87</v>
      </c>
      <c r="F9303">
        <v>25400</v>
      </c>
      <c r="G9303" t="s">
        <v>331</v>
      </c>
      <c r="H9303" s="15">
        <v>45292</v>
      </c>
      <c r="I9303">
        <v>25400</v>
      </c>
      <c r="J9303">
        <v>0</v>
      </c>
    </row>
    <row r="9304" spans="1:10" x14ac:dyDescent="0.3">
      <c r="A9304" s="15">
        <v>46296</v>
      </c>
      <c r="B9304" t="s">
        <v>228</v>
      </c>
      <c r="C9304" t="s">
        <v>91</v>
      </c>
      <c r="D9304" t="s">
        <v>96</v>
      </c>
      <c r="E9304" t="s">
        <v>89</v>
      </c>
      <c r="F9304">
        <v>12000</v>
      </c>
      <c r="G9304" t="s">
        <v>331</v>
      </c>
      <c r="H9304" s="15">
        <v>45292</v>
      </c>
      <c r="I9304">
        <v>12000</v>
      </c>
      <c r="J9304">
        <v>0</v>
      </c>
    </row>
    <row r="9305" spans="1:10" x14ac:dyDescent="0.3">
      <c r="A9305" s="15">
        <v>46296</v>
      </c>
      <c r="B9305" t="s">
        <v>229</v>
      </c>
      <c r="C9305" t="s">
        <v>81</v>
      </c>
      <c r="D9305" t="s">
        <v>82</v>
      </c>
      <c r="E9305" t="s">
        <v>83</v>
      </c>
      <c r="F9305">
        <v>3700</v>
      </c>
      <c r="G9305" t="s">
        <v>331</v>
      </c>
      <c r="H9305" s="15">
        <v>45292</v>
      </c>
      <c r="I9305">
        <v>3700</v>
      </c>
      <c r="J9305">
        <v>0</v>
      </c>
    </row>
    <row r="9306" spans="1:10" x14ac:dyDescent="0.3">
      <c r="A9306" s="15">
        <v>46296</v>
      </c>
      <c r="B9306" t="s">
        <v>230</v>
      </c>
      <c r="C9306" t="s">
        <v>81</v>
      </c>
      <c r="D9306" t="s">
        <v>86</v>
      </c>
      <c r="E9306" t="s">
        <v>101</v>
      </c>
      <c r="F9306">
        <v>3700</v>
      </c>
      <c r="G9306" t="s">
        <v>331</v>
      </c>
      <c r="H9306" s="15">
        <v>45292</v>
      </c>
      <c r="I9306">
        <v>3700</v>
      </c>
      <c r="J9306">
        <v>0</v>
      </c>
    </row>
    <row r="9307" spans="1:10" x14ac:dyDescent="0.3">
      <c r="A9307" s="15">
        <v>46296</v>
      </c>
      <c r="B9307" t="s">
        <v>232</v>
      </c>
      <c r="C9307" t="s">
        <v>125</v>
      </c>
      <c r="D9307" t="s">
        <v>86</v>
      </c>
      <c r="E9307" t="s">
        <v>83</v>
      </c>
      <c r="F9307">
        <v>121100</v>
      </c>
      <c r="G9307" t="s">
        <v>331</v>
      </c>
      <c r="H9307" s="15">
        <v>45292</v>
      </c>
      <c r="I9307">
        <v>121100</v>
      </c>
      <c r="J9307">
        <v>0</v>
      </c>
    </row>
    <row r="9308" spans="1:10" x14ac:dyDescent="0.3">
      <c r="A9308" s="15">
        <v>46296</v>
      </c>
      <c r="B9308" t="s">
        <v>233</v>
      </c>
      <c r="C9308" t="s">
        <v>81</v>
      </c>
      <c r="D9308" t="s">
        <v>82</v>
      </c>
      <c r="E9308" t="s">
        <v>87</v>
      </c>
      <c r="F9308">
        <v>3300</v>
      </c>
      <c r="G9308" t="s">
        <v>331</v>
      </c>
      <c r="H9308" s="15">
        <v>45292</v>
      </c>
      <c r="I9308">
        <v>3300</v>
      </c>
      <c r="J9308">
        <v>0</v>
      </c>
    </row>
    <row r="9309" spans="1:10" x14ac:dyDescent="0.3">
      <c r="A9309" s="15">
        <v>46296</v>
      </c>
      <c r="B9309" t="s">
        <v>235</v>
      </c>
      <c r="C9309" t="s">
        <v>91</v>
      </c>
      <c r="D9309" t="s">
        <v>96</v>
      </c>
      <c r="E9309" t="s">
        <v>103</v>
      </c>
      <c r="F9309">
        <v>11100</v>
      </c>
      <c r="G9309" t="s">
        <v>331</v>
      </c>
      <c r="H9309" s="15">
        <v>45292</v>
      </c>
      <c r="I9309">
        <v>11100</v>
      </c>
      <c r="J9309">
        <v>0</v>
      </c>
    </row>
    <row r="9310" spans="1:10" x14ac:dyDescent="0.3">
      <c r="A9310" s="15">
        <v>46296</v>
      </c>
      <c r="B9310" t="s">
        <v>237</v>
      </c>
      <c r="C9310" t="s">
        <v>91</v>
      </c>
      <c r="D9310" t="s">
        <v>82</v>
      </c>
      <c r="E9310" t="s">
        <v>83</v>
      </c>
      <c r="F9310">
        <v>6900</v>
      </c>
      <c r="G9310" t="s">
        <v>331</v>
      </c>
      <c r="H9310" s="15">
        <v>45292</v>
      </c>
      <c r="I9310">
        <v>6900</v>
      </c>
      <c r="J9310">
        <v>0</v>
      </c>
    </row>
    <row r="9311" spans="1:10" x14ac:dyDescent="0.3">
      <c r="A9311" s="15">
        <v>46296</v>
      </c>
      <c r="B9311" t="s">
        <v>238</v>
      </c>
      <c r="C9311" t="s">
        <v>81</v>
      </c>
      <c r="D9311" t="s">
        <v>99</v>
      </c>
      <c r="E9311" t="s">
        <v>97</v>
      </c>
      <c r="F9311">
        <v>2300</v>
      </c>
      <c r="G9311" t="s">
        <v>331</v>
      </c>
      <c r="H9311" s="15">
        <v>45292</v>
      </c>
      <c r="I9311">
        <v>2300</v>
      </c>
      <c r="J9311">
        <v>0</v>
      </c>
    </row>
    <row r="9312" spans="1:10" x14ac:dyDescent="0.3">
      <c r="A9312" s="15">
        <v>46296</v>
      </c>
      <c r="B9312" t="s">
        <v>239</v>
      </c>
      <c r="C9312" t="s">
        <v>81</v>
      </c>
      <c r="D9312" t="s">
        <v>82</v>
      </c>
      <c r="E9312" t="s">
        <v>103</v>
      </c>
      <c r="F9312">
        <v>2500</v>
      </c>
      <c r="G9312" t="s">
        <v>331</v>
      </c>
      <c r="H9312" s="15">
        <v>45292</v>
      </c>
      <c r="I9312">
        <v>2500</v>
      </c>
      <c r="J9312">
        <v>0</v>
      </c>
    </row>
    <row r="9313" spans="1:10" x14ac:dyDescent="0.3">
      <c r="A9313" s="15">
        <v>46296</v>
      </c>
      <c r="B9313" t="s">
        <v>240</v>
      </c>
      <c r="C9313" t="s">
        <v>81</v>
      </c>
      <c r="D9313" t="s">
        <v>99</v>
      </c>
      <c r="E9313" t="s">
        <v>103</v>
      </c>
      <c r="F9313">
        <v>2300</v>
      </c>
      <c r="G9313" t="s">
        <v>331</v>
      </c>
      <c r="H9313" s="15">
        <v>45292</v>
      </c>
      <c r="I9313">
        <v>2300</v>
      </c>
      <c r="J9313">
        <v>0</v>
      </c>
    </row>
    <row r="9314" spans="1:10" x14ac:dyDescent="0.3">
      <c r="A9314" s="15">
        <v>46296</v>
      </c>
      <c r="B9314" t="s">
        <v>241</v>
      </c>
      <c r="C9314" t="s">
        <v>91</v>
      </c>
      <c r="D9314" t="s">
        <v>96</v>
      </c>
      <c r="E9314" t="s">
        <v>87</v>
      </c>
      <c r="F9314">
        <v>13000</v>
      </c>
      <c r="G9314" t="s">
        <v>331</v>
      </c>
      <c r="H9314" s="15">
        <v>45292</v>
      </c>
      <c r="I9314">
        <v>13000</v>
      </c>
      <c r="J9314">
        <v>0</v>
      </c>
    </row>
    <row r="9315" spans="1:10" x14ac:dyDescent="0.3">
      <c r="A9315" s="15">
        <v>46296</v>
      </c>
      <c r="B9315" t="s">
        <v>242</v>
      </c>
      <c r="C9315" t="s">
        <v>110</v>
      </c>
      <c r="D9315" t="s">
        <v>99</v>
      </c>
      <c r="E9315" t="s">
        <v>101</v>
      </c>
      <c r="F9315">
        <v>34800</v>
      </c>
      <c r="G9315" t="s">
        <v>331</v>
      </c>
      <c r="H9315" s="15">
        <v>45292</v>
      </c>
      <c r="I9315">
        <v>34800</v>
      </c>
      <c r="J9315">
        <v>0</v>
      </c>
    </row>
    <row r="9316" spans="1:10" x14ac:dyDescent="0.3">
      <c r="A9316" s="15">
        <v>46296</v>
      </c>
      <c r="B9316" t="s">
        <v>244</v>
      </c>
      <c r="C9316" t="s">
        <v>91</v>
      </c>
      <c r="D9316" t="s">
        <v>82</v>
      </c>
      <c r="E9316" t="s">
        <v>92</v>
      </c>
      <c r="F9316">
        <v>7800</v>
      </c>
      <c r="G9316" t="s">
        <v>331</v>
      </c>
      <c r="H9316" s="15">
        <v>45292</v>
      </c>
      <c r="I9316">
        <v>7800</v>
      </c>
      <c r="J9316">
        <v>0</v>
      </c>
    </row>
    <row r="9317" spans="1:10" x14ac:dyDescent="0.3">
      <c r="A9317" s="15">
        <v>46296</v>
      </c>
      <c r="B9317" t="s">
        <v>245</v>
      </c>
      <c r="C9317" t="s">
        <v>81</v>
      </c>
      <c r="D9317" t="s">
        <v>99</v>
      </c>
      <c r="E9317" t="s">
        <v>97</v>
      </c>
      <c r="F9317">
        <v>2900</v>
      </c>
      <c r="G9317" t="s">
        <v>331</v>
      </c>
      <c r="H9317" s="15">
        <v>45292</v>
      </c>
      <c r="I9317">
        <v>2900</v>
      </c>
      <c r="J9317">
        <v>0</v>
      </c>
    </row>
    <row r="9318" spans="1:10" x14ac:dyDescent="0.3">
      <c r="A9318" s="15">
        <v>46296</v>
      </c>
      <c r="B9318" t="s">
        <v>246</v>
      </c>
      <c r="C9318" t="s">
        <v>91</v>
      </c>
      <c r="D9318" t="s">
        <v>86</v>
      </c>
      <c r="E9318" t="s">
        <v>103</v>
      </c>
      <c r="F9318">
        <v>10100</v>
      </c>
      <c r="G9318" t="s">
        <v>331</v>
      </c>
      <c r="H9318" s="15">
        <v>45292</v>
      </c>
      <c r="I9318">
        <v>10100</v>
      </c>
      <c r="J9318">
        <v>0</v>
      </c>
    </row>
    <row r="9319" spans="1:10" x14ac:dyDescent="0.3">
      <c r="A9319" s="15">
        <v>46296</v>
      </c>
      <c r="B9319" t="s">
        <v>247</v>
      </c>
      <c r="C9319" t="s">
        <v>91</v>
      </c>
      <c r="D9319" t="s">
        <v>86</v>
      </c>
      <c r="E9319" t="s">
        <v>89</v>
      </c>
      <c r="F9319">
        <v>7700</v>
      </c>
      <c r="G9319" t="s">
        <v>334</v>
      </c>
      <c r="H9319" s="15">
        <v>45292</v>
      </c>
      <c r="I9319">
        <v>8800</v>
      </c>
      <c r="J9319">
        <v>-1100</v>
      </c>
    </row>
    <row r="9320" spans="1:10" x14ac:dyDescent="0.3">
      <c r="A9320" s="15">
        <v>46296</v>
      </c>
      <c r="B9320" t="s">
        <v>248</v>
      </c>
      <c r="C9320" t="s">
        <v>81</v>
      </c>
      <c r="D9320" t="s">
        <v>82</v>
      </c>
      <c r="E9320" t="s">
        <v>103</v>
      </c>
      <c r="F9320">
        <v>1800</v>
      </c>
      <c r="G9320" t="s">
        <v>334</v>
      </c>
      <c r="H9320" s="15">
        <v>45292</v>
      </c>
      <c r="I9320">
        <v>2100</v>
      </c>
      <c r="J9320">
        <v>-300</v>
      </c>
    </row>
    <row r="9321" spans="1:10" x14ac:dyDescent="0.3">
      <c r="A9321" s="15">
        <v>46296</v>
      </c>
      <c r="B9321" t="s">
        <v>250</v>
      </c>
      <c r="C9321" t="s">
        <v>81</v>
      </c>
      <c r="D9321" t="s">
        <v>86</v>
      </c>
      <c r="E9321" t="s">
        <v>87</v>
      </c>
      <c r="F9321">
        <v>2800</v>
      </c>
      <c r="G9321" t="s">
        <v>331</v>
      </c>
      <c r="H9321" s="15">
        <v>45292</v>
      </c>
      <c r="I9321">
        <v>2800</v>
      </c>
      <c r="J9321">
        <v>0</v>
      </c>
    </row>
    <row r="9322" spans="1:10" x14ac:dyDescent="0.3">
      <c r="A9322" s="15">
        <v>46296</v>
      </c>
      <c r="B9322" t="s">
        <v>251</v>
      </c>
      <c r="C9322" t="s">
        <v>91</v>
      </c>
      <c r="D9322" t="s">
        <v>99</v>
      </c>
      <c r="E9322" t="s">
        <v>103</v>
      </c>
      <c r="F9322">
        <v>8800</v>
      </c>
      <c r="G9322" t="s">
        <v>331</v>
      </c>
      <c r="H9322" s="15">
        <v>45292</v>
      </c>
      <c r="I9322">
        <v>8800</v>
      </c>
      <c r="J9322">
        <v>0</v>
      </c>
    </row>
    <row r="9323" spans="1:10" x14ac:dyDescent="0.3">
      <c r="A9323" s="15">
        <v>46296</v>
      </c>
      <c r="B9323" t="s">
        <v>252</v>
      </c>
      <c r="C9323" t="s">
        <v>81</v>
      </c>
      <c r="D9323" t="s">
        <v>99</v>
      </c>
      <c r="E9323" t="s">
        <v>92</v>
      </c>
      <c r="F9323">
        <v>3400</v>
      </c>
      <c r="G9323" t="s">
        <v>331</v>
      </c>
      <c r="H9323" s="15">
        <v>45292</v>
      </c>
      <c r="I9323">
        <v>3400</v>
      </c>
      <c r="J9323">
        <v>0</v>
      </c>
    </row>
    <row r="9324" spans="1:10" x14ac:dyDescent="0.3">
      <c r="A9324" s="15">
        <v>46296</v>
      </c>
      <c r="B9324" t="s">
        <v>253</v>
      </c>
      <c r="C9324" t="s">
        <v>81</v>
      </c>
      <c r="D9324" t="s">
        <v>96</v>
      </c>
      <c r="E9324" t="s">
        <v>89</v>
      </c>
      <c r="F9324">
        <v>2600</v>
      </c>
      <c r="G9324" t="s">
        <v>334</v>
      </c>
      <c r="H9324" s="15">
        <v>45292</v>
      </c>
      <c r="I9324">
        <v>2800</v>
      </c>
      <c r="J9324">
        <v>-200</v>
      </c>
    </row>
    <row r="9325" spans="1:10" x14ac:dyDescent="0.3">
      <c r="A9325" s="15">
        <v>46296</v>
      </c>
      <c r="B9325" t="s">
        <v>255</v>
      </c>
      <c r="C9325" t="s">
        <v>91</v>
      </c>
      <c r="D9325" t="s">
        <v>86</v>
      </c>
      <c r="E9325" t="s">
        <v>89</v>
      </c>
      <c r="F9325">
        <v>9700</v>
      </c>
      <c r="G9325" t="s">
        <v>331</v>
      </c>
      <c r="H9325" s="15">
        <v>45292</v>
      </c>
      <c r="I9325">
        <v>9700</v>
      </c>
      <c r="J9325">
        <v>0</v>
      </c>
    </row>
    <row r="9326" spans="1:10" x14ac:dyDescent="0.3">
      <c r="A9326" s="15">
        <v>46296</v>
      </c>
      <c r="B9326" t="s">
        <v>256</v>
      </c>
      <c r="C9326" t="s">
        <v>81</v>
      </c>
      <c r="D9326" t="s">
        <v>82</v>
      </c>
      <c r="E9326" t="s">
        <v>103</v>
      </c>
      <c r="F9326">
        <v>1800</v>
      </c>
      <c r="G9326" t="s">
        <v>331</v>
      </c>
      <c r="H9326" s="15">
        <v>45292</v>
      </c>
      <c r="I9326">
        <v>1800</v>
      </c>
      <c r="J9326">
        <v>0</v>
      </c>
    </row>
    <row r="9327" spans="1:10" x14ac:dyDescent="0.3">
      <c r="A9327" s="15">
        <v>46296</v>
      </c>
      <c r="B9327" t="s">
        <v>258</v>
      </c>
      <c r="C9327" t="s">
        <v>125</v>
      </c>
      <c r="D9327" t="s">
        <v>86</v>
      </c>
      <c r="E9327" t="s">
        <v>83</v>
      </c>
      <c r="F9327">
        <v>96300</v>
      </c>
      <c r="G9327" t="s">
        <v>331</v>
      </c>
      <c r="H9327" s="15">
        <v>45292</v>
      </c>
      <c r="I9327">
        <v>96300</v>
      </c>
      <c r="J9327">
        <v>0</v>
      </c>
    </row>
    <row r="9328" spans="1:10" x14ac:dyDescent="0.3">
      <c r="A9328" s="15">
        <v>46296</v>
      </c>
      <c r="B9328" t="s">
        <v>259</v>
      </c>
      <c r="C9328" t="s">
        <v>81</v>
      </c>
      <c r="D9328" t="s">
        <v>86</v>
      </c>
      <c r="E9328" t="s">
        <v>89</v>
      </c>
      <c r="F9328">
        <v>1900</v>
      </c>
      <c r="G9328" t="s">
        <v>331</v>
      </c>
      <c r="H9328" s="15">
        <v>45292</v>
      </c>
      <c r="I9328">
        <v>1900</v>
      </c>
      <c r="J9328">
        <v>0</v>
      </c>
    </row>
    <row r="9329" spans="1:10" x14ac:dyDescent="0.3">
      <c r="A9329" s="15">
        <v>46296</v>
      </c>
      <c r="B9329" t="s">
        <v>260</v>
      </c>
      <c r="C9329" t="s">
        <v>81</v>
      </c>
      <c r="D9329" t="s">
        <v>86</v>
      </c>
      <c r="E9329" t="s">
        <v>97</v>
      </c>
      <c r="F9329">
        <v>2100</v>
      </c>
      <c r="G9329" t="s">
        <v>331</v>
      </c>
      <c r="H9329" s="15">
        <v>45292</v>
      </c>
      <c r="I9329">
        <v>2100</v>
      </c>
      <c r="J9329">
        <v>0</v>
      </c>
    </row>
    <row r="9330" spans="1:10" x14ac:dyDescent="0.3">
      <c r="A9330" s="15">
        <v>46296</v>
      </c>
      <c r="B9330" t="s">
        <v>262</v>
      </c>
      <c r="C9330" t="s">
        <v>91</v>
      </c>
      <c r="D9330" t="s">
        <v>82</v>
      </c>
      <c r="E9330" t="s">
        <v>92</v>
      </c>
      <c r="F9330">
        <v>0</v>
      </c>
      <c r="G9330" t="s">
        <v>333</v>
      </c>
      <c r="H9330" s="15">
        <v>45292</v>
      </c>
      <c r="I9330">
        <v>10800</v>
      </c>
      <c r="J9330">
        <v>-10800</v>
      </c>
    </row>
    <row r="9331" spans="1:10" x14ac:dyDescent="0.3">
      <c r="A9331" s="15">
        <v>46296</v>
      </c>
      <c r="B9331" t="s">
        <v>264</v>
      </c>
      <c r="C9331" t="s">
        <v>110</v>
      </c>
      <c r="D9331" t="s">
        <v>86</v>
      </c>
      <c r="E9331" t="s">
        <v>97</v>
      </c>
      <c r="F9331">
        <v>31500</v>
      </c>
      <c r="G9331" t="s">
        <v>331</v>
      </c>
      <c r="H9331" s="15">
        <v>45292</v>
      </c>
      <c r="I9331">
        <v>31500</v>
      </c>
      <c r="J9331">
        <v>0</v>
      </c>
    </row>
    <row r="9332" spans="1:10" x14ac:dyDescent="0.3">
      <c r="A9332" s="15">
        <v>46296</v>
      </c>
      <c r="B9332" t="s">
        <v>265</v>
      </c>
      <c r="C9332" t="s">
        <v>125</v>
      </c>
      <c r="D9332" t="s">
        <v>86</v>
      </c>
      <c r="E9332" t="s">
        <v>101</v>
      </c>
      <c r="F9332">
        <v>76700</v>
      </c>
      <c r="G9332" t="s">
        <v>331</v>
      </c>
      <c r="H9332" s="15">
        <v>45292</v>
      </c>
      <c r="I9332">
        <v>76700</v>
      </c>
      <c r="J9332">
        <v>0</v>
      </c>
    </row>
    <row r="9333" spans="1:10" x14ac:dyDescent="0.3">
      <c r="A9333" s="15">
        <v>46296</v>
      </c>
      <c r="B9333" t="s">
        <v>266</v>
      </c>
      <c r="C9333" t="s">
        <v>81</v>
      </c>
      <c r="D9333" t="s">
        <v>82</v>
      </c>
      <c r="E9333" t="s">
        <v>83</v>
      </c>
      <c r="F9333">
        <v>2200</v>
      </c>
      <c r="G9333" t="s">
        <v>331</v>
      </c>
      <c r="H9333" s="15">
        <v>45292</v>
      </c>
      <c r="I9333">
        <v>2200</v>
      </c>
      <c r="J9333">
        <v>0</v>
      </c>
    </row>
    <row r="9334" spans="1:10" x14ac:dyDescent="0.3">
      <c r="A9334" s="15">
        <v>46296</v>
      </c>
      <c r="B9334" t="s">
        <v>267</v>
      </c>
      <c r="C9334" t="s">
        <v>91</v>
      </c>
      <c r="D9334" t="s">
        <v>82</v>
      </c>
      <c r="E9334" t="s">
        <v>97</v>
      </c>
      <c r="F9334">
        <v>7300</v>
      </c>
      <c r="G9334" t="s">
        <v>331</v>
      </c>
      <c r="H9334" s="15">
        <v>45292</v>
      </c>
      <c r="I9334">
        <v>7300</v>
      </c>
      <c r="J9334">
        <v>0</v>
      </c>
    </row>
    <row r="9335" spans="1:10" x14ac:dyDescent="0.3">
      <c r="A9335" s="15">
        <v>46296</v>
      </c>
      <c r="B9335" t="s">
        <v>272</v>
      </c>
      <c r="C9335" t="s">
        <v>125</v>
      </c>
      <c r="D9335" t="s">
        <v>96</v>
      </c>
      <c r="E9335" t="s">
        <v>103</v>
      </c>
      <c r="F9335">
        <v>101100</v>
      </c>
      <c r="G9335" t="s">
        <v>331</v>
      </c>
      <c r="H9335" s="15">
        <v>45292</v>
      </c>
      <c r="I9335">
        <v>101100</v>
      </c>
      <c r="J9335">
        <v>0</v>
      </c>
    </row>
    <row r="9336" spans="1:10" x14ac:dyDescent="0.3">
      <c r="A9336" s="15">
        <v>46296</v>
      </c>
      <c r="B9336" t="s">
        <v>273</v>
      </c>
      <c r="C9336" t="s">
        <v>81</v>
      </c>
      <c r="D9336" t="s">
        <v>82</v>
      </c>
      <c r="E9336" t="s">
        <v>101</v>
      </c>
      <c r="F9336">
        <v>3300</v>
      </c>
      <c r="G9336" t="s">
        <v>331</v>
      </c>
      <c r="H9336" s="15">
        <v>45292</v>
      </c>
      <c r="I9336">
        <v>3300</v>
      </c>
      <c r="J9336">
        <v>0</v>
      </c>
    </row>
    <row r="9337" spans="1:10" x14ac:dyDescent="0.3">
      <c r="A9337" s="15">
        <v>46296</v>
      </c>
      <c r="B9337" t="s">
        <v>274</v>
      </c>
      <c r="C9337" t="s">
        <v>91</v>
      </c>
      <c r="D9337" t="s">
        <v>99</v>
      </c>
      <c r="E9337" t="s">
        <v>87</v>
      </c>
      <c r="F9337">
        <v>11400</v>
      </c>
      <c r="G9337" t="s">
        <v>331</v>
      </c>
      <c r="H9337" s="15">
        <v>45292</v>
      </c>
      <c r="I9337">
        <v>11400</v>
      </c>
      <c r="J9337">
        <v>0</v>
      </c>
    </row>
    <row r="9338" spans="1:10" x14ac:dyDescent="0.3">
      <c r="A9338" s="15">
        <v>46296</v>
      </c>
      <c r="B9338" t="s">
        <v>276</v>
      </c>
      <c r="C9338" t="s">
        <v>81</v>
      </c>
      <c r="D9338" t="s">
        <v>82</v>
      </c>
      <c r="E9338" t="s">
        <v>103</v>
      </c>
      <c r="F9338">
        <v>3300</v>
      </c>
      <c r="G9338" t="s">
        <v>331</v>
      </c>
      <c r="H9338" s="15">
        <v>45292</v>
      </c>
      <c r="I9338">
        <v>3300</v>
      </c>
      <c r="J9338">
        <v>0</v>
      </c>
    </row>
    <row r="9339" spans="1:10" x14ac:dyDescent="0.3">
      <c r="A9339" s="15">
        <v>46296</v>
      </c>
      <c r="B9339" t="s">
        <v>277</v>
      </c>
      <c r="C9339" t="s">
        <v>91</v>
      </c>
      <c r="D9339" t="s">
        <v>86</v>
      </c>
      <c r="E9339" t="s">
        <v>97</v>
      </c>
      <c r="F9339">
        <v>9900</v>
      </c>
      <c r="G9339" t="s">
        <v>331</v>
      </c>
      <c r="H9339" s="15">
        <v>45292</v>
      </c>
      <c r="I9339">
        <v>9900</v>
      </c>
      <c r="J9339">
        <v>0</v>
      </c>
    </row>
    <row r="9340" spans="1:10" x14ac:dyDescent="0.3">
      <c r="A9340" s="15">
        <v>46296</v>
      </c>
      <c r="B9340" t="s">
        <v>279</v>
      </c>
      <c r="C9340" t="s">
        <v>91</v>
      </c>
      <c r="D9340" t="s">
        <v>99</v>
      </c>
      <c r="E9340" t="s">
        <v>89</v>
      </c>
      <c r="F9340">
        <v>9800</v>
      </c>
      <c r="G9340" t="s">
        <v>331</v>
      </c>
      <c r="H9340" s="15">
        <v>45292</v>
      </c>
      <c r="I9340">
        <v>9800</v>
      </c>
      <c r="J9340">
        <v>0</v>
      </c>
    </row>
    <row r="9341" spans="1:10" x14ac:dyDescent="0.3">
      <c r="A9341" s="15">
        <v>46296</v>
      </c>
      <c r="B9341" t="s">
        <v>282</v>
      </c>
      <c r="C9341" t="s">
        <v>91</v>
      </c>
      <c r="D9341" t="s">
        <v>86</v>
      </c>
      <c r="E9341" t="s">
        <v>92</v>
      </c>
      <c r="F9341">
        <v>6100</v>
      </c>
      <c r="G9341" t="s">
        <v>331</v>
      </c>
      <c r="H9341" s="15">
        <v>45292</v>
      </c>
      <c r="I9341">
        <v>6100</v>
      </c>
      <c r="J9341">
        <v>0</v>
      </c>
    </row>
    <row r="9342" spans="1:10" x14ac:dyDescent="0.3">
      <c r="A9342" s="15">
        <v>46296</v>
      </c>
      <c r="B9342" t="s">
        <v>283</v>
      </c>
      <c r="C9342" t="s">
        <v>110</v>
      </c>
      <c r="D9342" t="s">
        <v>82</v>
      </c>
      <c r="E9342" t="s">
        <v>87</v>
      </c>
      <c r="F9342">
        <v>34200</v>
      </c>
      <c r="G9342" t="s">
        <v>331</v>
      </c>
      <c r="H9342" s="15">
        <v>45292</v>
      </c>
      <c r="I9342">
        <v>34200</v>
      </c>
      <c r="J9342">
        <v>0</v>
      </c>
    </row>
    <row r="9343" spans="1:10" x14ac:dyDescent="0.3">
      <c r="A9343" s="15">
        <v>46296</v>
      </c>
      <c r="B9343" t="s">
        <v>285</v>
      </c>
      <c r="C9343" t="s">
        <v>91</v>
      </c>
      <c r="D9343" t="s">
        <v>82</v>
      </c>
      <c r="E9343" t="s">
        <v>83</v>
      </c>
      <c r="F9343">
        <v>9600</v>
      </c>
      <c r="G9343" t="s">
        <v>331</v>
      </c>
      <c r="H9343" s="15">
        <v>45292</v>
      </c>
      <c r="I9343">
        <v>9600</v>
      </c>
      <c r="J9343">
        <v>0</v>
      </c>
    </row>
    <row r="9344" spans="1:10" x14ac:dyDescent="0.3">
      <c r="A9344" s="15">
        <v>46296</v>
      </c>
      <c r="B9344" t="s">
        <v>286</v>
      </c>
      <c r="C9344" t="s">
        <v>125</v>
      </c>
      <c r="D9344" t="s">
        <v>86</v>
      </c>
      <c r="E9344" t="s">
        <v>92</v>
      </c>
      <c r="F9344">
        <v>92400</v>
      </c>
      <c r="G9344" t="s">
        <v>331</v>
      </c>
      <c r="H9344" s="15">
        <v>45292</v>
      </c>
      <c r="I9344">
        <v>92400</v>
      </c>
      <c r="J9344">
        <v>0</v>
      </c>
    </row>
    <row r="9345" spans="1:10" x14ac:dyDescent="0.3">
      <c r="A9345" s="15">
        <v>46296</v>
      </c>
      <c r="B9345" t="s">
        <v>287</v>
      </c>
      <c r="C9345" t="s">
        <v>81</v>
      </c>
      <c r="D9345" t="s">
        <v>99</v>
      </c>
      <c r="E9345" t="s">
        <v>87</v>
      </c>
      <c r="F9345">
        <v>2400</v>
      </c>
      <c r="G9345" t="s">
        <v>331</v>
      </c>
      <c r="H9345" s="15">
        <v>45292</v>
      </c>
      <c r="I9345">
        <v>2400</v>
      </c>
      <c r="J9345">
        <v>0</v>
      </c>
    </row>
    <row r="9346" spans="1:10" x14ac:dyDescent="0.3">
      <c r="A9346" s="15">
        <v>46296</v>
      </c>
      <c r="B9346" t="s">
        <v>288</v>
      </c>
      <c r="C9346" t="s">
        <v>81</v>
      </c>
      <c r="D9346" t="s">
        <v>99</v>
      </c>
      <c r="E9346" t="s">
        <v>97</v>
      </c>
      <c r="F9346">
        <v>3100</v>
      </c>
      <c r="G9346" t="s">
        <v>331</v>
      </c>
      <c r="H9346" s="15">
        <v>45292</v>
      </c>
      <c r="I9346">
        <v>3100</v>
      </c>
      <c r="J9346">
        <v>0</v>
      </c>
    </row>
    <row r="9347" spans="1:10" x14ac:dyDescent="0.3">
      <c r="A9347" s="15">
        <v>46296</v>
      </c>
      <c r="B9347" t="s">
        <v>289</v>
      </c>
      <c r="C9347" t="s">
        <v>91</v>
      </c>
      <c r="D9347" t="s">
        <v>86</v>
      </c>
      <c r="E9347" t="s">
        <v>101</v>
      </c>
      <c r="F9347">
        <v>9400</v>
      </c>
      <c r="G9347" t="s">
        <v>331</v>
      </c>
      <c r="H9347" s="15">
        <v>45292</v>
      </c>
      <c r="I9347">
        <v>9400</v>
      </c>
      <c r="J9347">
        <v>0</v>
      </c>
    </row>
    <row r="9348" spans="1:10" x14ac:dyDescent="0.3">
      <c r="A9348" s="15">
        <v>46296</v>
      </c>
      <c r="B9348" t="s">
        <v>290</v>
      </c>
      <c r="C9348" t="s">
        <v>81</v>
      </c>
      <c r="D9348" t="s">
        <v>82</v>
      </c>
      <c r="E9348" t="s">
        <v>103</v>
      </c>
      <c r="F9348">
        <v>2800</v>
      </c>
      <c r="G9348" t="s">
        <v>331</v>
      </c>
      <c r="H9348" s="15">
        <v>45292</v>
      </c>
      <c r="I9348">
        <v>2800</v>
      </c>
      <c r="J9348">
        <v>0</v>
      </c>
    </row>
    <row r="9349" spans="1:10" x14ac:dyDescent="0.3">
      <c r="A9349" s="15">
        <v>46296</v>
      </c>
      <c r="B9349" t="s">
        <v>291</v>
      </c>
      <c r="C9349" t="s">
        <v>81</v>
      </c>
      <c r="D9349" t="s">
        <v>82</v>
      </c>
      <c r="E9349" t="s">
        <v>83</v>
      </c>
      <c r="F9349">
        <v>3100</v>
      </c>
      <c r="G9349" t="s">
        <v>331</v>
      </c>
      <c r="H9349" s="15">
        <v>45292</v>
      </c>
      <c r="I9349">
        <v>3100</v>
      </c>
      <c r="J9349">
        <v>0</v>
      </c>
    </row>
    <row r="9350" spans="1:10" x14ac:dyDescent="0.3">
      <c r="A9350" s="15">
        <v>46296</v>
      </c>
      <c r="B9350" t="s">
        <v>292</v>
      </c>
      <c r="C9350" t="s">
        <v>91</v>
      </c>
      <c r="D9350" t="s">
        <v>86</v>
      </c>
      <c r="E9350" t="s">
        <v>89</v>
      </c>
      <c r="F9350">
        <v>9900</v>
      </c>
      <c r="G9350" t="s">
        <v>331</v>
      </c>
      <c r="H9350" s="15">
        <v>45292</v>
      </c>
      <c r="I9350">
        <v>9900</v>
      </c>
      <c r="J9350">
        <v>0</v>
      </c>
    </row>
    <row r="9351" spans="1:10" x14ac:dyDescent="0.3">
      <c r="A9351" s="15">
        <v>46296</v>
      </c>
      <c r="B9351" t="s">
        <v>293</v>
      </c>
      <c r="C9351" t="s">
        <v>81</v>
      </c>
      <c r="D9351" t="s">
        <v>86</v>
      </c>
      <c r="E9351" t="s">
        <v>103</v>
      </c>
      <c r="F9351">
        <v>2200</v>
      </c>
      <c r="G9351" t="s">
        <v>331</v>
      </c>
      <c r="H9351" s="15">
        <v>45292</v>
      </c>
      <c r="I9351">
        <v>2200</v>
      </c>
      <c r="J9351">
        <v>0</v>
      </c>
    </row>
    <row r="9352" spans="1:10" x14ac:dyDescent="0.3">
      <c r="A9352" s="15">
        <v>46296</v>
      </c>
      <c r="B9352" t="s">
        <v>294</v>
      </c>
      <c r="C9352" t="s">
        <v>91</v>
      </c>
      <c r="D9352" t="s">
        <v>82</v>
      </c>
      <c r="E9352" t="s">
        <v>97</v>
      </c>
      <c r="F9352">
        <v>7900</v>
      </c>
      <c r="G9352" t="s">
        <v>332</v>
      </c>
      <c r="H9352" s="15">
        <v>45292</v>
      </c>
      <c r="I9352">
        <v>7000</v>
      </c>
      <c r="J9352">
        <v>900</v>
      </c>
    </row>
    <row r="9353" spans="1:10" x14ac:dyDescent="0.3">
      <c r="A9353" s="15">
        <v>46296</v>
      </c>
      <c r="B9353" t="s">
        <v>295</v>
      </c>
      <c r="C9353" t="s">
        <v>81</v>
      </c>
      <c r="D9353" t="s">
        <v>82</v>
      </c>
      <c r="E9353" t="s">
        <v>103</v>
      </c>
      <c r="F9353">
        <v>2000</v>
      </c>
      <c r="G9353" t="s">
        <v>331</v>
      </c>
      <c r="H9353" s="15">
        <v>45292</v>
      </c>
      <c r="I9353">
        <v>2000</v>
      </c>
      <c r="J9353">
        <v>0</v>
      </c>
    </row>
    <row r="9354" spans="1:10" x14ac:dyDescent="0.3">
      <c r="A9354" s="15">
        <v>46296</v>
      </c>
      <c r="B9354" t="s">
        <v>298</v>
      </c>
      <c r="C9354" t="s">
        <v>81</v>
      </c>
      <c r="D9354" t="s">
        <v>86</v>
      </c>
      <c r="E9354" t="s">
        <v>89</v>
      </c>
      <c r="F9354">
        <v>2700</v>
      </c>
      <c r="G9354" t="s">
        <v>331</v>
      </c>
      <c r="H9354" s="15">
        <v>45292</v>
      </c>
      <c r="I9354">
        <v>2700</v>
      </c>
      <c r="J9354">
        <v>0</v>
      </c>
    </row>
    <row r="9355" spans="1:10" x14ac:dyDescent="0.3">
      <c r="A9355" s="15">
        <v>46296</v>
      </c>
      <c r="B9355" t="s">
        <v>299</v>
      </c>
      <c r="C9355" t="s">
        <v>81</v>
      </c>
      <c r="D9355" t="s">
        <v>99</v>
      </c>
      <c r="E9355" t="s">
        <v>103</v>
      </c>
      <c r="F9355">
        <v>2900</v>
      </c>
      <c r="G9355" t="s">
        <v>331</v>
      </c>
      <c r="H9355" s="15">
        <v>45292</v>
      </c>
      <c r="I9355">
        <v>2900</v>
      </c>
      <c r="J9355">
        <v>0</v>
      </c>
    </row>
    <row r="9356" spans="1:10" x14ac:dyDescent="0.3">
      <c r="A9356" s="15">
        <v>46296</v>
      </c>
      <c r="B9356" t="s">
        <v>300</v>
      </c>
      <c r="C9356" t="s">
        <v>91</v>
      </c>
      <c r="D9356" t="s">
        <v>82</v>
      </c>
      <c r="E9356" t="s">
        <v>89</v>
      </c>
      <c r="F9356">
        <v>11500</v>
      </c>
      <c r="G9356" t="s">
        <v>331</v>
      </c>
      <c r="H9356" s="15">
        <v>45292</v>
      </c>
      <c r="I9356">
        <v>11500</v>
      </c>
      <c r="J9356">
        <v>0</v>
      </c>
    </row>
    <row r="9357" spans="1:10" x14ac:dyDescent="0.3">
      <c r="A9357" s="15">
        <v>46296</v>
      </c>
      <c r="B9357" t="s">
        <v>303</v>
      </c>
      <c r="C9357" t="s">
        <v>81</v>
      </c>
      <c r="D9357" t="s">
        <v>82</v>
      </c>
      <c r="E9357" t="s">
        <v>83</v>
      </c>
      <c r="F9357">
        <v>1500</v>
      </c>
      <c r="G9357" t="s">
        <v>331</v>
      </c>
      <c r="H9357" s="15">
        <v>45292</v>
      </c>
      <c r="I9357">
        <v>1500</v>
      </c>
      <c r="J9357">
        <v>0</v>
      </c>
    </row>
    <row r="9358" spans="1:10" x14ac:dyDescent="0.3">
      <c r="A9358" s="15">
        <v>46296</v>
      </c>
      <c r="B9358" t="s">
        <v>304</v>
      </c>
      <c r="C9358" t="s">
        <v>81</v>
      </c>
      <c r="D9358" t="s">
        <v>86</v>
      </c>
      <c r="E9358" t="s">
        <v>92</v>
      </c>
      <c r="F9358">
        <v>2300</v>
      </c>
      <c r="G9358" t="s">
        <v>331</v>
      </c>
      <c r="H9358" s="15">
        <v>45292</v>
      </c>
      <c r="I9358">
        <v>2300</v>
      </c>
      <c r="J9358">
        <v>0</v>
      </c>
    </row>
    <row r="9359" spans="1:10" x14ac:dyDescent="0.3">
      <c r="A9359" s="15">
        <v>46296</v>
      </c>
      <c r="B9359" t="s">
        <v>306</v>
      </c>
      <c r="C9359" t="s">
        <v>91</v>
      </c>
      <c r="D9359" t="s">
        <v>82</v>
      </c>
      <c r="E9359" t="s">
        <v>87</v>
      </c>
      <c r="F9359">
        <v>13200</v>
      </c>
      <c r="G9359" t="s">
        <v>331</v>
      </c>
      <c r="H9359" s="15">
        <v>45292</v>
      </c>
      <c r="I9359">
        <v>13200</v>
      </c>
      <c r="J9359">
        <v>0</v>
      </c>
    </row>
    <row r="9360" spans="1:10" x14ac:dyDescent="0.3">
      <c r="A9360" s="15">
        <v>46296</v>
      </c>
      <c r="B9360" t="s">
        <v>307</v>
      </c>
      <c r="C9360" t="s">
        <v>81</v>
      </c>
      <c r="D9360" t="s">
        <v>86</v>
      </c>
      <c r="E9360" t="s">
        <v>97</v>
      </c>
      <c r="F9360">
        <v>2600</v>
      </c>
      <c r="G9360" t="s">
        <v>331</v>
      </c>
      <c r="H9360" s="15">
        <v>45292</v>
      </c>
      <c r="I9360">
        <v>2600</v>
      </c>
      <c r="J9360">
        <v>0</v>
      </c>
    </row>
    <row r="9361" spans="1:10" x14ac:dyDescent="0.3">
      <c r="A9361" s="15">
        <v>46296</v>
      </c>
      <c r="B9361" t="s">
        <v>309</v>
      </c>
      <c r="C9361" t="s">
        <v>91</v>
      </c>
      <c r="D9361" t="s">
        <v>82</v>
      </c>
      <c r="E9361" t="s">
        <v>87</v>
      </c>
      <c r="F9361">
        <v>11800</v>
      </c>
      <c r="G9361" t="s">
        <v>331</v>
      </c>
      <c r="H9361" s="15">
        <v>45292</v>
      </c>
      <c r="I9361">
        <v>11800</v>
      </c>
      <c r="J9361">
        <v>0</v>
      </c>
    </row>
    <row r="9362" spans="1:10" x14ac:dyDescent="0.3">
      <c r="A9362" s="15">
        <v>46296</v>
      </c>
      <c r="B9362" t="s">
        <v>310</v>
      </c>
      <c r="C9362" t="s">
        <v>91</v>
      </c>
      <c r="D9362" t="s">
        <v>99</v>
      </c>
      <c r="E9362" t="s">
        <v>87</v>
      </c>
      <c r="F9362">
        <v>10800</v>
      </c>
      <c r="G9362" t="s">
        <v>331</v>
      </c>
      <c r="H9362" s="15">
        <v>45292</v>
      </c>
      <c r="I9362">
        <v>10800</v>
      </c>
      <c r="J9362">
        <v>0</v>
      </c>
    </row>
    <row r="9363" spans="1:10" x14ac:dyDescent="0.3">
      <c r="A9363" s="15">
        <v>46296</v>
      </c>
      <c r="B9363" t="s">
        <v>315</v>
      </c>
      <c r="C9363" t="s">
        <v>125</v>
      </c>
      <c r="D9363" t="s">
        <v>86</v>
      </c>
      <c r="E9363" t="s">
        <v>92</v>
      </c>
      <c r="F9363">
        <v>76200</v>
      </c>
      <c r="G9363" t="s">
        <v>331</v>
      </c>
      <c r="H9363" s="15">
        <v>45292</v>
      </c>
      <c r="I9363">
        <v>76200</v>
      </c>
      <c r="J9363">
        <v>0</v>
      </c>
    </row>
    <row r="9364" spans="1:10" x14ac:dyDescent="0.3">
      <c r="A9364" s="15">
        <v>46296</v>
      </c>
      <c r="B9364" t="s">
        <v>316</v>
      </c>
      <c r="C9364" t="s">
        <v>81</v>
      </c>
      <c r="D9364" t="s">
        <v>96</v>
      </c>
      <c r="E9364" t="s">
        <v>92</v>
      </c>
      <c r="F9364">
        <v>2000</v>
      </c>
      <c r="G9364" t="s">
        <v>331</v>
      </c>
      <c r="H9364" s="15">
        <v>45292</v>
      </c>
      <c r="I9364">
        <v>2000</v>
      </c>
      <c r="J9364">
        <v>0</v>
      </c>
    </row>
    <row r="9365" spans="1:10" x14ac:dyDescent="0.3">
      <c r="A9365" s="15">
        <v>46296</v>
      </c>
      <c r="B9365" t="s">
        <v>318</v>
      </c>
      <c r="C9365" t="s">
        <v>110</v>
      </c>
      <c r="D9365" t="s">
        <v>82</v>
      </c>
      <c r="E9365" t="s">
        <v>97</v>
      </c>
      <c r="F9365">
        <v>29600</v>
      </c>
      <c r="G9365" t="s">
        <v>331</v>
      </c>
      <c r="H9365" s="15">
        <v>45292</v>
      </c>
      <c r="I9365">
        <v>29600</v>
      </c>
      <c r="J9365">
        <v>0</v>
      </c>
    </row>
    <row r="9366" spans="1:10" x14ac:dyDescent="0.3">
      <c r="A9366" s="15">
        <v>46296</v>
      </c>
      <c r="B9366" t="s">
        <v>320</v>
      </c>
      <c r="C9366" t="s">
        <v>91</v>
      </c>
      <c r="D9366" t="s">
        <v>86</v>
      </c>
      <c r="E9366" t="s">
        <v>97</v>
      </c>
      <c r="F9366">
        <v>7700</v>
      </c>
      <c r="G9366" t="s">
        <v>331</v>
      </c>
      <c r="H9366" s="15">
        <v>45292</v>
      </c>
      <c r="I9366">
        <v>7700</v>
      </c>
      <c r="J9366">
        <v>0</v>
      </c>
    </row>
    <row r="9367" spans="1:10" x14ac:dyDescent="0.3">
      <c r="A9367" s="15">
        <v>46296</v>
      </c>
      <c r="B9367" t="s">
        <v>322</v>
      </c>
      <c r="C9367" t="s">
        <v>81</v>
      </c>
      <c r="D9367" t="s">
        <v>82</v>
      </c>
      <c r="E9367" t="s">
        <v>103</v>
      </c>
      <c r="F9367">
        <v>2000</v>
      </c>
      <c r="G9367" t="s">
        <v>331</v>
      </c>
      <c r="H9367" s="15">
        <v>45292</v>
      </c>
      <c r="I9367">
        <v>2000</v>
      </c>
      <c r="J9367">
        <v>0</v>
      </c>
    </row>
    <row r="9368" spans="1:10" x14ac:dyDescent="0.3">
      <c r="A9368" s="15">
        <v>46296</v>
      </c>
      <c r="B9368" t="s">
        <v>323</v>
      </c>
      <c r="C9368" t="s">
        <v>110</v>
      </c>
      <c r="D9368" t="s">
        <v>82</v>
      </c>
      <c r="E9368" t="s">
        <v>89</v>
      </c>
      <c r="F9368">
        <v>22100</v>
      </c>
      <c r="G9368" t="s">
        <v>331</v>
      </c>
      <c r="H9368" s="15">
        <v>45292</v>
      </c>
      <c r="I9368">
        <v>22100</v>
      </c>
      <c r="J9368">
        <v>0</v>
      </c>
    </row>
    <row r="9369" spans="1:10" x14ac:dyDescent="0.3">
      <c r="A9369" s="15">
        <v>46296</v>
      </c>
      <c r="B9369" t="s">
        <v>324</v>
      </c>
      <c r="C9369" t="s">
        <v>81</v>
      </c>
      <c r="D9369" t="s">
        <v>86</v>
      </c>
      <c r="E9369" t="s">
        <v>87</v>
      </c>
      <c r="F9369">
        <v>2400</v>
      </c>
      <c r="G9369" t="s">
        <v>331</v>
      </c>
      <c r="H9369" s="15">
        <v>45292</v>
      </c>
      <c r="I9369">
        <v>2400</v>
      </c>
      <c r="J9369">
        <v>0</v>
      </c>
    </row>
    <row r="9370" spans="1:10" x14ac:dyDescent="0.3">
      <c r="A9370" s="15">
        <v>46296</v>
      </c>
      <c r="B9370" t="s">
        <v>325</v>
      </c>
      <c r="C9370" t="s">
        <v>91</v>
      </c>
      <c r="D9370" t="s">
        <v>86</v>
      </c>
      <c r="E9370" t="s">
        <v>87</v>
      </c>
      <c r="F9370">
        <v>9400</v>
      </c>
      <c r="G9370" t="s">
        <v>331</v>
      </c>
      <c r="H9370" s="15">
        <v>45292</v>
      </c>
      <c r="I9370">
        <v>9400</v>
      </c>
      <c r="J9370">
        <v>0</v>
      </c>
    </row>
    <row r="9371" spans="1:10" x14ac:dyDescent="0.3">
      <c r="A9371" s="15">
        <v>46296</v>
      </c>
      <c r="B9371" t="s">
        <v>327</v>
      </c>
      <c r="C9371" t="s">
        <v>125</v>
      </c>
      <c r="D9371" t="s">
        <v>99</v>
      </c>
      <c r="E9371" t="s">
        <v>97</v>
      </c>
      <c r="F9371">
        <v>77500</v>
      </c>
      <c r="G9371" t="s">
        <v>331</v>
      </c>
      <c r="H9371" s="15">
        <v>45292</v>
      </c>
      <c r="I9371">
        <v>77500</v>
      </c>
      <c r="J9371">
        <v>0</v>
      </c>
    </row>
    <row r="9372" spans="1:10" x14ac:dyDescent="0.3">
      <c r="A9372" s="15">
        <v>46296</v>
      </c>
      <c r="B9372" t="s">
        <v>329</v>
      </c>
      <c r="C9372" t="s">
        <v>81</v>
      </c>
      <c r="D9372" t="s">
        <v>86</v>
      </c>
      <c r="E9372" t="s">
        <v>101</v>
      </c>
      <c r="F9372">
        <v>2200</v>
      </c>
      <c r="G9372" t="s">
        <v>331</v>
      </c>
      <c r="H9372" s="15">
        <v>45292</v>
      </c>
      <c r="I9372">
        <v>2200</v>
      </c>
      <c r="J9372">
        <v>0</v>
      </c>
    </row>
    <row r="9373" spans="1:10" x14ac:dyDescent="0.3">
      <c r="A9373" s="15">
        <v>46296</v>
      </c>
      <c r="B9373" t="s">
        <v>330</v>
      </c>
      <c r="C9373" t="s">
        <v>125</v>
      </c>
      <c r="D9373" t="s">
        <v>86</v>
      </c>
      <c r="E9373" t="s">
        <v>87</v>
      </c>
      <c r="F9373">
        <v>95400</v>
      </c>
      <c r="G9373" t="s">
        <v>334</v>
      </c>
      <c r="H9373" s="15">
        <v>45292</v>
      </c>
      <c r="I9373">
        <v>105400</v>
      </c>
      <c r="J9373">
        <v>-10000</v>
      </c>
    </row>
    <row r="9374" spans="1:10" x14ac:dyDescent="0.3">
      <c r="A9374" s="15">
        <v>46296</v>
      </c>
      <c r="B9374" t="s">
        <v>335</v>
      </c>
      <c r="C9374" t="s">
        <v>91</v>
      </c>
      <c r="D9374" t="s">
        <v>86</v>
      </c>
      <c r="E9374" t="s">
        <v>89</v>
      </c>
      <c r="F9374">
        <v>6500</v>
      </c>
      <c r="G9374" t="s">
        <v>331</v>
      </c>
      <c r="H9374" s="15">
        <v>45323</v>
      </c>
      <c r="I9374">
        <v>6500</v>
      </c>
      <c r="J9374">
        <v>0</v>
      </c>
    </row>
    <row r="9375" spans="1:10" x14ac:dyDescent="0.3">
      <c r="A9375" s="15">
        <v>46296</v>
      </c>
      <c r="B9375" t="s">
        <v>339</v>
      </c>
      <c r="C9375" t="s">
        <v>81</v>
      </c>
      <c r="D9375" t="s">
        <v>82</v>
      </c>
      <c r="E9375" t="s">
        <v>103</v>
      </c>
      <c r="F9375">
        <v>1400</v>
      </c>
      <c r="G9375" t="s">
        <v>331</v>
      </c>
      <c r="H9375" s="15">
        <v>45323</v>
      </c>
      <c r="I9375">
        <v>1400</v>
      </c>
      <c r="J9375">
        <v>0</v>
      </c>
    </row>
    <row r="9376" spans="1:10" x14ac:dyDescent="0.3">
      <c r="A9376" s="15">
        <v>46296</v>
      </c>
      <c r="B9376" t="s">
        <v>341</v>
      </c>
      <c r="C9376" t="s">
        <v>110</v>
      </c>
      <c r="D9376" t="s">
        <v>82</v>
      </c>
      <c r="E9376" t="s">
        <v>92</v>
      </c>
      <c r="F9376">
        <v>18800</v>
      </c>
      <c r="G9376" t="s">
        <v>331</v>
      </c>
      <c r="H9376" s="15">
        <v>45323</v>
      </c>
      <c r="I9376">
        <v>18800</v>
      </c>
      <c r="J9376">
        <v>0</v>
      </c>
    </row>
    <row r="9377" spans="1:10" x14ac:dyDescent="0.3">
      <c r="A9377" s="15">
        <v>46296</v>
      </c>
      <c r="B9377" t="s">
        <v>342</v>
      </c>
      <c r="C9377" t="s">
        <v>91</v>
      </c>
      <c r="D9377" t="s">
        <v>82</v>
      </c>
      <c r="E9377" t="s">
        <v>83</v>
      </c>
      <c r="F9377">
        <v>7300</v>
      </c>
      <c r="G9377" t="s">
        <v>331</v>
      </c>
      <c r="H9377" s="15">
        <v>45352</v>
      </c>
      <c r="I9377">
        <v>7300</v>
      </c>
      <c r="J9377">
        <v>0</v>
      </c>
    </row>
    <row r="9378" spans="1:10" x14ac:dyDescent="0.3">
      <c r="A9378" s="15">
        <v>46296</v>
      </c>
      <c r="B9378" t="s">
        <v>343</v>
      </c>
      <c r="C9378" t="s">
        <v>81</v>
      </c>
      <c r="D9378" t="s">
        <v>82</v>
      </c>
      <c r="E9378" t="s">
        <v>89</v>
      </c>
      <c r="F9378">
        <v>2500</v>
      </c>
      <c r="G9378" t="s">
        <v>331</v>
      </c>
      <c r="H9378" s="15">
        <v>45352</v>
      </c>
      <c r="I9378">
        <v>2500</v>
      </c>
      <c r="J9378">
        <v>0</v>
      </c>
    </row>
    <row r="9379" spans="1:10" x14ac:dyDescent="0.3">
      <c r="A9379" s="15">
        <v>46296</v>
      </c>
      <c r="B9379" t="s">
        <v>344</v>
      </c>
      <c r="C9379" t="s">
        <v>110</v>
      </c>
      <c r="D9379" t="s">
        <v>86</v>
      </c>
      <c r="E9379" t="s">
        <v>89</v>
      </c>
      <c r="F9379">
        <v>25800</v>
      </c>
      <c r="G9379" t="s">
        <v>331</v>
      </c>
      <c r="H9379" s="15">
        <v>45352</v>
      </c>
      <c r="I9379">
        <v>25800</v>
      </c>
      <c r="J9379">
        <v>0</v>
      </c>
    </row>
    <row r="9380" spans="1:10" x14ac:dyDescent="0.3">
      <c r="A9380" s="15">
        <v>46296</v>
      </c>
      <c r="B9380" t="s">
        <v>345</v>
      </c>
      <c r="C9380" t="s">
        <v>91</v>
      </c>
      <c r="D9380" t="s">
        <v>86</v>
      </c>
      <c r="E9380" t="s">
        <v>83</v>
      </c>
      <c r="F9380">
        <v>7900</v>
      </c>
      <c r="G9380" t="s">
        <v>331</v>
      </c>
      <c r="H9380" s="15">
        <v>45352</v>
      </c>
      <c r="I9380">
        <v>7900</v>
      </c>
      <c r="J9380">
        <v>0</v>
      </c>
    </row>
    <row r="9381" spans="1:10" x14ac:dyDescent="0.3">
      <c r="A9381" s="15">
        <v>46296</v>
      </c>
      <c r="B9381" t="s">
        <v>346</v>
      </c>
      <c r="C9381" t="s">
        <v>81</v>
      </c>
      <c r="D9381" t="s">
        <v>86</v>
      </c>
      <c r="E9381" t="s">
        <v>97</v>
      </c>
      <c r="F9381">
        <v>1700</v>
      </c>
      <c r="G9381" t="s">
        <v>331</v>
      </c>
      <c r="H9381" s="15">
        <v>45352</v>
      </c>
      <c r="I9381">
        <v>1700</v>
      </c>
      <c r="J9381">
        <v>0</v>
      </c>
    </row>
    <row r="9382" spans="1:10" x14ac:dyDescent="0.3">
      <c r="A9382" s="15">
        <v>46296</v>
      </c>
      <c r="B9382" t="s">
        <v>347</v>
      </c>
      <c r="C9382" t="s">
        <v>91</v>
      </c>
      <c r="D9382" t="s">
        <v>82</v>
      </c>
      <c r="E9382" t="s">
        <v>83</v>
      </c>
      <c r="F9382">
        <v>4700</v>
      </c>
      <c r="G9382" t="s">
        <v>331</v>
      </c>
      <c r="H9382" s="15">
        <v>45383</v>
      </c>
      <c r="I9382">
        <v>4700</v>
      </c>
      <c r="J9382">
        <v>0</v>
      </c>
    </row>
    <row r="9383" spans="1:10" x14ac:dyDescent="0.3">
      <c r="A9383" s="15">
        <v>46296</v>
      </c>
      <c r="B9383" t="s">
        <v>350</v>
      </c>
      <c r="C9383" t="s">
        <v>91</v>
      </c>
      <c r="D9383" t="s">
        <v>82</v>
      </c>
      <c r="E9383" t="s">
        <v>83</v>
      </c>
      <c r="F9383">
        <v>4400</v>
      </c>
      <c r="G9383" t="s">
        <v>331</v>
      </c>
      <c r="H9383" s="15">
        <v>45383</v>
      </c>
      <c r="I9383">
        <v>4400</v>
      </c>
      <c r="J9383">
        <v>0</v>
      </c>
    </row>
    <row r="9384" spans="1:10" x14ac:dyDescent="0.3">
      <c r="A9384" s="15">
        <v>46296</v>
      </c>
      <c r="B9384" t="s">
        <v>351</v>
      </c>
      <c r="C9384" t="s">
        <v>81</v>
      </c>
      <c r="D9384" t="s">
        <v>86</v>
      </c>
      <c r="E9384" t="s">
        <v>83</v>
      </c>
      <c r="F9384">
        <v>2700</v>
      </c>
      <c r="G9384" t="s">
        <v>331</v>
      </c>
      <c r="H9384" s="15">
        <v>45383</v>
      </c>
      <c r="I9384">
        <v>2700</v>
      </c>
      <c r="J9384">
        <v>0</v>
      </c>
    </row>
    <row r="9385" spans="1:10" x14ac:dyDescent="0.3">
      <c r="A9385" s="15">
        <v>46296</v>
      </c>
      <c r="B9385" t="s">
        <v>352</v>
      </c>
      <c r="C9385" t="s">
        <v>91</v>
      </c>
      <c r="D9385" t="s">
        <v>82</v>
      </c>
      <c r="E9385" t="s">
        <v>89</v>
      </c>
      <c r="F9385">
        <v>8800</v>
      </c>
      <c r="G9385" t="s">
        <v>331</v>
      </c>
      <c r="H9385" s="15">
        <v>45383</v>
      </c>
      <c r="I9385">
        <v>8800</v>
      </c>
      <c r="J9385">
        <v>0</v>
      </c>
    </row>
    <row r="9386" spans="1:10" x14ac:dyDescent="0.3">
      <c r="A9386" s="15">
        <v>46296</v>
      </c>
      <c r="B9386" t="s">
        <v>353</v>
      </c>
      <c r="C9386" t="s">
        <v>81</v>
      </c>
      <c r="D9386" t="s">
        <v>99</v>
      </c>
      <c r="E9386" t="s">
        <v>103</v>
      </c>
      <c r="F9386">
        <v>1200</v>
      </c>
      <c r="G9386" t="s">
        <v>331</v>
      </c>
      <c r="H9386" s="15">
        <v>45383</v>
      </c>
      <c r="I9386">
        <v>1200</v>
      </c>
      <c r="J9386">
        <v>0</v>
      </c>
    </row>
    <row r="9387" spans="1:10" x14ac:dyDescent="0.3">
      <c r="A9387" s="15">
        <v>46296</v>
      </c>
      <c r="B9387" t="s">
        <v>354</v>
      </c>
      <c r="C9387" t="s">
        <v>81</v>
      </c>
      <c r="D9387" t="s">
        <v>82</v>
      </c>
      <c r="E9387" t="s">
        <v>92</v>
      </c>
      <c r="F9387">
        <v>1700</v>
      </c>
      <c r="G9387" t="s">
        <v>331</v>
      </c>
      <c r="H9387" s="15">
        <v>45413</v>
      </c>
      <c r="I9387">
        <v>1700</v>
      </c>
      <c r="J9387">
        <v>0</v>
      </c>
    </row>
    <row r="9388" spans="1:10" x14ac:dyDescent="0.3">
      <c r="A9388" s="15">
        <v>46296</v>
      </c>
      <c r="B9388" t="s">
        <v>355</v>
      </c>
      <c r="C9388" t="s">
        <v>81</v>
      </c>
      <c r="D9388" t="s">
        <v>86</v>
      </c>
      <c r="E9388" t="s">
        <v>97</v>
      </c>
      <c r="F9388">
        <v>2000</v>
      </c>
      <c r="G9388" t="s">
        <v>331</v>
      </c>
      <c r="H9388" s="15">
        <v>45413</v>
      </c>
      <c r="I9388">
        <v>2000</v>
      </c>
      <c r="J9388">
        <v>0</v>
      </c>
    </row>
    <row r="9389" spans="1:10" x14ac:dyDescent="0.3">
      <c r="A9389" s="15">
        <v>46296</v>
      </c>
      <c r="B9389" t="s">
        <v>356</v>
      </c>
      <c r="C9389" t="s">
        <v>110</v>
      </c>
      <c r="D9389" t="s">
        <v>82</v>
      </c>
      <c r="E9389" t="s">
        <v>97</v>
      </c>
      <c r="F9389">
        <v>33000</v>
      </c>
      <c r="G9389" t="s">
        <v>331</v>
      </c>
      <c r="H9389" s="15">
        <v>45413</v>
      </c>
      <c r="I9389">
        <v>33000</v>
      </c>
      <c r="J9389">
        <v>0</v>
      </c>
    </row>
    <row r="9390" spans="1:10" x14ac:dyDescent="0.3">
      <c r="A9390" s="15">
        <v>46296</v>
      </c>
      <c r="B9390" t="s">
        <v>359</v>
      </c>
      <c r="C9390" t="s">
        <v>110</v>
      </c>
      <c r="D9390" t="s">
        <v>86</v>
      </c>
      <c r="E9390" t="s">
        <v>101</v>
      </c>
      <c r="F9390">
        <v>28900</v>
      </c>
      <c r="G9390" t="s">
        <v>331</v>
      </c>
      <c r="H9390" s="15">
        <v>45413</v>
      </c>
      <c r="I9390">
        <v>28900</v>
      </c>
      <c r="J9390">
        <v>0</v>
      </c>
    </row>
    <row r="9391" spans="1:10" x14ac:dyDescent="0.3">
      <c r="A9391" s="15">
        <v>46296</v>
      </c>
      <c r="B9391" t="s">
        <v>361</v>
      </c>
      <c r="C9391" t="s">
        <v>91</v>
      </c>
      <c r="D9391" t="s">
        <v>86</v>
      </c>
      <c r="E9391" t="s">
        <v>83</v>
      </c>
      <c r="F9391">
        <v>7100</v>
      </c>
      <c r="G9391" t="s">
        <v>332</v>
      </c>
      <c r="H9391" s="15">
        <v>45444</v>
      </c>
      <c r="I9391">
        <v>6600</v>
      </c>
      <c r="J9391">
        <v>500</v>
      </c>
    </row>
    <row r="9392" spans="1:10" x14ac:dyDescent="0.3">
      <c r="A9392" s="15">
        <v>46296</v>
      </c>
      <c r="B9392" t="s">
        <v>362</v>
      </c>
      <c r="C9392" t="s">
        <v>91</v>
      </c>
      <c r="D9392" t="s">
        <v>82</v>
      </c>
      <c r="E9392" t="s">
        <v>101</v>
      </c>
      <c r="F9392">
        <v>5700</v>
      </c>
      <c r="G9392" t="s">
        <v>331</v>
      </c>
      <c r="H9392" s="15">
        <v>45444</v>
      </c>
      <c r="I9392">
        <v>5700</v>
      </c>
      <c r="J9392">
        <v>0</v>
      </c>
    </row>
    <row r="9393" spans="1:10" x14ac:dyDescent="0.3">
      <c r="A9393" s="15">
        <v>46296</v>
      </c>
      <c r="B9393" t="s">
        <v>363</v>
      </c>
      <c r="C9393" t="s">
        <v>91</v>
      </c>
      <c r="D9393" t="s">
        <v>86</v>
      </c>
      <c r="E9393" t="s">
        <v>83</v>
      </c>
      <c r="F9393">
        <v>4400</v>
      </c>
      <c r="G9393" t="s">
        <v>331</v>
      </c>
      <c r="H9393" s="15">
        <v>45444</v>
      </c>
      <c r="I9393">
        <v>4400</v>
      </c>
      <c r="J9393">
        <v>0</v>
      </c>
    </row>
    <row r="9394" spans="1:10" x14ac:dyDescent="0.3">
      <c r="A9394" s="15">
        <v>46296</v>
      </c>
      <c r="B9394" t="s">
        <v>364</v>
      </c>
      <c r="C9394" t="s">
        <v>91</v>
      </c>
      <c r="D9394" t="s">
        <v>82</v>
      </c>
      <c r="E9394" t="s">
        <v>101</v>
      </c>
      <c r="F9394">
        <v>7600</v>
      </c>
      <c r="G9394" t="s">
        <v>331</v>
      </c>
      <c r="H9394" s="15">
        <v>45444</v>
      </c>
      <c r="I9394">
        <v>7600</v>
      </c>
      <c r="J9394">
        <v>0</v>
      </c>
    </row>
    <row r="9395" spans="1:10" x14ac:dyDescent="0.3">
      <c r="A9395" s="15">
        <v>46296</v>
      </c>
      <c r="B9395" t="s">
        <v>366</v>
      </c>
      <c r="C9395" t="s">
        <v>81</v>
      </c>
      <c r="D9395" t="s">
        <v>99</v>
      </c>
      <c r="E9395" t="s">
        <v>92</v>
      </c>
      <c r="F9395">
        <v>1600</v>
      </c>
      <c r="G9395" t="s">
        <v>331</v>
      </c>
      <c r="H9395" s="15">
        <v>45474</v>
      </c>
      <c r="I9395">
        <v>1600</v>
      </c>
      <c r="J9395">
        <v>0</v>
      </c>
    </row>
    <row r="9396" spans="1:10" x14ac:dyDescent="0.3">
      <c r="A9396" s="15">
        <v>46296</v>
      </c>
      <c r="B9396" t="s">
        <v>368</v>
      </c>
      <c r="C9396" t="s">
        <v>81</v>
      </c>
      <c r="D9396" t="s">
        <v>86</v>
      </c>
      <c r="E9396" t="s">
        <v>89</v>
      </c>
      <c r="F9396">
        <v>1200</v>
      </c>
      <c r="G9396" t="s">
        <v>331</v>
      </c>
      <c r="H9396" s="15">
        <v>45474</v>
      </c>
      <c r="I9396">
        <v>1200</v>
      </c>
      <c r="J9396">
        <v>0</v>
      </c>
    </row>
    <row r="9397" spans="1:10" x14ac:dyDescent="0.3">
      <c r="A9397" s="15">
        <v>46296</v>
      </c>
      <c r="B9397" t="s">
        <v>370</v>
      </c>
      <c r="C9397" t="s">
        <v>81</v>
      </c>
      <c r="D9397" t="s">
        <v>99</v>
      </c>
      <c r="E9397" t="s">
        <v>87</v>
      </c>
      <c r="F9397">
        <v>2300</v>
      </c>
      <c r="G9397" t="s">
        <v>331</v>
      </c>
      <c r="H9397" s="15">
        <v>45474</v>
      </c>
      <c r="I9397">
        <v>2300</v>
      </c>
      <c r="J9397">
        <v>0</v>
      </c>
    </row>
    <row r="9398" spans="1:10" x14ac:dyDescent="0.3">
      <c r="A9398" s="15">
        <v>46296</v>
      </c>
      <c r="B9398" t="s">
        <v>376</v>
      </c>
      <c r="C9398" t="s">
        <v>110</v>
      </c>
      <c r="D9398" t="s">
        <v>86</v>
      </c>
      <c r="E9398" t="s">
        <v>103</v>
      </c>
      <c r="F9398">
        <v>22900</v>
      </c>
      <c r="G9398" t="s">
        <v>331</v>
      </c>
      <c r="H9398" s="15">
        <v>45505</v>
      </c>
      <c r="I9398">
        <v>22900</v>
      </c>
      <c r="J9398">
        <v>0</v>
      </c>
    </row>
    <row r="9399" spans="1:10" x14ac:dyDescent="0.3">
      <c r="A9399" s="15">
        <v>46296</v>
      </c>
      <c r="B9399" t="s">
        <v>377</v>
      </c>
      <c r="C9399" t="s">
        <v>81</v>
      </c>
      <c r="D9399" t="s">
        <v>99</v>
      </c>
      <c r="E9399" t="s">
        <v>92</v>
      </c>
      <c r="F9399">
        <v>2300</v>
      </c>
      <c r="G9399" t="s">
        <v>331</v>
      </c>
      <c r="H9399" s="15">
        <v>45536</v>
      </c>
      <c r="I9399">
        <v>2300</v>
      </c>
      <c r="J9399">
        <v>0</v>
      </c>
    </row>
    <row r="9400" spans="1:10" x14ac:dyDescent="0.3">
      <c r="A9400" s="15">
        <v>46296</v>
      </c>
      <c r="B9400" t="s">
        <v>379</v>
      </c>
      <c r="C9400" t="s">
        <v>81</v>
      </c>
      <c r="D9400" t="s">
        <v>99</v>
      </c>
      <c r="E9400" t="s">
        <v>101</v>
      </c>
      <c r="F9400">
        <v>2300</v>
      </c>
      <c r="G9400" t="s">
        <v>331</v>
      </c>
      <c r="H9400" s="15">
        <v>45536</v>
      </c>
      <c r="I9400">
        <v>2300</v>
      </c>
      <c r="J9400">
        <v>0</v>
      </c>
    </row>
    <row r="9401" spans="1:10" x14ac:dyDescent="0.3">
      <c r="A9401" s="15">
        <v>46296</v>
      </c>
      <c r="B9401" t="s">
        <v>381</v>
      </c>
      <c r="C9401" t="s">
        <v>91</v>
      </c>
      <c r="D9401" t="s">
        <v>86</v>
      </c>
      <c r="E9401" t="s">
        <v>92</v>
      </c>
      <c r="F9401">
        <v>4600</v>
      </c>
      <c r="G9401" t="s">
        <v>331</v>
      </c>
      <c r="H9401" s="15">
        <v>45536</v>
      </c>
      <c r="I9401">
        <v>4600</v>
      </c>
      <c r="J9401">
        <v>0</v>
      </c>
    </row>
    <row r="9402" spans="1:10" x14ac:dyDescent="0.3">
      <c r="A9402" s="15">
        <v>46296</v>
      </c>
      <c r="B9402" t="s">
        <v>382</v>
      </c>
      <c r="C9402" t="s">
        <v>81</v>
      </c>
      <c r="D9402" t="s">
        <v>96</v>
      </c>
      <c r="E9402" t="s">
        <v>101</v>
      </c>
      <c r="F9402">
        <v>2100</v>
      </c>
      <c r="G9402" t="s">
        <v>331</v>
      </c>
      <c r="H9402" s="15">
        <v>45536</v>
      </c>
      <c r="I9402">
        <v>2100</v>
      </c>
      <c r="J9402">
        <v>0</v>
      </c>
    </row>
    <row r="9403" spans="1:10" x14ac:dyDescent="0.3">
      <c r="A9403" s="15">
        <v>46296</v>
      </c>
      <c r="B9403" t="s">
        <v>383</v>
      </c>
      <c r="C9403" t="s">
        <v>81</v>
      </c>
      <c r="D9403" t="s">
        <v>82</v>
      </c>
      <c r="E9403" t="s">
        <v>87</v>
      </c>
      <c r="F9403">
        <v>1600</v>
      </c>
      <c r="G9403" t="s">
        <v>331</v>
      </c>
      <c r="H9403" s="15">
        <v>45536</v>
      </c>
      <c r="I9403">
        <v>1600</v>
      </c>
      <c r="J9403">
        <v>0</v>
      </c>
    </row>
    <row r="9404" spans="1:10" x14ac:dyDescent="0.3">
      <c r="A9404" s="15">
        <v>46296</v>
      </c>
      <c r="B9404" t="s">
        <v>385</v>
      </c>
      <c r="C9404" t="s">
        <v>91</v>
      </c>
      <c r="D9404" t="s">
        <v>99</v>
      </c>
      <c r="E9404" t="s">
        <v>83</v>
      </c>
      <c r="F9404">
        <v>8300</v>
      </c>
      <c r="G9404" t="s">
        <v>331</v>
      </c>
      <c r="H9404" s="15">
        <v>45566</v>
      </c>
      <c r="I9404">
        <v>8300</v>
      </c>
      <c r="J9404">
        <v>0</v>
      </c>
    </row>
    <row r="9405" spans="1:10" x14ac:dyDescent="0.3">
      <c r="A9405" s="15">
        <v>46296</v>
      </c>
      <c r="B9405" t="s">
        <v>386</v>
      </c>
      <c r="C9405" t="s">
        <v>81</v>
      </c>
      <c r="D9405" t="s">
        <v>82</v>
      </c>
      <c r="E9405" t="s">
        <v>103</v>
      </c>
      <c r="F9405">
        <v>2200</v>
      </c>
      <c r="G9405" t="s">
        <v>331</v>
      </c>
      <c r="H9405" s="15">
        <v>45566</v>
      </c>
      <c r="I9405">
        <v>2200</v>
      </c>
      <c r="J9405">
        <v>0</v>
      </c>
    </row>
    <row r="9406" spans="1:10" x14ac:dyDescent="0.3">
      <c r="A9406" s="15">
        <v>46296</v>
      </c>
      <c r="B9406" t="s">
        <v>387</v>
      </c>
      <c r="C9406" t="s">
        <v>81</v>
      </c>
      <c r="D9406" t="s">
        <v>86</v>
      </c>
      <c r="E9406" t="s">
        <v>92</v>
      </c>
      <c r="F9406">
        <v>1500</v>
      </c>
      <c r="G9406" t="s">
        <v>331</v>
      </c>
      <c r="H9406" s="15">
        <v>45566</v>
      </c>
      <c r="I9406">
        <v>1500</v>
      </c>
      <c r="J9406">
        <v>0</v>
      </c>
    </row>
    <row r="9407" spans="1:10" x14ac:dyDescent="0.3">
      <c r="A9407" s="15">
        <v>46296</v>
      </c>
      <c r="B9407" t="s">
        <v>388</v>
      </c>
      <c r="C9407" t="s">
        <v>81</v>
      </c>
      <c r="D9407" t="s">
        <v>99</v>
      </c>
      <c r="E9407" t="s">
        <v>103</v>
      </c>
      <c r="F9407">
        <v>1800</v>
      </c>
      <c r="G9407" t="s">
        <v>331</v>
      </c>
      <c r="H9407" s="15">
        <v>45566</v>
      </c>
      <c r="I9407">
        <v>1800</v>
      </c>
      <c r="J9407">
        <v>0</v>
      </c>
    </row>
    <row r="9408" spans="1:10" x14ac:dyDescent="0.3">
      <c r="A9408" s="15">
        <v>46296</v>
      </c>
      <c r="B9408" t="s">
        <v>390</v>
      </c>
      <c r="C9408" t="s">
        <v>91</v>
      </c>
      <c r="D9408" t="s">
        <v>82</v>
      </c>
      <c r="E9408" t="s">
        <v>89</v>
      </c>
      <c r="F9408">
        <v>6200</v>
      </c>
      <c r="G9408" t="s">
        <v>331</v>
      </c>
      <c r="H9408" s="15">
        <v>45566</v>
      </c>
      <c r="I9408">
        <v>6200</v>
      </c>
      <c r="J9408">
        <v>0</v>
      </c>
    </row>
    <row r="9409" spans="1:10" x14ac:dyDescent="0.3">
      <c r="A9409" s="15">
        <v>46296</v>
      </c>
      <c r="B9409" t="s">
        <v>392</v>
      </c>
      <c r="C9409" t="s">
        <v>91</v>
      </c>
      <c r="D9409" t="s">
        <v>86</v>
      </c>
      <c r="E9409" t="s">
        <v>97</v>
      </c>
      <c r="F9409">
        <v>10000</v>
      </c>
      <c r="G9409" t="s">
        <v>331</v>
      </c>
      <c r="H9409" s="15">
        <v>45597</v>
      </c>
      <c r="I9409">
        <v>10000</v>
      </c>
      <c r="J9409">
        <v>0</v>
      </c>
    </row>
    <row r="9410" spans="1:10" x14ac:dyDescent="0.3">
      <c r="A9410" s="15">
        <v>46296</v>
      </c>
      <c r="B9410" t="s">
        <v>393</v>
      </c>
      <c r="C9410" t="s">
        <v>81</v>
      </c>
      <c r="D9410" t="s">
        <v>82</v>
      </c>
      <c r="E9410" t="s">
        <v>92</v>
      </c>
      <c r="F9410">
        <v>2100</v>
      </c>
      <c r="G9410" t="s">
        <v>331</v>
      </c>
      <c r="H9410" s="15">
        <v>45597</v>
      </c>
      <c r="I9410">
        <v>2100</v>
      </c>
      <c r="J9410">
        <v>0</v>
      </c>
    </row>
    <row r="9411" spans="1:10" x14ac:dyDescent="0.3">
      <c r="A9411" s="15">
        <v>46296</v>
      </c>
      <c r="B9411" t="s">
        <v>394</v>
      </c>
      <c r="C9411" t="s">
        <v>81</v>
      </c>
      <c r="D9411" t="s">
        <v>99</v>
      </c>
      <c r="E9411" t="s">
        <v>87</v>
      </c>
      <c r="F9411">
        <v>1500</v>
      </c>
      <c r="G9411" t="s">
        <v>331</v>
      </c>
      <c r="H9411" s="15">
        <v>45597</v>
      </c>
      <c r="I9411">
        <v>1500</v>
      </c>
      <c r="J9411">
        <v>0</v>
      </c>
    </row>
    <row r="9412" spans="1:10" x14ac:dyDescent="0.3">
      <c r="A9412" s="15">
        <v>46296</v>
      </c>
      <c r="B9412" t="s">
        <v>395</v>
      </c>
      <c r="C9412" t="s">
        <v>81</v>
      </c>
      <c r="D9412" t="s">
        <v>82</v>
      </c>
      <c r="E9412" t="s">
        <v>97</v>
      </c>
      <c r="F9412">
        <v>2500</v>
      </c>
      <c r="G9412" t="s">
        <v>331</v>
      </c>
      <c r="H9412" s="15">
        <v>45627</v>
      </c>
      <c r="I9412">
        <v>2500</v>
      </c>
      <c r="J9412">
        <v>0</v>
      </c>
    </row>
    <row r="9413" spans="1:10" x14ac:dyDescent="0.3">
      <c r="A9413" s="15">
        <v>46296</v>
      </c>
      <c r="B9413" t="s">
        <v>398</v>
      </c>
      <c r="C9413" t="s">
        <v>81</v>
      </c>
      <c r="D9413" t="s">
        <v>86</v>
      </c>
      <c r="E9413" t="s">
        <v>92</v>
      </c>
      <c r="F9413">
        <v>1400</v>
      </c>
      <c r="G9413" t="s">
        <v>331</v>
      </c>
      <c r="H9413" s="15">
        <v>45627</v>
      </c>
      <c r="I9413">
        <v>1400</v>
      </c>
      <c r="J9413">
        <v>0</v>
      </c>
    </row>
    <row r="9414" spans="1:10" x14ac:dyDescent="0.3">
      <c r="A9414" s="15">
        <v>46296</v>
      </c>
      <c r="B9414" t="s">
        <v>399</v>
      </c>
      <c r="C9414" t="s">
        <v>110</v>
      </c>
      <c r="D9414" t="s">
        <v>82</v>
      </c>
      <c r="E9414" t="s">
        <v>101</v>
      </c>
      <c r="F9414">
        <v>17400</v>
      </c>
      <c r="G9414" t="s">
        <v>331</v>
      </c>
      <c r="H9414" s="15">
        <v>45627</v>
      </c>
      <c r="I9414">
        <v>17400</v>
      </c>
      <c r="J9414">
        <v>0</v>
      </c>
    </row>
    <row r="9415" spans="1:10" x14ac:dyDescent="0.3">
      <c r="A9415" s="15">
        <v>46296</v>
      </c>
      <c r="B9415" t="s">
        <v>400</v>
      </c>
      <c r="C9415" t="s">
        <v>91</v>
      </c>
      <c r="D9415" t="s">
        <v>82</v>
      </c>
      <c r="E9415" t="s">
        <v>103</v>
      </c>
      <c r="F9415">
        <v>4600</v>
      </c>
      <c r="G9415" t="s">
        <v>331</v>
      </c>
      <c r="H9415" s="15">
        <v>45627</v>
      </c>
      <c r="I9415">
        <v>4600</v>
      </c>
      <c r="J9415">
        <v>0</v>
      </c>
    </row>
    <row r="9416" spans="1:10" x14ac:dyDescent="0.3">
      <c r="A9416" s="15">
        <v>46296</v>
      </c>
      <c r="B9416" t="s">
        <v>403</v>
      </c>
      <c r="C9416" t="s">
        <v>81</v>
      </c>
      <c r="D9416" t="s">
        <v>82</v>
      </c>
      <c r="E9416" t="s">
        <v>101</v>
      </c>
      <c r="F9416">
        <v>1900</v>
      </c>
      <c r="G9416" t="s">
        <v>331</v>
      </c>
      <c r="H9416" s="15">
        <v>45658</v>
      </c>
      <c r="I9416">
        <v>1900</v>
      </c>
      <c r="J9416">
        <v>0</v>
      </c>
    </row>
    <row r="9417" spans="1:10" x14ac:dyDescent="0.3">
      <c r="A9417" s="15">
        <v>46296</v>
      </c>
      <c r="B9417" t="s">
        <v>404</v>
      </c>
      <c r="C9417" t="s">
        <v>81</v>
      </c>
      <c r="D9417" t="s">
        <v>86</v>
      </c>
      <c r="E9417" t="s">
        <v>83</v>
      </c>
      <c r="F9417">
        <v>2100</v>
      </c>
      <c r="G9417" t="s">
        <v>331</v>
      </c>
      <c r="H9417" s="15">
        <v>45658</v>
      </c>
      <c r="I9417">
        <v>2100</v>
      </c>
      <c r="J9417">
        <v>0</v>
      </c>
    </row>
    <row r="9418" spans="1:10" x14ac:dyDescent="0.3">
      <c r="A9418" s="15">
        <v>46296</v>
      </c>
      <c r="B9418" t="s">
        <v>405</v>
      </c>
      <c r="C9418" t="s">
        <v>81</v>
      </c>
      <c r="D9418" t="s">
        <v>82</v>
      </c>
      <c r="E9418" t="s">
        <v>92</v>
      </c>
      <c r="F9418">
        <v>1600</v>
      </c>
      <c r="G9418" t="s">
        <v>331</v>
      </c>
      <c r="H9418" s="15">
        <v>45658</v>
      </c>
      <c r="I9418">
        <v>1600</v>
      </c>
      <c r="J9418">
        <v>0</v>
      </c>
    </row>
    <row r="9419" spans="1:10" x14ac:dyDescent="0.3">
      <c r="A9419" s="15">
        <v>46296</v>
      </c>
      <c r="B9419" t="s">
        <v>407</v>
      </c>
      <c r="C9419" t="s">
        <v>81</v>
      </c>
      <c r="D9419" t="s">
        <v>82</v>
      </c>
      <c r="E9419" t="s">
        <v>92</v>
      </c>
      <c r="F9419">
        <v>2400</v>
      </c>
      <c r="G9419" t="s">
        <v>331</v>
      </c>
      <c r="H9419" s="15">
        <v>45689</v>
      </c>
      <c r="I9419">
        <v>2400</v>
      </c>
      <c r="J9419">
        <v>0</v>
      </c>
    </row>
    <row r="9420" spans="1:10" x14ac:dyDescent="0.3">
      <c r="A9420" s="15">
        <v>46296</v>
      </c>
      <c r="B9420" t="s">
        <v>409</v>
      </c>
      <c r="C9420" t="s">
        <v>81</v>
      </c>
      <c r="D9420" t="s">
        <v>82</v>
      </c>
      <c r="E9420" t="s">
        <v>83</v>
      </c>
      <c r="F9420">
        <v>1700</v>
      </c>
      <c r="G9420" t="s">
        <v>331</v>
      </c>
      <c r="H9420" s="15">
        <v>45689</v>
      </c>
      <c r="I9420">
        <v>1700</v>
      </c>
      <c r="J9420">
        <v>0</v>
      </c>
    </row>
    <row r="9421" spans="1:10" x14ac:dyDescent="0.3">
      <c r="A9421" s="15">
        <v>46296</v>
      </c>
      <c r="B9421" t="s">
        <v>410</v>
      </c>
      <c r="C9421" t="s">
        <v>125</v>
      </c>
      <c r="D9421" t="s">
        <v>82</v>
      </c>
      <c r="E9421" t="s">
        <v>103</v>
      </c>
      <c r="F9421">
        <v>56400</v>
      </c>
      <c r="G9421" t="s">
        <v>331</v>
      </c>
      <c r="H9421" s="15">
        <v>45689</v>
      </c>
      <c r="I9421">
        <v>56400</v>
      </c>
      <c r="J9421">
        <v>0</v>
      </c>
    </row>
    <row r="9422" spans="1:10" x14ac:dyDescent="0.3">
      <c r="A9422" s="15">
        <v>46296</v>
      </c>
      <c r="B9422" t="s">
        <v>411</v>
      </c>
      <c r="C9422" t="s">
        <v>91</v>
      </c>
      <c r="D9422" t="s">
        <v>86</v>
      </c>
      <c r="E9422" t="s">
        <v>92</v>
      </c>
      <c r="F9422">
        <v>7700</v>
      </c>
      <c r="G9422" t="s">
        <v>331</v>
      </c>
      <c r="H9422" s="15">
        <v>45689</v>
      </c>
      <c r="I9422">
        <v>7700</v>
      </c>
      <c r="J9422">
        <v>0</v>
      </c>
    </row>
    <row r="9423" spans="1:10" x14ac:dyDescent="0.3">
      <c r="A9423" s="15">
        <v>46296</v>
      </c>
      <c r="B9423" t="s">
        <v>413</v>
      </c>
      <c r="C9423" t="s">
        <v>81</v>
      </c>
      <c r="D9423" t="s">
        <v>99</v>
      </c>
      <c r="E9423" t="s">
        <v>101</v>
      </c>
      <c r="F9423">
        <v>2000</v>
      </c>
      <c r="G9423" t="s">
        <v>331</v>
      </c>
      <c r="H9423" s="15">
        <v>45717</v>
      </c>
      <c r="I9423">
        <v>2000</v>
      </c>
      <c r="J9423">
        <v>0</v>
      </c>
    </row>
    <row r="9424" spans="1:10" x14ac:dyDescent="0.3">
      <c r="A9424" s="15">
        <v>46296</v>
      </c>
      <c r="B9424" t="s">
        <v>414</v>
      </c>
      <c r="C9424" t="s">
        <v>110</v>
      </c>
      <c r="D9424" t="s">
        <v>99</v>
      </c>
      <c r="E9424" t="s">
        <v>89</v>
      </c>
      <c r="F9424">
        <v>30900</v>
      </c>
      <c r="G9424" t="s">
        <v>331</v>
      </c>
      <c r="H9424" s="15">
        <v>45717</v>
      </c>
      <c r="I9424">
        <v>30900</v>
      </c>
      <c r="J9424">
        <v>0</v>
      </c>
    </row>
    <row r="9425" spans="1:10" x14ac:dyDescent="0.3">
      <c r="A9425" s="15">
        <v>46296</v>
      </c>
      <c r="B9425" t="s">
        <v>417</v>
      </c>
      <c r="C9425" t="s">
        <v>110</v>
      </c>
      <c r="D9425" t="s">
        <v>86</v>
      </c>
      <c r="E9425" t="s">
        <v>92</v>
      </c>
      <c r="F9425">
        <v>35600</v>
      </c>
      <c r="G9425" t="s">
        <v>331</v>
      </c>
      <c r="H9425" s="15">
        <v>45717</v>
      </c>
      <c r="I9425">
        <v>35600</v>
      </c>
      <c r="J9425">
        <v>0</v>
      </c>
    </row>
    <row r="9426" spans="1:10" x14ac:dyDescent="0.3">
      <c r="A9426" s="15">
        <v>46296</v>
      </c>
      <c r="B9426" t="s">
        <v>418</v>
      </c>
      <c r="C9426" t="s">
        <v>81</v>
      </c>
      <c r="D9426" t="s">
        <v>86</v>
      </c>
      <c r="E9426" t="s">
        <v>92</v>
      </c>
      <c r="F9426">
        <v>2000</v>
      </c>
      <c r="G9426" t="s">
        <v>332</v>
      </c>
      <c r="H9426" s="15">
        <v>45748</v>
      </c>
      <c r="I9426">
        <v>1800</v>
      </c>
      <c r="J9426">
        <v>200</v>
      </c>
    </row>
    <row r="9427" spans="1:10" x14ac:dyDescent="0.3">
      <c r="A9427" s="15">
        <v>46296</v>
      </c>
      <c r="B9427" t="s">
        <v>419</v>
      </c>
      <c r="C9427" t="s">
        <v>125</v>
      </c>
      <c r="D9427" t="s">
        <v>96</v>
      </c>
      <c r="E9427" t="s">
        <v>103</v>
      </c>
      <c r="F9427">
        <v>0</v>
      </c>
      <c r="G9427" t="s">
        <v>333</v>
      </c>
      <c r="H9427" s="15">
        <v>45748</v>
      </c>
      <c r="I9427">
        <v>73300</v>
      </c>
      <c r="J9427">
        <v>-73300</v>
      </c>
    </row>
    <row r="9428" spans="1:10" x14ac:dyDescent="0.3">
      <c r="A9428" s="15">
        <v>46296</v>
      </c>
      <c r="B9428" t="s">
        <v>420</v>
      </c>
      <c r="C9428" t="s">
        <v>110</v>
      </c>
      <c r="D9428" t="s">
        <v>96</v>
      </c>
      <c r="E9428" t="s">
        <v>103</v>
      </c>
      <c r="F9428">
        <v>22900</v>
      </c>
      <c r="G9428" t="s">
        <v>331</v>
      </c>
      <c r="H9428" s="15">
        <v>45748</v>
      </c>
      <c r="I9428">
        <v>22900</v>
      </c>
      <c r="J9428">
        <v>0</v>
      </c>
    </row>
    <row r="9429" spans="1:10" x14ac:dyDescent="0.3">
      <c r="A9429" s="15">
        <v>46296</v>
      </c>
      <c r="B9429" t="s">
        <v>421</v>
      </c>
      <c r="C9429" t="s">
        <v>110</v>
      </c>
      <c r="D9429" t="s">
        <v>82</v>
      </c>
      <c r="E9429" t="s">
        <v>103</v>
      </c>
      <c r="F9429">
        <v>18800</v>
      </c>
      <c r="G9429" t="s">
        <v>331</v>
      </c>
      <c r="H9429" s="15">
        <v>45748</v>
      </c>
      <c r="I9429">
        <v>18800</v>
      </c>
      <c r="J9429">
        <v>0</v>
      </c>
    </row>
    <row r="9430" spans="1:10" x14ac:dyDescent="0.3">
      <c r="A9430" s="15">
        <v>46296</v>
      </c>
      <c r="B9430" t="s">
        <v>422</v>
      </c>
      <c r="C9430" t="s">
        <v>81</v>
      </c>
      <c r="D9430" t="s">
        <v>82</v>
      </c>
      <c r="E9430" t="s">
        <v>97</v>
      </c>
      <c r="F9430">
        <v>2300</v>
      </c>
      <c r="G9430" t="s">
        <v>331</v>
      </c>
      <c r="H9430" s="15">
        <v>45748</v>
      </c>
      <c r="I9430">
        <v>2300</v>
      </c>
      <c r="J9430">
        <v>0</v>
      </c>
    </row>
    <row r="9431" spans="1:10" x14ac:dyDescent="0.3">
      <c r="A9431" s="15">
        <v>46296</v>
      </c>
      <c r="B9431" t="s">
        <v>423</v>
      </c>
      <c r="C9431" t="s">
        <v>125</v>
      </c>
      <c r="D9431" t="s">
        <v>86</v>
      </c>
      <c r="E9431" t="s">
        <v>97</v>
      </c>
      <c r="F9431">
        <v>45600</v>
      </c>
      <c r="G9431" t="s">
        <v>331</v>
      </c>
      <c r="H9431" s="15">
        <v>45748</v>
      </c>
      <c r="I9431">
        <v>45600</v>
      </c>
      <c r="J9431">
        <v>0</v>
      </c>
    </row>
    <row r="9432" spans="1:10" x14ac:dyDescent="0.3">
      <c r="A9432" s="15">
        <v>46296</v>
      </c>
      <c r="B9432" t="s">
        <v>425</v>
      </c>
      <c r="C9432" t="s">
        <v>110</v>
      </c>
      <c r="D9432" t="s">
        <v>82</v>
      </c>
      <c r="E9432" t="s">
        <v>97</v>
      </c>
      <c r="F9432">
        <v>22700</v>
      </c>
      <c r="G9432" t="s">
        <v>331</v>
      </c>
      <c r="H9432" s="15">
        <v>45778</v>
      </c>
      <c r="I9432">
        <v>22700</v>
      </c>
      <c r="J9432">
        <v>0</v>
      </c>
    </row>
    <row r="9433" spans="1:10" x14ac:dyDescent="0.3">
      <c r="A9433" s="15">
        <v>46296</v>
      </c>
      <c r="B9433" t="s">
        <v>426</v>
      </c>
      <c r="C9433" t="s">
        <v>81</v>
      </c>
      <c r="D9433" t="s">
        <v>82</v>
      </c>
      <c r="E9433" t="s">
        <v>89</v>
      </c>
      <c r="F9433">
        <v>1600</v>
      </c>
      <c r="G9433" t="s">
        <v>331</v>
      </c>
      <c r="H9433" s="15">
        <v>45778</v>
      </c>
      <c r="I9433">
        <v>1600</v>
      </c>
      <c r="J9433">
        <v>0</v>
      </c>
    </row>
    <row r="9434" spans="1:10" x14ac:dyDescent="0.3">
      <c r="A9434" s="15">
        <v>46296</v>
      </c>
      <c r="B9434" t="s">
        <v>427</v>
      </c>
      <c r="C9434" t="s">
        <v>110</v>
      </c>
      <c r="D9434" t="s">
        <v>82</v>
      </c>
      <c r="E9434" t="s">
        <v>83</v>
      </c>
      <c r="F9434">
        <v>25300</v>
      </c>
      <c r="G9434" t="s">
        <v>331</v>
      </c>
      <c r="H9434" s="15">
        <v>45778</v>
      </c>
      <c r="I9434">
        <v>25300</v>
      </c>
      <c r="J9434">
        <v>0</v>
      </c>
    </row>
    <row r="9435" spans="1:10" x14ac:dyDescent="0.3">
      <c r="A9435" s="15">
        <v>46296</v>
      </c>
      <c r="B9435" t="s">
        <v>428</v>
      </c>
      <c r="C9435" t="s">
        <v>81</v>
      </c>
      <c r="D9435" t="s">
        <v>86</v>
      </c>
      <c r="E9435" t="s">
        <v>89</v>
      </c>
      <c r="F9435">
        <v>2300</v>
      </c>
      <c r="G9435" t="s">
        <v>331</v>
      </c>
      <c r="H9435" s="15">
        <v>45778</v>
      </c>
      <c r="I9435">
        <v>2300</v>
      </c>
      <c r="J9435">
        <v>0</v>
      </c>
    </row>
    <row r="9436" spans="1:10" x14ac:dyDescent="0.3">
      <c r="A9436" s="15">
        <v>46296</v>
      </c>
      <c r="B9436" t="s">
        <v>430</v>
      </c>
      <c r="C9436" t="s">
        <v>110</v>
      </c>
      <c r="D9436" t="s">
        <v>82</v>
      </c>
      <c r="E9436" t="s">
        <v>87</v>
      </c>
      <c r="F9436">
        <v>24300</v>
      </c>
      <c r="G9436" t="s">
        <v>331</v>
      </c>
      <c r="H9436" s="15">
        <v>45809</v>
      </c>
      <c r="I9436">
        <v>24300</v>
      </c>
      <c r="J9436">
        <v>0</v>
      </c>
    </row>
    <row r="9437" spans="1:10" x14ac:dyDescent="0.3">
      <c r="A9437" s="15">
        <v>46296</v>
      </c>
      <c r="B9437" t="s">
        <v>431</v>
      </c>
      <c r="C9437" t="s">
        <v>110</v>
      </c>
      <c r="D9437" t="s">
        <v>82</v>
      </c>
      <c r="E9437" t="s">
        <v>101</v>
      </c>
      <c r="F9437">
        <v>19800</v>
      </c>
      <c r="G9437" t="s">
        <v>331</v>
      </c>
      <c r="H9437" s="15">
        <v>45809</v>
      </c>
      <c r="I9437">
        <v>19800</v>
      </c>
      <c r="J9437">
        <v>0</v>
      </c>
    </row>
    <row r="9438" spans="1:10" x14ac:dyDescent="0.3">
      <c r="A9438" s="15">
        <v>46296</v>
      </c>
      <c r="B9438" t="s">
        <v>435</v>
      </c>
      <c r="C9438" t="s">
        <v>81</v>
      </c>
      <c r="D9438" t="s">
        <v>82</v>
      </c>
      <c r="E9438" t="s">
        <v>92</v>
      </c>
      <c r="F9438">
        <v>1400</v>
      </c>
      <c r="G9438" t="s">
        <v>331</v>
      </c>
      <c r="H9438" s="15">
        <v>45809</v>
      </c>
      <c r="I9438">
        <v>1400</v>
      </c>
      <c r="J9438">
        <v>0</v>
      </c>
    </row>
    <row r="9439" spans="1:10" x14ac:dyDescent="0.3">
      <c r="A9439" s="15">
        <v>46296</v>
      </c>
      <c r="B9439" t="s">
        <v>436</v>
      </c>
      <c r="C9439" t="s">
        <v>81</v>
      </c>
      <c r="D9439" t="s">
        <v>82</v>
      </c>
      <c r="E9439" t="s">
        <v>97</v>
      </c>
      <c r="F9439">
        <v>2100</v>
      </c>
      <c r="G9439" t="s">
        <v>331</v>
      </c>
      <c r="H9439" s="15">
        <v>45839</v>
      </c>
      <c r="I9439">
        <v>2100</v>
      </c>
      <c r="J9439">
        <v>0</v>
      </c>
    </row>
    <row r="9440" spans="1:10" x14ac:dyDescent="0.3">
      <c r="A9440" s="15">
        <v>46296</v>
      </c>
      <c r="B9440" t="s">
        <v>437</v>
      </c>
      <c r="C9440" t="s">
        <v>81</v>
      </c>
      <c r="D9440" t="s">
        <v>99</v>
      </c>
      <c r="E9440" t="s">
        <v>92</v>
      </c>
      <c r="F9440">
        <v>1800</v>
      </c>
      <c r="G9440" t="s">
        <v>331</v>
      </c>
      <c r="H9440" s="15">
        <v>45839</v>
      </c>
      <c r="I9440">
        <v>1800</v>
      </c>
      <c r="J9440">
        <v>0</v>
      </c>
    </row>
    <row r="9441" spans="1:10" x14ac:dyDescent="0.3">
      <c r="A9441" s="15">
        <v>46296</v>
      </c>
      <c r="B9441" t="s">
        <v>438</v>
      </c>
      <c r="C9441" t="s">
        <v>91</v>
      </c>
      <c r="D9441" t="s">
        <v>96</v>
      </c>
      <c r="E9441" t="s">
        <v>101</v>
      </c>
      <c r="F9441">
        <v>8600</v>
      </c>
      <c r="G9441" t="s">
        <v>331</v>
      </c>
      <c r="H9441" s="15">
        <v>45839</v>
      </c>
      <c r="I9441">
        <v>8600</v>
      </c>
      <c r="J9441">
        <v>0</v>
      </c>
    </row>
    <row r="9442" spans="1:10" x14ac:dyDescent="0.3">
      <c r="A9442" s="15">
        <v>46296</v>
      </c>
      <c r="B9442" t="s">
        <v>439</v>
      </c>
      <c r="C9442" t="s">
        <v>81</v>
      </c>
      <c r="D9442" t="s">
        <v>99</v>
      </c>
      <c r="E9442" t="s">
        <v>87</v>
      </c>
      <c r="F9442">
        <v>1700</v>
      </c>
      <c r="G9442" t="s">
        <v>331</v>
      </c>
      <c r="H9442" s="15">
        <v>45839</v>
      </c>
      <c r="I9442">
        <v>1700</v>
      </c>
      <c r="J9442">
        <v>0</v>
      </c>
    </row>
    <row r="9443" spans="1:10" x14ac:dyDescent="0.3">
      <c r="A9443" s="15">
        <v>46296</v>
      </c>
      <c r="B9443" t="s">
        <v>440</v>
      </c>
      <c r="C9443" t="s">
        <v>81</v>
      </c>
      <c r="D9443" t="s">
        <v>82</v>
      </c>
      <c r="E9443" t="s">
        <v>97</v>
      </c>
      <c r="F9443">
        <v>2200</v>
      </c>
      <c r="G9443" t="s">
        <v>331</v>
      </c>
      <c r="H9443" s="15">
        <v>45839</v>
      </c>
      <c r="I9443">
        <v>2200</v>
      </c>
      <c r="J9443">
        <v>0</v>
      </c>
    </row>
    <row r="9444" spans="1:10" x14ac:dyDescent="0.3">
      <c r="A9444" s="15">
        <v>46296</v>
      </c>
      <c r="B9444" t="s">
        <v>441</v>
      </c>
      <c r="C9444" t="s">
        <v>110</v>
      </c>
      <c r="D9444" t="s">
        <v>86</v>
      </c>
      <c r="E9444" t="s">
        <v>97</v>
      </c>
      <c r="F9444">
        <v>35800</v>
      </c>
      <c r="G9444" t="s">
        <v>331</v>
      </c>
      <c r="H9444" s="15">
        <v>45839</v>
      </c>
      <c r="I9444">
        <v>35800</v>
      </c>
      <c r="J9444">
        <v>0</v>
      </c>
    </row>
    <row r="9445" spans="1:10" x14ac:dyDescent="0.3">
      <c r="A9445" s="15">
        <v>46296</v>
      </c>
      <c r="B9445" t="s">
        <v>442</v>
      </c>
      <c r="C9445" t="s">
        <v>110</v>
      </c>
      <c r="D9445" t="s">
        <v>86</v>
      </c>
      <c r="E9445" t="s">
        <v>83</v>
      </c>
      <c r="F9445">
        <v>23900</v>
      </c>
      <c r="G9445" t="s">
        <v>331</v>
      </c>
      <c r="H9445" s="15">
        <v>45870</v>
      </c>
      <c r="I9445">
        <v>23900</v>
      </c>
      <c r="J9445">
        <v>0</v>
      </c>
    </row>
    <row r="9446" spans="1:10" x14ac:dyDescent="0.3">
      <c r="A9446" s="15">
        <v>46296</v>
      </c>
      <c r="B9446" t="s">
        <v>443</v>
      </c>
      <c r="C9446" t="s">
        <v>81</v>
      </c>
      <c r="D9446" t="s">
        <v>86</v>
      </c>
      <c r="E9446" t="s">
        <v>101</v>
      </c>
      <c r="F9446">
        <v>1800</v>
      </c>
      <c r="G9446" t="s">
        <v>331</v>
      </c>
      <c r="H9446" s="15">
        <v>45870</v>
      </c>
      <c r="I9446">
        <v>1800</v>
      </c>
      <c r="J9446">
        <v>0</v>
      </c>
    </row>
    <row r="9447" spans="1:10" x14ac:dyDescent="0.3">
      <c r="A9447" s="15">
        <v>46296</v>
      </c>
      <c r="B9447" t="s">
        <v>444</v>
      </c>
      <c r="C9447" t="s">
        <v>125</v>
      </c>
      <c r="D9447" t="s">
        <v>82</v>
      </c>
      <c r="E9447" t="s">
        <v>92</v>
      </c>
      <c r="F9447">
        <v>71600</v>
      </c>
      <c r="G9447" t="s">
        <v>331</v>
      </c>
      <c r="H9447" s="15">
        <v>45870</v>
      </c>
      <c r="I9447">
        <v>71600</v>
      </c>
      <c r="J9447">
        <v>0</v>
      </c>
    </row>
    <row r="9448" spans="1:10" x14ac:dyDescent="0.3">
      <c r="A9448" s="15">
        <v>46296</v>
      </c>
      <c r="B9448" t="s">
        <v>445</v>
      </c>
      <c r="C9448" t="s">
        <v>91</v>
      </c>
      <c r="D9448" t="s">
        <v>82</v>
      </c>
      <c r="E9448" t="s">
        <v>89</v>
      </c>
      <c r="F9448">
        <v>4700</v>
      </c>
      <c r="G9448" t="s">
        <v>331</v>
      </c>
      <c r="H9448" s="15">
        <v>45870</v>
      </c>
      <c r="I9448">
        <v>4700</v>
      </c>
      <c r="J9448">
        <v>0</v>
      </c>
    </row>
    <row r="9449" spans="1:10" x14ac:dyDescent="0.3">
      <c r="A9449" s="15">
        <v>46296</v>
      </c>
      <c r="B9449" t="s">
        <v>446</v>
      </c>
      <c r="C9449" t="s">
        <v>81</v>
      </c>
      <c r="D9449" t="s">
        <v>86</v>
      </c>
      <c r="E9449" t="s">
        <v>97</v>
      </c>
      <c r="F9449">
        <v>1600</v>
      </c>
      <c r="G9449" t="s">
        <v>331</v>
      </c>
      <c r="H9449" s="15">
        <v>45870</v>
      </c>
      <c r="I9449">
        <v>1600</v>
      </c>
      <c r="J9449">
        <v>0</v>
      </c>
    </row>
    <row r="9450" spans="1:10" x14ac:dyDescent="0.3">
      <c r="A9450" s="15">
        <v>46296</v>
      </c>
      <c r="B9450" t="s">
        <v>447</v>
      </c>
      <c r="C9450" t="s">
        <v>81</v>
      </c>
      <c r="D9450" t="s">
        <v>86</v>
      </c>
      <c r="E9450" t="s">
        <v>103</v>
      </c>
      <c r="F9450">
        <v>2300</v>
      </c>
      <c r="G9450" t="s">
        <v>331</v>
      </c>
      <c r="H9450" s="15">
        <v>45870</v>
      </c>
      <c r="I9450">
        <v>2300</v>
      </c>
      <c r="J9450">
        <v>0</v>
      </c>
    </row>
    <row r="9451" spans="1:10" x14ac:dyDescent="0.3">
      <c r="A9451" s="15">
        <v>46296</v>
      </c>
      <c r="B9451" t="s">
        <v>449</v>
      </c>
      <c r="C9451" t="s">
        <v>81</v>
      </c>
      <c r="D9451" t="s">
        <v>82</v>
      </c>
      <c r="E9451" t="s">
        <v>92</v>
      </c>
      <c r="F9451">
        <v>1600</v>
      </c>
      <c r="G9451" t="s">
        <v>331</v>
      </c>
      <c r="H9451" s="15">
        <v>45870</v>
      </c>
      <c r="I9451">
        <v>1600</v>
      </c>
      <c r="J9451">
        <v>0</v>
      </c>
    </row>
    <row r="9452" spans="1:10" x14ac:dyDescent="0.3">
      <c r="A9452" s="15">
        <v>46296</v>
      </c>
      <c r="B9452" t="s">
        <v>450</v>
      </c>
      <c r="C9452" t="s">
        <v>81</v>
      </c>
      <c r="D9452" t="s">
        <v>86</v>
      </c>
      <c r="E9452" t="s">
        <v>89</v>
      </c>
      <c r="F9452">
        <v>1900</v>
      </c>
      <c r="G9452" t="s">
        <v>331</v>
      </c>
      <c r="H9452" s="15">
        <v>45901</v>
      </c>
      <c r="I9452">
        <v>1900</v>
      </c>
      <c r="J9452">
        <v>0</v>
      </c>
    </row>
    <row r="9453" spans="1:10" x14ac:dyDescent="0.3">
      <c r="A9453" s="15">
        <v>46296</v>
      </c>
      <c r="B9453" t="s">
        <v>452</v>
      </c>
      <c r="C9453" t="s">
        <v>91</v>
      </c>
      <c r="D9453" t="s">
        <v>86</v>
      </c>
      <c r="E9453" t="s">
        <v>92</v>
      </c>
      <c r="F9453">
        <v>7500</v>
      </c>
      <c r="G9453" t="s">
        <v>334</v>
      </c>
      <c r="H9453" s="15">
        <v>45901</v>
      </c>
      <c r="I9453">
        <v>8600</v>
      </c>
      <c r="J9453">
        <v>-1100</v>
      </c>
    </row>
    <row r="9454" spans="1:10" x14ac:dyDescent="0.3">
      <c r="A9454" s="15">
        <v>46296</v>
      </c>
      <c r="B9454" t="s">
        <v>454</v>
      </c>
      <c r="C9454" t="s">
        <v>91</v>
      </c>
      <c r="D9454" t="s">
        <v>82</v>
      </c>
      <c r="E9454" t="s">
        <v>89</v>
      </c>
      <c r="F9454">
        <v>6200</v>
      </c>
      <c r="G9454" t="s">
        <v>331</v>
      </c>
      <c r="H9454" s="15">
        <v>45901</v>
      </c>
      <c r="I9454">
        <v>6200</v>
      </c>
      <c r="J9454">
        <v>0</v>
      </c>
    </row>
    <row r="9455" spans="1:10" x14ac:dyDescent="0.3">
      <c r="A9455" s="15">
        <v>46296</v>
      </c>
      <c r="B9455" t="s">
        <v>455</v>
      </c>
      <c r="C9455" t="s">
        <v>125</v>
      </c>
      <c r="D9455" t="s">
        <v>99</v>
      </c>
      <c r="E9455" t="s">
        <v>103</v>
      </c>
      <c r="F9455">
        <v>75900</v>
      </c>
      <c r="G9455" t="s">
        <v>331</v>
      </c>
      <c r="H9455" s="15">
        <v>45901</v>
      </c>
      <c r="I9455">
        <v>75900</v>
      </c>
      <c r="J9455">
        <v>0</v>
      </c>
    </row>
    <row r="9456" spans="1:10" x14ac:dyDescent="0.3">
      <c r="A9456" s="15">
        <v>46296</v>
      </c>
      <c r="B9456" t="s">
        <v>457</v>
      </c>
      <c r="C9456" t="s">
        <v>81</v>
      </c>
      <c r="D9456" t="s">
        <v>86</v>
      </c>
      <c r="E9456" t="s">
        <v>89</v>
      </c>
      <c r="F9456">
        <v>2600</v>
      </c>
      <c r="G9456" t="s">
        <v>331</v>
      </c>
      <c r="H9456" s="15">
        <v>45931</v>
      </c>
      <c r="I9456">
        <v>2600</v>
      </c>
      <c r="J9456">
        <v>0</v>
      </c>
    </row>
    <row r="9457" spans="1:10" x14ac:dyDescent="0.3">
      <c r="A9457" s="15">
        <v>46296</v>
      </c>
      <c r="B9457" t="s">
        <v>458</v>
      </c>
      <c r="C9457" t="s">
        <v>91</v>
      </c>
      <c r="D9457" t="s">
        <v>86</v>
      </c>
      <c r="E9457" t="s">
        <v>83</v>
      </c>
      <c r="F9457">
        <v>8900</v>
      </c>
      <c r="G9457" t="s">
        <v>331</v>
      </c>
      <c r="H9457" s="15">
        <v>45931</v>
      </c>
      <c r="I9457">
        <v>8900</v>
      </c>
      <c r="J9457">
        <v>0</v>
      </c>
    </row>
    <row r="9458" spans="1:10" x14ac:dyDescent="0.3">
      <c r="A9458" s="15">
        <v>46296</v>
      </c>
      <c r="B9458" t="s">
        <v>461</v>
      </c>
      <c r="C9458" t="s">
        <v>81</v>
      </c>
      <c r="D9458" t="s">
        <v>86</v>
      </c>
      <c r="E9458" t="s">
        <v>92</v>
      </c>
      <c r="F9458">
        <v>1700</v>
      </c>
      <c r="G9458" t="s">
        <v>331</v>
      </c>
      <c r="H9458" s="15">
        <v>45931</v>
      </c>
      <c r="I9458">
        <v>1700</v>
      </c>
      <c r="J9458">
        <v>0</v>
      </c>
    </row>
    <row r="9459" spans="1:10" x14ac:dyDescent="0.3">
      <c r="A9459" s="15">
        <v>46296</v>
      </c>
      <c r="B9459" t="s">
        <v>462</v>
      </c>
      <c r="C9459" t="s">
        <v>81</v>
      </c>
      <c r="D9459" t="s">
        <v>86</v>
      </c>
      <c r="E9459" t="s">
        <v>92</v>
      </c>
      <c r="F9459">
        <v>2200</v>
      </c>
      <c r="G9459" t="s">
        <v>331</v>
      </c>
      <c r="H9459" s="15">
        <v>45931</v>
      </c>
      <c r="I9459">
        <v>2200</v>
      </c>
      <c r="J9459">
        <v>0</v>
      </c>
    </row>
    <row r="9460" spans="1:10" x14ac:dyDescent="0.3">
      <c r="A9460" s="15">
        <v>46296</v>
      </c>
      <c r="B9460" t="s">
        <v>464</v>
      </c>
      <c r="C9460" t="s">
        <v>91</v>
      </c>
      <c r="D9460" t="s">
        <v>99</v>
      </c>
      <c r="E9460" t="s">
        <v>87</v>
      </c>
      <c r="F9460">
        <v>6000</v>
      </c>
      <c r="G9460" t="s">
        <v>331</v>
      </c>
      <c r="H9460" s="15">
        <v>45962</v>
      </c>
      <c r="I9460">
        <v>6000</v>
      </c>
      <c r="J9460">
        <v>0</v>
      </c>
    </row>
    <row r="9461" spans="1:10" x14ac:dyDescent="0.3">
      <c r="A9461" s="15">
        <v>46296</v>
      </c>
      <c r="B9461" t="s">
        <v>466</v>
      </c>
      <c r="C9461" t="s">
        <v>81</v>
      </c>
      <c r="D9461" t="s">
        <v>99</v>
      </c>
      <c r="E9461" t="s">
        <v>92</v>
      </c>
      <c r="F9461">
        <v>1400</v>
      </c>
      <c r="G9461" t="s">
        <v>331</v>
      </c>
      <c r="H9461" s="15">
        <v>45962</v>
      </c>
      <c r="I9461">
        <v>1400</v>
      </c>
      <c r="J9461">
        <v>0</v>
      </c>
    </row>
    <row r="9462" spans="1:10" x14ac:dyDescent="0.3">
      <c r="A9462" s="15">
        <v>46296</v>
      </c>
      <c r="B9462" t="s">
        <v>467</v>
      </c>
      <c r="C9462" t="s">
        <v>91</v>
      </c>
      <c r="D9462" t="s">
        <v>86</v>
      </c>
      <c r="E9462" t="s">
        <v>89</v>
      </c>
      <c r="F9462">
        <v>8200</v>
      </c>
      <c r="G9462" t="s">
        <v>331</v>
      </c>
      <c r="H9462" s="15">
        <v>45962</v>
      </c>
      <c r="I9462">
        <v>8200</v>
      </c>
      <c r="J9462">
        <v>0</v>
      </c>
    </row>
    <row r="9463" spans="1:10" x14ac:dyDescent="0.3">
      <c r="A9463" s="15">
        <v>46296</v>
      </c>
      <c r="B9463" t="s">
        <v>469</v>
      </c>
      <c r="C9463" t="s">
        <v>81</v>
      </c>
      <c r="D9463" t="s">
        <v>86</v>
      </c>
      <c r="E9463" t="s">
        <v>87</v>
      </c>
      <c r="F9463">
        <v>2000</v>
      </c>
      <c r="G9463" t="s">
        <v>331</v>
      </c>
      <c r="H9463" s="15">
        <v>45992</v>
      </c>
      <c r="I9463">
        <v>2000</v>
      </c>
      <c r="J9463">
        <v>0</v>
      </c>
    </row>
    <row r="9464" spans="1:10" x14ac:dyDescent="0.3">
      <c r="A9464" s="15">
        <v>46296</v>
      </c>
      <c r="B9464" t="s">
        <v>470</v>
      </c>
      <c r="C9464" t="s">
        <v>81</v>
      </c>
      <c r="D9464" t="s">
        <v>86</v>
      </c>
      <c r="E9464" t="s">
        <v>103</v>
      </c>
      <c r="F9464">
        <v>1600</v>
      </c>
      <c r="G9464" t="s">
        <v>331</v>
      </c>
      <c r="H9464" s="15">
        <v>45992</v>
      </c>
      <c r="I9464">
        <v>1600</v>
      </c>
      <c r="J9464">
        <v>0</v>
      </c>
    </row>
    <row r="9465" spans="1:10" x14ac:dyDescent="0.3">
      <c r="A9465" s="15">
        <v>46296</v>
      </c>
      <c r="B9465" t="s">
        <v>471</v>
      </c>
      <c r="C9465" t="s">
        <v>110</v>
      </c>
      <c r="D9465" t="s">
        <v>86</v>
      </c>
      <c r="E9465" t="s">
        <v>103</v>
      </c>
      <c r="F9465">
        <v>31000</v>
      </c>
      <c r="G9465" t="s">
        <v>331</v>
      </c>
      <c r="H9465" s="15">
        <v>45992</v>
      </c>
      <c r="I9465">
        <v>31000</v>
      </c>
      <c r="J9465">
        <v>0</v>
      </c>
    </row>
    <row r="9466" spans="1:10" x14ac:dyDescent="0.3">
      <c r="A9466" s="15">
        <v>46296</v>
      </c>
      <c r="B9466" t="s">
        <v>472</v>
      </c>
      <c r="C9466" t="s">
        <v>91</v>
      </c>
      <c r="D9466" t="s">
        <v>86</v>
      </c>
      <c r="E9466" t="s">
        <v>97</v>
      </c>
      <c r="F9466">
        <v>5100</v>
      </c>
      <c r="G9466" t="s">
        <v>331</v>
      </c>
      <c r="H9466" s="15">
        <v>45992</v>
      </c>
      <c r="I9466">
        <v>5100</v>
      </c>
      <c r="J9466">
        <v>0</v>
      </c>
    </row>
    <row r="9467" spans="1:10" x14ac:dyDescent="0.3">
      <c r="A9467" s="15">
        <v>46296</v>
      </c>
      <c r="B9467" t="s">
        <v>475</v>
      </c>
      <c r="C9467" t="s">
        <v>110</v>
      </c>
      <c r="D9467" t="s">
        <v>82</v>
      </c>
      <c r="E9467" t="s">
        <v>101</v>
      </c>
      <c r="F9467">
        <v>35000</v>
      </c>
      <c r="G9467" t="s">
        <v>331</v>
      </c>
      <c r="H9467" s="15">
        <v>45992</v>
      </c>
      <c r="I9467">
        <v>35000</v>
      </c>
      <c r="J9467">
        <v>0</v>
      </c>
    </row>
    <row r="9468" spans="1:10" x14ac:dyDescent="0.3">
      <c r="A9468" s="15">
        <v>46296</v>
      </c>
      <c r="B9468" t="s">
        <v>476</v>
      </c>
      <c r="C9468" t="s">
        <v>81</v>
      </c>
      <c r="D9468" t="s">
        <v>82</v>
      </c>
      <c r="E9468" t="s">
        <v>89</v>
      </c>
      <c r="F9468">
        <v>2600</v>
      </c>
      <c r="G9468" t="s">
        <v>331</v>
      </c>
      <c r="H9468" s="15">
        <v>45992</v>
      </c>
      <c r="I9468">
        <v>2600</v>
      </c>
      <c r="J9468">
        <v>0</v>
      </c>
    </row>
    <row r="9469" spans="1:10" x14ac:dyDescent="0.3">
      <c r="A9469" s="15">
        <v>46296</v>
      </c>
      <c r="B9469" t="s">
        <v>477</v>
      </c>
      <c r="C9469" t="s">
        <v>81</v>
      </c>
      <c r="D9469" t="s">
        <v>82</v>
      </c>
      <c r="E9469" t="s">
        <v>92</v>
      </c>
      <c r="F9469">
        <v>2100</v>
      </c>
      <c r="G9469" t="s">
        <v>331</v>
      </c>
      <c r="H9469" s="15">
        <v>46023</v>
      </c>
      <c r="I9469">
        <v>2100</v>
      </c>
      <c r="J9469">
        <v>0</v>
      </c>
    </row>
    <row r="9470" spans="1:10" x14ac:dyDescent="0.3">
      <c r="A9470" s="15">
        <v>46296</v>
      </c>
      <c r="B9470" t="s">
        <v>478</v>
      </c>
      <c r="C9470" t="s">
        <v>91</v>
      </c>
      <c r="D9470" t="s">
        <v>82</v>
      </c>
      <c r="E9470" t="s">
        <v>97</v>
      </c>
      <c r="F9470">
        <v>6500</v>
      </c>
      <c r="G9470" t="s">
        <v>331</v>
      </c>
      <c r="H9470" s="15">
        <v>46023</v>
      </c>
      <c r="I9470">
        <v>6500</v>
      </c>
      <c r="J9470">
        <v>0</v>
      </c>
    </row>
    <row r="9471" spans="1:10" x14ac:dyDescent="0.3">
      <c r="A9471" s="15">
        <v>46296</v>
      </c>
      <c r="B9471" t="s">
        <v>479</v>
      </c>
      <c r="C9471" t="s">
        <v>81</v>
      </c>
      <c r="D9471" t="s">
        <v>82</v>
      </c>
      <c r="E9471" t="s">
        <v>87</v>
      </c>
      <c r="F9471">
        <v>1800</v>
      </c>
      <c r="G9471" t="s">
        <v>331</v>
      </c>
      <c r="H9471" s="15">
        <v>46023</v>
      </c>
      <c r="I9471">
        <v>1800</v>
      </c>
      <c r="J9471">
        <v>0</v>
      </c>
    </row>
    <row r="9472" spans="1:10" x14ac:dyDescent="0.3">
      <c r="A9472" s="15">
        <v>46296</v>
      </c>
      <c r="B9472" t="s">
        <v>480</v>
      </c>
      <c r="C9472" t="s">
        <v>81</v>
      </c>
      <c r="D9472" t="s">
        <v>86</v>
      </c>
      <c r="E9472" t="s">
        <v>103</v>
      </c>
      <c r="F9472">
        <v>1600</v>
      </c>
      <c r="G9472" t="s">
        <v>331</v>
      </c>
      <c r="H9472" s="15">
        <v>46023</v>
      </c>
      <c r="I9472">
        <v>1600</v>
      </c>
      <c r="J9472">
        <v>0</v>
      </c>
    </row>
    <row r="9473" spans="1:10" x14ac:dyDescent="0.3">
      <c r="A9473" s="15">
        <v>46296</v>
      </c>
      <c r="B9473" t="s">
        <v>481</v>
      </c>
      <c r="C9473" t="s">
        <v>81</v>
      </c>
      <c r="D9473" t="s">
        <v>82</v>
      </c>
      <c r="E9473" t="s">
        <v>103</v>
      </c>
      <c r="F9473">
        <v>1800</v>
      </c>
      <c r="G9473" t="s">
        <v>331</v>
      </c>
      <c r="H9473" s="15">
        <v>46023</v>
      </c>
      <c r="I9473">
        <v>1800</v>
      </c>
      <c r="J9473">
        <v>0</v>
      </c>
    </row>
    <row r="9474" spans="1:10" x14ac:dyDescent="0.3">
      <c r="A9474" s="15">
        <v>46296</v>
      </c>
      <c r="B9474" t="s">
        <v>482</v>
      </c>
      <c r="C9474" t="s">
        <v>110</v>
      </c>
      <c r="D9474" t="s">
        <v>82</v>
      </c>
      <c r="E9474" t="s">
        <v>83</v>
      </c>
      <c r="F9474">
        <v>18100</v>
      </c>
      <c r="G9474" t="s">
        <v>331</v>
      </c>
      <c r="H9474" s="15">
        <v>46023</v>
      </c>
      <c r="I9474">
        <v>18100</v>
      </c>
      <c r="J9474">
        <v>0</v>
      </c>
    </row>
    <row r="9475" spans="1:10" x14ac:dyDescent="0.3">
      <c r="A9475" s="15">
        <v>46296</v>
      </c>
      <c r="B9475" t="s">
        <v>483</v>
      </c>
      <c r="C9475" t="s">
        <v>81</v>
      </c>
      <c r="D9475" t="s">
        <v>82</v>
      </c>
      <c r="E9475" t="s">
        <v>89</v>
      </c>
      <c r="F9475">
        <v>2000</v>
      </c>
      <c r="G9475" t="s">
        <v>331</v>
      </c>
      <c r="H9475" s="15">
        <v>46023</v>
      </c>
      <c r="I9475">
        <v>2000</v>
      </c>
      <c r="J9475">
        <v>0</v>
      </c>
    </row>
    <row r="9476" spans="1:10" x14ac:dyDescent="0.3">
      <c r="A9476" s="15">
        <v>46296</v>
      </c>
      <c r="B9476" t="s">
        <v>484</v>
      </c>
      <c r="C9476" t="s">
        <v>110</v>
      </c>
      <c r="D9476" t="s">
        <v>99</v>
      </c>
      <c r="E9476" t="s">
        <v>101</v>
      </c>
      <c r="F9476">
        <v>21400</v>
      </c>
      <c r="G9476" t="s">
        <v>331</v>
      </c>
      <c r="H9476" s="15">
        <v>46054</v>
      </c>
      <c r="I9476">
        <v>21400</v>
      </c>
      <c r="J9476">
        <v>0</v>
      </c>
    </row>
    <row r="9477" spans="1:10" x14ac:dyDescent="0.3">
      <c r="A9477" s="15">
        <v>46296</v>
      </c>
      <c r="B9477" t="s">
        <v>485</v>
      </c>
      <c r="C9477" t="s">
        <v>125</v>
      </c>
      <c r="D9477" t="s">
        <v>82</v>
      </c>
      <c r="E9477" t="s">
        <v>89</v>
      </c>
      <c r="F9477">
        <v>65800</v>
      </c>
      <c r="G9477" t="s">
        <v>331</v>
      </c>
      <c r="H9477" s="15">
        <v>46054</v>
      </c>
      <c r="I9477">
        <v>65800</v>
      </c>
      <c r="J9477">
        <v>0</v>
      </c>
    </row>
    <row r="9478" spans="1:10" x14ac:dyDescent="0.3">
      <c r="A9478" s="15">
        <v>46296</v>
      </c>
      <c r="B9478" t="s">
        <v>486</v>
      </c>
      <c r="C9478" t="s">
        <v>81</v>
      </c>
      <c r="D9478" t="s">
        <v>82</v>
      </c>
      <c r="E9478" t="s">
        <v>87</v>
      </c>
      <c r="F9478">
        <v>1500</v>
      </c>
      <c r="G9478" t="s">
        <v>331</v>
      </c>
      <c r="H9478" s="15">
        <v>46054</v>
      </c>
      <c r="I9478">
        <v>1500</v>
      </c>
      <c r="J9478">
        <v>0</v>
      </c>
    </row>
    <row r="9479" spans="1:10" x14ac:dyDescent="0.3">
      <c r="A9479" s="15">
        <v>46296</v>
      </c>
      <c r="B9479" t="s">
        <v>487</v>
      </c>
      <c r="C9479" t="s">
        <v>81</v>
      </c>
      <c r="D9479" t="s">
        <v>86</v>
      </c>
      <c r="E9479" t="s">
        <v>83</v>
      </c>
      <c r="F9479">
        <v>1800</v>
      </c>
      <c r="G9479" t="s">
        <v>331</v>
      </c>
      <c r="H9479" s="15">
        <v>46054</v>
      </c>
      <c r="I9479">
        <v>1800</v>
      </c>
      <c r="J9479">
        <v>0</v>
      </c>
    </row>
    <row r="9480" spans="1:10" x14ac:dyDescent="0.3">
      <c r="A9480" s="15">
        <v>46296</v>
      </c>
      <c r="B9480" t="s">
        <v>488</v>
      </c>
      <c r="C9480" t="s">
        <v>91</v>
      </c>
      <c r="D9480" t="s">
        <v>86</v>
      </c>
      <c r="E9480" t="s">
        <v>89</v>
      </c>
      <c r="F9480">
        <v>6800</v>
      </c>
      <c r="G9480" t="s">
        <v>331</v>
      </c>
      <c r="H9480" s="15">
        <v>46054</v>
      </c>
      <c r="I9480">
        <v>6800</v>
      </c>
      <c r="J9480">
        <v>0</v>
      </c>
    </row>
    <row r="9481" spans="1:10" x14ac:dyDescent="0.3">
      <c r="A9481" s="15">
        <v>46296</v>
      </c>
      <c r="B9481" t="s">
        <v>489</v>
      </c>
      <c r="C9481" t="s">
        <v>81</v>
      </c>
      <c r="D9481" t="s">
        <v>96</v>
      </c>
      <c r="E9481" t="s">
        <v>97</v>
      </c>
      <c r="F9481">
        <v>1600</v>
      </c>
      <c r="G9481" t="s">
        <v>331</v>
      </c>
      <c r="H9481" s="15">
        <v>46054</v>
      </c>
      <c r="I9481">
        <v>1600</v>
      </c>
      <c r="J9481">
        <v>0</v>
      </c>
    </row>
    <row r="9482" spans="1:10" x14ac:dyDescent="0.3">
      <c r="A9482" s="15">
        <v>46296</v>
      </c>
      <c r="B9482" t="s">
        <v>490</v>
      </c>
      <c r="C9482" t="s">
        <v>81</v>
      </c>
      <c r="D9482" t="s">
        <v>86</v>
      </c>
      <c r="E9482" t="s">
        <v>103</v>
      </c>
      <c r="F9482">
        <v>1800</v>
      </c>
      <c r="G9482" t="s">
        <v>331</v>
      </c>
      <c r="H9482" s="15">
        <v>46054</v>
      </c>
      <c r="I9482">
        <v>1800</v>
      </c>
      <c r="J9482">
        <v>0</v>
      </c>
    </row>
    <row r="9483" spans="1:10" x14ac:dyDescent="0.3">
      <c r="A9483" s="15">
        <v>46296</v>
      </c>
      <c r="B9483" t="s">
        <v>491</v>
      </c>
      <c r="C9483" t="s">
        <v>81</v>
      </c>
      <c r="D9483" t="s">
        <v>96</v>
      </c>
      <c r="E9483" t="s">
        <v>92</v>
      </c>
      <c r="F9483">
        <v>1800</v>
      </c>
      <c r="G9483" t="s">
        <v>331</v>
      </c>
      <c r="H9483" s="15">
        <v>46054</v>
      </c>
      <c r="I9483">
        <v>1800</v>
      </c>
      <c r="J9483">
        <v>0</v>
      </c>
    </row>
    <row r="9484" spans="1:10" x14ac:dyDescent="0.3">
      <c r="A9484" s="15">
        <v>46296</v>
      </c>
      <c r="B9484" t="s">
        <v>492</v>
      </c>
      <c r="C9484" t="s">
        <v>81</v>
      </c>
      <c r="D9484" t="s">
        <v>99</v>
      </c>
      <c r="E9484" t="s">
        <v>92</v>
      </c>
      <c r="F9484">
        <v>1700</v>
      </c>
      <c r="G9484" t="s">
        <v>331</v>
      </c>
      <c r="H9484" s="15">
        <v>46082</v>
      </c>
      <c r="I9484">
        <v>1700</v>
      </c>
      <c r="J9484">
        <v>0</v>
      </c>
    </row>
    <row r="9485" spans="1:10" x14ac:dyDescent="0.3">
      <c r="A9485" s="15">
        <v>46296</v>
      </c>
      <c r="B9485" t="s">
        <v>493</v>
      </c>
      <c r="C9485" t="s">
        <v>81</v>
      </c>
      <c r="D9485" t="s">
        <v>96</v>
      </c>
      <c r="E9485" t="s">
        <v>101</v>
      </c>
      <c r="F9485">
        <v>1600</v>
      </c>
      <c r="G9485" t="s">
        <v>331</v>
      </c>
      <c r="H9485" s="15">
        <v>46082</v>
      </c>
      <c r="I9485">
        <v>1600</v>
      </c>
      <c r="J9485">
        <v>0</v>
      </c>
    </row>
    <row r="9486" spans="1:10" x14ac:dyDescent="0.3">
      <c r="A9486" s="15">
        <v>46296</v>
      </c>
      <c r="B9486" t="s">
        <v>494</v>
      </c>
      <c r="C9486" t="s">
        <v>110</v>
      </c>
      <c r="D9486" t="s">
        <v>82</v>
      </c>
      <c r="E9486" t="s">
        <v>103</v>
      </c>
      <c r="F9486">
        <v>21000</v>
      </c>
      <c r="G9486" t="s">
        <v>331</v>
      </c>
      <c r="H9486" s="15">
        <v>46082</v>
      </c>
      <c r="I9486">
        <v>21000</v>
      </c>
      <c r="J9486">
        <v>0</v>
      </c>
    </row>
    <row r="9487" spans="1:10" x14ac:dyDescent="0.3">
      <c r="A9487" s="15">
        <v>46296</v>
      </c>
      <c r="B9487" t="s">
        <v>496</v>
      </c>
      <c r="C9487" t="s">
        <v>110</v>
      </c>
      <c r="D9487" t="s">
        <v>99</v>
      </c>
      <c r="E9487" t="s">
        <v>97</v>
      </c>
      <c r="F9487">
        <v>16500</v>
      </c>
      <c r="G9487" t="s">
        <v>331</v>
      </c>
      <c r="H9487" s="15">
        <v>46082</v>
      </c>
      <c r="I9487">
        <v>16500</v>
      </c>
      <c r="J9487">
        <v>0</v>
      </c>
    </row>
    <row r="9488" spans="1:10" x14ac:dyDescent="0.3">
      <c r="A9488" s="15">
        <v>46296</v>
      </c>
      <c r="B9488" t="s">
        <v>497</v>
      </c>
      <c r="C9488" t="s">
        <v>91</v>
      </c>
      <c r="D9488" t="s">
        <v>86</v>
      </c>
      <c r="E9488" t="s">
        <v>97</v>
      </c>
      <c r="F9488">
        <v>4900</v>
      </c>
      <c r="G9488" t="s">
        <v>331</v>
      </c>
      <c r="H9488" s="15">
        <v>46082</v>
      </c>
      <c r="I9488">
        <v>4900</v>
      </c>
      <c r="J9488">
        <v>0</v>
      </c>
    </row>
    <row r="9489" spans="1:10" x14ac:dyDescent="0.3">
      <c r="A9489" s="15">
        <v>46296</v>
      </c>
      <c r="B9489" t="s">
        <v>498</v>
      </c>
      <c r="C9489" t="s">
        <v>91</v>
      </c>
      <c r="D9489" t="s">
        <v>82</v>
      </c>
      <c r="E9489" t="s">
        <v>83</v>
      </c>
      <c r="F9489">
        <v>7900</v>
      </c>
      <c r="G9489" t="s">
        <v>331</v>
      </c>
      <c r="H9489" s="15">
        <v>46113</v>
      </c>
      <c r="I9489">
        <v>7900</v>
      </c>
      <c r="J9489">
        <v>0</v>
      </c>
    </row>
    <row r="9490" spans="1:10" x14ac:dyDescent="0.3">
      <c r="A9490" s="15">
        <v>46296</v>
      </c>
      <c r="B9490" t="s">
        <v>499</v>
      </c>
      <c r="C9490" t="s">
        <v>91</v>
      </c>
      <c r="D9490" t="s">
        <v>82</v>
      </c>
      <c r="E9490" t="s">
        <v>101</v>
      </c>
      <c r="F9490">
        <v>7000</v>
      </c>
      <c r="G9490" t="s">
        <v>331</v>
      </c>
      <c r="H9490" s="15">
        <v>46113</v>
      </c>
      <c r="I9490">
        <v>7000</v>
      </c>
      <c r="J9490">
        <v>0</v>
      </c>
    </row>
    <row r="9491" spans="1:10" x14ac:dyDescent="0.3">
      <c r="A9491" s="15">
        <v>46296</v>
      </c>
      <c r="B9491" t="s">
        <v>500</v>
      </c>
      <c r="C9491" t="s">
        <v>81</v>
      </c>
      <c r="D9491" t="s">
        <v>86</v>
      </c>
      <c r="E9491" t="s">
        <v>83</v>
      </c>
      <c r="F9491">
        <v>2000</v>
      </c>
      <c r="G9491" t="s">
        <v>331</v>
      </c>
      <c r="H9491" s="15">
        <v>46113</v>
      </c>
      <c r="I9491">
        <v>2000</v>
      </c>
      <c r="J9491">
        <v>0</v>
      </c>
    </row>
    <row r="9492" spans="1:10" x14ac:dyDescent="0.3">
      <c r="A9492" s="15">
        <v>46296</v>
      </c>
      <c r="B9492" t="s">
        <v>501</v>
      </c>
      <c r="C9492" t="s">
        <v>110</v>
      </c>
      <c r="D9492" t="s">
        <v>86</v>
      </c>
      <c r="E9492" t="s">
        <v>97</v>
      </c>
      <c r="F9492">
        <v>27200</v>
      </c>
      <c r="G9492" t="s">
        <v>331</v>
      </c>
      <c r="H9492" s="15">
        <v>46113</v>
      </c>
      <c r="I9492">
        <v>27200</v>
      </c>
      <c r="J9492">
        <v>0</v>
      </c>
    </row>
    <row r="9493" spans="1:10" x14ac:dyDescent="0.3">
      <c r="A9493" s="15">
        <v>46296</v>
      </c>
      <c r="B9493" t="s">
        <v>502</v>
      </c>
      <c r="C9493" t="s">
        <v>81</v>
      </c>
      <c r="D9493" t="s">
        <v>99</v>
      </c>
      <c r="E9493" t="s">
        <v>83</v>
      </c>
      <c r="F9493">
        <v>2600</v>
      </c>
      <c r="G9493" t="s">
        <v>332</v>
      </c>
      <c r="H9493" s="15">
        <v>46113</v>
      </c>
      <c r="I9493">
        <v>2400</v>
      </c>
      <c r="J9493">
        <v>200</v>
      </c>
    </row>
    <row r="9494" spans="1:10" x14ac:dyDescent="0.3">
      <c r="A9494" s="15">
        <v>46296</v>
      </c>
      <c r="B9494" t="s">
        <v>503</v>
      </c>
      <c r="C9494" t="s">
        <v>110</v>
      </c>
      <c r="D9494" t="s">
        <v>86</v>
      </c>
      <c r="E9494" t="s">
        <v>87</v>
      </c>
      <c r="F9494">
        <v>43200</v>
      </c>
      <c r="G9494" t="s">
        <v>332</v>
      </c>
      <c r="H9494" s="15">
        <v>46113</v>
      </c>
      <c r="I9494">
        <v>40200</v>
      </c>
      <c r="J9494">
        <v>3000</v>
      </c>
    </row>
    <row r="9495" spans="1:10" x14ac:dyDescent="0.3">
      <c r="A9495" s="15">
        <v>46296</v>
      </c>
      <c r="B9495" t="s">
        <v>504</v>
      </c>
      <c r="C9495" t="s">
        <v>81</v>
      </c>
      <c r="D9495" t="s">
        <v>86</v>
      </c>
      <c r="E9495" t="s">
        <v>103</v>
      </c>
      <c r="F9495">
        <v>1200</v>
      </c>
      <c r="G9495" t="s">
        <v>331</v>
      </c>
      <c r="H9495" s="15">
        <v>46113</v>
      </c>
      <c r="I9495">
        <v>1200</v>
      </c>
      <c r="J9495">
        <v>0</v>
      </c>
    </row>
    <row r="9496" spans="1:10" x14ac:dyDescent="0.3">
      <c r="A9496" s="15">
        <v>46296</v>
      </c>
      <c r="B9496" t="s">
        <v>505</v>
      </c>
      <c r="C9496" t="s">
        <v>81</v>
      </c>
      <c r="D9496" t="s">
        <v>86</v>
      </c>
      <c r="E9496" t="s">
        <v>97</v>
      </c>
      <c r="F9496">
        <v>2100</v>
      </c>
      <c r="G9496" t="s">
        <v>331</v>
      </c>
      <c r="H9496" s="15">
        <v>46113</v>
      </c>
      <c r="I9496">
        <v>2100</v>
      </c>
      <c r="J9496">
        <v>0</v>
      </c>
    </row>
    <row r="9497" spans="1:10" x14ac:dyDescent="0.3">
      <c r="A9497" s="15">
        <v>46296</v>
      </c>
      <c r="B9497" t="s">
        <v>506</v>
      </c>
      <c r="C9497" t="s">
        <v>91</v>
      </c>
      <c r="D9497" t="s">
        <v>82</v>
      </c>
      <c r="E9497" t="s">
        <v>89</v>
      </c>
      <c r="F9497">
        <v>5100</v>
      </c>
      <c r="G9497" t="s">
        <v>331</v>
      </c>
      <c r="H9497" s="15">
        <v>46113</v>
      </c>
      <c r="I9497">
        <v>5100</v>
      </c>
      <c r="J9497">
        <v>0</v>
      </c>
    </row>
    <row r="9498" spans="1:10" x14ac:dyDescent="0.3">
      <c r="A9498" s="15">
        <v>46296</v>
      </c>
      <c r="B9498" t="s">
        <v>507</v>
      </c>
      <c r="C9498" t="s">
        <v>81</v>
      </c>
      <c r="D9498" t="s">
        <v>86</v>
      </c>
      <c r="E9498" t="s">
        <v>89</v>
      </c>
      <c r="F9498">
        <v>1400</v>
      </c>
      <c r="G9498" t="s">
        <v>331</v>
      </c>
      <c r="H9498" s="15">
        <v>46143</v>
      </c>
      <c r="I9498">
        <v>1400</v>
      </c>
      <c r="J9498">
        <v>0</v>
      </c>
    </row>
    <row r="9499" spans="1:10" x14ac:dyDescent="0.3">
      <c r="A9499" s="15">
        <v>46296</v>
      </c>
      <c r="B9499" t="s">
        <v>508</v>
      </c>
      <c r="C9499" t="s">
        <v>91</v>
      </c>
      <c r="D9499" t="s">
        <v>82</v>
      </c>
      <c r="E9499" t="s">
        <v>83</v>
      </c>
      <c r="F9499">
        <v>8500</v>
      </c>
      <c r="G9499" t="s">
        <v>332</v>
      </c>
      <c r="H9499" s="15">
        <v>46143</v>
      </c>
      <c r="I9499">
        <v>7500</v>
      </c>
      <c r="J9499">
        <v>1000</v>
      </c>
    </row>
    <row r="9500" spans="1:10" x14ac:dyDescent="0.3">
      <c r="A9500" s="15">
        <v>46296</v>
      </c>
      <c r="B9500" t="s">
        <v>509</v>
      </c>
      <c r="C9500" t="s">
        <v>91</v>
      </c>
      <c r="D9500" t="s">
        <v>86</v>
      </c>
      <c r="E9500" t="s">
        <v>103</v>
      </c>
      <c r="F9500">
        <v>8300</v>
      </c>
      <c r="G9500" t="s">
        <v>331</v>
      </c>
      <c r="H9500" s="15">
        <v>46143</v>
      </c>
      <c r="I9500">
        <v>8300</v>
      </c>
      <c r="J9500">
        <v>0</v>
      </c>
    </row>
    <row r="9501" spans="1:10" x14ac:dyDescent="0.3">
      <c r="A9501" s="15">
        <v>46296</v>
      </c>
      <c r="B9501" t="s">
        <v>510</v>
      </c>
      <c r="C9501" t="s">
        <v>91</v>
      </c>
      <c r="D9501" t="s">
        <v>86</v>
      </c>
      <c r="E9501" t="s">
        <v>101</v>
      </c>
      <c r="F9501">
        <v>8100</v>
      </c>
      <c r="G9501" t="s">
        <v>331</v>
      </c>
      <c r="H9501" s="15">
        <v>46143</v>
      </c>
      <c r="I9501">
        <v>8100</v>
      </c>
      <c r="J9501">
        <v>0</v>
      </c>
    </row>
    <row r="9502" spans="1:10" x14ac:dyDescent="0.3">
      <c r="A9502" s="15">
        <v>46296</v>
      </c>
      <c r="B9502" t="s">
        <v>511</v>
      </c>
      <c r="C9502" t="s">
        <v>91</v>
      </c>
      <c r="D9502" t="s">
        <v>99</v>
      </c>
      <c r="E9502" t="s">
        <v>101</v>
      </c>
      <c r="F9502">
        <v>7500</v>
      </c>
      <c r="G9502" t="s">
        <v>331</v>
      </c>
      <c r="H9502" s="15">
        <v>46143</v>
      </c>
      <c r="I9502">
        <v>7500</v>
      </c>
      <c r="J9502">
        <v>0</v>
      </c>
    </row>
    <row r="9503" spans="1:10" x14ac:dyDescent="0.3">
      <c r="A9503" s="15">
        <v>46296</v>
      </c>
      <c r="B9503" t="s">
        <v>512</v>
      </c>
      <c r="C9503" t="s">
        <v>110</v>
      </c>
      <c r="D9503" t="s">
        <v>96</v>
      </c>
      <c r="E9503" t="s">
        <v>103</v>
      </c>
      <c r="F9503">
        <v>30900</v>
      </c>
      <c r="G9503" t="s">
        <v>331</v>
      </c>
      <c r="H9503" s="15">
        <v>46143</v>
      </c>
      <c r="I9503">
        <v>30900</v>
      </c>
      <c r="J9503">
        <v>0</v>
      </c>
    </row>
    <row r="9504" spans="1:10" x14ac:dyDescent="0.3">
      <c r="A9504" s="15">
        <v>46296</v>
      </c>
      <c r="B9504" t="s">
        <v>513</v>
      </c>
      <c r="C9504" t="s">
        <v>91</v>
      </c>
      <c r="D9504" t="s">
        <v>96</v>
      </c>
      <c r="E9504" t="s">
        <v>103</v>
      </c>
      <c r="F9504">
        <v>7700</v>
      </c>
      <c r="G9504" t="s">
        <v>331</v>
      </c>
      <c r="H9504" s="15">
        <v>46143</v>
      </c>
      <c r="I9504">
        <v>7700</v>
      </c>
      <c r="J9504">
        <v>0</v>
      </c>
    </row>
    <row r="9505" spans="1:10" x14ac:dyDescent="0.3">
      <c r="A9505" s="15">
        <v>46296</v>
      </c>
      <c r="B9505" t="s">
        <v>514</v>
      </c>
      <c r="C9505" t="s">
        <v>81</v>
      </c>
      <c r="D9505" t="s">
        <v>99</v>
      </c>
      <c r="E9505" t="s">
        <v>92</v>
      </c>
      <c r="F9505">
        <v>2900</v>
      </c>
      <c r="G9505" t="s">
        <v>331</v>
      </c>
      <c r="H9505" s="15">
        <v>46174</v>
      </c>
      <c r="I9505">
        <v>2900</v>
      </c>
      <c r="J9505">
        <v>0</v>
      </c>
    </row>
    <row r="9506" spans="1:10" x14ac:dyDescent="0.3">
      <c r="A9506" s="15">
        <v>46296</v>
      </c>
      <c r="B9506" t="s">
        <v>515</v>
      </c>
      <c r="C9506" t="s">
        <v>110</v>
      </c>
      <c r="D9506" t="s">
        <v>86</v>
      </c>
      <c r="E9506" t="s">
        <v>101</v>
      </c>
      <c r="F9506">
        <v>32300</v>
      </c>
      <c r="G9506" t="s">
        <v>331</v>
      </c>
      <c r="H9506" s="15">
        <v>46174</v>
      </c>
      <c r="I9506">
        <v>32300</v>
      </c>
      <c r="J9506">
        <v>0</v>
      </c>
    </row>
    <row r="9507" spans="1:10" x14ac:dyDescent="0.3">
      <c r="A9507" s="15">
        <v>46296</v>
      </c>
      <c r="B9507" t="s">
        <v>516</v>
      </c>
      <c r="C9507" t="s">
        <v>81</v>
      </c>
      <c r="D9507" t="s">
        <v>99</v>
      </c>
      <c r="E9507" t="s">
        <v>89</v>
      </c>
      <c r="F9507">
        <v>1500</v>
      </c>
      <c r="G9507" t="s">
        <v>334</v>
      </c>
      <c r="H9507" s="15">
        <v>46174</v>
      </c>
      <c r="I9507">
        <v>1600</v>
      </c>
      <c r="J9507">
        <v>-100</v>
      </c>
    </row>
    <row r="9508" spans="1:10" x14ac:dyDescent="0.3">
      <c r="A9508" s="15">
        <v>46296</v>
      </c>
      <c r="B9508" t="s">
        <v>517</v>
      </c>
      <c r="C9508" t="s">
        <v>91</v>
      </c>
      <c r="D9508" t="s">
        <v>82</v>
      </c>
      <c r="E9508" t="s">
        <v>97</v>
      </c>
      <c r="F9508">
        <v>6100</v>
      </c>
      <c r="G9508" t="s">
        <v>331</v>
      </c>
      <c r="H9508" s="15">
        <v>46174</v>
      </c>
      <c r="I9508">
        <v>6100</v>
      </c>
      <c r="J9508">
        <v>0</v>
      </c>
    </row>
    <row r="9509" spans="1:10" x14ac:dyDescent="0.3">
      <c r="A9509" s="15">
        <v>46296</v>
      </c>
      <c r="B9509" t="s">
        <v>518</v>
      </c>
      <c r="C9509" t="s">
        <v>110</v>
      </c>
      <c r="D9509" t="s">
        <v>96</v>
      </c>
      <c r="E9509" t="s">
        <v>103</v>
      </c>
      <c r="F9509">
        <v>26100</v>
      </c>
      <c r="G9509" t="s">
        <v>331</v>
      </c>
      <c r="H9509" s="15">
        <v>46174</v>
      </c>
      <c r="I9509">
        <v>26100</v>
      </c>
      <c r="J9509">
        <v>0</v>
      </c>
    </row>
    <row r="9510" spans="1:10" x14ac:dyDescent="0.3">
      <c r="A9510" s="15">
        <v>46296</v>
      </c>
      <c r="B9510" t="s">
        <v>519</v>
      </c>
      <c r="C9510" t="s">
        <v>91</v>
      </c>
      <c r="D9510" t="s">
        <v>86</v>
      </c>
      <c r="E9510" t="s">
        <v>89</v>
      </c>
      <c r="F9510">
        <v>7400</v>
      </c>
      <c r="G9510" t="s">
        <v>331</v>
      </c>
      <c r="H9510" s="15">
        <v>46174</v>
      </c>
      <c r="I9510">
        <v>7400</v>
      </c>
      <c r="J9510">
        <v>0</v>
      </c>
    </row>
    <row r="9511" spans="1:10" x14ac:dyDescent="0.3">
      <c r="A9511" s="15">
        <v>46296</v>
      </c>
      <c r="B9511" t="s">
        <v>520</v>
      </c>
      <c r="C9511" t="s">
        <v>91</v>
      </c>
      <c r="D9511" t="s">
        <v>86</v>
      </c>
      <c r="E9511" t="s">
        <v>101</v>
      </c>
      <c r="F9511">
        <v>5900</v>
      </c>
      <c r="G9511" t="s">
        <v>331</v>
      </c>
      <c r="H9511" s="15">
        <v>46174</v>
      </c>
      <c r="I9511">
        <v>5900</v>
      </c>
      <c r="J9511">
        <v>0</v>
      </c>
    </row>
    <row r="9512" spans="1:10" x14ac:dyDescent="0.3">
      <c r="A9512" s="15">
        <v>46296</v>
      </c>
      <c r="B9512" t="s">
        <v>521</v>
      </c>
      <c r="C9512" t="s">
        <v>81</v>
      </c>
      <c r="D9512" t="s">
        <v>86</v>
      </c>
      <c r="E9512" t="s">
        <v>97</v>
      </c>
      <c r="F9512">
        <v>1800</v>
      </c>
      <c r="G9512" t="s">
        <v>331</v>
      </c>
      <c r="H9512" s="15">
        <v>46174</v>
      </c>
      <c r="I9512">
        <v>1800</v>
      </c>
      <c r="J9512">
        <v>0</v>
      </c>
    </row>
    <row r="9513" spans="1:10" x14ac:dyDescent="0.3">
      <c r="A9513" s="15">
        <v>46296</v>
      </c>
      <c r="B9513" t="s">
        <v>522</v>
      </c>
      <c r="C9513" t="s">
        <v>91</v>
      </c>
      <c r="D9513" t="s">
        <v>86</v>
      </c>
      <c r="E9513" t="s">
        <v>92</v>
      </c>
      <c r="F9513">
        <v>4600</v>
      </c>
      <c r="G9513" t="s">
        <v>331</v>
      </c>
      <c r="H9513" s="15">
        <v>46174</v>
      </c>
      <c r="I9513">
        <v>4600</v>
      </c>
      <c r="J9513">
        <v>0</v>
      </c>
    </row>
    <row r="9514" spans="1:10" x14ac:dyDescent="0.3">
      <c r="A9514" s="15">
        <v>46296</v>
      </c>
      <c r="B9514" t="s">
        <v>523</v>
      </c>
      <c r="C9514" t="s">
        <v>91</v>
      </c>
      <c r="D9514" t="s">
        <v>82</v>
      </c>
      <c r="E9514" t="s">
        <v>97</v>
      </c>
      <c r="F9514">
        <v>6900</v>
      </c>
      <c r="G9514" t="s">
        <v>331</v>
      </c>
      <c r="H9514" s="15">
        <v>46174</v>
      </c>
      <c r="I9514">
        <v>6900</v>
      </c>
      <c r="J9514">
        <v>0</v>
      </c>
    </row>
    <row r="9515" spans="1:10" x14ac:dyDescent="0.3">
      <c r="A9515" s="15">
        <v>46296</v>
      </c>
      <c r="B9515" t="s">
        <v>524</v>
      </c>
      <c r="C9515" t="s">
        <v>81</v>
      </c>
      <c r="D9515" t="s">
        <v>99</v>
      </c>
      <c r="E9515" t="s">
        <v>83</v>
      </c>
      <c r="F9515">
        <v>1600</v>
      </c>
      <c r="G9515" t="s">
        <v>331</v>
      </c>
      <c r="H9515" s="15">
        <v>46204</v>
      </c>
      <c r="I9515">
        <v>1600</v>
      </c>
      <c r="J9515">
        <v>0</v>
      </c>
    </row>
    <row r="9516" spans="1:10" x14ac:dyDescent="0.3">
      <c r="A9516" s="15">
        <v>46296</v>
      </c>
      <c r="B9516" t="s">
        <v>525</v>
      </c>
      <c r="C9516" t="s">
        <v>81</v>
      </c>
      <c r="D9516" t="s">
        <v>82</v>
      </c>
      <c r="E9516" t="s">
        <v>92</v>
      </c>
      <c r="F9516">
        <v>1500</v>
      </c>
      <c r="G9516" t="s">
        <v>331</v>
      </c>
      <c r="H9516" s="15">
        <v>46204</v>
      </c>
      <c r="I9516">
        <v>1500</v>
      </c>
      <c r="J9516">
        <v>0</v>
      </c>
    </row>
    <row r="9517" spans="1:10" x14ac:dyDescent="0.3">
      <c r="A9517" s="15">
        <v>46296</v>
      </c>
      <c r="B9517" t="s">
        <v>526</v>
      </c>
      <c r="C9517" t="s">
        <v>81</v>
      </c>
      <c r="D9517" t="s">
        <v>96</v>
      </c>
      <c r="E9517" t="s">
        <v>87</v>
      </c>
      <c r="F9517">
        <v>1500</v>
      </c>
      <c r="G9517" t="s">
        <v>331</v>
      </c>
      <c r="H9517" s="15">
        <v>46204</v>
      </c>
      <c r="I9517">
        <v>1500</v>
      </c>
      <c r="J9517">
        <v>0</v>
      </c>
    </row>
    <row r="9518" spans="1:10" x14ac:dyDescent="0.3">
      <c r="A9518" s="15">
        <v>46296</v>
      </c>
      <c r="B9518" t="s">
        <v>527</v>
      </c>
      <c r="C9518" t="s">
        <v>81</v>
      </c>
      <c r="D9518" t="s">
        <v>99</v>
      </c>
      <c r="E9518" t="s">
        <v>89</v>
      </c>
      <c r="F9518">
        <v>1500</v>
      </c>
      <c r="G9518" t="s">
        <v>331</v>
      </c>
      <c r="H9518" s="15">
        <v>46204</v>
      </c>
      <c r="I9518">
        <v>1500</v>
      </c>
      <c r="J9518">
        <v>0</v>
      </c>
    </row>
    <row r="9519" spans="1:10" x14ac:dyDescent="0.3">
      <c r="A9519" s="15">
        <v>46296</v>
      </c>
      <c r="B9519" t="s">
        <v>528</v>
      </c>
      <c r="C9519" t="s">
        <v>81</v>
      </c>
      <c r="D9519" t="s">
        <v>82</v>
      </c>
      <c r="E9519" t="s">
        <v>103</v>
      </c>
      <c r="F9519">
        <v>1700</v>
      </c>
      <c r="G9519" t="s">
        <v>331</v>
      </c>
      <c r="H9519" s="15">
        <v>46204</v>
      </c>
      <c r="I9519">
        <v>1700</v>
      </c>
      <c r="J9519">
        <v>0</v>
      </c>
    </row>
    <row r="9520" spans="1:10" x14ac:dyDescent="0.3">
      <c r="A9520" s="15">
        <v>46296</v>
      </c>
      <c r="B9520" t="s">
        <v>529</v>
      </c>
      <c r="C9520" t="s">
        <v>81</v>
      </c>
      <c r="D9520" t="s">
        <v>99</v>
      </c>
      <c r="E9520" t="s">
        <v>92</v>
      </c>
      <c r="F9520">
        <v>1500</v>
      </c>
      <c r="G9520" t="s">
        <v>331</v>
      </c>
      <c r="H9520" s="15">
        <v>46204</v>
      </c>
      <c r="I9520">
        <v>1500</v>
      </c>
      <c r="J9520">
        <v>0</v>
      </c>
    </row>
    <row r="9521" spans="1:10" x14ac:dyDescent="0.3">
      <c r="A9521" s="15">
        <v>46296</v>
      </c>
      <c r="B9521" t="s">
        <v>530</v>
      </c>
      <c r="C9521" t="s">
        <v>110</v>
      </c>
      <c r="D9521" t="s">
        <v>82</v>
      </c>
      <c r="E9521" t="s">
        <v>89</v>
      </c>
      <c r="F9521">
        <v>24200</v>
      </c>
      <c r="G9521" t="s">
        <v>331</v>
      </c>
      <c r="H9521" s="15">
        <v>46204</v>
      </c>
      <c r="I9521">
        <v>24200</v>
      </c>
      <c r="J9521">
        <v>0</v>
      </c>
    </row>
    <row r="9522" spans="1:10" x14ac:dyDescent="0.3">
      <c r="A9522" s="15">
        <v>46296</v>
      </c>
      <c r="B9522" t="s">
        <v>531</v>
      </c>
      <c r="C9522" t="s">
        <v>110</v>
      </c>
      <c r="D9522" t="s">
        <v>82</v>
      </c>
      <c r="E9522" t="s">
        <v>89</v>
      </c>
      <c r="F9522">
        <v>19800</v>
      </c>
      <c r="G9522" t="s">
        <v>331</v>
      </c>
      <c r="H9522" s="15">
        <v>46204</v>
      </c>
      <c r="I9522">
        <v>19800</v>
      </c>
      <c r="J9522">
        <v>0</v>
      </c>
    </row>
    <row r="9523" spans="1:10" x14ac:dyDescent="0.3">
      <c r="A9523" s="15">
        <v>46296</v>
      </c>
      <c r="B9523" t="s">
        <v>532</v>
      </c>
      <c r="C9523" t="s">
        <v>91</v>
      </c>
      <c r="D9523" t="s">
        <v>82</v>
      </c>
      <c r="E9523" t="s">
        <v>89</v>
      </c>
      <c r="F9523">
        <v>7000</v>
      </c>
      <c r="G9523" t="s">
        <v>331</v>
      </c>
      <c r="H9523" s="15">
        <v>46235</v>
      </c>
      <c r="I9523">
        <v>7000</v>
      </c>
      <c r="J9523">
        <v>0</v>
      </c>
    </row>
    <row r="9524" spans="1:10" x14ac:dyDescent="0.3">
      <c r="A9524" s="15">
        <v>46296</v>
      </c>
      <c r="B9524" t="s">
        <v>533</v>
      </c>
      <c r="C9524" t="s">
        <v>91</v>
      </c>
      <c r="D9524" t="s">
        <v>96</v>
      </c>
      <c r="E9524" t="s">
        <v>83</v>
      </c>
      <c r="F9524">
        <v>5500</v>
      </c>
      <c r="G9524" t="s">
        <v>331</v>
      </c>
      <c r="H9524" s="15">
        <v>46235</v>
      </c>
      <c r="I9524">
        <v>5500</v>
      </c>
      <c r="J9524">
        <v>0</v>
      </c>
    </row>
    <row r="9525" spans="1:10" x14ac:dyDescent="0.3">
      <c r="A9525" s="15">
        <v>46296</v>
      </c>
      <c r="B9525" t="s">
        <v>534</v>
      </c>
      <c r="C9525" t="s">
        <v>81</v>
      </c>
      <c r="D9525" t="s">
        <v>82</v>
      </c>
      <c r="E9525" t="s">
        <v>101</v>
      </c>
      <c r="F9525">
        <v>2000</v>
      </c>
      <c r="G9525" t="s">
        <v>331</v>
      </c>
      <c r="H9525" s="15">
        <v>46235</v>
      </c>
      <c r="I9525">
        <v>2000</v>
      </c>
      <c r="J9525">
        <v>0</v>
      </c>
    </row>
    <row r="9526" spans="1:10" x14ac:dyDescent="0.3">
      <c r="A9526" s="15">
        <v>46296</v>
      </c>
      <c r="B9526" t="s">
        <v>535</v>
      </c>
      <c r="C9526" t="s">
        <v>110</v>
      </c>
      <c r="D9526" t="s">
        <v>82</v>
      </c>
      <c r="E9526" t="s">
        <v>83</v>
      </c>
      <c r="F9526">
        <v>20100</v>
      </c>
      <c r="G9526" t="s">
        <v>331</v>
      </c>
      <c r="H9526" s="15">
        <v>46235</v>
      </c>
      <c r="I9526">
        <v>20100</v>
      </c>
      <c r="J9526">
        <v>0</v>
      </c>
    </row>
    <row r="9527" spans="1:10" x14ac:dyDescent="0.3">
      <c r="A9527" s="15">
        <v>46296</v>
      </c>
      <c r="B9527" t="s">
        <v>536</v>
      </c>
      <c r="C9527" t="s">
        <v>81</v>
      </c>
      <c r="D9527" t="s">
        <v>99</v>
      </c>
      <c r="E9527" t="s">
        <v>97</v>
      </c>
      <c r="F9527">
        <v>1700</v>
      </c>
      <c r="G9527" t="s">
        <v>331</v>
      </c>
      <c r="H9527" s="15">
        <v>46235</v>
      </c>
      <c r="I9527">
        <v>1700</v>
      </c>
      <c r="J9527">
        <v>0</v>
      </c>
    </row>
    <row r="9528" spans="1:10" x14ac:dyDescent="0.3">
      <c r="A9528" s="15">
        <v>46296</v>
      </c>
      <c r="B9528" t="s">
        <v>537</v>
      </c>
      <c r="C9528" t="s">
        <v>110</v>
      </c>
      <c r="D9528" t="s">
        <v>99</v>
      </c>
      <c r="E9528" t="s">
        <v>87</v>
      </c>
      <c r="F9528">
        <v>37600</v>
      </c>
      <c r="G9528" t="s">
        <v>331</v>
      </c>
      <c r="H9528" s="15">
        <v>46235</v>
      </c>
      <c r="I9528">
        <v>37600</v>
      </c>
      <c r="J9528">
        <v>0</v>
      </c>
    </row>
    <row r="9529" spans="1:10" x14ac:dyDescent="0.3">
      <c r="A9529" s="15">
        <v>46296</v>
      </c>
      <c r="B9529" t="s">
        <v>538</v>
      </c>
      <c r="C9529" t="s">
        <v>81</v>
      </c>
      <c r="D9529" t="s">
        <v>99</v>
      </c>
      <c r="E9529" t="s">
        <v>89</v>
      </c>
      <c r="F9529">
        <v>2200</v>
      </c>
      <c r="G9529" t="s">
        <v>332</v>
      </c>
      <c r="H9529" s="15">
        <v>46235</v>
      </c>
      <c r="I9529">
        <v>1900</v>
      </c>
      <c r="J9529">
        <v>300</v>
      </c>
    </row>
    <row r="9530" spans="1:10" x14ac:dyDescent="0.3">
      <c r="A9530" s="15">
        <v>46296</v>
      </c>
      <c r="B9530" t="s">
        <v>539</v>
      </c>
      <c r="C9530" t="s">
        <v>81</v>
      </c>
      <c r="D9530" t="s">
        <v>86</v>
      </c>
      <c r="E9530" t="s">
        <v>89</v>
      </c>
      <c r="F9530">
        <v>2400</v>
      </c>
      <c r="G9530" t="s">
        <v>331</v>
      </c>
      <c r="H9530" s="15">
        <v>46235</v>
      </c>
      <c r="I9530">
        <v>2400</v>
      </c>
      <c r="J9530">
        <v>0</v>
      </c>
    </row>
    <row r="9531" spans="1:10" x14ac:dyDescent="0.3">
      <c r="A9531" s="15">
        <v>46296</v>
      </c>
      <c r="B9531" t="s">
        <v>540</v>
      </c>
      <c r="C9531" t="s">
        <v>81</v>
      </c>
      <c r="D9531" t="s">
        <v>82</v>
      </c>
      <c r="E9531" t="s">
        <v>92</v>
      </c>
      <c r="F9531">
        <v>2400</v>
      </c>
      <c r="G9531" t="s">
        <v>331</v>
      </c>
      <c r="H9531" s="15">
        <v>46266</v>
      </c>
      <c r="I9531">
        <v>2400</v>
      </c>
      <c r="J9531">
        <v>0</v>
      </c>
    </row>
    <row r="9532" spans="1:10" x14ac:dyDescent="0.3">
      <c r="A9532" s="15">
        <v>46296</v>
      </c>
      <c r="B9532" t="s">
        <v>541</v>
      </c>
      <c r="C9532" t="s">
        <v>81</v>
      </c>
      <c r="D9532" t="s">
        <v>99</v>
      </c>
      <c r="E9532" t="s">
        <v>89</v>
      </c>
      <c r="F9532">
        <v>2000</v>
      </c>
      <c r="G9532" t="s">
        <v>331</v>
      </c>
      <c r="H9532" s="15">
        <v>46266</v>
      </c>
      <c r="I9532">
        <v>2000</v>
      </c>
      <c r="J9532">
        <v>0</v>
      </c>
    </row>
    <row r="9533" spans="1:10" x14ac:dyDescent="0.3">
      <c r="A9533" s="15">
        <v>46296</v>
      </c>
      <c r="B9533" t="s">
        <v>542</v>
      </c>
      <c r="C9533" t="s">
        <v>125</v>
      </c>
      <c r="D9533" t="s">
        <v>82</v>
      </c>
      <c r="E9533" t="s">
        <v>87</v>
      </c>
      <c r="F9533">
        <v>70300</v>
      </c>
      <c r="G9533" t="s">
        <v>331</v>
      </c>
      <c r="H9533" s="15">
        <v>46266</v>
      </c>
      <c r="I9533">
        <v>70300</v>
      </c>
      <c r="J9533">
        <v>0</v>
      </c>
    </row>
    <row r="9534" spans="1:10" x14ac:dyDescent="0.3">
      <c r="A9534" s="15">
        <v>46296</v>
      </c>
      <c r="B9534" t="s">
        <v>543</v>
      </c>
      <c r="C9534" t="s">
        <v>91</v>
      </c>
      <c r="D9534" t="s">
        <v>86</v>
      </c>
      <c r="E9534" t="s">
        <v>101</v>
      </c>
      <c r="F9534">
        <v>6800</v>
      </c>
      <c r="G9534" t="s">
        <v>331</v>
      </c>
      <c r="H9534" s="15">
        <v>46266</v>
      </c>
      <c r="I9534">
        <v>6800</v>
      </c>
      <c r="J9534">
        <v>0</v>
      </c>
    </row>
    <row r="9535" spans="1:10" x14ac:dyDescent="0.3">
      <c r="A9535" s="15">
        <v>46296</v>
      </c>
      <c r="B9535" t="s">
        <v>544</v>
      </c>
      <c r="C9535" t="s">
        <v>81</v>
      </c>
      <c r="D9535" t="s">
        <v>99</v>
      </c>
      <c r="E9535" t="s">
        <v>87</v>
      </c>
      <c r="F9535">
        <v>2500</v>
      </c>
      <c r="G9535" t="s">
        <v>331</v>
      </c>
      <c r="H9535" s="15">
        <v>46266</v>
      </c>
      <c r="I9535">
        <v>2500</v>
      </c>
      <c r="J9535">
        <v>0</v>
      </c>
    </row>
    <row r="9536" spans="1:10" x14ac:dyDescent="0.3">
      <c r="A9536" s="15">
        <v>46296</v>
      </c>
      <c r="B9536" t="s">
        <v>545</v>
      </c>
      <c r="C9536" t="s">
        <v>91</v>
      </c>
      <c r="D9536" t="s">
        <v>82</v>
      </c>
      <c r="E9536" t="s">
        <v>97</v>
      </c>
      <c r="F9536">
        <v>5000</v>
      </c>
      <c r="G9536" t="s">
        <v>331</v>
      </c>
      <c r="H9536" s="15">
        <v>46266</v>
      </c>
      <c r="I9536">
        <v>5000</v>
      </c>
      <c r="J9536">
        <v>0</v>
      </c>
    </row>
    <row r="9537" spans="1:10" x14ac:dyDescent="0.3">
      <c r="A9537" s="15">
        <v>46296</v>
      </c>
      <c r="B9537" t="s">
        <v>546</v>
      </c>
      <c r="C9537" t="s">
        <v>91</v>
      </c>
      <c r="D9537" t="s">
        <v>99</v>
      </c>
      <c r="E9537" t="s">
        <v>101</v>
      </c>
      <c r="F9537">
        <v>7200</v>
      </c>
      <c r="G9537" t="s">
        <v>331</v>
      </c>
      <c r="H9537" s="15">
        <v>46266</v>
      </c>
      <c r="I9537">
        <v>7200</v>
      </c>
      <c r="J9537">
        <v>0</v>
      </c>
    </row>
    <row r="9538" spans="1:10" x14ac:dyDescent="0.3">
      <c r="A9538" s="15">
        <v>46296</v>
      </c>
      <c r="B9538" t="s">
        <v>547</v>
      </c>
      <c r="C9538" t="s">
        <v>110</v>
      </c>
      <c r="D9538" t="s">
        <v>82</v>
      </c>
      <c r="E9538" t="s">
        <v>89</v>
      </c>
      <c r="F9538">
        <v>41400</v>
      </c>
      <c r="G9538" t="s">
        <v>84</v>
      </c>
      <c r="H9538" s="15">
        <v>46296</v>
      </c>
      <c r="I9538">
        <v>0</v>
      </c>
      <c r="J9538">
        <v>41400</v>
      </c>
    </row>
    <row r="9539" spans="1:10" x14ac:dyDescent="0.3">
      <c r="A9539" s="15">
        <v>46296</v>
      </c>
      <c r="B9539" t="s">
        <v>548</v>
      </c>
      <c r="C9539" t="s">
        <v>81</v>
      </c>
      <c r="D9539" t="s">
        <v>99</v>
      </c>
      <c r="E9539" t="s">
        <v>87</v>
      </c>
      <c r="F9539">
        <v>2700</v>
      </c>
      <c r="G9539" t="s">
        <v>84</v>
      </c>
      <c r="H9539" s="15">
        <v>46296</v>
      </c>
      <c r="I9539">
        <v>0</v>
      </c>
      <c r="J9539">
        <v>2700</v>
      </c>
    </row>
    <row r="9540" spans="1:10" x14ac:dyDescent="0.3">
      <c r="A9540" s="15">
        <v>46296</v>
      </c>
      <c r="B9540" t="s">
        <v>549</v>
      </c>
      <c r="C9540" t="s">
        <v>91</v>
      </c>
      <c r="D9540" t="s">
        <v>86</v>
      </c>
      <c r="E9540" t="s">
        <v>87</v>
      </c>
      <c r="F9540">
        <v>6100</v>
      </c>
      <c r="G9540" t="s">
        <v>84</v>
      </c>
      <c r="H9540" s="15">
        <v>46296</v>
      </c>
      <c r="I9540">
        <v>0</v>
      </c>
      <c r="J9540">
        <v>6100</v>
      </c>
    </row>
    <row r="9541" spans="1:10" x14ac:dyDescent="0.3">
      <c r="A9541" s="15">
        <v>46296</v>
      </c>
      <c r="B9541" t="s">
        <v>550</v>
      </c>
      <c r="C9541" t="s">
        <v>91</v>
      </c>
      <c r="D9541" t="s">
        <v>82</v>
      </c>
      <c r="E9541" t="s">
        <v>92</v>
      </c>
      <c r="F9541">
        <v>6000</v>
      </c>
      <c r="G9541" t="s">
        <v>84</v>
      </c>
      <c r="H9541" s="15">
        <v>46296</v>
      </c>
      <c r="I9541">
        <v>0</v>
      </c>
      <c r="J9541">
        <v>6000</v>
      </c>
    </row>
    <row r="9542" spans="1:10" x14ac:dyDescent="0.3">
      <c r="A9542" s="15">
        <v>46296</v>
      </c>
      <c r="B9542" t="s">
        <v>551</v>
      </c>
      <c r="C9542" t="s">
        <v>110</v>
      </c>
      <c r="D9542" t="s">
        <v>86</v>
      </c>
      <c r="E9542" t="s">
        <v>92</v>
      </c>
      <c r="F9542">
        <v>34900</v>
      </c>
      <c r="G9542" t="s">
        <v>84</v>
      </c>
      <c r="H9542" s="15">
        <v>46296</v>
      </c>
      <c r="I9542">
        <v>0</v>
      </c>
      <c r="J9542">
        <v>34900</v>
      </c>
    </row>
    <row r="9543" spans="1:10" x14ac:dyDescent="0.3">
      <c r="A9543" s="15">
        <v>46296</v>
      </c>
      <c r="B9543" t="s">
        <v>552</v>
      </c>
      <c r="C9543" t="s">
        <v>81</v>
      </c>
      <c r="D9543" t="s">
        <v>82</v>
      </c>
      <c r="E9543" t="s">
        <v>89</v>
      </c>
      <c r="F9543">
        <v>2300</v>
      </c>
      <c r="G9543" t="s">
        <v>84</v>
      </c>
      <c r="H9543" s="15">
        <v>46296</v>
      </c>
      <c r="I9543">
        <v>0</v>
      </c>
      <c r="J9543">
        <v>2300</v>
      </c>
    </row>
    <row r="9544" spans="1:10" x14ac:dyDescent="0.3">
      <c r="A9544" s="15">
        <v>46296</v>
      </c>
      <c r="B9544" t="s">
        <v>553</v>
      </c>
      <c r="C9544" t="s">
        <v>91</v>
      </c>
      <c r="D9544" t="s">
        <v>82</v>
      </c>
      <c r="E9544" t="s">
        <v>101</v>
      </c>
      <c r="F9544">
        <v>8300</v>
      </c>
      <c r="G9544" t="s">
        <v>84</v>
      </c>
      <c r="H9544" s="15">
        <v>46296</v>
      </c>
      <c r="I9544">
        <v>0</v>
      </c>
      <c r="J9544">
        <v>8300</v>
      </c>
    </row>
    <row r="9545" spans="1:10" x14ac:dyDescent="0.3">
      <c r="A9545" s="15">
        <v>46327</v>
      </c>
      <c r="B9545" t="s">
        <v>80</v>
      </c>
      <c r="C9545" t="s">
        <v>81</v>
      </c>
      <c r="D9545" t="s">
        <v>82</v>
      </c>
      <c r="E9545" t="s">
        <v>83</v>
      </c>
      <c r="F9545">
        <v>1900</v>
      </c>
      <c r="G9545" t="s">
        <v>331</v>
      </c>
      <c r="H9545" s="15">
        <v>45292</v>
      </c>
      <c r="I9545">
        <v>1900</v>
      </c>
      <c r="J9545">
        <v>0</v>
      </c>
    </row>
    <row r="9546" spans="1:10" x14ac:dyDescent="0.3">
      <c r="A9546" s="15">
        <v>46327</v>
      </c>
      <c r="B9546" t="s">
        <v>85</v>
      </c>
      <c r="C9546" t="s">
        <v>81</v>
      </c>
      <c r="D9546" t="s">
        <v>86</v>
      </c>
      <c r="E9546" t="s">
        <v>87</v>
      </c>
      <c r="F9546">
        <v>2200</v>
      </c>
      <c r="G9546" t="s">
        <v>331</v>
      </c>
      <c r="H9546" s="15">
        <v>45292</v>
      </c>
      <c r="I9546">
        <v>2200</v>
      </c>
      <c r="J9546">
        <v>0</v>
      </c>
    </row>
    <row r="9547" spans="1:10" x14ac:dyDescent="0.3">
      <c r="A9547" s="15">
        <v>46327</v>
      </c>
      <c r="B9547" t="s">
        <v>88</v>
      </c>
      <c r="C9547" t="s">
        <v>81</v>
      </c>
      <c r="D9547" t="s">
        <v>86</v>
      </c>
      <c r="E9547" t="s">
        <v>89</v>
      </c>
      <c r="F9547">
        <v>2400</v>
      </c>
      <c r="G9547" t="s">
        <v>331</v>
      </c>
      <c r="H9547" s="15">
        <v>45292</v>
      </c>
      <c r="I9547">
        <v>2400</v>
      </c>
      <c r="J9547">
        <v>0</v>
      </c>
    </row>
    <row r="9548" spans="1:10" x14ac:dyDescent="0.3">
      <c r="A9548" s="15">
        <v>46327</v>
      </c>
      <c r="B9548" t="s">
        <v>90</v>
      </c>
      <c r="C9548" t="s">
        <v>91</v>
      </c>
      <c r="D9548" t="s">
        <v>82</v>
      </c>
      <c r="E9548" t="s">
        <v>92</v>
      </c>
      <c r="F9548">
        <v>9200</v>
      </c>
      <c r="G9548" t="s">
        <v>331</v>
      </c>
      <c r="H9548" s="15">
        <v>45292</v>
      </c>
      <c r="I9548">
        <v>9200</v>
      </c>
      <c r="J9548">
        <v>0</v>
      </c>
    </row>
    <row r="9549" spans="1:10" x14ac:dyDescent="0.3">
      <c r="A9549" s="15">
        <v>46327</v>
      </c>
      <c r="B9549" t="s">
        <v>93</v>
      </c>
      <c r="C9549" t="s">
        <v>81</v>
      </c>
      <c r="D9549" t="s">
        <v>86</v>
      </c>
      <c r="E9549" t="s">
        <v>83</v>
      </c>
      <c r="F9549">
        <v>2600</v>
      </c>
      <c r="G9549" t="s">
        <v>331</v>
      </c>
      <c r="H9549" s="15">
        <v>45292</v>
      </c>
      <c r="I9549">
        <v>2600</v>
      </c>
      <c r="J9549">
        <v>0</v>
      </c>
    </row>
    <row r="9550" spans="1:10" x14ac:dyDescent="0.3">
      <c r="A9550" s="15">
        <v>46327</v>
      </c>
      <c r="B9550" t="s">
        <v>94</v>
      </c>
      <c r="C9550" t="s">
        <v>91</v>
      </c>
      <c r="D9550" t="s">
        <v>86</v>
      </c>
      <c r="E9550" t="s">
        <v>83</v>
      </c>
      <c r="F9550">
        <v>8900</v>
      </c>
      <c r="G9550" t="s">
        <v>331</v>
      </c>
      <c r="H9550" s="15">
        <v>45292</v>
      </c>
      <c r="I9550">
        <v>8900</v>
      </c>
      <c r="J9550">
        <v>0</v>
      </c>
    </row>
    <row r="9551" spans="1:10" x14ac:dyDescent="0.3">
      <c r="A9551" s="15">
        <v>46327</v>
      </c>
      <c r="B9551" t="s">
        <v>95</v>
      </c>
      <c r="C9551" t="s">
        <v>81</v>
      </c>
      <c r="D9551" t="s">
        <v>96</v>
      </c>
      <c r="E9551" t="s">
        <v>97</v>
      </c>
      <c r="F9551">
        <v>3100</v>
      </c>
      <c r="G9551" t="s">
        <v>331</v>
      </c>
      <c r="H9551" s="15">
        <v>45292</v>
      </c>
      <c r="I9551">
        <v>3100</v>
      </c>
      <c r="J9551">
        <v>0</v>
      </c>
    </row>
    <row r="9552" spans="1:10" x14ac:dyDescent="0.3">
      <c r="A9552" s="15">
        <v>46327</v>
      </c>
      <c r="B9552" t="s">
        <v>98</v>
      </c>
      <c r="C9552" t="s">
        <v>81</v>
      </c>
      <c r="D9552" t="s">
        <v>99</v>
      </c>
      <c r="E9552" t="s">
        <v>92</v>
      </c>
      <c r="F9552">
        <v>2000</v>
      </c>
      <c r="G9552" t="s">
        <v>331</v>
      </c>
      <c r="H9552" s="15">
        <v>45292</v>
      </c>
      <c r="I9552">
        <v>2000</v>
      </c>
      <c r="J9552">
        <v>0</v>
      </c>
    </row>
    <row r="9553" spans="1:10" x14ac:dyDescent="0.3">
      <c r="A9553" s="15">
        <v>46327</v>
      </c>
      <c r="B9553" t="s">
        <v>102</v>
      </c>
      <c r="C9553" t="s">
        <v>81</v>
      </c>
      <c r="D9553" t="s">
        <v>99</v>
      </c>
      <c r="E9553" t="s">
        <v>103</v>
      </c>
      <c r="F9553">
        <v>2500</v>
      </c>
      <c r="G9553" t="s">
        <v>331</v>
      </c>
      <c r="H9553" s="15">
        <v>45292</v>
      </c>
      <c r="I9553">
        <v>2500</v>
      </c>
      <c r="J9553">
        <v>0</v>
      </c>
    </row>
    <row r="9554" spans="1:10" x14ac:dyDescent="0.3">
      <c r="A9554" s="15">
        <v>46327</v>
      </c>
      <c r="B9554" t="s">
        <v>105</v>
      </c>
      <c r="C9554" t="s">
        <v>91</v>
      </c>
      <c r="D9554" t="s">
        <v>86</v>
      </c>
      <c r="E9554" t="s">
        <v>89</v>
      </c>
      <c r="F9554">
        <v>0</v>
      </c>
      <c r="G9554" t="s">
        <v>333</v>
      </c>
      <c r="H9554" s="15">
        <v>45292</v>
      </c>
      <c r="I9554">
        <v>12900</v>
      </c>
      <c r="J9554">
        <v>-12900</v>
      </c>
    </row>
    <row r="9555" spans="1:10" x14ac:dyDescent="0.3">
      <c r="A9555" s="15">
        <v>46327</v>
      </c>
      <c r="B9555" t="s">
        <v>106</v>
      </c>
      <c r="C9555" t="s">
        <v>81</v>
      </c>
      <c r="D9555" t="s">
        <v>99</v>
      </c>
      <c r="E9555" t="s">
        <v>92</v>
      </c>
      <c r="F9555">
        <v>2700</v>
      </c>
      <c r="G9555" t="s">
        <v>331</v>
      </c>
      <c r="H9555" s="15">
        <v>45292</v>
      </c>
      <c r="I9555">
        <v>2700</v>
      </c>
      <c r="J9555">
        <v>0</v>
      </c>
    </row>
    <row r="9556" spans="1:10" x14ac:dyDescent="0.3">
      <c r="A9556" s="15">
        <v>46327</v>
      </c>
      <c r="B9556" t="s">
        <v>109</v>
      </c>
      <c r="C9556" t="s">
        <v>110</v>
      </c>
      <c r="D9556" t="s">
        <v>82</v>
      </c>
      <c r="E9556" t="s">
        <v>103</v>
      </c>
      <c r="F9556">
        <v>37500</v>
      </c>
      <c r="G9556" t="s">
        <v>331</v>
      </c>
      <c r="H9556" s="15">
        <v>45292</v>
      </c>
      <c r="I9556">
        <v>37500</v>
      </c>
      <c r="J9556">
        <v>0</v>
      </c>
    </row>
    <row r="9557" spans="1:10" x14ac:dyDescent="0.3">
      <c r="A9557" s="15">
        <v>46327</v>
      </c>
      <c r="B9557" t="s">
        <v>111</v>
      </c>
      <c r="C9557" t="s">
        <v>91</v>
      </c>
      <c r="D9557" t="s">
        <v>82</v>
      </c>
      <c r="E9557" t="s">
        <v>83</v>
      </c>
      <c r="F9557">
        <v>8800</v>
      </c>
      <c r="G9557" t="s">
        <v>331</v>
      </c>
      <c r="H9557" s="15">
        <v>45292</v>
      </c>
      <c r="I9557">
        <v>8800</v>
      </c>
      <c r="J9557">
        <v>0</v>
      </c>
    </row>
    <row r="9558" spans="1:10" x14ac:dyDescent="0.3">
      <c r="A9558" s="15">
        <v>46327</v>
      </c>
      <c r="B9558" t="s">
        <v>112</v>
      </c>
      <c r="C9558" t="s">
        <v>91</v>
      </c>
      <c r="D9558" t="s">
        <v>82</v>
      </c>
      <c r="E9558" t="s">
        <v>92</v>
      </c>
      <c r="F9558">
        <v>8600</v>
      </c>
      <c r="G9558" t="s">
        <v>331</v>
      </c>
      <c r="H9558" s="15">
        <v>45292</v>
      </c>
      <c r="I9558">
        <v>8600</v>
      </c>
      <c r="J9558">
        <v>0</v>
      </c>
    </row>
    <row r="9559" spans="1:10" x14ac:dyDescent="0.3">
      <c r="A9559" s="15">
        <v>46327</v>
      </c>
      <c r="B9559" t="s">
        <v>114</v>
      </c>
      <c r="C9559" t="s">
        <v>110</v>
      </c>
      <c r="D9559" t="s">
        <v>99</v>
      </c>
      <c r="E9559" t="s">
        <v>97</v>
      </c>
      <c r="F9559">
        <v>39000</v>
      </c>
      <c r="G9559" t="s">
        <v>331</v>
      </c>
      <c r="H9559" s="15">
        <v>45292</v>
      </c>
      <c r="I9559">
        <v>39000</v>
      </c>
      <c r="J9559">
        <v>0</v>
      </c>
    </row>
    <row r="9560" spans="1:10" x14ac:dyDescent="0.3">
      <c r="A9560" s="15">
        <v>46327</v>
      </c>
      <c r="B9560" t="s">
        <v>115</v>
      </c>
      <c r="C9560" t="s">
        <v>81</v>
      </c>
      <c r="D9560" t="s">
        <v>82</v>
      </c>
      <c r="E9560" t="s">
        <v>101</v>
      </c>
      <c r="F9560">
        <v>2600</v>
      </c>
      <c r="G9560" t="s">
        <v>331</v>
      </c>
      <c r="H9560" s="15">
        <v>45292</v>
      </c>
      <c r="I9560">
        <v>2600</v>
      </c>
      <c r="J9560">
        <v>0</v>
      </c>
    </row>
    <row r="9561" spans="1:10" x14ac:dyDescent="0.3">
      <c r="A9561" s="15">
        <v>46327</v>
      </c>
      <c r="B9561" t="s">
        <v>116</v>
      </c>
      <c r="C9561" t="s">
        <v>81</v>
      </c>
      <c r="D9561" t="s">
        <v>86</v>
      </c>
      <c r="E9561" t="s">
        <v>87</v>
      </c>
      <c r="F9561">
        <v>2700</v>
      </c>
      <c r="G9561" t="s">
        <v>331</v>
      </c>
      <c r="H9561" s="15">
        <v>45292</v>
      </c>
      <c r="I9561">
        <v>2700</v>
      </c>
      <c r="J9561">
        <v>0</v>
      </c>
    </row>
    <row r="9562" spans="1:10" x14ac:dyDescent="0.3">
      <c r="A9562" s="15">
        <v>46327</v>
      </c>
      <c r="B9562" t="s">
        <v>117</v>
      </c>
      <c r="C9562" t="s">
        <v>81</v>
      </c>
      <c r="D9562" t="s">
        <v>86</v>
      </c>
      <c r="E9562" t="s">
        <v>103</v>
      </c>
      <c r="F9562">
        <v>2500</v>
      </c>
      <c r="G9562" t="s">
        <v>331</v>
      </c>
      <c r="H9562" s="15">
        <v>45292</v>
      </c>
      <c r="I9562">
        <v>2500</v>
      </c>
      <c r="J9562">
        <v>0</v>
      </c>
    </row>
    <row r="9563" spans="1:10" x14ac:dyDescent="0.3">
      <c r="A9563" s="15">
        <v>46327</v>
      </c>
      <c r="B9563" t="s">
        <v>120</v>
      </c>
      <c r="C9563" t="s">
        <v>81</v>
      </c>
      <c r="D9563" t="s">
        <v>86</v>
      </c>
      <c r="E9563" t="s">
        <v>101</v>
      </c>
      <c r="F9563">
        <v>2200</v>
      </c>
      <c r="G9563" t="s">
        <v>331</v>
      </c>
      <c r="H9563" s="15">
        <v>45292</v>
      </c>
      <c r="I9563">
        <v>2200</v>
      </c>
      <c r="J9563">
        <v>0</v>
      </c>
    </row>
    <row r="9564" spans="1:10" x14ac:dyDescent="0.3">
      <c r="A9564" s="15">
        <v>46327</v>
      </c>
      <c r="B9564" t="s">
        <v>123</v>
      </c>
      <c r="C9564" t="s">
        <v>81</v>
      </c>
      <c r="D9564" t="s">
        <v>82</v>
      </c>
      <c r="E9564" t="s">
        <v>92</v>
      </c>
      <c r="F9564">
        <v>1900</v>
      </c>
      <c r="G9564" t="s">
        <v>331</v>
      </c>
      <c r="H9564" s="15">
        <v>45292</v>
      </c>
      <c r="I9564">
        <v>1900</v>
      </c>
      <c r="J9564">
        <v>0</v>
      </c>
    </row>
    <row r="9565" spans="1:10" x14ac:dyDescent="0.3">
      <c r="A9565" s="15">
        <v>46327</v>
      </c>
      <c r="B9565" t="s">
        <v>124</v>
      </c>
      <c r="C9565" t="s">
        <v>125</v>
      </c>
      <c r="D9565" t="s">
        <v>82</v>
      </c>
      <c r="E9565" t="s">
        <v>97</v>
      </c>
      <c r="F9565">
        <v>67900</v>
      </c>
      <c r="G9565" t="s">
        <v>331</v>
      </c>
      <c r="H9565" s="15">
        <v>45292</v>
      </c>
      <c r="I9565">
        <v>67900</v>
      </c>
      <c r="J9565">
        <v>0</v>
      </c>
    </row>
    <row r="9566" spans="1:10" x14ac:dyDescent="0.3">
      <c r="A9566" s="15">
        <v>46327</v>
      </c>
      <c r="B9566" t="s">
        <v>126</v>
      </c>
      <c r="C9566" t="s">
        <v>91</v>
      </c>
      <c r="D9566" t="s">
        <v>82</v>
      </c>
      <c r="E9566" t="s">
        <v>83</v>
      </c>
      <c r="F9566">
        <v>8800</v>
      </c>
      <c r="G9566" t="s">
        <v>331</v>
      </c>
      <c r="H9566" s="15">
        <v>45292</v>
      </c>
      <c r="I9566">
        <v>8800</v>
      </c>
      <c r="J9566">
        <v>0</v>
      </c>
    </row>
    <row r="9567" spans="1:10" x14ac:dyDescent="0.3">
      <c r="A9567" s="15">
        <v>46327</v>
      </c>
      <c r="B9567" t="s">
        <v>128</v>
      </c>
      <c r="C9567" t="s">
        <v>81</v>
      </c>
      <c r="D9567" t="s">
        <v>82</v>
      </c>
      <c r="E9567" t="s">
        <v>92</v>
      </c>
      <c r="F9567">
        <v>1700</v>
      </c>
      <c r="G9567" t="s">
        <v>331</v>
      </c>
      <c r="H9567" s="15">
        <v>45292</v>
      </c>
      <c r="I9567">
        <v>1700</v>
      </c>
      <c r="J9567">
        <v>0</v>
      </c>
    </row>
    <row r="9568" spans="1:10" x14ac:dyDescent="0.3">
      <c r="A9568" s="15">
        <v>46327</v>
      </c>
      <c r="B9568" t="s">
        <v>129</v>
      </c>
      <c r="C9568" t="s">
        <v>110</v>
      </c>
      <c r="D9568" t="s">
        <v>86</v>
      </c>
      <c r="E9568" t="s">
        <v>92</v>
      </c>
      <c r="F9568">
        <v>40500</v>
      </c>
      <c r="G9568" t="s">
        <v>331</v>
      </c>
      <c r="H9568" s="15">
        <v>45292</v>
      </c>
      <c r="I9568">
        <v>40500</v>
      </c>
      <c r="J9568">
        <v>0</v>
      </c>
    </row>
    <row r="9569" spans="1:10" x14ac:dyDescent="0.3">
      <c r="A9569" s="15">
        <v>46327</v>
      </c>
      <c r="B9569" t="s">
        <v>133</v>
      </c>
      <c r="C9569" t="s">
        <v>81</v>
      </c>
      <c r="D9569" t="s">
        <v>96</v>
      </c>
      <c r="E9569" t="s">
        <v>87</v>
      </c>
      <c r="F9569">
        <v>2700</v>
      </c>
      <c r="G9569" t="s">
        <v>331</v>
      </c>
      <c r="H9569" s="15">
        <v>45292</v>
      </c>
      <c r="I9569">
        <v>2700</v>
      </c>
      <c r="J9569">
        <v>0</v>
      </c>
    </row>
    <row r="9570" spans="1:10" x14ac:dyDescent="0.3">
      <c r="A9570" s="15">
        <v>46327</v>
      </c>
      <c r="B9570" t="s">
        <v>134</v>
      </c>
      <c r="C9570" t="s">
        <v>81</v>
      </c>
      <c r="D9570" t="s">
        <v>82</v>
      </c>
      <c r="E9570" t="s">
        <v>92</v>
      </c>
      <c r="F9570">
        <v>2600</v>
      </c>
      <c r="G9570" t="s">
        <v>331</v>
      </c>
      <c r="H9570" s="15">
        <v>45292</v>
      </c>
      <c r="I9570">
        <v>2600</v>
      </c>
      <c r="J9570">
        <v>0</v>
      </c>
    </row>
    <row r="9571" spans="1:10" x14ac:dyDescent="0.3">
      <c r="A9571" s="15">
        <v>46327</v>
      </c>
      <c r="B9571" t="s">
        <v>135</v>
      </c>
      <c r="C9571" t="s">
        <v>81</v>
      </c>
      <c r="D9571" t="s">
        <v>82</v>
      </c>
      <c r="E9571" t="s">
        <v>103</v>
      </c>
      <c r="F9571">
        <v>2400</v>
      </c>
      <c r="G9571" t="s">
        <v>331</v>
      </c>
      <c r="H9571" s="15">
        <v>45292</v>
      </c>
      <c r="I9571">
        <v>2400</v>
      </c>
      <c r="J9571">
        <v>0</v>
      </c>
    </row>
    <row r="9572" spans="1:10" x14ac:dyDescent="0.3">
      <c r="A9572" s="15">
        <v>46327</v>
      </c>
      <c r="B9572" t="s">
        <v>136</v>
      </c>
      <c r="C9572" t="s">
        <v>81</v>
      </c>
      <c r="D9572" t="s">
        <v>82</v>
      </c>
      <c r="E9572" t="s">
        <v>101</v>
      </c>
      <c r="F9572">
        <v>2900</v>
      </c>
      <c r="G9572" t="s">
        <v>331</v>
      </c>
      <c r="H9572" s="15">
        <v>45292</v>
      </c>
      <c r="I9572">
        <v>2900</v>
      </c>
      <c r="J9572">
        <v>0</v>
      </c>
    </row>
    <row r="9573" spans="1:10" x14ac:dyDescent="0.3">
      <c r="A9573" s="15">
        <v>46327</v>
      </c>
      <c r="B9573" t="s">
        <v>138</v>
      </c>
      <c r="C9573" t="s">
        <v>81</v>
      </c>
      <c r="D9573" t="s">
        <v>86</v>
      </c>
      <c r="E9573" t="s">
        <v>97</v>
      </c>
      <c r="F9573">
        <v>3300</v>
      </c>
      <c r="G9573" t="s">
        <v>331</v>
      </c>
      <c r="H9573" s="15">
        <v>45292</v>
      </c>
      <c r="I9573">
        <v>3300</v>
      </c>
      <c r="J9573">
        <v>0</v>
      </c>
    </row>
    <row r="9574" spans="1:10" x14ac:dyDescent="0.3">
      <c r="A9574" s="15">
        <v>46327</v>
      </c>
      <c r="B9574" t="s">
        <v>139</v>
      </c>
      <c r="C9574" t="s">
        <v>91</v>
      </c>
      <c r="D9574" t="s">
        <v>82</v>
      </c>
      <c r="E9574" t="s">
        <v>103</v>
      </c>
      <c r="F9574">
        <v>6800</v>
      </c>
      <c r="G9574" t="s">
        <v>331</v>
      </c>
      <c r="H9574" s="15">
        <v>45292</v>
      </c>
      <c r="I9574">
        <v>6800</v>
      </c>
      <c r="J9574">
        <v>0</v>
      </c>
    </row>
    <row r="9575" spans="1:10" x14ac:dyDescent="0.3">
      <c r="A9575" s="15">
        <v>46327</v>
      </c>
      <c r="B9575" t="s">
        <v>141</v>
      </c>
      <c r="C9575" t="s">
        <v>125</v>
      </c>
      <c r="D9575" t="s">
        <v>99</v>
      </c>
      <c r="E9575" t="s">
        <v>103</v>
      </c>
      <c r="F9575">
        <v>127400</v>
      </c>
      <c r="G9575" t="s">
        <v>331</v>
      </c>
      <c r="H9575" s="15">
        <v>45292</v>
      </c>
      <c r="I9575">
        <v>127400</v>
      </c>
      <c r="J9575">
        <v>0</v>
      </c>
    </row>
    <row r="9576" spans="1:10" x14ac:dyDescent="0.3">
      <c r="A9576" s="15">
        <v>46327</v>
      </c>
      <c r="B9576" t="s">
        <v>142</v>
      </c>
      <c r="C9576" t="s">
        <v>125</v>
      </c>
      <c r="D9576" t="s">
        <v>82</v>
      </c>
      <c r="E9576" t="s">
        <v>92</v>
      </c>
      <c r="F9576">
        <v>114200</v>
      </c>
      <c r="G9576" t="s">
        <v>331</v>
      </c>
      <c r="H9576" s="15">
        <v>45292</v>
      </c>
      <c r="I9576">
        <v>114200</v>
      </c>
      <c r="J9576">
        <v>0</v>
      </c>
    </row>
    <row r="9577" spans="1:10" x14ac:dyDescent="0.3">
      <c r="A9577" s="15">
        <v>46327</v>
      </c>
      <c r="B9577" t="s">
        <v>143</v>
      </c>
      <c r="C9577" t="s">
        <v>91</v>
      </c>
      <c r="D9577" t="s">
        <v>99</v>
      </c>
      <c r="E9577" t="s">
        <v>103</v>
      </c>
      <c r="F9577">
        <v>8500</v>
      </c>
      <c r="G9577" t="s">
        <v>331</v>
      </c>
      <c r="H9577" s="15">
        <v>45292</v>
      </c>
      <c r="I9577">
        <v>8500</v>
      </c>
      <c r="J9577">
        <v>0</v>
      </c>
    </row>
    <row r="9578" spans="1:10" x14ac:dyDescent="0.3">
      <c r="A9578" s="15">
        <v>46327</v>
      </c>
      <c r="B9578" t="s">
        <v>144</v>
      </c>
      <c r="C9578" t="s">
        <v>81</v>
      </c>
      <c r="D9578" t="s">
        <v>82</v>
      </c>
      <c r="E9578" t="s">
        <v>92</v>
      </c>
      <c r="F9578">
        <v>2500</v>
      </c>
      <c r="G9578" t="s">
        <v>331</v>
      </c>
      <c r="H9578" s="15">
        <v>45292</v>
      </c>
      <c r="I9578">
        <v>2500</v>
      </c>
      <c r="J9578">
        <v>0</v>
      </c>
    </row>
    <row r="9579" spans="1:10" x14ac:dyDescent="0.3">
      <c r="A9579" s="15">
        <v>46327</v>
      </c>
      <c r="B9579" t="s">
        <v>145</v>
      </c>
      <c r="C9579" t="s">
        <v>91</v>
      </c>
      <c r="D9579" t="s">
        <v>82</v>
      </c>
      <c r="E9579" t="s">
        <v>87</v>
      </c>
      <c r="F9579">
        <v>7400</v>
      </c>
      <c r="G9579" t="s">
        <v>331</v>
      </c>
      <c r="H9579" s="15">
        <v>45292</v>
      </c>
      <c r="I9579">
        <v>7400</v>
      </c>
      <c r="J9579">
        <v>0</v>
      </c>
    </row>
    <row r="9580" spans="1:10" x14ac:dyDescent="0.3">
      <c r="A9580" s="15">
        <v>46327</v>
      </c>
      <c r="B9580" t="s">
        <v>146</v>
      </c>
      <c r="C9580" t="s">
        <v>91</v>
      </c>
      <c r="D9580" t="s">
        <v>86</v>
      </c>
      <c r="E9580" t="s">
        <v>87</v>
      </c>
      <c r="F9580">
        <v>10100</v>
      </c>
      <c r="G9580" t="s">
        <v>331</v>
      </c>
      <c r="H9580" s="15">
        <v>45292</v>
      </c>
      <c r="I9580">
        <v>10100</v>
      </c>
      <c r="J9580">
        <v>0</v>
      </c>
    </row>
    <row r="9581" spans="1:10" x14ac:dyDescent="0.3">
      <c r="A9581" s="15">
        <v>46327</v>
      </c>
      <c r="B9581" t="s">
        <v>149</v>
      </c>
      <c r="C9581" t="s">
        <v>110</v>
      </c>
      <c r="D9581" t="s">
        <v>82</v>
      </c>
      <c r="E9581" t="s">
        <v>103</v>
      </c>
      <c r="F9581">
        <v>25500</v>
      </c>
      <c r="G9581" t="s">
        <v>331</v>
      </c>
      <c r="H9581" s="15">
        <v>45292</v>
      </c>
      <c r="I9581">
        <v>25500</v>
      </c>
      <c r="J9581">
        <v>0</v>
      </c>
    </row>
    <row r="9582" spans="1:10" x14ac:dyDescent="0.3">
      <c r="A9582" s="15">
        <v>46327</v>
      </c>
      <c r="B9582" t="s">
        <v>151</v>
      </c>
      <c r="C9582" t="s">
        <v>91</v>
      </c>
      <c r="D9582" t="s">
        <v>82</v>
      </c>
      <c r="E9582" t="s">
        <v>97</v>
      </c>
      <c r="F9582">
        <v>5600</v>
      </c>
      <c r="G9582" t="s">
        <v>331</v>
      </c>
      <c r="H9582" s="15">
        <v>45292</v>
      </c>
      <c r="I9582">
        <v>5600</v>
      </c>
      <c r="J9582">
        <v>0</v>
      </c>
    </row>
    <row r="9583" spans="1:10" x14ac:dyDescent="0.3">
      <c r="A9583" s="15">
        <v>46327</v>
      </c>
      <c r="B9583" t="s">
        <v>154</v>
      </c>
      <c r="C9583" t="s">
        <v>91</v>
      </c>
      <c r="D9583" t="s">
        <v>86</v>
      </c>
      <c r="E9583" t="s">
        <v>103</v>
      </c>
      <c r="F9583">
        <v>8300</v>
      </c>
      <c r="G9583" t="s">
        <v>331</v>
      </c>
      <c r="H9583" s="15">
        <v>45292</v>
      </c>
      <c r="I9583">
        <v>8300</v>
      </c>
      <c r="J9583">
        <v>0</v>
      </c>
    </row>
    <row r="9584" spans="1:10" x14ac:dyDescent="0.3">
      <c r="A9584" s="15">
        <v>46327</v>
      </c>
      <c r="B9584" t="s">
        <v>155</v>
      </c>
      <c r="C9584" t="s">
        <v>91</v>
      </c>
      <c r="D9584" t="s">
        <v>82</v>
      </c>
      <c r="E9584" t="s">
        <v>92</v>
      </c>
      <c r="F9584">
        <v>7300</v>
      </c>
      <c r="G9584" t="s">
        <v>331</v>
      </c>
      <c r="H9584" s="15">
        <v>45292</v>
      </c>
      <c r="I9584">
        <v>7300</v>
      </c>
      <c r="J9584">
        <v>0</v>
      </c>
    </row>
    <row r="9585" spans="1:10" x14ac:dyDescent="0.3">
      <c r="A9585" s="15">
        <v>46327</v>
      </c>
      <c r="B9585" t="s">
        <v>157</v>
      </c>
      <c r="C9585" t="s">
        <v>81</v>
      </c>
      <c r="D9585" t="s">
        <v>82</v>
      </c>
      <c r="E9585" t="s">
        <v>92</v>
      </c>
      <c r="F9585">
        <v>1800</v>
      </c>
      <c r="G9585" t="s">
        <v>331</v>
      </c>
      <c r="H9585" s="15">
        <v>45292</v>
      </c>
      <c r="I9585">
        <v>1800</v>
      </c>
      <c r="J9585">
        <v>0</v>
      </c>
    </row>
    <row r="9586" spans="1:10" x14ac:dyDescent="0.3">
      <c r="A9586" s="15">
        <v>46327</v>
      </c>
      <c r="B9586" t="s">
        <v>159</v>
      </c>
      <c r="C9586" t="s">
        <v>81</v>
      </c>
      <c r="D9586" t="s">
        <v>86</v>
      </c>
      <c r="E9586" t="s">
        <v>87</v>
      </c>
      <c r="F9586">
        <v>2600</v>
      </c>
      <c r="G9586" t="s">
        <v>331</v>
      </c>
      <c r="H9586" s="15">
        <v>45292</v>
      </c>
      <c r="I9586">
        <v>2600</v>
      </c>
      <c r="J9586">
        <v>0</v>
      </c>
    </row>
    <row r="9587" spans="1:10" x14ac:dyDescent="0.3">
      <c r="A9587" s="15">
        <v>46327</v>
      </c>
      <c r="B9587" t="s">
        <v>161</v>
      </c>
      <c r="C9587" t="s">
        <v>91</v>
      </c>
      <c r="D9587" t="s">
        <v>99</v>
      </c>
      <c r="E9587" t="s">
        <v>83</v>
      </c>
      <c r="F9587">
        <v>10900</v>
      </c>
      <c r="G9587" t="s">
        <v>331</v>
      </c>
      <c r="H9587" s="15">
        <v>45292</v>
      </c>
      <c r="I9587">
        <v>10900</v>
      </c>
      <c r="J9587">
        <v>0</v>
      </c>
    </row>
    <row r="9588" spans="1:10" x14ac:dyDescent="0.3">
      <c r="A9588" s="15">
        <v>46327</v>
      </c>
      <c r="B9588" t="s">
        <v>164</v>
      </c>
      <c r="C9588" t="s">
        <v>81</v>
      </c>
      <c r="D9588" t="s">
        <v>99</v>
      </c>
      <c r="E9588" t="s">
        <v>89</v>
      </c>
      <c r="F9588">
        <v>2800</v>
      </c>
      <c r="G9588" t="s">
        <v>331</v>
      </c>
      <c r="H9588" s="15">
        <v>45292</v>
      </c>
      <c r="I9588">
        <v>2800</v>
      </c>
      <c r="J9588">
        <v>0</v>
      </c>
    </row>
    <row r="9589" spans="1:10" x14ac:dyDescent="0.3">
      <c r="A9589" s="15">
        <v>46327</v>
      </c>
      <c r="B9589" t="s">
        <v>166</v>
      </c>
      <c r="C9589" t="s">
        <v>81</v>
      </c>
      <c r="D9589" t="s">
        <v>99</v>
      </c>
      <c r="E9589" t="s">
        <v>103</v>
      </c>
      <c r="F9589">
        <v>2600</v>
      </c>
      <c r="G9589" t="s">
        <v>331</v>
      </c>
      <c r="H9589" s="15">
        <v>45292</v>
      </c>
      <c r="I9589">
        <v>2600</v>
      </c>
      <c r="J9589">
        <v>0</v>
      </c>
    </row>
    <row r="9590" spans="1:10" x14ac:dyDescent="0.3">
      <c r="A9590" s="15">
        <v>46327</v>
      </c>
      <c r="B9590" t="s">
        <v>167</v>
      </c>
      <c r="C9590" t="s">
        <v>81</v>
      </c>
      <c r="D9590" t="s">
        <v>82</v>
      </c>
      <c r="E9590" t="s">
        <v>97</v>
      </c>
      <c r="F9590">
        <v>2000</v>
      </c>
      <c r="G9590" t="s">
        <v>331</v>
      </c>
      <c r="H9590" s="15">
        <v>45292</v>
      </c>
      <c r="I9590">
        <v>2000</v>
      </c>
      <c r="J9590">
        <v>0</v>
      </c>
    </row>
    <row r="9591" spans="1:10" x14ac:dyDescent="0.3">
      <c r="A9591" s="15">
        <v>46327</v>
      </c>
      <c r="B9591" t="s">
        <v>168</v>
      </c>
      <c r="C9591" t="s">
        <v>91</v>
      </c>
      <c r="D9591" t="s">
        <v>86</v>
      </c>
      <c r="E9591" t="s">
        <v>103</v>
      </c>
      <c r="F9591">
        <v>10700</v>
      </c>
      <c r="G9591" t="s">
        <v>331</v>
      </c>
      <c r="H9591" s="15">
        <v>45292</v>
      </c>
      <c r="I9591">
        <v>10700</v>
      </c>
      <c r="J9591">
        <v>0</v>
      </c>
    </row>
    <row r="9592" spans="1:10" x14ac:dyDescent="0.3">
      <c r="A9592" s="15">
        <v>46327</v>
      </c>
      <c r="B9592" t="s">
        <v>170</v>
      </c>
      <c r="C9592" t="s">
        <v>91</v>
      </c>
      <c r="D9592" t="s">
        <v>99</v>
      </c>
      <c r="E9592" t="s">
        <v>83</v>
      </c>
      <c r="F9592">
        <v>5500</v>
      </c>
      <c r="G9592" t="s">
        <v>331</v>
      </c>
      <c r="H9592" s="15">
        <v>45292</v>
      </c>
      <c r="I9592">
        <v>5500</v>
      </c>
      <c r="J9592">
        <v>0</v>
      </c>
    </row>
    <row r="9593" spans="1:10" x14ac:dyDescent="0.3">
      <c r="A9593" s="15">
        <v>46327</v>
      </c>
      <c r="B9593" t="s">
        <v>171</v>
      </c>
      <c r="C9593" t="s">
        <v>81</v>
      </c>
      <c r="D9593" t="s">
        <v>99</v>
      </c>
      <c r="E9593" t="s">
        <v>97</v>
      </c>
      <c r="F9593">
        <v>1700</v>
      </c>
      <c r="G9593" t="s">
        <v>331</v>
      </c>
      <c r="H9593" s="15">
        <v>45292</v>
      </c>
      <c r="I9593">
        <v>1700</v>
      </c>
      <c r="J9593">
        <v>0</v>
      </c>
    </row>
    <row r="9594" spans="1:10" x14ac:dyDescent="0.3">
      <c r="A9594" s="15">
        <v>46327</v>
      </c>
      <c r="B9594" t="s">
        <v>174</v>
      </c>
      <c r="C9594" t="s">
        <v>81</v>
      </c>
      <c r="D9594" t="s">
        <v>82</v>
      </c>
      <c r="E9594" t="s">
        <v>92</v>
      </c>
      <c r="F9594">
        <v>2400</v>
      </c>
      <c r="G9594" t="s">
        <v>331</v>
      </c>
      <c r="H9594" s="15">
        <v>45292</v>
      </c>
      <c r="I9594">
        <v>2400</v>
      </c>
      <c r="J9594">
        <v>0</v>
      </c>
    </row>
    <row r="9595" spans="1:10" x14ac:dyDescent="0.3">
      <c r="A9595" s="15">
        <v>46327</v>
      </c>
      <c r="B9595" t="s">
        <v>175</v>
      </c>
      <c r="C9595" t="s">
        <v>91</v>
      </c>
      <c r="D9595" t="s">
        <v>96</v>
      </c>
      <c r="E9595" t="s">
        <v>83</v>
      </c>
      <c r="F9595">
        <v>8800</v>
      </c>
      <c r="G9595" t="s">
        <v>331</v>
      </c>
      <c r="H9595" s="15">
        <v>45292</v>
      </c>
      <c r="I9595">
        <v>8800</v>
      </c>
      <c r="J9595">
        <v>0</v>
      </c>
    </row>
    <row r="9596" spans="1:10" x14ac:dyDescent="0.3">
      <c r="A9596" s="15">
        <v>46327</v>
      </c>
      <c r="B9596" t="s">
        <v>176</v>
      </c>
      <c r="C9596" t="s">
        <v>81</v>
      </c>
      <c r="D9596" t="s">
        <v>99</v>
      </c>
      <c r="E9596" t="s">
        <v>92</v>
      </c>
      <c r="F9596">
        <v>2900</v>
      </c>
      <c r="G9596" t="s">
        <v>331</v>
      </c>
      <c r="H9596" s="15">
        <v>45292</v>
      </c>
      <c r="I9596">
        <v>2900</v>
      </c>
      <c r="J9596">
        <v>0</v>
      </c>
    </row>
    <row r="9597" spans="1:10" x14ac:dyDescent="0.3">
      <c r="A9597" s="15">
        <v>46327</v>
      </c>
      <c r="B9597" t="s">
        <v>177</v>
      </c>
      <c r="C9597" t="s">
        <v>81</v>
      </c>
      <c r="D9597" t="s">
        <v>96</v>
      </c>
      <c r="E9597" t="s">
        <v>83</v>
      </c>
      <c r="F9597">
        <v>2900</v>
      </c>
      <c r="G9597" t="s">
        <v>331</v>
      </c>
      <c r="H9597" s="15">
        <v>45292</v>
      </c>
      <c r="I9597">
        <v>2900</v>
      </c>
      <c r="J9597">
        <v>0</v>
      </c>
    </row>
    <row r="9598" spans="1:10" x14ac:dyDescent="0.3">
      <c r="A9598" s="15">
        <v>46327</v>
      </c>
      <c r="B9598" t="s">
        <v>178</v>
      </c>
      <c r="C9598" t="s">
        <v>91</v>
      </c>
      <c r="D9598" t="s">
        <v>82</v>
      </c>
      <c r="E9598" t="s">
        <v>89</v>
      </c>
      <c r="F9598">
        <v>8400</v>
      </c>
      <c r="G9598" t="s">
        <v>331</v>
      </c>
      <c r="H9598" s="15">
        <v>45292</v>
      </c>
      <c r="I9598">
        <v>8400</v>
      </c>
      <c r="J9598">
        <v>0</v>
      </c>
    </row>
    <row r="9599" spans="1:10" x14ac:dyDescent="0.3">
      <c r="A9599" s="15">
        <v>46327</v>
      </c>
      <c r="B9599" t="s">
        <v>179</v>
      </c>
      <c r="C9599" t="s">
        <v>110</v>
      </c>
      <c r="D9599" t="s">
        <v>86</v>
      </c>
      <c r="E9599" t="s">
        <v>87</v>
      </c>
      <c r="F9599">
        <v>27000</v>
      </c>
      <c r="G9599" t="s">
        <v>331</v>
      </c>
      <c r="H9599" s="15">
        <v>45292</v>
      </c>
      <c r="I9599">
        <v>27000</v>
      </c>
      <c r="J9599">
        <v>0</v>
      </c>
    </row>
    <row r="9600" spans="1:10" x14ac:dyDescent="0.3">
      <c r="A9600" s="15">
        <v>46327</v>
      </c>
      <c r="B9600" t="s">
        <v>180</v>
      </c>
      <c r="C9600" t="s">
        <v>91</v>
      </c>
      <c r="D9600" t="s">
        <v>86</v>
      </c>
      <c r="E9600" t="s">
        <v>83</v>
      </c>
      <c r="F9600">
        <v>8500</v>
      </c>
      <c r="G9600" t="s">
        <v>331</v>
      </c>
      <c r="H9600" s="15">
        <v>45292</v>
      </c>
      <c r="I9600">
        <v>8500</v>
      </c>
      <c r="J9600">
        <v>0</v>
      </c>
    </row>
    <row r="9601" spans="1:10" x14ac:dyDescent="0.3">
      <c r="A9601" s="15">
        <v>46327</v>
      </c>
      <c r="B9601" t="s">
        <v>181</v>
      </c>
      <c r="C9601" t="s">
        <v>91</v>
      </c>
      <c r="D9601" t="s">
        <v>82</v>
      </c>
      <c r="E9601" t="s">
        <v>97</v>
      </c>
      <c r="F9601">
        <v>10100</v>
      </c>
      <c r="G9601" t="s">
        <v>331</v>
      </c>
      <c r="H9601" s="15">
        <v>45292</v>
      </c>
      <c r="I9601">
        <v>10100</v>
      </c>
      <c r="J9601">
        <v>0</v>
      </c>
    </row>
    <row r="9602" spans="1:10" x14ac:dyDescent="0.3">
      <c r="A9602" s="15">
        <v>46327</v>
      </c>
      <c r="B9602" t="s">
        <v>182</v>
      </c>
      <c r="C9602" t="s">
        <v>125</v>
      </c>
      <c r="D9602" t="s">
        <v>82</v>
      </c>
      <c r="E9602" t="s">
        <v>92</v>
      </c>
      <c r="F9602">
        <v>100200</v>
      </c>
      <c r="G9602" t="s">
        <v>331</v>
      </c>
      <c r="H9602" s="15">
        <v>45292</v>
      </c>
      <c r="I9602">
        <v>100200</v>
      </c>
      <c r="J9602">
        <v>0</v>
      </c>
    </row>
    <row r="9603" spans="1:10" x14ac:dyDescent="0.3">
      <c r="A9603" s="15">
        <v>46327</v>
      </c>
      <c r="B9603" t="s">
        <v>183</v>
      </c>
      <c r="C9603" t="s">
        <v>91</v>
      </c>
      <c r="D9603" t="s">
        <v>96</v>
      </c>
      <c r="E9603" t="s">
        <v>92</v>
      </c>
      <c r="F9603">
        <v>9500</v>
      </c>
      <c r="G9603" t="s">
        <v>331</v>
      </c>
      <c r="H9603" s="15">
        <v>45292</v>
      </c>
      <c r="I9603">
        <v>9500</v>
      </c>
      <c r="J9603">
        <v>0</v>
      </c>
    </row>
    <row r="9604" spans="1:10" x14ac:dyDescent="0.3">
      <c r="A9604" s="15">
        <v>46327</v>
      </c>
      <c r="B9604" t="s">
        <v>184</v>
      </c>
      <c r="C9604" t="s">
        <v>81</v>
      </c>
      <c r="D9604" t="s">
        <v>82</v>
      </c>
      <c r="E9604" t="s">
        <v>83</v>
      </c>
      <c r="F9604">
        <v>2400</v>
      </c>
      <c r="G9604" t="s">
        <v>331</v>
      </c>
      <c r="H9604" s="15">
        <v>45292</v>
      </c>
      <c r="I9604">
        <v>2400</v>
      </c>
      <c r="J9604">
        <v>0</v>
      </c>
    </row>
    <row r="9605" spans="1:10" x14ac:dyDescent="0.3">
      <c r="A9605" s="15">
        <v>46327</v>
      </c>
      <c r="B9605" t="s">
        <v>185</v>
      </c>
      <c r="C9605" t="s">
        <v>81</v>
      </c>
      <c r="D9605" t="s">
        <v>96</v>
      </c>
      <c r="E9605" t="s">
        <v>97</v>
      </c>
      <c r="F9605">
        <v>1900</v>
      </c>
      <c r="G9605" t="s">
        <v>331</v>
      </c>
      <c r="H9605" s="15">
        <v>45292</v>
      </c>
      <c r="I9605">
        <v>1900</v>
      </c>
      <c r="J9605">
        <v>0</v>
      </c>
    </row>
    <row r="9606" spans="1:10" x14ac:dyDescent="0.3">
      <c r="A9606" s="15">
        <v>46327</v>
      </c>
      <c r="B9606" t="s">
        <v>186</v>
      </c>
      <c r="C9606" t="s">
        <v>91</v>
      </c>
      <c r="D9606" t="s">
        <v>82</v>
      </c>
      <c r="E9606" t="s">
        <v>103</v>
      </c>
      <c r="F9606">
        <v>13900</v>
      </c>
      <c r="G9606" t="s">
        <v>331</v>
      </c>
      <c r="H9606" s="15">
        <v>45292</v>
      </c>
      <c r="I9606">
        <v>13900</v>
      </c>
      <c r="J9606">
        <v>0</v>
      </c>
    </row>
    <row r="9607" spans="1:10" x14ac:dyDescent="0.3">
      <c r="A9607" s="15">
        <v>46327</v>
      </c>
      <c r="B9607" t="s">
        <v>187</v>
      </c>
      <c r="C9607" t="s">
        <v>110</v>
      </c>
      <c r="D9607" t="s">
        <v>86</v>
      </c>
      <c r="E9607" t="s">
        <v>97</v>
      </c>
      <c r="F9607">
        <v>30100</v>
      </c>
      <c r="G9607" t="s">
        <v>331</v>
      </c>
      <c r="H9607" s="15">
        <v>45292</v>
      </c>
      <c r="I9607">
        <v>30100</v>
      </c>
      <c r="J9607">
        <v>0</v>
      </c>
    </row>
    <row r="9608" spans="1:10" x14ac:dyDescent="0.3">
      <c r="A9608" s="15">
        <v>46327</v>
      </c>
      <c r="B9608" t="s">
        <v>188</v>
      </c>
      <c r="C9608" t="s">
        <v>91</v>
      </c>
      <c r="D9608" t="s">
        <v>82</v>
      </c>
      <c r="E9608" t="s">
        <v>92</v>
      </c>
      <c r="F9608">
        <v>12800</v>
      </c>
      <c r="G9608" t="s">
        <v>331</v>
      </c>
      <c r="H9608" s="15">
        <v>45292</v>
      </c>
      <c r="I9608">
        <v>12800</v>
      </c>
      <c r="J9608">
        <v>0</v>
      </c>
    </row>
    <row r="9609" spans="1:10" x14ac:dyDescent="0.3">
      <c r="A9609" s="15">
        <v>46327</v>
      </c>
      <c r="B9609" t="s">
        <v>189</v>
      </c>
      <c r="C9609" t="s">
        <v>81</v>
      </c>
      <c r="D9609" t="s">
        <v>86</v>
      </c>
      <c r="E9609" t="s">
        <v>103</v>
      </c>
      <c r="F9609">
        <v>2300</v>
      </c>
      <c r="G9609" t="s">
        <v>331</v>
      </c>
      <c r="H9609" s="15">
        <v>45292</v>
      </c>
      <c r="I9609">
        <v>2300</v>
      </c>
      <c r="J9609">
        <v>0</v>
      </c>
    </row>
    <row r="9610" spans="1:10" x14ac:dyDescent="0.3">
      <c r="A9610" s="15">
        <v>46327</v>
      </c>
      <c r="B9610" t="s">
        <v>190</v>
      </c>
      <c r="C9610" t="s">
        <v>81</v>
      </c>
      <c r="D9610" t="s">
        <v>99</v>
      </c>
      <c r="E9610" t="s">
        <v>89</v>
      </c>
      <c r="F9610">
        <v>1900</v>
      </c>
      <c r="G9610" t="s">
        <v>331</v>
      </c>
      <c r="H9610" s="15">
        <v>45292</v>
      </c>
      <c r="I9610">
        <v>1900</v>
      </c>
      <c r="J9610">
        <v>0</v>
      </c>
    </row>
    <row r="9611" spans="1:10" x14ac:dyDescent="0.3">
      <c r="A9611" s="15">
        <v>46327</v>
      </c>
      <c r="B9611" t="s">
        <v>191</v>
      </c>
      <c r="C9611" t="s">
        <v>91</v>
      </c>
      <c r="D9611" t="s">
        <v>86</v>
      </c>
      <c r="E9611" t="s">
        <v>87</v>
      </c>
      <c r="F9611">
        <v>6900</v>
      </c>
      <c r="G9611" t="s">
        <v>331</v>
      </c>
      <c r="H9611" s="15">
        <v>45292</v>
      </c>
      <c r="I9611">
        <v>6900</v>
      </c>
      <c r="J9611">
        <v>0</v>
      </c>
    </row>
    <row r="9612" spans="1:10" x14ac:dyDescent="0.3">
      <c r="A9612" s="15">
        <v>46327</v>
      </c>
      <c r="B9612" t="s">
        <v>193</v>
      </c>
      <c r="C9612" t="s">
        <v>81</v>
      </c>
      <c r="D9612" t="s">
        <v>82</v>
      </c>
      <c r="E9612" t="s">
        <v>87</v>
      </c>
      <c r="F9612">
        <v>3200</v>
      </c>
      <c r="G9612" t="s">
        <v>331</v>
      </c>
      <c r="H9612" s="15">
        <v>45292</v>
      </c>
      <c r="I9612">
        <v>3200</v>
      </c>
      <c r="J9612">
        <v>0</v>
      </c>
    </row>
    <row r="9613" spans="1:10" x14ac:dyDescent="0.3">
      <c r="A9613" s="15">
        <v>46327</v>
      </c>
      <c r="B9613" t="s">
        <v>195</v>
      </c>
      <c r="C9613" t="s">
        <v>91</v>
      </c>
      <c r="D9613" t="s">
        <v>86</v>
      </c>
      <c r="E9613" t="s">
        <v>97</v>
      </c>
      <c r="F9613">
        <v>6800</v>
      </c>
      <c r="G9613" t="s">
        <v>331</v>
      </c>
      <c r="H9613" s="15">
        <v>45292</v>
      </c>
      <c r="I9613">
        <v>6800</v>
      </c>
      <c r="J9613">
        <v>0</v>
      </c>
    </row>
    <row r="9614" spans="1:10" x14ac:dyDescent="0.3">
      <c r="A9614" s="15">
        <v>46327</v>
      </c>
      <c r="B9614" t="s">
        <v>197</v>
      </c>
      <c r="C9614" t="s">
        <v>91</v>
      </c>
      <c r="D9614" t="s">
        <v>82</v>
      </c>
      <c r="E9614" t="s">
        <v>89</v>
      </c>
      <c r="F9614">
        <v>12000</v>
      </c>
      <c r="G9614" t="s">
        <v>331</v>
      </c>
      <c r="H9614" s="15">
        <v>45292</v>
      </c>
      <c r="I9614">
        <v>12000</v>
      </c>
      <c r="J9614">
        <v>0</v>
      </c>
    </row>
    <row r="9615" spans="1:10" x14ac:dyDescent="0.3">
      <c r="A9615" s="15">
        <v>46327</v>
      </c>
      <c r="B9615" t="s">
        <v>198</v>
      </c>
      <c r="C9615" t="s">
        <v>81</v>
      </c>
      <c r="D9615" t="s">
        <v>82</v>
      </c>
      <c r="E9615" t="s">
        <v>89</v>
      </c>
      <c r="F9615">
        <v>2900</v>
      </c>
      <c r="G9615" t="s">
        <v>331</v>
      </c>
      <c r="H9615" s="15">
        <v>45292</v>
      </c>
      <c r="I9615">
        <v>2900</v>
      </c>
      <c r="J9615">
        <v>0</v>
      </c>
    </row>
    <row r="9616" spans="1:10" x14ac:dyDescent="0.3">
      <c r="A9616" s="15">
        <v>46327</v>
      </c>
      <c r="B9616" t="s">
        <v>199</v>
      </c>
      <c r="C9616" t="s">
        <v>81</v>
      </c>
      <c r="D9616" t="s">
        <v>86</v>
      </c>
      <c r="E9616" t="s">
        <v>89</v>
      </c>
      <c r="F9616">
        <v>2200</v>
      </c>
      <c r="G9616" t="s">
        <v>331</v>
      </c>
      <c r="H9616" s="15">
        <v>45292</v>
      </c>
      <c r="I9616">
        <v>2200</v>
      </c>
      <c r="J9616">
        <v>0</v>
      </c>
    </row>
    <row r="9617" spans="1:10" x14ac:dyDescent="0.3">
      <c r="A9617" s="15">
        <v>46327</v>
      </c>
      <c r="B9617" t="s">
        <v>200</v>
      </c>
      <c r="C9617" t="s">
        <v>91</v>
      </c>
      <c r="D9617" t="s">
        <v>86</v>
      </c>
      <c r="E9617" t="s">
        <v>92</v>
      </c>
      <c r="F9617">
        <v>8800</v>
      </c>
      <c r="G9617" t="s">
        <v>331</v>
      </c>
      <c r="H9617" s="15">
        <v>45292</v>
      </c>
      <c r="I9617">
        <v>8800</v>
      </c>
      <c r="J9617">
        <v>0</v>
      </c>
    </row>
    <row r="9618" spans="1:10" x14ac:dyDescent="0.3">
      <c r="A9618" s="15">
        <v>46327</v>
      </c>
      <c r="B9618" t="s">
        <v>201</v>
      </c>
      <c r="C9618" t="s">
        <v>81</v>
      </c>
      <c r="D9618" t="s">
        <v>86</v>
      </c>
      <c r="E9618" t="s">
        <v>83</v>
      </c>
      <c r="F9618">
        <v>1500</v>
      </c>
      <c r="G9618" t="s">
        <v>331</v>
      </c>
      <c r="H9618" s="15">
        <v>45292</v>
      </c>
      <c r="I9618">
        <v>1500</v>
      </c>
      <c r="J9618">
        <v>0</v>
      </c>
    </row>
    <row r="9619" spans="1:10" x14ac:dyDescent="0.3">
      <c r="A9619" s="15">
        <v>46327</v>
      </c>
      <c r="B9619" t="s">
        <v>202</v>
      </c>
      <c r="C9619" t="s">
        <v>91</v>
      </c>
      <c r="D9619" t="s">
        <v>82</v>
      </c>
      <c r="E9619" t="s">
        <v>92</v>
      </c>
      <c r="F9619">
        <v>12700</v>
      </c>
      <c r="G9619" t="s">
        <v>331</v>
      </c>
      <c r="H9619" s="15">
        <v>45292</v>
      </c>
      <c r="I9619">
        <v>12700</v>
      </c>
      <c r="J9619">
        <v>0</v>
      </c>
    </row>
    <row r="9620" spans="1:10" x14ac:dyDescent="0.3">
      <c r="A9620" s="15">
        <v>46327</v>
      </c>
      <c r="B9620" t="s">
        <v>204</v>
      </c>
      <c r="C9620" t="s">
        <v>81</v>
      </c>
      <c r="D9620" t="s">
        <v>82</v>
      </c>
      <c r="E9620" t="s">
        <v>87</v>
      </c>
      <c r="F9620">
        <v>1900</v>
      </c>
      <c r="G9620" t="s">
        <v>331</v>
      </c>
      <c r="H9620" s="15">
        <v>45292</v>
      </c>
      <c r="I9620">
        <v>1900</v>
      </c>
      <c r="J9620">
        <v>0</v>
      </c>
    </row>
    <row r="9621" spans="1:10" x14ac:dyDescent="0.3">
      <c r="A9621" s="15">
        <v>46327</v>
      </c>
      <c r="B9621" t="s">
        <v>205</v>
      </c>
      <c r="C9621" t="s">
        <v>91</v>
      </c>
      <c r="D9621" t="s">
        <v>86</v>
      </c>
      <c r="E9621" t="s">
        <v>103</v>
      </c>
      <c r="F9621">
        <v>9800</v>
      </c>
      <c r="G9621" t="s">
        <v>331</v>
      </c>
      <c r="H9621" s="15">
        <v>45292</v>
      </c>
      <c r="I9621">
        <v>9800</v>
      </c>
      <c r="J9621">
        <v>0</v>
      </c>
    </row>
    <row r="9622" spans="1:10" x14ac:dyDescent="0.3">
      <c r="A9622" s="15">
        <v>46327</v>
      </c>
      <c r="B9622" t="s">
        <v>206</v>
      </c>
      <c r="C9622" t="s">
        <v>81</v>
      </c>
      <c r="D9622" t="s">
        <v>86</v>
      </c>
      <c r="E9622" t="s">
        <v>89</v>
      </c>
      <c r="F9622">
        <v>3300</v>
      </c>
      <c r="G9622" t="s">
        <v>331</v>
      </c>
      <c r="H9622" s="15">
        <v>45292</v>
      </c>
      <c r="I9622">
        <v>3300</v>
      </c>
      <c r="J9622">
        <v>0</v>
      </c>
    </row>
    <row r="9623" spans="1:10" x14ac:dyDescent="0.3">
      <c r="A9623" s="15">
        <v>46327</v>
      </c>
      <c r="B9623" t="s">
        <v>207</v>
      </c>
      <c r="C9623" t="s">
        <v>81</v>
      </c>
      <c r="D9623" t="s">
        <v>82</v>
      </c>
      <c r="E9623" t="s">
        <v>89</v>
      </c>
      <c r="F9623">
        <v>3500</v>
      </c>
      <c r="G9623" t="s">
        <v>331</v>
      </c>
      <c r="H9623" s="15">
        <v>45292</v>
      </c>
      <c r="I9623">
        <v>3500</v>
      </c>
      <c r="J9623">
        <v>0</v>
      </c>
    </row>
    <row r="9624" spans="1:10" x14ac:dyDescent="0.3">
      <c r="A9624" s="15">
        <v>46327</v>
      </c>
      <c r="B9624" t="s">
        <v>208</v>
      </c>
      <c r="C9624" t="s">
        <v>91</v>
      </c>
      <c r="D9624" t="s">
        <v>99</v>
      </c>
      <c r="E9624" t="s">
        <v>89</v>
      </c>
      <c r="F9624">
        <v>7700</v>
      </c>
      <c r="G9624" t="s">
        <v>331</v>
      </c>
      <c r="H9624" s="15">
        <v>45292</v>
      </c>
      <c r="I9624">
        <v>7700</v>
      </c>
      <c r="J9624">
        <v>0</v>
      </c>
    </row>
    <row r="9625" spans="1:10" x14ac:dyDescent="0.3">
      <c r="A9625" s="15">
        <v>46327</v>
      </c>
      <c r="B9625" t="s">
        <v>209</v>
      </c>
      <c r="C9625" t="s">
        <v>81</v>
      </c>
      <c r="D9625" t="s">
        <v>86</v>
      </c>
      <c r="E9625" t="s">
        <v>83</v>
      </c>
      <c r="F9625">
        <v>3000</v>
      </c>
      <c r="G9625" t="s">
        <v>331</v>
      </c>
      <c r="H9625" s="15">
        <v>45292</v>
      </c>
      <c r="I9625">
        <v>3000</v>
      </c>
      <c r="J9625">
        <v>0</v>
      </c>
    </row>
    <row r="9626" spans="1:10" x14ac:dyDescent="0.3">
      <c r="A9626" s="15">
        <v>46327</v>
      </c>
      <c r="B9626" t="s">
        <v>210</v>
      </c>
      <c r="C9626" t="s">
        <v>125</v>
      </c>
      <c r="D9626" t="s">
        <v>96</v>
      </c>
      <c r="E9626" t="s">
        <v>89</v>
      </c>
      <c r="F9626">
        <v>82900</v>
      </c>
      <c r="G9626" t="s">
        <v>331</v>
      </c>
      <c r="H9626" s="15">
        <v>45292</v>
      </c>
      <c r="I9626">
        <v>82900</v>
      </c>
      <c r="J9626">
        <v>0</v>
      </c>
    </row>
    <row r="9627" spans="1:10" x14ac:dyDescent="0.3">
      <c r="A9627" s="15">
        <v>46327</v>
      </c>
      <c r="B9627" t="s">
        <v>213</v>
      </c>
      <c r="C9627" t="s">
        <v>81</v>
      </c>
      <c r="D9627" t="s">
        <v>82</v>
      </c>
      <c r="E9627" t="s">
        <v>97</v>
      </c>
      <c r="F9627">
        <v>3300</v>
      </c>
      <c r="G9627" t="s">
        <v>331</v>
      </c>
      <c r="H9627" s="15">
        <v>45292</v>
      </c>
      <c r="I9627">
        <v>3300</v>
      </c>
      <c r="J9627">
        <v>0</v>
      </c>
    </row>
    <row r="9628" spans="1:10" x14ac:dyDescent="0.3">
      <c r="A9628" s="15">
        <v>46327</v>
      </c>
      <c r="B9628" t="s">
        <v>214</v>
      </c>
      <c r="C9628" t="s">
        <v>91</v>
      </c>
      <c r="D9628" t="s">
        <v>82</v>
      </c>
      <c r="E9628" t="s">
        <v>89</v>
      </c>
      <c r="F9628">
        <v>8700</v>
      </c>
      <c r="G9628" t="s">
        <v>331</v>
      </c>
      <c r="H9628" s="15">
        <v>45292</v>
      </c>
      <c r="I9628">
        <v>8700</v>
      </c>
      <c r="J9628">
        <v>0</v>
      </c>
    </row>
    <row r="9629" spans="1:10" x14ac:dyDescent="0.3">
      <c r="A9629" s="15">
        <v>46327</v>
      </c>
      <c r="B9629" t="s">
        <v>216</v>
      </c>
      <c r="C9629" t="s">
        <v>81</v>
      </c>
      <c r="D9629" t="s">
        <v>82</v>
      </c>
      <c r="E9629" t="s">
        <v>97</v>
      </c>
      <c r="F9629">
        <v>3500</v>
      </c>
      <c r="G9629" t="s">
        <v>331</v>
      </c>
      <c r="H9629" s="15">
        <v>45292</v>
      </c>
      <c r="I9629">
        <v>3500</v>
      </c>
      <c r="J9629">
        <v>0</v>
      </c>
    </row>
    <row r="9630" spans="1:10" x14ac:dyDescent="0.3">
      <c r="A9630" s="15">
        <v>46327</v>
      </c>
      <c r="B9630" t="s">
        <v>218</v>
      </c>
      <c r="C9630" t="s">
        <v>110</v>
      </c>
      <c r="D9630" t="s">
        <v>99</v>
      </c>
      <c r="E9630" t="s">
        <v>92</v>
      </c>
      <c r="F9630">
        <v>32200</v>
      </c>
      <c r="G9630" t="s">
        <v>331</v>
      </c>
      <c r="H9630" s="15">
        <v>45292</v>
      </c>
      <c r="I9630">
        <v>32200</v>
      </c>
      <c r="J9630">
        <v>0</v>
      </c>
    </row>
    <row r="9631" spans="1:10" x14ac:dyDescent="0.3">
      <c r="A9631" s="15">
        <v>46327</v>
      </c>
      <c r="B9631" t="s">
        <v>220</v>
      </c>
      <c r="C9631" t="s">
        <v>110</v>
      </c>
      <c r="D9631" t="s">
        <v>82</v>
      </c>
      <c r="E9631" t="s">
        <v>89</v>
      </c>
      <c r="F9631">
        <v>30800</v>
      </c>
      <c r="G9631" t="s">
        <v>331</v>
      </c>
      <c r="H9631" s="15">
        <v>45292</v>
      </c>
      <c r="I9631">
        <v>30800</v>
      </c>
      <c r="J9631">
        <v>0</v>
      </c>
    </row>
    <row r="9632" spans="1:10" x14ac:dyDescent="0.3">
      <c r="A9632" s="15">
        <v>46327</v>
      </c>
      <c r="B9632" t="s">
        <v>224</v>
      </c>
      <c r="C9632" t="s">
        <v>91</v>
      </c>
      <c r="D9632" t="s">
        <v>82</v>
      </c>
      <c r="E9632" t="s">
        <v>101</v>
      </c>
      <c r="F9632">
        <v>10000</v>
      </c>
      <c r="G9632" t="s">
        <v>331</v>
      </c>
      <c r="H9632" s="15">
        <v>45292</v>
      </c>
      <c r="I9632">
        <v>10000</v>
      </c>
      <c r="J9632">
        <v>0</v>
      </c>
    </row>
    <row r="9633" spans="1:10" x14ac:dyDescent="0.3">
      <c r="A9633" s="15">
        <v>46327</v>
      </c>
      <c r="B9633" t="s">
        <v>225</v>
      </c>
      <c r="C9633" t="s">
        <v>110</v>
      </c>
      <c r="D9633" t="s">
        <v>99</v>
      </c>
      <c r="E9633" t="s">
        <v>103</v>
      </c>
      <c r="F9633">
        <v>42200</v>
      </c>
      <c r="G9633" t="s">
        <v>331</v>
      </c>
      <c r="H9633" s="15">
        <v>45292</v>
      </c>
      <c r="I9633">
        <v>42200</v>
      </c>
      <c r="J9633">
        <v>0</v>
      </c>
    </row>
    <row r="9634" spans="1:10" x14ac:dyDescent="0.3">
      <c r="A9634" s="15">
        <v>46327</v>
      </c>
      <c r="B9634" t="s">
        <v>226</v>
      </c>
      <c r="C9634" t="s">
        <v>91</v>
      </c>
      <c r="D9634" t="s">
        <v>82</v>
      </c>
      <c r="E9634" t="s">
        <v>103</v>
      </c>
      <c r="F9634">
        <v>7200</v>
      </c>
      <c r="G9634" t="s">
        <v>331</v>
      </c>
      <c r="H9634" s="15">
        <v>45292</v>
      </c>
      <c r="I9634">
        <v>7200</v>
      </c>
      <c r="J9634">
        <v>0</v>
      </c>
    </row>
    <row r="9635" spans="1:10" x14ac:dyDescent="0.3">
      <c r="A9635" s="15">
        <v>46327</v>
      </c>
      <c r="B9635" t="s">
        <v>227</v>
      </c>
      <c r="C9635" t="s">
        <v>110</v>
      </c>
      <c r="D9635" t="s">
        <v>86</v>
      </c>
      <c r="E9635" t="s">
        <v>87</v>
      </c>
      <c r="F9635">
        <v>25400</v>
      </c>
      <c r="G9635" t="s">
        <v>331</v>
      </c>
      <c r="H9635" s="15">
        <v>45292</v>
      </c>
      <c r="I9635">
        <v>25400</v>
      </c>
      <c r="J9635">
        <v>0</v>
      </c>
    </row>
    <row r="9636" spans="1:10" x14ac:dyDescent="0.3">
      <c r="A9636" s="15">
        <v>46327</v>
      </c>
      <c r="B9636" t="s">
        <v>228</v>
      </c>
      <c r="C9636" t="s">
        <v>91</v>
      </c>
      <c r="D9636" t="s">
        <v>96</v>
      </c>
      <c r="E9636" t="s">
        <v>89</v>
      </c>
      <c r="F9636">
        <v>12000</v>
      </c>
      <c r="G9636" t="s">
        <v>331</v>
      </c>
      <c r="H9636" s="15">
        <v>45292</v>
      </c>
      <c r="I9636">
        <v>12000</v>
      </c>
      <c r="J9636">
        <v>0</v>
      </c>
    </row>
    <row r="9637" spans="1:10" x14ac:dyDescent="0.3">
      <c r="A9637" s="15">
        <v>46327</v>
      </c>
      <c r="B9637" t="s">
        <v>229</v>
      </c>
      <c r="C9637" t="s">
        <v>81</v>
      </c>
      <c r="D9637" t="s">
        <v>82</v>
      </c>
      <c r="E9637" t="s">
        <v>83</v>
      </c>
      <c r="F9637">
        <v>3700</v>
      </c>
      <c r="G9637" t="s">
        <v>331</v>
      </c>
      <c r="H9637" s="15">
        <v>45292</v>
      </c>
      <c r="I9637">
        <v>3700</v>
      </c>
      <c r="J9637">
        <v>0</v>
      </c>
    </row>
    <row r="9638" spans="1:10" x14ac:dyDescent="0.3">
      <c r="A9638" s="15">
        <v>46327</v>
      </c>
      <c r="B9638" t="s">
        <v>230</v>
      </c>
      <c r="C9638" t="s">
        <v>81</v>
      </c>
      <c r="D9638" t="s">
        <v>86</v>
      </c>
      <c r="E9638" t="s">
        <v>101</v>
      </c>
      <c r="F9638">
        <v>3700</v>
      </c>
      <c r="G9638" t="s">
        <v>331</v>
      </c>
      <c r="H9638" s="15">
        <v>45292</v>
      </c>
      <c r="I9638">
        <v>3700</v>
      </c>
      <c r="J9638">
        <v>0</v>
      </c>
    </row>
    <row r="9639" spans="1:10" x14ac:dyDescent="0.3">
      <c r="A9639" s="15">
        <v>46327</v>
      </c>
      <c r="B9639" t="s">
        <v>232</v>
      </c>
      <c r="C9639" t="s">
        <v>125</v>
      </c>
      <c r="D9639" t="s">
        <v>86</v>
      </c>
      <c r="E9639" t="s">
        <v>83</v>
      </c>
      <c r="F9639">
        <v>121100</v>
      </c>
      <c r="G9639" t="s">
        <v>331</v>
      </c>
      <c r="H9639" s="15">
        <v>45292</v>
      </c>
      <c r="I9639">
        <v>121100</v>
      </c>
      <c r="J9639">
        <v>0</v>
      </c>
    </row>
    <row r="9640" spans="1:10" x14ac:dyDescent="0.3">
      <c r="A9640" s="15">
        <v>46327</v>
      </c>
      <c r="B9640" t="s">
        <v>233</v>
      </c>
      <c r="C9640" t="s">
        <v>81</v>
      </c>
      <c r="D9640" t="s">
        <v>82</v>
      </c>
      <c r="E9640" t="s">
        <v>87</v>
      </c>
      <c r="F9640">
        <v>3300</v>
      </c>
      <c r="G9640" t="s">
        <v>331</v>
      </c>
      <c r="H9640" s="15">
        <v>45292</v>
      </c>
      <c r="I9640">
        <v>3300</v>
      </c>
      <c r="J9640">
        <v>0</v>
      </c>
    </row>
    <row r="9641" spans="1:10" x14ac:dyDescent="0.3">
      <c r="A9641" s="15">
        <v>46327</v>
      </c>
      <c r="B9641" t="s">
        <v>235</v>
      </c>
      <c r="C9641" t="s">
        <v>91</v>
      </c>
      <c r="D9641" t="s">
        <v>96</v>
      </c>
      <c r="E9641" t="s">
        <v>103</v>
      </c>
      <c r="F9641">
        <v>11100</v>
      </c>
      <c r="G9641" t="s">
        <v>331</v>
      </c>
      <c r="H9641" s="15">
        <v>45292</v>
      </c>
      <c r="I9641">
        <v>11100</v>
      </c>
      <c r="J9641">
        <v>0</v>
      </c>
    </row>
    <row r="9642" spans="1:10" x14ac:dyDescent="0.3">
      <c r="A9642" s="15">
        <v>46327</v>
      </c>
      <c r="B9642" t="s">
        <v>237</v>
      </c>
      <c r="C9642" t="s">
        <v>91</v>
      </c>
      <c r="D9642" t="s">
        <v>82</v>
      </c>
      <c r="E9642" t="s">
        <v>83</v>
      </c>
      <c r="F9642">
        <v>6900</v>
      </c>
      <c r="G9642" t="s">
        <v>331</v>
      </c>
      <c r="H9642" s="15">
        <v>45292</v>
      </c>
      <c r="I9642">
        <v>6900</v>
      </c>
      <c r="J9642">
        <v>0</v>
      </c>
    </row>
    <row r="9643" spans="1:10" x14ac:dyDescent="0.3">
      <c r="A9643" s="15">
        <v>46327</v>
      </c>
      <c r="B9643" t="s">
        <v>238</v>
      </c>
      <c r="C9643" t="s">
        <v>81</v>
      </c>
      <c r="D9643" t="s">
        <v>99</v>
      </c>
      <c r="E9643" t="s">
        <v>97</v>
      </c>
      <c r="F9643">
        <v>2300</v>
      </c>
      <c r="G9643" t="s">
        <v>331</v>
      </c>
      <c r="H9643" s="15">
        <v>45292</v>
      </c>
      <c r="I9643">
        <v>2300</v>
      </c>
      <c r="J9643">
        <v>0</v>
      </c>
    </row>
    <row r="9644" spans="1:10" x14ac:dyDescent="0.3">
      <c r="A9644" s="15">
        <v>46327</v>
      </c>
      <c r="B9644" t="s">
        <v>239</v>
      </c>
      <c r="C9644" t="s">
        <v>81</v>
      </c>
      <c r="D9644" t="s">
        <v>82</v>
      </c>
      <c r="E9644" t="s">
        <v>103</v>
      </c>
      <c r="F9644">
        <v>2500</v>
      </c>
      <c r="G9644" t="s">
        <v>331</v>
      </c>
      <c r="H9644" s="15">
        <v>45292</v>
      </c>
      <c r="I9644">
        <v>2500</v>
      </c>
      <c r="J9644">
        <v>0</v>
      </c>
    </row>
    <row r="9645" spans="1:10" x14ac:dyDescent="0.3">
      <c r="A9645" s="15">
        <v>46327</v>
      </c>
      <c r="B9645" t="s">
        <v>240</v>
      </c>
      <c r="C9645" t="s">
        <v>81</v>
      </c>
      <c r="D9645" t="s">
        <v>99</v>
      </c>
      <c r="E9645" t="s">
        <v>103</v>
      </c>
      <c r="F9645">
        <v>2300</v>
      </c>
      <c r="G9645" t="s">
        <v>331</v>
      </c>
      <c r="H9645" s="15">
        <v>45292</v>
      </c>
      <c r="I9645">
        <v>2300</v>
      </c>
      <c r="J9645">
        <v>0</v>
      </c>
    </row>
    <row r="9646" spans="1:10" x14ac:dyDescent="0.3">
      <c r="A9646" s="15">
        <v>46327</v>
      </c>
      <c r="B9646" t="s">
        <v>241</v>
      </c>
      <c r="C9646" t="s">
        <v>91</v>
      </c>
      <c r="D9646" t="s">
        <v>96</v>
      </c>
      <c r="E9646" t="s">
        <v>87</v>
      </c>
      <c r="F9646">
        <v>13000</v>
      </c>
      <c r="G9646" t="s">
        <v>331</v>
      </c>
      <c r="H9646" s="15">
        <v>45292</v>
      </c>
      <c r="I9646">
        <v>13000</v>
      </c>
      <c r="J9646">
        <v>0</v>
      </c>
    </row>
    <row r="9647" spans="1:10" x14ac:dyDescent="0.3">
      <c r="A9647" s="15">
        <v>46327</v>
      </c>
      <c r="B9647" t="s">
        <v>242</v>
      </c>
      <c r="C9647" t="s">
        <v>110</v>
      </c>
      <c r="D9647" t="s">
        <v>99</v>
      </c>
      <c r="E9647" t="s">
        <v>101</v>
      </c>
      <c r="F9647">
        <v>34800</v>
      </c>
      <c r="G9647" t="s">
        <v>331</v>
      </c>
      <c r="H9647" s="15">
        <v>45292</v>
      </c>
      <c r="I9647">
        <v>34800</v>
      </c>
      <c r="J9647">
        <v>0</v>
      </c>
    </row>
    <row r="9648" spans="1:10" x14ac:dyDescent="0.3">
      <c r="A9648" s="15">
        <v>46327</v>
      </c>
      <c r="B9648" t="s">
        <v>244</v>
      </c>
      <c r="C9648" t="s">
        <v>91</v>
      </c>
      <c r="D9648" t="s">
        <v>82</v>
      </c>
      <c r="E9648" t="s">
        <v>92</v>
      </c>
      <c r="F9648">
        <v>7800</v>
      </c>
      <c r="G9648" t="s">
        <v>331</v>
      </c>
      <c r="H9648" s="15">
        <v>45292</v>
      </c>
      <c r="I9648">
        <v>7800</v>
      </c>
      <c r="J9648">
        <v>0</v>
      </c>
    </row>
    <row r="9649" spans="1:10" x14ac:dyDescent="0.3">
      <c r="A9649" s="15">
        <v>46327</v>
      </c>
      <c r="B9649" t="s">
        <v>245</v>
      </c>
      <c r="C9649" t="s">
        <v>81</v>
      </c>
      <c r="D9649" t="s">
        <v>99</v>
      </c>
      <c r="E9649" t="s">
        <v>97</v>
      </c>
      <c r="F9649">
        <v>2900</v>
      </c>
      <c r="G9649" t="s">
        <v>331</v>
      </c>
      <c r="H9649" s="15">
        <v>45292</v>
      </c>
      <c r="I9649">
        <v>2900</v>
      </c>
      <c r="J9649">
        <v>0</v>
      </c>
    </row>
    <row r="9650" spans="1:10" x14ac:dyDescent="0.3">
      <c r="A9650" s="15">
        <v>46327</v>
      </c>
      <c r="B9650" t="s">
        <v>246</v>
      </c>
      <c r="C9650" t="s">
        <v>91</v>
      </c>
      <c r="D9650" t="s">
        <v>86</v>
      </c>
      <c r="E9650" t="s">
        <v>103</v>
      </c>
      <c r="F9650">
        <v>10100</v>
      </c>
      <c r="G9650" t="s">
        <v>331</v>
      </c>
      <c r="H9650" s="15">
        <v>45292</v>
      </c>
      <c r="I9650">
        <v>10100</v>
      </c>
      <c r="J9650">
        <v>0</v>
      </c>
    </row>
    <row r="9651" spans="1:10" x14ac:dyDescent="0.3">
      <c r="A9651" s="15">
        <v>46327</v>
      </c>
      <c r="B9651" t="s">
        <v>247</v>
      </c>
      <c r="C9651" t="s">
        <v>91</v>
      </c>
      <c r="D9651" t="s">
        <v>86</v>
      </c>
      <c r="E9651" t="s">
        <v>89</v>
      </c>
      <c r="F9651">
        <v>7700</v>
      </c>
      <c r="G9651" t="s">
        <v>331</v>
      </c>
      <c r="H9651" s="15">
        <v>45292</v>
      </c>
      <c r="I9651">
        <v>7700</v>
      </c>
      <c r="J9651">
        <v>0</v>
      </c>
    </row>
    <row r="9652" spans="1:10" x14ac:dyDescent="0.3">
      <c r="A9652" s="15">
        <v>46327</v>
      </c>
      <c r="B9652" t="s">
        <v>248</v>
      </c>
      <c r="C9652" t="s">
        <v>81</v>
      </c>
      <c r="D9652" t="s">
        <v>82</v>
      </c>
      <c r="E9652" t="s">
        <v>103</v>
      </c>
      <c r="F9652">
        <v>1800</v>
      </c>
      <c r="G9652" t="s">
        <v>331</v>
      </c>
      <c r="H9652" s="15">
        <v>45292</v>
      </c>
      <c r="I9652">
        <v>1800</v>
      </c>
      <c r="J9652">
        <v>0</v>
      </c>
    </row>
    <row r="9653" spans="1:10" x14ac:dyDescent="0.3">
      <c r="A9653" s="15">
        <v>46327</v>
      </c>
      <c r="B9653" t="s">
        <v>250</v>
      </c>
      <c r="C9653" t="s">
        <v>81</v>
      </c>
      <c r="D9653" t="s">
        <v>86</v>
      </c>
      <c r="E9653" t="s">
        <v>87</v>
      </c>
      <c r="F9653">
        <v>3200</v>
      </c>
      <c r="G9653" t="s">
        <v>332</v>
      </c>
      <c r="H9653" s="15">
        <v>45292</v>
      </c>
      <c r="I9653">
        <v>2800</v>
      </c>
      <c r="J9653">
        <v>400</v>
      </c>
    </row>
    <row r="9654" spans="1:10" x14ac:dyDescent="0.3">
      <c r="A9654" s="15">
        <v>46327</v>
      </c>
      <c r="B9654" t="s">
        <v>251</v>
      </c>
      <c r="C9654" t="s">
        <v>91</v>
      </c>
      <c r="D9654" t="s">
        <v>99</v>
      </c>
      <c r="E9654" t="s">
        <v>103</v>
      </c>
      <c r="F9654">
        <v>8800</v>
      </c>
      <c r="G9654" t="s">
        <v>331</v>
      </c>
      <c r="H9654" s="15">
        <v>45292</v>
      </c>
      <c r="I9654">
        <v>8800</v>
      </c>
      <c r="J9654">
        <v>0</v>
      </c>
    </row>
    <row r="9655" spans="1:10" x14ac:dyDescent="0.3">
      <c r="A9655" s="15">
        <v>46327</v>
      </c>
      <c r="B9655" t="s">
        <v>252</v>
      </c>
      <c r="C9655" t="s">
        <v>81</v>
      </c>
      <c r="D9655" t="s">
        <v>99</v>
      </c>
      <c r="E9655" t="s">
        <v>92</v>
      </c>
      <c r="F9655">
        <v>3400</v>
      </c>
      <c r="G9655" t="s">
        <v>331</v>
      </c>
      <c r="H9655" s="15">
        <v>45292</v>
      </c>
      <c r="I9655">
        <v>3400</v>
      </c>
      <c r="J9655">
        <v>0</v>
      </c>
    </row>
    <row r="9656" spans="1:10" x14ac:dyDescent="0.3">
      <c r="A9656" s="15">
        <v>46327</v>
      </c>
      <c r="B9656" t="s">
        <v>253</v>
      </c>
      <c r="C9656" t="s">
        <v>81</v>
      </c>
      <c r="D9656" t="s">
        <v>96</v>
      </c>
      <c r="E9656" t="s">
        <v>89</v>
      </c>
      <c r="F9656">
        <v>2600</v>
      </c>
      <c r="G9656" t="s">
        <v>331</v>
      </c>
      <c r="H9656" s="15">
        <v>45292</v>
      </c>
      <c r="I9656">
        <v>2600</v>
      </c>
      <c r="J9656">
        <v>0</v>
      </c>
    </row>
    <row r="9657" spans="1:10" x14ac:dyDescent="0.3">
      <c r="A9657" s="15">
        <v>46327</v>
      </c>
      <c r="B9657" t="s">
        <v>255</v>
      </c>
      <c r="C9657" t="s">
        <v>91</v>
      </c>
      <c r="D9657" t="s">
        <v>86</v>
      </c>
      <c r="E9657" t="s">
        <v>89</v>
      </c>
      <c r="F9657">
        <v>9700</v>
      </c>
      <c r="G9657" t="s">
        <v>331</v>
      </c>
      <c r="H9657" s="15">
        <v>45292</v>
      </c>
      <c r="I9657">
        <v>9700</v>
      </c>
      <c r="J9657">
        <v>0</v>
      </c>
    </row>
    <row r="9658" spans="1:10" x14ac:dyDescent="0.3">
      <c r="A9658" s="15">
        <v>46327</v>
      </c>
      <c r="B9658" t="s">
        <v>256</v>
      </c>
      <c r="C9658" t="s">
        <v>81</v>
      </c>
      <c r="D9658" t="s">
        <v>82</v>
      </c>
      <c r="E9658" t="s">
        <v>103</v>
      </c>
      <c r="F9658">
        <v>2000</v>
      </c>
      <c r="G9658" t="s">
        <v>332</v>
      </c>
      <c r="H9658" s="15">
        <v>45292</v>
      </c>
      <c r="I9658">
        <v>1800</v>
      </c>
      <c r="J9658">
        <v>200</v>
      </c>
    </row>
    <row r="9659" spans="1:10" x14ac:dyDescent="0.3">
      <c r="A9659" s="15">
        <v>46327</v>
      </c>
      <c r="B9659" t="s">
        <v>258</v>
      </c>
      <c r="C9659" t="s">
        <v>125</v>
      </c>
      <c r="D9659" t="s">
        <v>86</v>
      </c>
      <c r="E9659" t="s">
        <v>83</v>
      </c>
      <c r="F9659">
        <v>96300</v>
      </c>
      <c r="G9659" t="s">
        <v>331</v>
      </c>
      <c r="H9659" s="15">
        <v>45292</v>
      </c>
      <c r="I9659">
        <v>96300</v>
      </c>
      <c r="J9659">
        <v>0</v>
      </c>
    </row>
    <row r="9660" spans="1:10" x14ac:dyDescent="0.3">
      <c r="A9660" s="15">
        <v>46327</v>
      </c>
      <c r="B9660" t="s">
        <v>259</v>
      </c>
      <c r="C9660" t="s">
        <v>81</v>
      </c>
      <c r="D9660" t="s">
        <v>86</v>
      </c>
      <c r="E9660" t="s">
        <v>89</v>
      </c>
      <c r="F9660">
        <v>1900</v>
      </c>
      <c r="G9660" t="s">
        <v>331</v>
      </c>
      <c r="H9660" s="15">
        <v>45292</v>
      </c>
      <c r="I9660">
        <v>1900</v>
      </c>
      <c r="J9660">
        <v>0</v>
      </c>
    </row>
    <row r="9661" spans="1:10" x14ac:dyDescent="0.3">
      <c r="A9661" s="15">
        <v>46327</v>
      </c>
      <c r="B9661" t="s">
        <v>260</v>
      </c>
      <c r="C9661" t="s">
        <v>81</v>
      </c>
      <c r="D9661" t="s">
        <v>86</v>
      </c>
      <c r="E9661" t="s">
        <v>97</v>
      </c>
      <c r="F9661">
        <v>2100</v>
      </c>
      <c r="G9661" t="s">
        <v>331</v>
      </c>
      <c r="H9661" s="15">
        <v>45292</v>
      </c>
      <c r="I9661">
        <v>2100</v>
      </c>
      <c r="J9661">
        <v>0</v>
      </c>
    </row>
    <row r="9662" spans="1:10" x14ac:dyDescent="0.3">
      <c r="A9662" s="15">
        <v>46327</v>
      </c>
      <c r="B9662" t="s">
        <v>264</v>
      </c>
      <c r="C9662" t="s">
        <v>110</v>
      </c>
      <c r="D9662" t="s">
        <v>86</v>
      </c>
      <c r="E9662" t="s">
        <v>97</v>
      </c>
      <c r="F9662">
        <v>31500</v>
      </c>
      <c r="G9662" t="s">
        <v>331</v>
      </c>
      <c r="H9662" s="15">
        <v>45292</v>
      </c>
      <c r="I9662">
        <v>31500</v>
      </c>
      <c r="J9662">
        <v>0</v>
      </c>
    </row>
    <row r="9663" spans="1:10" x14ac:dyDescent="0.3">
      <c r="A9663" s="15">
        <v>46327</v>
      </c>
      <c r="B9663" t="s">
        <v>265</v>
      </c>
      <c r="C9663" t="s">
        <v>125</v>
      </c>
      <c r="D9663" t="s">
        <v>86</v>
      </c>
      <c r="E9663" t="s">
        <v>101</v>
      </c>
      <c r="F9663">
        <v>82200</v>
      </c>
      <c r="G9663" t="s">
        <v>332</v>
      </c>
      <c r="H9663" s="15">
        <v>45292</v>
      </c>
      <c r="I9663">
        <v>76700</v>
      </c>
      <c r="J9663">
        <v>5500</v>
      </c>
    </row>
    <row r="9664" spans="1:10" x14ac:dyDescent="0.3">
      <c r="A9664" s="15">
        <v>46327</v>
      </c>
      <c r="B9664" t="s">
        <v>266</v>
      </c>
      <c r="C9664" t="s">
        <v>81</v>
      </c>
      <c r="D9664" t="s">
        <v>82</v>
      </c>
      <c r="E9664" t="s">
        <v>83</v>
      </c>
      <c r="F9664">
        <v>2200</v>
      </c>
      <c r="G9664" t="s">
        <v>331</v>
      </c>
      <c r="H9664" s="15">
        <v>45292</v>
      </c>
      <c r="I9664">
        <v>2200</v>
      </c>
      <c r="J9664">
        <v>0</v>
      </c>
    </row>
    <row r="9665" spans="1:10" x14ac:dyDescent="0.3">
      <c r="A9665" s="15">
        <v>46327</v>
      </c>
      <c r="B9665" t="s">
        <v>267</v>
      </c>
      <c r="C9665" t="s">
        <v>91</v>
      </c>
      <c r="D9665" t="s">
        <v>82</v>
      </c>
      <c r="E9665" t="s">
        <v>97</v>
      </c>
      <c r="F9665">
        <v>7300</v>
      </c>
      <c r="G9665" t="s">
        <v>331</v>
      </c>
      <c r="H9665" s="15">
        <v>45292</v>
      </c>
      <c r="I9665">
        <v>7300</v>
      </c>
      <c r="J9665">
        <v>0</v>
      </c>
    </row>
    <row r="9666" spans="1:10" x14ac:dyDescent="0.3">
      <c r="A9666" s="15">
        <v>46327</v>
      </c>
      <c r="B9666" t="s">
        <v>272</v>
      </c>
      <c r="C9666" t="s">
        <v>125</v>
      </c>
      <c r="D9666" t="s">
        <v>96</v>
      </c>
      <c r="E9666" t="s">
        <v>103</v>
      </c>
      <c r="F9666">
        <v>101100</v>
      </c>
      <c r="G9666" t="s">
        <v>331</v>
      </c>
      <c r="H9666" s="15">
        <v>45292</v>
      </c>
      <c r="I9666">
        <v>101100</v>
      </c>
      <c r="J9666">
        <v>0</v>
      </c>
    </row>
    <row r="9667" spans="1:10" x14ac:dyDescent="0.3">
      <c r="A9667" s="15">
        <v>46327</v>
      </c>
      <c r="B9667" t="s">
        <v>273</v>
      </c>
      <c r="C9667" t="s">
        <v>81</v>
      </c>
      <c r="D9667" t="s">
        <v>82</v>
      </c>
      <c r="E9667" t="s">
        <v>101</v>
      </c>
      <c r="F9667">
        <v>3300</v>
      </c>
      <c r="G9667" t="s">
        <v>331</v>
      </c>
      <c r="H9667" s="15">
        <v>45292</v>
      </c>
      <c r="I9667">
        <v>3300</v>
      </c>
      <c r="J9667">
        <v>0</v>
      </c>
    </row>
    <row r="9668" spans="1:10" x14ac:dyDescent="0.3">
      <c r="A9668" s="15">
        <v>46327</v>
      </c>
      <c r="B9668" t="s">
        <v>274</v>
      </c>
      <c r="C9668" t="s">
        <v>91</v>
      </c>
      <c r="D9668" t="s">
        <v>99</v>
      </c>
      <c r="E9668" t="s">
        <v>87</v>
      </c>
      <c r="F9668">
        <v>11400</v>
      </c>
      <c r="G9668" t="s">
        <v>331</v>
      </c>
      <c r="H9668" s="15">
        <v>45292</v>
      </c>
      <c r="I9668">
        <v>11400</v>
      </c>
      <c r="J9668">
        <v>0</v>
      </c>
    </row>
    <row r="9669" spans="1:10" x14ac:dyDescent="0.3">
      <c r="A9669" s="15">
        <v>46327</v>
      </c>
      <c r="B9669" t="s">
        <v>276</v>
      </c>
      <c r="C9669" t="s">
        <v>81</v>
      </c>
      <c r="D9669" t="s">
        <v>82</v>
      </c>
      <c r="E9669" t="s">
        <v>103</v>
      </c>
      <c r="F9669">
        <v>3300</v>
      </c>
      <c r="G9669" t="s">
        <v>331</v>
      </c>
      <c r="H9669" s="15">
        <v>45292</v>
      </c>
      <c r="I9669">
        <v>3300</v>
      </c>
      <c r="J9669">
        <v>0</v>
      </c>
    </row>
    <row r="9670" spans="1:10" x14ac:dyDescent="0.3">
      <c r="A9670" s="15">
        <v>46327</v>
      </c>
      <c r="B9670" t="s">
        <v>277</v>
      </c>
      <c r="C9670" t="s">
        <v>91</v>
      </c>
      <c r="D9670" t="s">
        <v>86</v>
      </c>
      <c r="E9670" t="s">
        <v>97</v>
      </c>
      <c r="F9670">
        <v>9900</v>
      </c>
      <c r="G9670" t="s">
        <v>331</v>
      </c>
      <c r="H9670" s="15">
        <v>45292</v>
      </c>
      <c r="I9670">
        <v>9900</v>
      </c>
      <c r="J9670">
        <v>0</v>
      </c>
    </row>
    <row r="9671" spans="1:10" x14ac:dyDescent="0.3">
      <c r="A9671" s="15">
        <v>46327</v>
      </c>
      <c r="B9671" t="s">
        <v>279</v>
      </c>
      <c r="C9671" t="s">
        <v>91</v>
      </c>
      <c r="D9671" t="s">
        <v>99</v>
      </c>
      <c r="E9671" t="s">
        <v>89</v>
      </c>
      <c r="F9671">
        <v>9800</v>
      </c>
      <c r="G9671" t="s">
        <v>331</v>
      </c>
      <c r="H9671" s="15">
        <v>45292</v>
      </c>
      <c r="I9671">
        <v>9800</v>
      </c>
      <c r="J9671">
        <v>0</v>
      </c>
    </row>
    <row r="9672" spans="1:10" x14ac:dyDescent="0.3">
      <c r="A9672" s="15">
        <v>46327</v>
      </c>
      <c r="B9672" t="s">
        <v>282</v>
      </c>
      <c r="C9672" t="s">
        <v>91</v>
      </c>
      <c r="D9672" t="s">
        <v>86</v>
      </c>
      <c r="E9672" t="s">
        <v>92</v>
      </c>
      <c r="F9672">
        <v>6100</v>
      </c>
      <c r="G9672" t="s">
        <v>331</v>
      </c>
      <c r="H9672" s="15">
        <v>45292</v>
      </c>
      <c r="I9672">
        <v>6100</v>
      </c>
      <c r="J9672">
        <v>0</v>
      </c>
    </row>
    <row r="9673" spans="1:10" x14ac:dyDescent="0.3">
      <c r="A9673" s="15">
        <v>46327</v>
      </c>
      <c r="B9673" t="s">
        <v>283</v>
      </c>
      <c r="C9673" t="s">
        <v>110</v>
      </c>
      <c r="D9673" t="s">
        <v>82</v>
      </c>
      <c r="E9673" t="s">
        <v>87</v>
      </c>
      <c r="F9673">
        <v>34200</v>
      </c>
      <c r="G9673" t="s">
        <v>331</v>
      </c>
      <c r="H9673" s="15">
        <v>45292</v>
      </c>
      <c r="I9673">
        <v>34200</v>
      </c>
      <c r="J9673">
        <v>0</v>
      </c>
    </row>
    <row r="9674" spans="1:10" x14ac:dyDescent="0.3">
      <c r="A9674" s="15">
        <v>46327</v>
      </c>
      <c r="B9674" t="s">
        <v>285</v>
      </c>
      <c r="C9674" t="s">
        <v>91</v>
      </c>
      <c r="D9674" t="s">
        <v>82</v>
      </c>
      <c r="E9674" t="s">
        <v>83</v>
      </c>
      <c r="F9674">
        <v>9600</v>
      </c>
      <c r="G9674" t="s">
        <v>331</v>
      </c>
      <c r="H9674" s="15">
        <v>45292</v>
      </c>
      <c r="I9674">
        <v>9600</v>
      </c>
      <c r="J9674">
        <v>0</v>
      </c>
    </row>
    <row r="9675" spans="1:10" x14ac:dyDescent="0.3">
      <c r="A9675" s="15">
        <v>46327</v>
      </c>
      <c r="B9675" t="s">
        <v>286</v>
      </c>
      <c r="C9675" t="s">
        <v>125</v>
      </c>
      <c r="D9675" t="s">
        <v>86</v>
      </c>
      <c r="E9675" t="s">
        <v>92</v>
      </c>
      <c r="F9675">
        <v>92400</v>
      </c>
      <c r="G9675" t="s">
        <v>331</v>
      </c>
      <c r="H9675" s="15">
        <v>45292</v>
      </c>
      <c r="I9675">
        <v>92400</v>
      </c>
      <c r="J9675">
        <v>0</v>
      </c>
    </row>
    <row r="9676" spans="1:10" x14ac:dyDescent="0.3">
      <c r="A9676" s="15">
        <v>46327</v>
      </c>
      <c r="B9676" t="s">
        <v>287</v>
      </c>
      <c r="C9676" t="s">
        <v>81</v>
      </c>
      <c r="D9676" t="s">
        <v>99</v>
      </c>
      <c r="E9676" t="s">
        <v>87</v>
      </c>
      <c r="F9676">
        <v>2400</v>
      </c>
      <c r="G9676" t="s">
        <v>331</v>
      </c>
      <c r="H9676" s="15">
        <v>45292</v>
      </c>
      <c r="I9676">
        <v>2400</v>
      </c>
      <c r="J9676">
        <v>0</v>
      </c>
    </row>
    <row r="9677" spans="1:10" x14ac:dyDescent="0.3">
      <c r="A9677" s="15">
        <v>46327</v>
      </c>
      <c r="B9677" t="s">
        <v>288</v>
      </c>
      <c r="C9677" t="s">
        <v>81</v>
      </c>
      <c r="D9677" t="s">
        <v>99</v>
      </c>
      <c r="E9677" t="s">
        <v>97</v>
      </c>
      <c r="F9677">
        <v>3100</v>
      </c>
      <c r="G9677" t="s">
        <v>331</v>
      </c>
      <c r="H9677" s="15">
        <v>45292</v>
      </c>
      <c r="I9677">
        <v>3100</v>
      </c>
      <c r="J9677">
        <v>0</v>
      </c>
    </row>
    <row r="9678" spans="1:10" x14ac:dyDescent="0.3">
      <c r="A9678" s="15">
        <v>46327</v>
      </c>
      <c r="B9678" t="s">
        <v>289</v>
      </c>
      <c r="C9678" t="s">
        <v>91</v>
      </c>
      <c r="D9678" t="s">
        <v>86</v>
      </c>
      <c r="E9678" t="s">
        <v>101</v>
      </c>
      <c r="F9678">
        <v>9400</v>
      </c>
      <c r="G9678" t="s">
        <v>331</v>
      </c>
      <c r="H9678" s="15">
        <v>45292</v>
      </c>
      <c r="I9678">
        <v>9400</v>
      </c>
      <c r="J9678">
        <v>0</v>
      </c>
    </row>
    <row r="9679" spans="1:10" x14ac:dyDescent="0.3">
      <c r="A9679" s="15">
        <v>46327</v>
      </c>
      <c r="B9679" t="s">
        <v>290</v>
      </c>
      <c r="C9679" t="s">
        <v>81</v>
      </c>
      <c r="D9679" t="s">
        <v>82</v>
      </c>
      <c r="E9679" t="s">
        <v>103</v>
      </c>
      <c r="F9679">
        <v>2800</v>
      </c>
      <c r="G9679" t="s">
        <v>331</v>
      </c>
      <c r="H9679" s="15">
        <v>45292</v>
      </c>
      <c r="I9679">
        <v>2800</v>
      </c>
      <c r="J9679">
        <v>0</v>
      </c>
    </row>
    <row r="9680" spans="1:10" x14ac:dyDescent="0.3">
      <c r="A9680" s="15">
        <v>46327</v>
      </c>
      <c r="B9680" t="s">
        <v>291</v>
      </c>
      <c r="C9680" t="s">
        <v>81</v>
      </c>
      <c r="D9680" t="s">
        <v>82</v>
      </c>
      <c r="E9680" t="s">
        <v>83</v>
      </c>
      <c r="F9680">
        <v>3100</v>
      </c>
      <c r="G9680" t="s">
        <v>331</v>
      </c>
      <c r="H9680" s="15">
        <v>45292</v>
      </c>
      <c r="I9680">
        <v>3100</v>
      </c>
      <c r="J9680">
        <v>0</v>
      </c>
    </row>
    <row r="9681" spans="1:10" x14ac:dyDescent="0.3">
      <c r="A9681" s="15">
        <v>46327</v>
      </c>
      <c r="B9681" t="s">
        <v>292</v>
      </c>
      <c r="C9681" t="s">
        <v>91</v>
      </c>
      <c r="D9681" t="s">
        <v>86</v>
      </c>
      <c r="E9681" t="s">
        <v>89</v>
      </c>
      <c r="F9681">
        <v>0</v>
      </c>
      <c r="G9681" t="s">
        <v>333</v>
      </c>
      <c r="H9681" s="15">
        <v>45292</v>
      </c>
      <c r="I9681">
        <v>9900</v>
      </c>
      <c r="J9681">
        <v>-9900</v>
      </c>
    </row>
    <row r="9682" spans="1:10" x14ac:dyDescent="0.3">
      <c r="A9682" s="15">
        <v>46327</v>
      </c>
      <c r="B9682" t="s">
        <v>293</v>
      </c>
      <c r="C9682" t="s">
        <v>81</v>
      </c>
      <c r="D9682" t="s">
        <v>86</v>
      </c>
      <c r="E9682" t="s">
        <v>103</v>
      </c>
      <c r="F9682">
        <v>2200</v>
      </c>
      <c r="G9682" t="s">
        <v>331</v>
      </c>
      <c r="H9682" s="15">
        <v>45292</v>
      </c>
      <c r="I9682">
        <v>2200</v>
      </c>
      <c r="J9682">
        <v>0</v>
      </c>
    </row>
    <row r="9683" spans="1:10" x14ac:dyDescent="0.3">
      <c r="A9683" s="15">
        <v>46327</v>
      </c>
      <c r="B9683" t="s">
        <v>294</v>
      </c>
      <c r="C9683" t="s">
        <v>91</v>
      </c>
      <c r="D9683" t="s">
        <v>82</v>
      </c>
      <c r="E9683" t="s">
        <v>97</v>
      </c>
      <c r="F9683">
        <v>7900</v>
      </c>
      <c r="G9683" t="s">
        <v>331</v>
      </c>
      <c r="H9683" s="15">
        <v>45292</v>
      </c>
      <c r="I9683">
        <v>7900</v>
      </c>
      <c r="J9683">
        <v>0</v>
      </c>
    </row>
    <row r="9684" spans="1:10" x14ac:dyDescent="0.3">
      <c r="A9684" s="15">
        <v>46327</v>
      </c>
      <c r="B9684" t="s">
        <v>295</v>
      </c>
      <c r="C9684" t="s">
        <v>81</v>
      </c>
      <c r="D9684" t="s">
        <v>82</v>
      </c>
      <c r="E9684" t="s">
        <v>103</v>
      </c>
      <c r="F9684">
        <v>2000</v>
      </c>
      <c r="G9684" t="s">
        <v>331</v>
      </c>
      <c r="H9684" s="15">
        <v>45292</v>
      </c>
      <c r="I9684">
        <v>2000</v>
      </c>
      <c r="J9684">
        <v>0</v>
      </c>
    </row>
    <row r="9685" spans="1:10" x14ac:dyDescent="0.3">
      <c r="A9685" s="15">
        <v>46327</v>
      </c>
      <c r="B9685" t="s">
        <v>298</v>
      </c>
      <c r="C9685" t="s">
        <v>81</v>
      </c>
      <c r="D9685" t="s">
        <v>86</v>
      </c>
      <c r="E9685" t="s">
        <v>89</v>
      </c>
      <c r="F9685">
        <v>2700</v>
      </c>
      <c r="G9685" t="s">
        <v>331</v>
      </c>
      <c r="H9685" s="15">
        <v>45292</v>
      </c>
      <c r="I9685">
        <v>2700</v>
      </c>
      <c r="J9685">
        <v>0</v>
      </c>
    </row>
    <row r="9686" spans="1:10" x14ac:dyDescent="0.3">
      <c r="A9686" s="15">
        <v>46327</v>
      </c>
      <c r="B9686" t="s">
        <v>299</v>
      </c>
      <c r="C9686" t="s">
        <v>81</v>
      </c>
      <c r="D9686" t="s">
        <v>99</v>
      </c>
      <c r="E9686" t="s">
        <v>103</v>
      </c>
      <c r="F9686">
        <v>2900</v>
      </c>
      <c r="G9686" t="s">
        <v>331</v>
      </c>
      <c r="H9686" s="15">
        <v>45292</v>
      </c>
      <c r="I9686">
        <v>2900</v>
      </c>
      <c r="J9686">
        <v>0</v>
      </c>
    </row>
    <row r="9687" spans="1:10" x14ac:dyDescent="0.3">
      <c r="A9687" s="15">
        <v>46327</v>
      </c>
      <c r="B9687" t="s">
        <v>300</v>
      </c>
      <c r="C9687" t="s">
        <v>91</v>
      </c>
      <c r="D9687" t="s">
        <v>82</v>
      </c>
      <c r="E9687" t="s">
        <v>89</v>
      </c>
      <c r="F9687">
        <v>11500</v>
      </c>
      <c r="G9687" t="s">
        <v>331</v>
      </c>
      <c r="H9687" s="15">
        <v>45292</v>
      </c>
      <c r="I9687">
        <v>11500</v>
      </c>
      <c r="J9687">
        <v>0</v>
      </c>
    </row>
    <row r="9688" spans="1:10" x14ac:dyDescent="0.3">
      <c r="A9688" s="15">
        <v>46327</v>
      </c>
      <c r="B9688" t="s">
        <v>303</v>
      </c>
      <c r="C9688" t="s">
        <v>81</v>
      </c>
      <c r="D9688" t="s">
        <v>82</v>
      </c>
      <c r="E9688" t="s">
        <v>83</v>
      </c>
      <c r="F9688">
        <v>1500</v>
      </c>
      <c r="G9688" t="s">
        <v>331</v>
      </c>
      <c r="H9688" s="15">
        <v>45292</v>
      </c>
      <c r="I9688">
        <v>1500</v>
      </c>
      <c r="J9688">
        <v>0</v>
      </c>
    </row>
    <row r="9689" spans="1:10" x14ac:dyDescent="0.3">
      <c r="A9689" s="15">
        <v>46327</v>
      </c>
      <c r="B9689" t="s">
        <v>304</v>
      </c>
      <c r="C9689" t="s">
        <v>81</v>
      </c>
      <c r="D9689" t="s">
        <v>86</v>
      </c>
      <c r="E9689" t="s">
        <v>92</v>
      </c>
      <c r="F9689">
        <v>2300</v>
      </c>
      <c r="G9689" t="s">
        <v>331</v>
      </c>
      <c r="H9689" s="15">
        <v>45292</v>
      </c>
      <c r="I9689">
        <v>2300</v>
      </c>
      <c r="J9689">
        <v>0</v>
      </c>
    </row>
    <row r="9690" spans="1:10" x14ac:dyDescent="0.3">
      <c r="A9690" s="15">
        <v>46327</v>
      </c>
      <c r="B9690" t="s">
        <v>306</v>
      </c>
      <c r="C9690" t="s">
        <v>91</v>
      </c>
      <c r="D9690" t="s">
        <v>82</v>
      </c>
      <c r="E9690" t="s">
        <v>87</v>
      </c>
      <c r="F9690">
        <v>13200</v>
      </c>
      <c r="G9690" t="s">
        <v>331</v>
      </c>
      <c r="H9690" s="15">
        <v>45292</v>
      </c>
      <c r="I9690">
        <v>13200</v>
      </c>
      <c r="J9690">
        <v>0</v>
      </c>
    </row>
    <row r="9691" spans="1:10" x14ac:dyDescent="0.3">
      <c r="A9691" s="15">
        <v>46327</v>
      </c>
      <c r="B9691" t="s">
        <v>307</v>
      </c>
      <c r="C9691" t="s">
        <v>81</v>
      </c>
      <c r="D9691" t="s">
        <v>86</v>
      </c>
      <c r="E9691" t="s">
        <v>97</v>
      </c>
      <c r="F9691">
        <v>2600</v>
      </c>
      <c r="G9691" t="s">
        <v>331</v>
      </c>
      <c r="H9691" s="15">
        <v>45292</v>
      </c>
      <c r="I9691">
        <v>2600</v>
      </c>
      <c r="J9691">
        <v>0</v>
      </c>
    </row>
    <row r="9692" spans="1:10" x14ac:dyDescent="0.3">
      <c r="A9692" s="15">
        <v>46327</v>
      </c>
      <c r="B9692" t="s">
        <v>309</v>
      </c>
      <c r="C9692" t="s">
        <v>91</v>
      </c>
      <c r="D9692" t="s">
        <v>82</v>
      </c>
      <c r="E9692" t="s">
        <v>87</v>
      </c>
      <c r="F9692">
        <v>11800</v>
      </c>
      <c r="G9692" t="s">
        <v>331</v>
      </c>
      <c r="H9692" s="15">
        <v>45292</v>
      </c>
      <c r="I9692">
        <v>11800</v>
      </c>
      <c r="J9692">
        <v>0</v>
      </c>
    </row>
    <row r="9693" spans="1:10" x14ac:dyDescent="0.3">
      <c r="A9693" s="15">
        <v>46327</v>
      </c>
      <c r="B9693" t="s">
        <v>310</v>
      </c>
      <c r="C9693" t="s">
        <v>91</v>
      </c>
      <c r="D9693" t="s">
        <v>99</v>
      </c>
      <c r="E9693" t="s">
        <v>87</v>
      </c>
      <c r="F9693">
        <v>10800</v>
      </c>
      <c r="G9693" t="s">
        <v>331</v>
      </c>
      <c r="H9693" s="15">
        <v>45292</v>
      </c>
      <c r="I9693">
        <v>10800</v>
      </c>
      <c r="J9693">
        <v>0</v>
      </c>
    </row>
    <row r="9694" spans="1:10" x14ac:dyDescent="0.3">
      <c r="A9694" s="15">
        <v>46327</v>
      </c>
      <c r="B9694" t="s">
        <v>315</v>
      </c>
      <c r="C9694" t="s">
        <v>125</v>
      </c>
      <c r="D9694" t="s">
        <v>86</v>
      </c>
      <c r="E9694" t="s">
        <v>92</v>
      </c>
      <c r="F9694">
        <v>76200</v>
      </c>
      <c r="G9694" t="s">
        <v>331</v>
      </c>
      <c r="H9694" s="15">
        <v>45292</v>
      </c>
      <c r="I9694">
        <v>76200</v>
      </c>
      <c r="J9694">
        <v>0</v>
      </c>
    </row>
    <row r="9695" spans="1:10" x14ac:dyDescent="0.3">
      <c r="A9695" s="15">
        <v>46327</v>
      </c>
      <c r="B9695" t="s">
        <v>316</v>
      </c>
      <c r="C9695" t="s">
        <v>81</v>
      </c>
      <c r="D9695" t="s">
        <v>96</v>
      </c>
      <c r="E9695" t="s">
        <v>92</v>
      </c>
      <c r="F9695">
        <v>2000</v>
      </c>
      <c r="G9695" t="s">
        <v>331</v>
      </c>
      <c r="H9695" s="15">
        <v>45292</v>
      </c>
      <c r="I9695">
        <v>2000</v>
      </c>
      <c r="J9695">
        <v>0</v>
      </c>
    </row>
    <row r="9696" spans="1:10" x14ac:dyDescent="0.3">
      <c r="A9696" s="15">
        <v>46327</v>
      </c>
      <c r="B9696" t="s">
        <v>318</v>
      </c>
      <c r="C9696" t="s">
        <v>110</v>
      </c>
      <c r="D9696" t="s">
        <v>82</v>
      </c>
      <c r="E9696" t="s">
        <v>97</v>
      </c>
      <c r="F9696">
        <v>29600</v>
      </c>
      <c r="G9696" t="s">
        <v>331</v>
      </c>
      <c r="H9696" s="15">
        <v>45292</v>
      </c>
      <c r="I9696">
        <v>29600</v>
      </c>
      <c r="J9696">
        <v>0</v>
      </c>
    </row>
    <row r="9697" spans="1:10" x14ac:dyDescent="0.3">
      <c r="A9697" s="15">
        <v>46327</v>
      </c>
      <c r="B9697" t="s">
        <v>320</v>
      </c>
      <c r="C9697" t="s">
        <v>91</v>
      </c>
      <c r="D9697" t="s">
        <v>86</v>
      </c>
      <c r="E9697" t="s">
        <v>97</v>
      </c>
      <c r="F9697">
        <v>7700</v>
      </c>
      <c r="G9697" t="s">
        <v>331</v>
      </c>
      <c r="H9697" s="15">
        <v>45292</v>
      </c>
      <c r="I9697">
        <v>7700</v>
      </c>
      <c r="J9697">
        <v>0</v>
      </c>
    </row>
    <row r="9698" spans="1:10" x14ac:dyDescent="0.3">
      <c r="A9698" s="15">
        <v>46327</v>
      </c>
      <c r="B9698" t="s">
        <v>322</v>
      </c>
      <c r="C9698" t="s">
        <v>81</v>
      </c>
      <c r="D9698" t="s">
        <v>82</v>
      </c>
      <c r="E9698" t="s">
        <v>103</v>
      </c>
      <c r="F9698">
        <v>2000</v>
      </c>
      <c r="G9698" t="s">
        <v>331</v>
      </c>
      <c r="H9698" s="15">
        <v>45292</v>
      </c>
      <c r="I9698">
        <v>2000</v>
      </c>
      <c r="J9698">
        <v>0</v>
      </c>
    </row>
    <row r="9699" spans="1:10" x14ac:dyDescent="0.3">
      <c r="A9699" s="15">
        <v>46327</v>
      </c>
      <c r="B9699" t="s">
        <v>323</v>
      </c>
      <c r="C9699" t="s">
        <v>110</v>
      </c>
      <c r="D9699" t="s">
        <v>82</v>
      </c>
      <c r="E9699" t="s">
        <v>89</v>
      </c>
      <c r="F9699">
        <v>22100</v>
      </c>
      <c r="G9699" t="s">
        <v>331</v>
      </c>
      <c r="H9699" s="15">
        <v>45292</v>
      </c>
      <c r="I9699">
        <v>22100</v>
      </c>
      <c r="J9699">
        <v>0</v>
      </c>
    </row>
    <row r="9700" spans="1:10" x14ac:dyDescent="0.3">
      <c r="A9700" s="15">
        <v>46327</v>
      </c>
      <c r="B9700" t="s">
        <v>324</v>
      </c>
      <c r="C9700" t="s">
        <v>81</v>
      </c>
      <c r="D9700" t="s">
        <v>86</v>
      </c>
      <c r="E9700" t="s">
        <v>87</v>
      </c>
      <c r="F9700">
        <v>2400</v>
      </c>
      <c r="G9700" t="s">
        <v>331</v>
      </c>
      <c r="H9700" s="15">
        <v>45292</v>
      </c>
      <c r="I9700">
        <v>2400</v>
      </c>
      <c r="J9700">
        <v>0</v>
      </c>
    </row>
    <row r="9701" spans="1:10" x14ac:dyDescent="0.3">
      <c r="A9701" s="15">
        <v>46327</v>
      </c>
      <c r="B9701" t="s">
        <v>325</v>
      </c>
      <c r="C9701" t="s">
        <v>91</v>
      </c>
      <c r="D9701" t="s">
        <v>86</v>
      </c>
      <c r="E9701" t="s">
        <v>87</v>
      </c>
      <c r="F9701">
        <v>9400</v>
      </c>
      <c r="G9701" t="s">
        <v>331</v>
      </c>
      <c r="H9701" s="15">
        <v>45292</v>
      </c>
      <c r="I9701">
        <v>9400</v>
      </c>
      <c r="J9701">
        <v>0</v>
      </c>
    </row>
    <row r="9702" spans="1:10" x14ac:dyDescent="0.3">
      <c r="A9702" s="15">
        <v>46327</v>
      </c>
      <c r="B9702" t="s">
        <v>327</v>
      </c>
      <c r="C9702" t="s">
        <v>125</v>
      </c>
      <c r="D9702" t="s">
        <v>99</v>
      </c>
      <c r="E9702" t="s">
        <v>97</v>
      </c>
      <c r="F9702">
        <v>77500</v>
      </c>
      <c r="G9702" t="s">
        <v>331</v>
      </c>
      <c r="H9702" s="15">
        <v>45292</v>
      </c>
      <c r="I9702">
        <v>77500</v>
      </c>
      <c r="J9702">
        <v>0</v>
      </c>
    </row>
    <row r="9703" spans="1:10" x14ac:dyDescent="0.3">
      <c r="A9703" s="15">
        <v>46327</v>
      </c>
      <c r="B9703" t="s">
        <v>329</v>
      </c>
      <c r="C9703" t="s">
        <v>81</v>
      </c>
      <c r="D9703" t="s">
        <v>86</v>
      </c>
      <c r="E9703" t="s">
        <v>101</v>
      </c>
      <c r="F9703">
        <v>2200</v>
      </c>
      <c r="G9703" t="s">
        <v>331</v>
      </c>
      <c r="H9703" s="15">
        <v>45292</v>
      </c>
      <c r="I9703">
        <v>2200</v>
      </c>
      <c r="J9703">
        <v>0</v>
      </c>
    </row>
    <row r="9704" spans="1:10" x14ac:dyDescent="0.3">
      <c r="A9704" s="15">
        <v>46327</v>
      </c>
      <c r="B9704" t="s">
        <v>330</v>
      </c>
      <c r="C9704" t="s">
        <v>125</v>
      </c>
      <c r="D9704" t="s">
        <v>86</v>
      </c>
      <c r="E9704" t="s">
        <v>87</v>
      </c>
      <c r="F9704">
        <v>95400</v>
      </c>
      <c r="G9704" t="s">
        <v>331</v>
      </c>
      <c r="H9704" s="15">
        <v>45292</v>
      </c>
      <c r="I9704">
        <v>95400</v>
      </c>
      <c r="J9704">
        <v>0</v>
      </c>
    </row>
    <row r="9705" spans="1:10" x14ac:dyDescent="0.3">
      <c r="A9705" s="15">
        <v>46327</v>
      </c>
      <c r="B9705" t="s">
        <v>335</v>
      </c>
      <c r="C9705" t="s">
        <v>91</v>
      </c>
      <c r="D9705" t="s">
        <v>86</v>
      </c>
      <c r="E9705" t="s">
        <v>89</v>
      </c>
      <c r="F9705">
        <v>6500</v>
      </c>
      <c r="G9705" t="s">
        <v>331</v>
      </c>
      <c r="H9705" s="15">
        <v>45323</v>
      </c>
      <c r="I9705">
        <v>6500</v>
      </c>
      <c r="J9705">
        <v>0</v>
      </c>
    </row>
    <row r="9706" spans="1:10" x14ac:dyDescent="0.3">
      <c r="A9706" s="15">
        <v>46327</v>
      </c>
      <c r="B9706" t="s">
        <v>339</v>
      </c>
      <c r="C9706" t="s">
        <v>81</v>
      </c>
      <c r="D9706" t="s">
        <v>82</v>
      </c>
      <c r="E9706" t="s">
        <v>103</v>
      </c>
      <c r="F9706">
        <v>1400</v>
      </c>
      <c r="G9706" t="s">
        <v>331</v>
      </c>
      <c r="H9706" s="15">
        <v>45323</v>
      </c>
      <c r="I9706">
        <v>1400</v>
      </c>
      <c r="J9706">
        <v>0</v>
      </c>
    </row>
    <row r="9707" spans="1:10" x14ac:dyDescent="0.3">
      <c r="A9707" s="15">
        <v>46327</v>
      </c>
      <c r="B9707" t="s">
        <v>341</v>
      </c>
      <c r="C9707" t="s">
        <v>110</v>
      </c>
      <c r="D9707" t="s">
        <v>82</v>
      </c>
      <c r="E9707" t="s">
        <v>92</v>
      </c>
      <c r="F9707">
        <v>18800</v>
      </c>
      <c r="G9707" t="s">
        <v>331</v>
      </c>
      <c r="H9707" s="15">
        <v>45323</v>
      </c>
      <c r="I9707">
        <v>18800</v>
      </c>
      <c r="J9707">
        <v>0</v>
      </c>
    </row>
    <row r="9708" spans="1:10" x14ac:dyDescent="0.3">
      <c r="A9708" s="15">
        <v>46327</v>
      </c>
      <c r="B9708" t="s">
        <v>342</v>
      </c>
      <c r="C9708" t="s">
        <v>91</v>
      </c>
      <c r="D9708" t="s">
        <v>82</v>
      </c>
      <c r="E9708" t="s">
        <v>83</v>
      </c>
      <c r="F9708">
        <v>7300</v>
      </c>
      <c r="G9708" t="s">
        <v>331</v>
      </c>
      <c r="H9708" s="15">
        <v>45352</v>
      </c>
      <c r="I9708">
        <v>7300</v>
      </c>
      <c r="J9708">
        <v>0</v>
      </c>
    </row>
    <row r="9709" spans="1:10" x14ac:dyDescent="0.3">
      <c r="A9709" s="15">
        <v>46327</v>
      </c>
      <c r="B9709" t="s">
        <v>343</v>
      </c>
      <c r="C9709" t="s">
        <v>81</v>
      </c>
      <c r="D9709" t="s">
        <v>82</v>
      </c>
      <c r="E9709" t="s">
        <v>89</v>
      </c>
      <c r="F9709">
        <v>2500</v>
      </c>
      <c r="G9709" t="s">
        <v>331</v>
      </c>
      <c r="H9709" s="15">
        <v>45352</v>
      </c>
      <c r="I9709">
        <v>2500</v>
      </c>
      <c r="J9709">
        <v>0</v>
      </c>
    </row>
    <row r="9710" spans="1:10" x14ac:dyDescent="0.3">
      <c r="A9710" s="15">
        <v>46327</v>
      </c>
      <c r="B9710" t="s">
        <v>344</v>
      </c>
      <c r="C9710" t="s">
        <v>110</v>
      </c>
      <c r="D9710" t="s">
        <v>86</v>
      </c>
      <c r="E9710" t="s">
        <v>89</v>
      </c>
      <c r="F9710">
        <v>25800</v>
      </c>
      <c r="G9710" t="s">
        <v>331</v>
      </c>
      <c r="H9710" s="15">
        <v>45352</v>
      </c>
      <c r="I9710">
        <v>25800</v>
      </c>
      <c r="J9710">
        <v>0</v>
      </c>
    </row>
    <row r="9711" spans="1:10" x14ac:dyDescent="0.3">
      <c r="A9711" s="15">
        <v>46327</v>
      </c>
      <c r="B9711" t="s">
        <v>345</v>
      </c>
      <c r="C9711" t="s">
        <v>91</v>
      </c>
      <c r="D9711" t="s">
        <v>86</v>
      </c>
      <c r="E9711" t="s">
        <v>83</v>
      </c>
      <c r="F9711">
        <v>7900</v>
      </c>
      <c r="G9711" t="s">
        <v>331</v>
      </c>
      <c r="H9711" s="15">
        <v>45352</v>
      </c>
      <c r="I9711">
        <v>7900</v>
      </c>
      <c r="J9711">
        <v>0</v>
      </c>
    </row>
    <row r="9712" spans="1:10" x14ac:dyDescent="0.3">
      <c r="A9712" s="15">
        <v>46327</v>
      </c>
      <c r="B9712" t="s">
        <v>346</v>
      </c>
      <c r="C9712" t="s">
        <v>81</v>
      </c>
      <c r="D9712" t="s">
        <v>86</v>
      </c>
      <c r="E9712" t="s">
        <v>97</v>
      </c>
      <c r="F9712">
        <v>1700</v>
      </c>
      <c r="G9712" t="s">
        <v>331</v>
      </c>
      <c r="H9712" s="15">
        <v>45352</v>
      </c>
      <c r="I9712">
        <v>1700</v>
      </c>
      <c r="J9712">
        <v>0</v>
      </c>
    </row>
    <row r="9713" spans="1:10" x14ac:dyDescent="0.3">
      <c r="A9713" s="15">
        <v>46327</v>
      </c>
      <c r="B9713" t="s">
        <v>347</v>
      </c>
      <c r="C9713" t="s">
        <v>91</v>
      </c>
      <c r="D9713" t="s">
        <v>82</v>
      </c>
      <c r="E9713" t="s">
        <v>83</v>
      </c>
      <c r="F9713">
        <v>4700</v>
      </c>
      <c r="G9713" t="s">
        <v>331</v>
      </c>
      <c r="H9713" s="15">
        <v>45383</v>
      </c>
      <c r="I9713">
        <v>4700</v>
      </c>
      <c r="J9713">
        <v>0</v>
      </c>
    </row>
    <row r="9714" spans="1:10" x14ac:dyDescent="0.3">
      <c r="A9714" s="15">
        <v>46327</v>
      </c>
      <c r="B9714" t="s">
        <v>350</v>
      </c>
      <c r="C9714" t="s">
        <v>91</v>
      </c>
      <c r="D9714" t="s">
        <v>82</v>
      </c>
      <c r="E9714" t="s">
        <v>83</v>
      </c>
      <c r="F9714">
        <v>4400</v>
      </c>
      <c r="G9714" t="s">
        <v>331</v>
      </c>
      <c r="H9714" s="15">
        <v>45383</v>
      </c>
      <c r="I9714">
        <v>4400</v>
      </c>
      <c r="J9714">
        <v>0</v>
      </c>
    </row>
    <row r="9715" spans="1:10" x14ac:dyDescent="0.3">
      <c r="A9715" s="15">
        <v>46327</v>
      </c>
      <c r="B9715" t="s">
        <v>351</v>
      </c>
      <c r="C9715" t="s">
        <v>81</v>
      </c>
      <c r="D9715" t="s">
        <v>86</v>
      </c>
      <c r="E9715" t="s">
        <v>83</v>
      </c>
      <c r="F9715">
        <v>2700</v>
      </c>
      <c r="G9715" t="s">
        <v>331</v>
      </c>
      <c r="H9715" s="15">
        <v>45383</v>
      </c>
      <c r="I9715">
        <v>2700</v>
      </c>
      <c r="J9715">
        <v>0</v>
      </c>
    </row>
    <row r="9716" spans="1:10" x14ac:dyDescent="0.3">
      <c r="A9716" s="15">
        <v>46327</v>
      </c>
      <c r="B9716" t="s">
        <v>352</v>
      </c>
      <c r="C9716" t="s">
        <v>91</v>
      </c>
      <c r="D9716" t="s">
        <v>82</v>
      </c>
      <c r="E9716" t="s">
        <v>89</v>
      </c>
      <c r="F9716">
        <v>8800</v>
      </c>
      <c r="G9716" t="s">
        <v>331</v>
      </c>
      <c r="H9716" s="15">
        <v>45383</v>
      </c>
      <c r="I9716">
        <v>8800</v>
      </c>
      <c r="J9716">
        <v>0</v>
      </c>
    </row>
    <row r="9717" spans="1:10" x14ac:dyDescent="0.3">
      <c r="A9717" s="15">
        <v>46327</v>
      </c>
      <c r="B9717" t="s">
        <v>353</v>
      </c>
      <c r="C9717" t="s">
        <v>81</v>
      </c>
      <c r="D9717" t="s">
        <v>99</v>
      </c>
      <c r="E9717" t="s">
        <v>103</v>
      </c>
      <c r="F9717">
        <v>1200</v>
      </c>
      <c r="G9717" t="s">
        <v>331</v>
      </c>
      <c r="H9717" s="15">
        <v>45383</v>
      </c>
      <c r="I9717">
        <v>1200</v>
      </c>
      <c r="J9717">
        <v>0</v>
      </c>
    </row>
    <row r="9718" spans="1:10" x14ac:dyDescent="0.3">
      <c r="A9718" s="15">
        <v>46327</v>
      </c>
      <c r="B9718" t="s">
        <v>354</v>
      </c>
      <c r="C9718" t="s">
        <v>81</v>
      </c>
      <c r="D9718" t="s">
        <v>82</v>
      </c>
      <c r="E9718" t="s">
        <v>92</v>
      </c>
      <c r="F9718">
        <v>1700</v>
      </c>
      <c r="G9718" t="s">
        <v>331</v>
      </c>
      <c r="H9718" s="15">
        <v>45413</v>
      </c>
      <c r="I9718">
        <v>1700</v>
      </c>
      <c r="J9718">
        <v>0</v>
      </c>
    </row>
    <row r="9719" spans="1:10" x14ac:dyDescent="0.3">
      <c r="A9719" s="15">
        <v>46327</v>
      </c>
      <c r="B9719" t="s">
        <v>355</v>
      </c>
      <c r="C9719" t="s">
        <v>81</v>
      </c>
      <c r="D9719" t="s">
        <v>86</v>
      </c>
      <c r="E9719" t="s">
        <v>97</v>
      </c>
      <c r="F9719">
        <v>0</v>
      </c>
      <c r="G9719" t="s">
        <v>333</v>
      </c>
      <c r="H9719" s="15">
        <v>45413</v>
      </c>
      <c r="I9719">
        <v>2000</v>
      </c>
      <c r="J9719">
        <v>-2000</v>
      </c>
    </row>
    <row r="9720" spans="1:10" x14ac:dyDescent="0.3">
      <c r="A9720" s="15">
        <v>46327</v>
      </c>
      <c r="B9720" t="s">
        <v>356</v>
      </c>
      <c r="C9720" t="s">
        <v>110</v>
      </c>
      <c r="D9720" t="s">
        <v>82</v>
      </c>
      <c r="E9720" t="s">
        <v>97</v>
      </c>
      <c r="F9720">
        <v>33000</v>
      </c>
      <c r="G9720" t="s">
        <v>331</v>
      </c>
      <c r="H9720" s="15">
        <v>45413</v>
      </c>
      <c r="I9720">
        <v>33000</v>
      </c>
      <c r="J9720">
        <v>0</v>
      </c>
    </row>
    <row r="9721" spans="1:10" x14ac:dyDescent="0.3">
      <c r="A9721" s="15">
        <v>46327</v>
      </c>
      <c r="B9721" t="s">
        <v>359</v>
      </c>
      <c r="C9721" t="s">
        <v>110</v>
      </c>
      <c r="D9721" t="s">
        <v>86</v>
      </c>
      <c r="E9721" t="s">
        <v>101</v>
      </c>
      <c r="F9721">
        <v>28900</v>
      </c>
      <c r="G9721" t="s">
        <v>331</v>
      </c>
      <c r="H9721" s="15">
        <v>45413</v>
      </c>
      <c r="I9721">
        <v>28900</v>
      </c>
      <c r="J9721">
        <v>0</v>
      </c>
    </row>
    <row r="9722" spans="1:10" x14ac:dyDescent="0.3">
      <c r="A9722" s="15">
        <v>46327</v>
      </c>
      <c r="B9722" t="s">
        <v>361</v>
      </c>
      <c r="C9722" t="s">
        <v>91</v>
      </c>
      <c r="D9722" t="s">
        <v>86</v>
      </c>
      <c r="E9722" t="s">
        <v>83</v>
      </c>
      <c r="F9722">
        <v>7100</v>
      </c>
      <c r="G9722" t="s">
        <v>331</v>
      </c>
      <c r="H9722" s="15">
        <v>45444</v>
      </c>
      <c r="I9722">
        <v>7100</v>
      </c>
      <c r="J9722">
        <v>0</v>
      </c>
    </row>
    <row r="9723" spans="1:10" x14ac:dyDescent="0.3">
      <c r="A9723" s="15">
        <v>46327</v>
      </c>
      <c r="B9723" t="s">
        <v>362</v>
      </c>
      <c r="C9723" t="s">
        <v>91</v>
      </c>
      <c r="D9723" t="s">
        <v>82</v>
      </c>
      <c r="E9723" t="s">
        <v>101</v>
      </c>
      <c r="F9723">
        <v>5700</v>
      </c>
      <c r="G9723" t="s">
        <v>331</v>
      </c>
      <c r="H9723" s="15">
        <v>45444</v>
      </c>
      <c r="I9723">
        <v>5700</v>
      </c>
      <c r="J9723">
        <v>0</v>
      </c>
    </row>
    <row r="9724" spans="1:10" x14ac:dyDescent="0.3">
      <c r="A9724" s="15">
        <v>46327</v>
      </c>
      <c r="B9724" t="s">
        <v>363</v>
      </c>
      <c r="C9724" t="s">
        <v>91</v>
      </c>
      <c r="D9724" t="s">
        <v>86</v>
      </c>
      <c r="E9724" t="s">
        <v>83</v>
      </c>
      <c r="F9724">
        <v>4400</v>
      </c>
      <c r="G9724" t="s">
        <v>331</v>
      </c>
      <c r="H9724" s="15">
        <v>45444</v>
      </c>
      <c r="I9724">
        <v>4400</v>
      </c>
      <c r="J9724">
        <v>0</v>
      </c>
    </row>
    <row r="9725" spans="1:10" x14ac:dyDescent="0.3">
      <c r="A9725" s="15">
        <v>46327</v>
      </c>
      <c r="B9725" t="s">
        <v>364</v>
      </c>
      <c r="C9725" t="s">
        <v>91</v>
      </c>
      <c r="D9725" t="s">
        <v>82</v>
      </c>
      <c r="E9725" t="s">
        <v>101</v>
      </c>
      <c r="F9725">
        <v>7600</v>
      </c>
      <c r="G9725" t="s">
        <v>331</v>
      </c>
      <c r="H9725" s="15">
        <v>45444</v>
      </c>
      <c r="I9725">
        <v>7600</v>
      </c>
      <c r="J9725">
        <v>0</v>
      </c>
    </row>
    <row r="9726" spans="1:10" x14ac:dyDescent="0.3">
      <c r="A9726" s="15">
        <v>46327</v>
      </c>
      <c r="B9726" t="s">
        <v>366</v>
      </c>
      <c r="C9726" t="s">
        <v>81</v>
      </c>
      <c r="D9726" t="s">
        <v>99</v>
      </c>
      <c r="E9726" t="s">
        <v>92</v>
      </c>
      <c r="F9726">
        <v>1600</v>
      </c>
      <c r="G9726" t="s">
        <v>331</v>
      </c>
      <c r="H9726" s="15">
        <v>45474</v>
      </c>
      <c r="I9726">
        <v>1600</v>
      </c>
      <c r="J9726">
        <v>0</v>
      </c>
    </row>
    <row r="9727" spans="1:10" x14ac:dyDescent="0.3">
      <c r="A9727" s="15">
        <v>46327</v>
      </c>
      <c r="B9727" t="s">
        <v>368</v>
      </c>
      <c r="C9727" t="s">
        <v>81</v>
      </c>
      <c r="D9727" t="s">
        <v>86</v>
      </c>
      <c r="E9727" t="s">
        <v>89</v>
      </c>
      <c r="F9727">
        <v>1200</v>
      </c>
      <c r="G9727" t="s">
        <v>331</v>
      </c>
      <c r="H9727" s="15">
        <v>45474</v>
      </c>
      <c r="I9727">
        <v>1200</v>
      </c>
      <c r="J9727">
        <v>0</v>
      </c>
    </row>
    <row r="9728" spans="1:10" x14ac:dyDescent="0.3">
      <c r="A9728" s="15">
        <v>46327</v>
      </c>
      <c r="B9728" t="s">
        <v>370</v>
      </c>
      <c r="C9728" t="s">
        <v>81</v>
      </c>
      <c r="D9728" t="s">
        <v>99</v>
      </c>
      <c r="E9728" t="s">
        <v>87</v>
      </c>
      <c r="F9728">
        <v>2300</v>
      </c>
      <c r="G9728" t="s">
        <v>331</v>
      </c>
      <c r="H9728" s="15">
        <v>45474</v>
      </c>
      <c r="I9728">
        <v>2300</v>
      </c>
      <c r="J9728">
        <v>0</v>
      </c>
    </row>
    <row r="9729" spans="1:10" x14ac:dyDescent="0.3">
      <c r="A9729" s="15">
        <v>46327</v>
      </c>
      <c r="B9729" t="s">
        <v>376</v>
      </c>
      <c r="C9729" t="s">
        <v>110</v>
      </c>
      <c r="D9729" t="s">
        <v>86</v>
      </c>
      <c r="E9729" t="s">
        <v>103</v>
      </c>
      <c r="F9729">
        <v>22900</v>
      </c>
      <c r="G9729" t="s">
        <v>331</v>
      </c>
      <c r="H9729" s="15">
        <v>45505</v>
      </c>
      <c r="I9729">
        <v>22900</v>
      </c>
      <c r="J9729">
        <v>0</v>
      </c>
    </row>
    <row r="9730" spans="1:10" x14ac:dyDescent="0.3">
      <c r="A9730" s="15">
        <v>46327</v>
      </c>
      <c r="B9730" t="s">
        <v>377</v>
      </c>
      <c r="C9730" t="s">
        <v>81</v>
      </c>
      <c r="D9730" t="s">
        <v>99</v>
      </c>
      <c r="E9730" t="s">
        <v>92</v>
      </c>
      <c r="F9730">
        <v>2300</v>
      </c>
      <c r="G9730" t="s">
        <v>331</v>
      </c>
      <c r="H9730" s="15">
        <v>45536</v>
      </c>
      <c r="I9730">
        <v>2300</v>
      </c>
      <c r="J9730">
        <v>0</v>
      </c>
    </row>
    <row r="9731" spans="1:10" x14ac:dyDescent="0.3">
      <c r="A9731" s="15">
        <v>46327</v>
      </c>
      <c r="B9731" t="s">
        <v>379</v>
      </c>
      <c r="C9731" t="s">
        <v>81</v>
      </c>
      <c r="D9731" t="s">
        <v>99</v>
      </c>
      <c r="E9731" t="s">
        <v>101</v>
      </c>
      <c r="F9731">
        <v>2300</v>
      </c>
      <c r="G9731" t="s">
        <v>331</v>
      </c>
      <c r="H9731" s="15">
        <v>45536</v>
      </c>
      <c r="I9731">
        <v>2300</v>
      </c>
      <c r="J9731">
        <v>0</v>
      </c>
    </row>
    <row r="9732" spans="1:10" x14ac:dyDescent="0.3">
      <c r="A9732" s="15">
        <v>46327</v>
      </c>
      <c r="B9732" t="s">
        <v>381</v>
      </c>
      <c r="C9732" t="s">
        <v>91</v>
      </c>
      <c r="D9732" t="s">
        <v>86</v>
      </c>
      <c r="E9732" t="s">
        <v>92</v>
      </c>
      <c r="F9732">
        <v>4600</v>
      </c>
      <c r="G9732" t="s">
        <v>331</v>
      </c>
      <c r="H9732" s="15">
        <v>45536</v>
      </c>
      <c r="I9732">
        <v>4600</v>
      </c>
      <c r="J9732">
        <v>0</v>
      </c>
    </row>
    <row r="9733" spans="1:10" x14ac:dyDescent="0.3">
      <c r="A9733" s="15">
        <v>46327</v>
      </c>
      <c r="B9733" t="s">
        <v>382</v>
      </c>
      <c r="C9733" t="s">
        <v>81</v>
      </c>
      <c r="D9733" t="s">
        <v>96</v>
      </c>
      <c r="E9733" t="s">
        <v>101</v>
      </c>
      <c r="F9733">
        <v>2100</v>
      </c>
      <c r="G9733" t="s">
        <v>331</v>
      </c>
      <c r="H9733" s="15">
        <v>45536</v>
      </c>
      <c r="I9733">
        <v>2100</v>
      </c>
      <c r="J9733">
        <v>0</v>
      </c>
    </row>
    <row r="9734" spans="1:10" x14ac:dyDescent="0.3">
      <c r="A9734" s="15">
        <v>46327</v>
      </c>
      <c r="B9734" t="s">
        <v>383</v>
      </c>
      <c r="C9734" t="s">
        <v>81</v>
      </c>
      <c r="D9734" t="s">
        <v>82</v>
      </c>
      <c r="E9734" t="s">
        <v>87</v>
      </c>
      <c r="F9734">
        <v>1600</v>
      </c>
      <c r="G9734" t="s">
        <v>331</v>
      </c>
      <c r="H9734" s="15">
        <v>45536</v>
      </c>
      <c r="I9734">
        <v>1600</v>
      </c>
      <c r="J9734">
        <v>0</v>
      </c>
    </row>
    <row r="9735" spans="1:10" x14ac:dyDescent="0.3">
      <c r="A9735" s="15">
        <v>46327</v>
      </c>
      <c r="B9735" t="s">
        <v>385</v>
      </c>
      <c r="C9735" t="s">
        <v>91</v>
      </c>
      <c r="D9735" t="s">
        <v>99</v>
      </c>
      <c r="E9735" t="s">
        <v>83</v>
      </c>
      <c r="F9735">
        <v>8300</v>
      </c>
      <c r="G9735" t="s">
        <v>331</v>
      </c>
      <c r="H9735" s="15">
        <v>45566</v>
      </c>
      <c r="I9735">
        <v>8300</v>
      </c>
      <c r="J9735">
        <v>0</v>
      </c>
    </row>
    <row r="9736" spans="1:10" x14ac:dyDescent="0.3">
      <c r="A9736" s="15">
        <v>46327</v>
      </c>
      <c r="B9736" t="s">
        <v>386</v>
      </c>
      <c r="C9736" t="s">
        <v>81</v>
      </c>
      <c r="D9736" t="s">
        <v>82</v>
      </c>
      <c r="E9736" t="s">
        <v>103</v>
      </c>
      <c r="F9736">
        <v>2200</v>
      </c>
      <c r="G9736" t="s">
        <v>331</v>
      </c>
      <c r="H9736" s="15">
        <v>45566</v>
      </c>
      <c r="I9736">
        <v>2200</v>
      </c>
      <c r="J9736">
        <v>0</v>
      </c>
    </row>
    <row r="9737" spans="1:10" x14ac:dyDescent="0.3">
      <c r="A9737" s="15">
        <v>46327</v>
      </c>
      <c r="B9737" t="s">
        <v>387</v>
      </c>
      <c r="C9737" t="s">
        <v>81</v>
      </c>
      <c r="D9737" t="s">
        <v>86</v>
      </c>
      <c r="E9737" t="s">
        <v>92</v>
      </c>
      <c r="F9737">
        <v>1500</v>
      </c>
      <c r="G9737" t="s">
        <v>331</v>
      </c>
      <c r="H9737" s="15">
        <v>45566</v>
      </c>
      <c r="I9737">
        <v>1500</v>
      </c>
      <c r="J9737">
        <v>0</v>
      </c>
    </row>
    <row r="9738" spans="1:10" x14ac:dyDescent="0.3">
      <c r="A9738" s="15">
        <v>46327</v>
      </c>
      <c r="B9738" t="s">
        <v>388</v>
      </c>
      <c r="C9738" t="s">
        <v>81</v>
      </c>
      <c r="D9738" t="s">
        <v>99</v>
      </c>
      <c r="E9738" t="s">
        <v>103</v>
      </c>
      <c r="F9738">
        <v>1800</v>
      </c>
      <c r="G9738" t="s">
        <v>331</v>
      </c>
      <c r="H9738" s="15">
        <v>45566</v>
      </c>
      <c r="I9738">
        <v>1800</v>
      </c>
      <c r="J9738">
        <v>0</v>
      </c>
    </row>
    <row r="9739" spans="1:10" x14ac:dyDescent="0.3">
      <c r="A9739" s="15">
        <v>46327</v>
      </c>
      <c r="B9739" t="s">
        <v>390</v>
      </c>
      <c r="C9739" t="s">
        <v>91</v>
      </c>
      <c r="D9739" t="s">
        <v>82</v>
      </c>
      <c r="E9739" t="s">
        <v>89</v>
      </c>
      <c r="F9739">
        <v>6200</v>
      </c>
      <c r="G9739" t="s">
        <v>331</v>
      </c>
      <c r="H9739" s="15">
        <v>45566</v>
      </c>
      <c r="I9739">
        <v>6200</v>
      </c>
      <c r="J9739">
        <v>0</v>
      </c>
    </row>
    <row r="9740" spans="1:10" x14ac:dyDescent="0.3">
      <c r="A9740" s="15">
        <v>46327</v>
      </c>
      <c r="B9740" t="s">
        <v>392</v>
      </c>
      <c r="C9740" t="s">
        <v>91</v>
      </c>
      <c r="D9740" t="s">
        <v>86</v>
      </c>
      <c r="E9740" t="s">
        <v>97</v>
      </c>
      <c r="F9740">
        <v>10000</v>
      </c>
      <c r="G9740" t="s">
        <v>331</v>
      </c>
      <c r="H9740" s="15">
        <v>45597</v>
      </c>
      <c r="I9740">
        <v>10000</v>
      </c>
      <c r="J9740">
        <v>0</v>
      </c>
    </row>
    <row r="9741" spans="1:10" x14ac:dyDescent="0.3">
      <c r="A9741" s="15">
        <v>46327</v>
      </c>
      <c r="B9741" t="s">
        <v>393</v>
      </c>
      <c r="C9741" t="s">
        <v>81</v>
      </c>
      <c r="D9741" t="s">
        <v>82</v>
      </c>
      <c r="E9741" t="s">
        <v>92</v>
      </c>
      <c r="F9741">
        <v>2100</v>
      </c>
      <c r="G9741" t="s">
        <v>331</v>
      </c>
      <c r="H9741" s="15">
        <v>45597</v>
      </c>
      <c r="I9741">
        <v>2100</v>
      </c>
      <c r="J9741">
        <v>0</v>
      </c>
    </row>
    <row r="9742" spans="1:10" x14ac:dyDescent="0.3">
      <c r="A9742" s="15">
        <v>46327</v>
      </c>
      <c r="B9742" t="s">
        <v>394</v>
      </c>
      <c r="C9742" t="s">
        <v>81</v>
      </c>
      <c r="D9742" t="s">
        <v>99</v>
      </c>
      <c r="E9742" t="s">
        <v>87</v>
      </c>
      <c r="F9742">
        <v>1500</v>
      </c>
      <c r="G9742" t="s">
        <v>331</v>
      </c>
      <c r="H9742" s="15">
        <v>45597</v>
      </c>
      <c r="I9742">
        <v>1500</v>
      </c>
      <c r="J9742">
        <v>0</v>
      </c>
    </row>
    <row r="9743" spans="1:10" x14ac:dyDescent="0.3">
      <c r="A9743" s="15">
        <v>46327</v>
      </c>
      <c r="B9743" t="s">
        <v>395</v>
      </c>
      <c r="C9743" t="s">
        <v>81</v>
      </c>
      <c r="D9743" t="s">
        <v>82</v>
      </c>
      <c r="E9743" t="s">
        <v>97</v>
      </c>
      <c r="F9743">
        <v>2500</v>
      </c>
      <c r="G9743" t="s">
        <v>331</v>
      </c>
      <c r="H9743" s="15">
        <v>45627</v>
      </c>
      <c r="I9743">
        <v>2500</v>
      </c>
      <c r="J9743">
        <v>0</v>
      </c>
    </row>
    <row r="9744" spans="1:10" x14ac:dyDescent="0.3">
      <c r="A9744" s="15">
        <v>46327</v>
      </c>
      <c r="B9744" t="s">
        <v>398</v>
      </c>
      <c r="C9744" t="s">
        <v>81</v>
      </c>
      <c r="D9744" t="s">
        <v>86</v>
      </c>
      <c r="E9744" t="s">
        <v>92</v>
      </c>
      <c r="F9744">
        <v>1500</v>
      </c>
      <c r="G9744" t="s">
        <v>332</v>
      </c>
      <c r="H9744" s="15">
        <v>45627</v>
      </c>
      <c r="I9744">
        <v>1400</v>
      </c>
      <c r="J9744">
        <v>100</v>
      </c>
    </row>
    <row r="9745" spans="1:10" x14ac:dyDescent="0.3">
      <c r="A9745" s="15">
        <v>46327</v>
      </c>
      <c r="B9745" t="s">
        <v>399</v>
      </c>
      <c r="C9745" t="s">
        <v>110</v>
      </c>
      <c r="D9745" t="s">
        <v>82</v>
      </c>
      <c r="E9745" t="s">
        <v>101</v>
      </c>
      <c r="F9745">
        <v>17400</v>
      </c>
      <c r="G9745" t="s">
        <v>331</v>
      </c>
      <c r="H9745" s="15">
        <v>45627</v>
      </c>
      <c r="I9745">
        <v>17400</v>
      </c>
      <c r="J9745">
        <v>0</v>
      </c>
    </row>
    <row r="9746" spans="1:10" x14ac:dyDescent="0.3">
      <c r="A9746" s="15">
        <v>46327</v>
      </c>
      <c r="B9746" t="s">
        <v>400</v>
      </c>
      <c r="C9746" t="s">
        <v>91</v>
      </c>
      <c r="D9746" t="s">
        <v>82</v>
      </c>
      <c r="E9746" t="s">
        <v>103</v>
      </c>
      <c r="F9746">
        <v>4600</v>
      </c>
      <c r="G9746" t="s">
        <v>331</v>
      </c>
      <c r="H9746" s="15">
        <v>45627</v>
      </c>
      <c r="I9746">
        <v>4600</v>
      </c>
      <c r="J9746">
        <v>0</v>
      </c>
    </row>
    <row r="9747" spans="1:10" x14ac:dyDescent="0.3">
      <c r="A9747" s="15">
        <v>46327</v>
      </c>
      <c r="B9747" t="s">
        <v>403</v>
      </c>
      <c r="C9747" t="s">
        <v>81</v>
      </c>
      <c r="D9747" t="s">
        <v>82</v>
      </c>
      <c r="E9747" t="s">
        <v>101</v>
      </c>
      <c r="F9747">
        <v>1900</v>
      </c>
      <c r="G9747" t="s">
        <v>331</v>
      </c>
      <c r="H9747" s="15">
        <v>45658</v>
      </c>
      <c r="I9747">
        <v>1900</v>
      </c>
      <c r="J9747">
        <v>0</v>
      </c>
    </row>
    <row r="9748" spans="1:10" x14ac:dyDescent="0.3">
      <c r="A9748" s="15">
        <v>46327</v>
      </c>
      <c r="B9748" t="s">
        <v>404</v>
      </c>
      <c r="C9748" t="s">
        <v>81</v>
      </c>
      <c r="D9748" t="s">
        <v>86</v>
      </c>
      <c r="E9748" t="s">
        <v>83</v>
      </c>
      <c r="F9748">
        <v>2100</v>
      </c>
      <c r="G9748" t="s">
        <v>331</v>
      </c>
      <c r="H9748" s="15">
        <v>45658</v>
      </c>
      <c r="I9748">
        <v>2100</v>
      </c>
      <c r="J9748">
        <v>0</v>
      </c>
    </row>
    <row r="9749" spans="1:10" x14ac:dyDescent="0.3">
      <c r="A9749" s="15">
        <v>46327</v>
      </c>
      <c r="B9749" t="s">
        <v>405</v>
      </c>
      <c r="C9749" t="s">
        <v>81</v>
      </c>
      <c r="D9749" t="s">
        <v>82</v>
      </c>
      <c r="E9749" t="s">
        <v>92</v>
      </c>
      <c r="F9749">
        <v>1600</v>
      </c>
      <c r="G9749" t="s">
        <v>331</v>
      </c>
      <c r="H9749" s="15">
        <v>45658</v>
      </c>
      <c r="I9749">
        <v>1600</v>
      </c>
      <c r="J9749">
        <v>0</v>
      </c>
    </row>
    <row r="9750" spans="1:10" x14ac:dyDescent="0.3">
      <c r="A9750" s="15">
        <v>46327</v>
      </c>
      <c r="B9750" t="s">
        <v>407</v>
      </c>
      <c r="C9750" t="s">
        <v>81</v>
      </c>
      <c r="D9750" t="s">
        <v>82</v>
      </c>
      <c r="E9750" t="s">
        <v>92</v>
      </c>
      <c r="F9750">
        <v>2400</v>
      </c>
      <c r="G9750" t="s">
        <v>331</v>
      </c>
      <c r="H9750" s="15">
        <v>45689</v>
      </c>
      <c r="I9750">
        <v>2400</v>
      </c>
      <c r="J9750">
        <v>0</v>
      </c>
    </row>
    <row r="9751" spans="1:10" x14ac:dyDescent="0.3">
      <c r="A9751" s="15">
        <v>46327</v>
      </c>
      <c r="B9751" t="s">
        <v>409</v>
      </c>
      <c r="C9751" t="s">
        <v>81</v>
      </c>
      <c r="D9751" t="s">
        <v>82</v>
      </c>
      <c r="E9751" t="s">
        <v>83</v>
      </c>
      <c r="F9751">
        <v>1700</v>
      </c>
      <c r="G9751" t="s">
        <v>331</v>
      </c>
      <c r="H9751" s="15">
        <v>45689</v>
      </c>
      <c r="I9751">
        <v>1700</v>
      </c>
      <c r="J9751">
        <v>0</v>
      </c>
    </row>
    <row r="9752" spans="1:10" x14ac:dyDescent="0.3">
      <c r="A9752" s="15">
        <v>46327</v>
      </c>
      <c r="B9752" t="s">
        <v>410</v>
      </c>
      <c r="C9752" t="s">
        <v>125</v>
      </c>
      <c r="D9752" t="s">
        <v>82</v>
      </c>
      <c r="E9752" t="s">
        <v>103</v>
      </c>
      <c r="F9752">
        <v>56400</v>
      </c>
      <c r="G9752" t="s">
        <v>331</v>
      </c>
      <c r="H9752" s="15">
        <v>45689</v>
      </c>
      <c r="I9752">
        <v>56400</v>
      </c>
      <c r="J9752">
        <v>0</v>
      </c>
    </row>
    <row r="9753" spans="1:10" x14ac:dyDescent="0.3">
      <c r="A9753" s="15">
        <v>46327</v>
      </c>
      <c r="B9753" t="s">
        <v>411</v>
      </c>
      <c r="C9753" t="s">
        <v>91</v>
      </c>
      <c r="D9753" t="s">
        <v>86</v>
      </c>
      <c r="E9753" t="s">
        <v>92</v>
      </c>
      <c r="F9753">
        <v>7700</v>
      </c>
      <c r="G9753" t="s">
        <v>331</v>
      </c>
      <c r="H9753" s="15">
        <v>45689</v>
      </c>
      <c r="I9753">
        <v>7700</v>
      </c>
      <c r="J9753">
        <v>0</v>
      </c>
    </row>
    <row r="9754" spans="1:10" x14ac:dyDescent="0.3">
      <c r="A9754" s="15">
        <v>46327</v>
      </c>
      <c r="B9754" t="s">
        <v>413</v>
      </c>
      <c r="C9754" t="s">
        <v>81</v>
      </c>
      <c r="D9754" t="s">
        <v>99</v>
      </c>
      <c r="E9754" t="s">
        <v>101</v>
      </c>
      <c r="F9754">
        <v>2000</v>
      </c>
      <c r="G9754" t="s">
        <v>331</v>
      </c>
      <c r="H9754" s="15">
        <v>45717</v>
      </c>
      <c r="I9754">
        <v>2000</v>
      </c>
      <c r="J9754">
        <v>0</v>
      </c>
    </row>
    <row r="9755" spans="1:10" x14ac:dyDescent="0.3">
      <c r="A9755" s="15">
        <v>46327</v>
      </c>
      <c r="B9755" t="s">
        <v>414</v>
      </c>
      <c r="C9755" t="s">
        <v>110</v>
      </c>
      <c r="D9755" t="s">
        <v>99</v>
      </c>
      <c r="E9755" t="s">
        <v>89</v>
      </c>
      <c r="F9755">
        <v>30900</v>
      </c>
      <c r="G9755" t="s">
        <v>331</v>
      </c>
      <c r="H9755" s="15">
        <v>45717</v>
      </c>
      <c r="I9755">
        <v>30900</v>
      </c>
      <c r="J9755">
        <v>0</v>
      </c>
    </row>
    <row r="9756" spans="1:10" x14ac:dyDescent="0.3">
      <c r="A9756" s="15">
        <v>46327</v>
      </c>
      <c r="B9756" t="s">
        <v>417</v>
      </c>
      <c r="C9756" t="s">
        <v>110</v>
      </c>
      <c r="D9756" t="s">
        <v>86</v>
      </c>
      <c r="E9756" t="s">
        <v>92</v>
      </c>
      <c r="F9756">
        <v>35600</v>
      </c>
      <c r="G9756" t="s">
        <v>331</v>
      </c>
      <c r="H9756" s="15">
        <v>45717</v>
      </c>
      <c r="I9756">
        <v>35600</v>
      </c>
      <c r="J9756">
        <v>0</v>
      </c>
    </row>
    <row r="9757" spans="1:10" x14ac:dyDescent="0.3">
      <c r="A9757" s="15">
        <v>46327</v>
      </c>
      <c r="B9757" t="s">
        <v>418</v>
      </c>
      <c r="C9757" t="s">
        <v>81</v>
      </c>
      <c r="D9757" t="s">
        <v>86</v>
      </c>
      <c r="E9757" t="s">
        <v>92</v>
      </c>
      <c r="F9757">
        <v>2000</v>
      </c>
      <c r="G9757" t="s">
        <v>331</v>
      </c>
      <c r="H9757" s="15">
        <v>45748</v>
      </c>
      <c r="I9757">
        <v>2000</v>
      </c>
      <c r="J9757">
        <v>0</v>
      </c>
    </row>
    <row r="9758" spans="1:10" x14ac:dyDescent="0.3">
      <c r="A9758" s="15">
        <v>46327</v>
      </c>
      <c r="B9758" t="s">
        <v>420</v>
      </c>
      <c r="C9758" t="s">
        <v>110</v>
      </c>
      <c r="D9758" t="s">
        <v>96</v>
      </c>
      <c r="E9758" t="s">
        <v>103</v>
      </c>
      <c r="F9758">
        <v>22900</v>
      </c>
      <c r="G9758" t="s">
        <v>331</v>
      </c>
      <c r="H9758" s="15">
        <v>45748</v>
      </c>
      <c r="I9758">
        <v>22900</v>
      </c>
      <c r="J9758">
        <v>0</v>
      </c>
    </row>
    <row r="9759" spans="1:10" x14ac:dyDescent="0.3">
      <c r="A9759" s="15">
        <v>46327</v>
      </c>
      <c r="B9759" t="s">
        <v>421</v>
      </c>
      <c r="C9759" t="s">
        <v>110</v>
      </c>
      <c r="D9759" t="s">
        <v>82</v>
      </c>
      <c r="E9759" t="s">
        <v>103</v>
      </c>
      <c r="F9759">
        <v>18800</v>
      </c>
      <c r="G9759" t="s">
        <v>331</v>
      </c>
      <c r="H9759" s="15">
        <v>45748</v>
      </c>
      <c r="I9759">
        <v>18800</v>
      </c>
      <c r="J9759">
        <v>0</v>
      </c>
    </row>
    <row r="9760" spans="1:10" x14ac:dyDescent="0.3">
      <c r="A9760" s="15">
        <v>46327</v>
      </c>
      <c r="B9760" t="s">
        <v>422</v>
      </c>
      <c r="C9760" t="s">
        <v>81</v>
      </c>
      <c r="D9760" t="s">
        <v>82</v>
      </c>
      <c r="E9760" t="s">
        <v>97</v>
      </c>
      <c r="F9760">
        <v>2300</v>
      </c>
      <c r="G9760" t="s">
        <v>331</v>
      </c>
      <c r="H9760" s="15">
        <v>45748</v>
      </c>
      <c r="I9760">
        <v>2300</v>
      </c>
      <c r="J9760">
        <v>0</v>
      </c>
    </row>
    <row r="9761" spans="1:10" x14ac:dyDescent="0.3">
      <c r="A9761" s="15">
        <v>46327</v>
      </c>
      <c r="B9761" t="s">
        <v>423</v>
      </c>
      <c r="C9761" t="s">
        <v>125</v>
      </c>
      <c r="D9761" t="s">
        <v>86</v>
      </c>
      <c r="E9761" t="s">
        <v>97</v>
      </c>
      <c r="F9761">
        <v>45600</v>
      </c>
      <c r="G9761" t="s">
        <v>331</v>
      </c>
      <c r="H9761" s="15">
        <v>45748</v>
      </c>
      <c r="I9761">
        <v>45600</v>
      </c>
      <c r="J9761">
        <v>0</v>
      </c>
    </row>
    <row r="9762" spans="1:10" x14ac:dyDescent="0.3">
      <c r="A9762" s="15">
        <v>46327</v>
      </c>
      <c r="B9762" t="s">
        <v>425</v>
      </c>
      <c r="C9762" t="s">
        <v>110</v>
      </c>
      <c r="D9762" t="s">
        <v>82</v>
      </c>
      <c r="E9762" t="s">
        <v>97</v>
      </c>
      <c r="F9762">
        <v>22700</v>
      </c>
      <c r="G9762" t="s">
        <v>331</v>
      </c>
      <c r="H9762" s="15">
        <v>45778</v>
      </c>
      <c r="I9762">
        <v>22700</v>
      </c>
      <c r="J9762">
        <v>0</v>
      </c>
    </row>
    <row r="9763" spans="1:10" x14ac:dyDescent="0.3">
      <c r="A9763" s="15">
        <v>46327</v>
      </c>
      <c r="B9763" t="s">
        <v>426</v>
      </c>
      <c r="C9763" t="s">
        <v>81</v>
      </c>
      <c r="D9763" t="s">
        <v>82</v>
      </c>
      <c r="E9763" t="s">
        <v>89</v>
      </c>
      <c r="F9763">
        <v>1600</v>
      </c>
      <c r="G9763" t="s">
        <v>331</v>
      </c>
      <c r="H9763" s="15">
        <v>45778</v>
      </c>
      <c r="I9763">
        <v>1600</v>
      </c>
      <c r="J9763">
        <v>0</v>
      </c>
    </row>
    <row r="9764" spans="1:10" x14ac:dyDescent="0.3">
      <c r="A9764" s="15">
        <v>46327</v>
      </c>
      <c r="B9764" t="s">
        <v>427</v>
      </c>
      <c r="C9764" t="s">
        <v>110</v>
      </c>
      <c r="D9764" t="s">
        <v>82</v>
      </c>
      <c r="E9764" t="s">
        <v>83</v>
      </c>
      <c r="F9764">
        <v>25300</v>
      </c>
      <c r="G9764" t="s">
        <v>331</v>
      </c>
      <c r="H9764" s="15">
        <v>45778</v>
      </c>
      <c r="I9764">
        <v>25300</v>
      </c>
      <c r="J9764">
        <v>0</v>
      </c>
    </row>
    <row r="9765" spans="1:10" x14ac:dyDescent="0.3">
      <c r="A9765" s="15">
        <v>46327</v>
      </c>
      <c r="B9765" t="s">
        <v>428</v>
      </c>
      <c r="C9765" t="s">
        <v>81</v>
      </c>
      <c r="D9765" t="s">
        <v>86</v>
      </c>
      <c r="E9765" t="s">
        <v>89</v>
      </c>
      <c r="F9765">
        <v>2300</v>
      </c>
      <c r="G9765" t="s">
        <v>331</v>
      </c>
      <c r="H9765" s="15">
        <v>45778</v>
      </c>
      <c r="I9765">
        <v>2300</v>
      </c>
      <c r="J9765">
        <v>0</v>
      </c>
    </row>
    <row r="9766" spans="1:10" x14ac:dyDescent="0.3">
      <c r="A9766" s="15">
        <v>46327</v>
      </c>
      <c r="B9766" t="s">
        <v>430</v>
      </c>
      <c r="C9766" t="s">
        <v>110</v>
      </c>
      <c r="D9766" t="s">
        <v>82</v>
      </c>
      <c r="E9766" t="s">
        <v>87</v>
      </c>
      <c r="F9766">
        <v>24300</v>
      </c>
      <c r="G9766" t="s">
        <v>331</v>
      </c>
      <c r="H9766" s="15">
        <v>45809</v>
      </c>
      <c r="I9766">
        <v>24300</v>
      </c>
      <c r="J9766">
        <v>0</v>
      </c>
    </row>
    <row r="9767" spans="1:10" x14ac:dyDescent="0.3">
      <c r="A9767" s="15">
        <v>46327</v>
      </c>
      <c r="B9767" t="s">
        <v>431</v>
      </c>
      <c r="C9767" t="s">
        <v>110</v>
      </c>
      <c r="D9767" t="s">
        <v>82</v>
      </c>
      <c r="E9767" t="s">
        <v>101</v>
      </c>
      <c r="F9767">
        <v>19800</v>
      </c>
      <c r="G9767" t="s">
        <v>331</v>
      </c>
      <c r="H9767" s="15">
        <v>45809</v>
      </c>
      <c r="I9767">
        <v>19800</v>
      </c>
      <c r="J9767">
        <v>0</v>
      </c>
    </row>
    <row r="9768" spans="1:10" x14ac:dyDescent="0.3">
      <c r="A9768" s="15">
        <v>46327</v>
      </c>
      <c r="B9768" t="s">
        <v>435</v>
      </c>
      <c r="C9768" t="s">
        <v>81</v>
      </c>
      <c r="D9768" t="s">
        <v>82</v>
      </c>
      <c r="E9768" t="s">
        <v>92</v>
      </c>
      <c r="F9768">
        <v>1400</v>
      </c>
      <c r="G9768" t="s">
        <v>331</v>
      </c>
      <c r="H9768" s="15">
        <v>45809</v>
      </c>
      <c r="I9768">
        <v>1400</v>
      </c>
      <c r="J9768">
        <v>0</v>
      </c>
    </row>
    <row r="9769" spans="1:10" x14ac:dyDescent="0.3">
      <c r="A9769" s="15">
        <v>46327</v>
      </c>
      <c r="B9769" t="s">
        <v>436</v>
      </c>
      <c r="C9769" t="s">
        <v>81</v>
      </c>
      <c r="D9769" t="s">
        <v>82</v>
      </c>
      <c r="E9769" t="s">
        <v>97</v>
      </c>
      <c r="F9769">
        <v>2100</v>
      </c>
      <c r="G9769" t="s">
        <v>331</v>
      </c>
      <c r="H9769" s="15">
        <v>45839</v>
      </c>
      <c r="I9769">
        <v>2100</v>
      </c>
      <c r="J9769">
        <v>0</v>
      </c>
    </row>
    <row r="9770" spans="1:10" x14ac:dyDescent="0.3">
      <c r="A9770" s="15">
        <v>46327</v>
      </c>
      <c r="B9770" t="s">
        <v>437</v>
      </c>
      <c r="C9770" t="s">
        <v>81</v>
      </c>
      <c r="D9770" t="s">
        <v>99</v>
      </c>
      <c r="E9770" t="s">
        <v>92</v>
      </c>
      <c r="F9770">
        <v>1800</v>
      </c>
      <c r="G9770" t="s">
        <v>331</v>
      </c>
      <c r="H9770" s="15">
        <v>45839</v>
      </c>
      <c r="I9770">
        <v>1800</v>
      </c>
      <c r="J9770">
        <v>0</v>
      </c>
    </row>
    <row r="9771" spans="1:10" x14ac:dyDescent="0.3">
      <c r="A9771" s="15">
        <v>46327</v>
      </c>
      <c r="B9771" t="s">
        <v>438</v>
      </c>
      <c r="C9771" t="s">
        <v>91</v>
      </c>
      <c r="D9771" t="s">
        <v>96</v>
      </c>
      <c r="E9771" t="s">
        <v>101</v>
      </c>
      <c r="F9771">
        <v>8600</v>
      </c>
      <c r="G9771" t="s">
        <v>331</v>
      </c>
      <c r="H9771" s="15">
        <v>45839</v>
      </c>
      <c r="I9771">
        <v>8600</v>
      </c>
      <c r="J9771">
        <v>0</v>
      </c>
    </row>
    <row r="9772" spans="1:10" x14ac:dyDescent="0.3">
      <c r="A9772" s="15">
        <v>46327</v>
      </c>
      <c r="B9772" t="s">
        <v>439</v>
      </c>
      <c r="C9772" t="s">
        <v>81</v>
      </c>
      <c r="D9772" t="s">
        <v>99</v>
      </c>
      <c r="E9772" t="s">
        <v>87</v>
      </c>
      <c r="F9772">
        <v>1900</v>
      </c>
      <c r="G9772" t="s">
        <v>332</v>
      </c>
      <c r="H9772" s="15">
        <v>45839</v>
      </c>
      <c r="I9772">
        <v>1700</v>
      </c>
      <c r="J9772">
        <v>200</v>
      </c>
    </row>
    <row r="9773" spans="1:10" x14ac:dyDescent="0.3">
      <c r="A9773" s="15">
        <v>46327</v>
      </c>
      <c r="B9773" t="s">
        <v>440</v>
      </c>
      <c r="C9773" t="s">
        <v>81</v>
      </c>
      <c r="D9773" t="s">
        <v>82</v>
      </c>
      <c r="E9773" t="s">
        <v>97</v>
      </c>
      <c r="F9773">
        <v>2200</v>
      </c>
      <c r="G9773" t="s">
        <v>331</v>
      </c>
      <c r="H9773" s="15">
        <v>45839</v>
      </c>
      <c r="I9773">
        <v>2200</v>
      </c>
      <c r="J9773">
        <v>0</v>
      </c>
    </row>
    <row r="9774" spans="1:10" x14ac:dyDescent="0.3">
      <c r="A9774" s="15">
        <v>46327</v>
      </c>
      <c r="B9774" t="s">
        <v>441</v>
      </c>
      <c r="C9774" t="s">
        <v>110</v>
      </c>
      <c r="D9774" t="s">
        <v>86</v>
      </c>
      <c r="E9774" t="s">
        <v>97</v>
      </c>
      <c r="F9774">
        <v>35800</v>
      </c>
      <c r="G9774" t="s">
        <v>331</v>
      </c>
      <c r="H9774" s="15">
        <v>45839</v>
      </c>
      <c r="I9774">
        <v>35800</v>
      </c>
      <c r="J9774">
        <v>0</v>
      </c>
    </row>
    <row r="9775" spans="1:10" x14ac:dyDescent="0.3">
      <c r="A9775" s="15">
        <v>46327</v>
      </c>
      <c r="B9775" t="s">
        <v>442</v>
      </c>
      <c r="C9775" t="s">
        <v>110</v>
      </c>
      <c r="D9775" t="s">
        <v>86</v>
      </c>
      <c r="E9775" t="s">
        <v>83</v>
      </c>
      <c r="F9775">
        <v>23900</v>
      </c>
      <c r="G9775" t="s">
        <v>331</v>
      </c>
      <c r="H9775" s="15">
        <v>45870</v>
      </c>
      <c r="I9775">
        <v>23900</v>
      </c>
      <c r="J9775">
        <v>0</v>
      </c>
    </row>
    <row r="9776" spans="1:10" x14ac:dyDescent="0.3">
      <c r="A9776" s="15">
        <v>46327</v>
      </c>
      <c r="B9776" t="s">
        <v>443</v>
      </c>
      <c r="C9776" t="s">
        <v>81</v>
      </c>
      <c r="D9776" t="s">
        <v>86</v>
      </c>
      <c r="E9776" t="s">
        <v>101</v>
      </c>
      <c r="F9776">
        <v>1800</v>
      </c>
      <c r="G9776" t="s">
        <v>331</v>
      </c>
      <c r="H9776" s="15">
        <v>45870</v>
      </c>
      <c r="I9776">
        <v>1800</v>
      </c>
      <c r="J9776">
        <v>0</v>
      </c>
    </row>
    <row r="9777" spans="1:10" x14ac:dyDescent="0.3">
      <c r="A9777" s="15">
        <v>46327</v>
      </c>
      <c r="B9777" t="s">
        <v>444</v>
      </c>
      <c r="C9777" t="s">
        <v>125</v>
      </c>
      <c r="D9777" t="s">
        <v>82</v>
      </c>
      <c r="E9777" t="s">
        <v>92</v>
      </c>
      <c r="F9777">
        <v>71600</v>
      </c>
      <c r="G9777" t="s">
        <v>331</v>
      </c>
      <c r="H9777" s="15">
        <v>45870</v>
      </c>
      <c r="I9777">
        <v>71600</v>
      </c>
      <c r="J9777">
        <v>0</v>
      </c>
    </row>
    <row r="9778" spans="1:10" x14ac:dyDescent="0.3">
      <c r="A9778" s="15">
        <v>46327</v>
      </c>
      <c r="B9778" t="s">
        <v>445</v>
      </c>
      <c r="C9778" t="s">
        <v>91</v>
      </c>
      <c r="D9778" t="s">
        <v>82</v>
      </c>
      <c r="E9778" t="s">
        <v>89</v>
      </c>
      <c r="F9778">
        <v>4700</v>
      </c>
      <c r="G9778" t="s">
        <v>331</v>
      </c>
      <c r="H9778" s="15">
        <v>45870</v>
      </c>
      <c r="I9778">
        <v>4700</v>
      </c>
      <c r="J9778">
        <v>0</v>
      </c>
    </row>
    <row r="9779" spans="1:10" x14ac:dyDescent="0.3">
      <c r="A9779" s="15">
        <v>46327</v>
      </c>
      <c r="B9779" t="s">
        <v>446</v>
      </c>
      <c r="C9779" t="s">
        <v>81</v>
      </c>
      <c r="D9779" t="s">
        <v>86</v>
      </c>
      <c r="E9779" t="s">
        <v>97</v>
      </c>
      <c r="F9779">
        <v>1600</v>
      </c>
      <c r="G9779" t="s">
        <v>331</v>
      </c>
      <c r="H9779" s="15">
        <v>45870</v>
      </c>
      <c r="I9779">
        <v>1600</v>
      </c>
      <c r="J9779">
        <v>0</v>
      </c>
    </row>
    <row r="9780" spans="1:10" x14ac:dyDescent="0.3">
      <c r="A9780" s="15">
        <v>46327</v>
      </c>
      <c r="B9780" t="s">
        <v>447</v>
      </c>
      <c r="C9780" t="s">
        <v>81</v>
      </c>
      <c r="D9780" t="s">
        <v>86</v>
      </c>
      <c r="E9780" t="s">
        <v>103</v>
      </c>
      <c r="F9780">
        <v>2300</v>
      </c>
      <c r="G9780" t="s">
        <v>331</v>
      </c>
      <c r="H9780" s="15">
        <v>45870</v>
      </c>
      <c r="I9780">
        <v>2300</v>
      </c>
      <c r="J9780">
        <v>0</v>
      </c>
    </row>
    <row r="9781" spans="1:10" x14ac:dyDescent="0.3">
      <c r="A9781" s="15">
        <v>46327</v>
      </c>
      <c r="B9781" t="s">
        <v>449</v>
      </c>
      <c r="C9781" t="s">
        <v>81</v>
      </c>
      <c r="D9781" t="s">
        <v>82</v>
      </c>
      <c r="E9781" t="s">
        <v>92</v>
      </c>
      <c r="F9781">
        <v>1600</v>
      </c>
      <c r="G9781" t="s">
        <v>331</v>
      </c>
      <c r="H9781" s="15">
        <v>45870</v>
      </c>
      <c r="I9781">
        <v>1600</v>
      </c>
      <c r="J9781">
        <v>0</v>
      </c>
    </row>
    <row r="9782" spans="1:10" x14ac:dyDescent="0.3">
      <c r="A9782" s="15">
        <v>46327</v>
      </c>
      <c r="B9782" t="s">
        <v>450</v>
      </c>
      <c r="C9782" t="s">
        <v>81</v>
      </c>
      <c r="D9782" t="s">
        <v>86</v>
      </c>
      <c r="E9782" t="s">
        <v>89</v>
      </c>
      <c r="F9782">
        <v>1900</v>
      </c>
      <c r="G9782" t="s">
        <v>331</v>
      </c>
      <c r="H9782" s="15">
        <v>45901</v>
      </c>
      <c r="I9782">
        <v>1900</v>
      </c>
      <c r="J9782">
        <v>0</v>
      </c>
    </row>
    <row r="9783" spans="1:10" x14ac:dyDescent="0.3">
      <c r="A9783" s="15">
        <v>46327</v>
      </c>
      <c r="B9783" t="s">
        <v>452</v>
      </c>
      <c r="C9783" t="s">
        <v>91</v>
      </c>
      <c r="D9783" t="s">
        <v>86</v>
      </c>
      <c r="E9783" t="s">
        <v>92</v>
      </c>
      <c r="F9783">
        <v>7500</v>
      </c>
      <c r="G9783" t="s">
        <v>331</v>
      </c>
      <c r="H9783" s="15">
        <v>45901</v>
      </c>
      <c r="I9783">
        <v>7500</v>
      </c>
      <c r="J9783">
        <v>0</v>
      </c>
    </row>
    <row r="9784" spans="1:10" x14ac:dyDescent="0.3">
      <c r="A9784" s="15">
        <v>46327</v>
      </c>
      <c r="B9784" t="s">
        <v>454</v>
      </c>
      <c r="C9784" t="s">
        <v>91</v>
      </c>
      <c r="D9784" t="s">
        <v>82</v>
      </c>
      <c r="E9784" t="s">
        <v>89</v>
      </c>
      <c r="F9784">
        <v>6200</v>
      </c>
      <c r="G9784" t="s">
        <v>331</v>
      </c>
      <c r="H9784" s="15">
        <v>45901</v>
      </c>
      <c r="I9784">
        <v>6200</v>
      </c>
      <c r="J9784">
        <v>0</v>
      </c>
    </row>
    <row r="9785" spans="1:10" x14ac:dyDescent="0.3">
      <c r="A9785" s="15">
        <v>46327</v>
      </c>
      <c r="B9785" t="s">
        <v>455</v>
      </c>
      <c r="C9785" t="s">
        <v>125</v>
      </c>
      <c r="D9785" t="s">
        <v>99</v>
      </c>
      <c r="E9785" t="s">
        <v>103</v>
      </c>
      <c r="F9785">
        <v>75900</v>
      </c>
      <c r="G9785" t="s">
        <v>331</v>
      </c>
      <c r="H9785" s="15">
        <v>45901</v>
      </c>
      <c r="I9785">
        <v>75900</v>
      </c>
      <c r="J9785">
        <v>0</v>
      </c>
    </row>
    <row r="9786" spans="1:10" x14ac:dyDescent="0.3">
      <c r="A9786" s="15">
        <v>46327</v>
      </c>
      <c r="B9786" t="s">
        <v>457</v>
      </c>
      <c r="C9786" t="s">
        <v>81</v>
      </c>
      <c r="D9786" t="s">
        <v>86</v>
      </c>
      <c r="E9786" t="s">
        <v>89</v>
      </c>
      <c r="F9786">
        <v>2600</v>
      </c>
      <c r="G9786" t="s">
        <v>331</v>
      </c>
      <c r="H9786" s="15">
        <v>45931</v>
      </c>
      <c r="I9786">
        <v>2600</v>
      </c>
      <c r="J9786">
        <v>0</v>
      </c>
    </row>
    <row r="9787" spans="1:10" x14ac:dyDescent="0.3">
      <c r="A9787" s="15">
        <v>46327</v>
      </c>
      <c r="B9787" t="s">
        <v>458</v>
      </c>
      <c r="C9787" t="s">
        <v>91</v>
      </c>
      <c r="D9787" t="s">
        <v>86</v>
      </c>
      <c r="E9787" t="s">
        <v>83</v>
      </c>
      <c r="F9787">
        <v>8900</v>
      </c>
      <c r="G9787" t="s">
        <v>331</v>
      </c>
      <c r="H9787" s="15">
        <v>45931</v>
      </c>
      <c r="I9787">
        <v>8900</v>
      </c>
      <c r="J9787">
        <v>0</v>
      </c>
    </row>
    <row r="9788" spans="1:10" x14ac:dyDescent="0.3">
      <c r="A9788" s="15">
        <v>46327</v>
      </c>
      <c r="B9788" t="s">
        <v>461</v>
      </c>
      <c r="C9788" t="s">
        <v>81</v>
      </c>
      <c r="D9788" t="s">
        <v>86</v>
      </c>
      <c r="E9788" t="s">
        <v>92</v>
      </c>
      <c r="F9788">
        <v>1700</v>
      </c>
      <c r="G9788" t="s">
        <v>331</v>
      </c>
      <c r="H9788" s="15">
        <v>45931</v>
      </c>
      <c r="I9788">
        <v>1700</v>
      </c>
      <c r="J9788">
        <v>0</v>
      </c>
    </row>
    <row r="9789" spans="1:10" x14ac:dyDescent="0.3">
      <c r="A9789" s="15">
        <v>46327</v>
      </c>
      <c r="B9789" t="s">
        <v>462</v>
      </c>
      <c r="C9789" t="s">
        <v>81</v>
      </c>
      <c r="D9789" t="s">
        <v>86</v>
      </c>
      <c r="E9789" t="s">
        <v>92</v>
      </c>
      <c r="F9789">
        <v>2000</v>
      </c>
      <c r="G9789" t="s">
        <v>334</v>
      </c>
      <c r="H9789" s="15">
        <v>45931</v>
      </c>
      <c r="I9789">
        <v>2200</v>
      </c>
      <c r="J9789">
        <v>-200</v>
      </c>
    </row>
    <row r="9790" spans="1:10" x14ac:dyDescent="0.3">
      <c r="A9790" s="15">
        <v>46327</v>
      </c>
      <c r="B9790" t="s">
        <v>464</v>
      </c>
      <c r="C9790" t="s">
        <v>91</v>
      </c>
      <c r="D9790" t="s">
        <v>99</v>
      </c>
      <c r="E9790" t="s">
        <v>87</v>
      </c>
      <c r="F9790">
        <v>6000</v>
      </c>
      <c r="G9790" t="s">
        <v>331</v>
      </c>
      <c r="H9790" s="15">
        <v>45962</v>
      </c>
      <c r="I9790">
        <v>6000</v>
      </c>
      <c r="J9790">
        <v>0</v>
      </c>
    </row>
    <row r="9791" spans="1:10" x14ac:dyDescent="0.3">
      <c r="A9791" s="15">
        <v>46327</v>
      </c>
      <c r="B9791" t="s">
        <v>466</v>
      </c>
      <c r="C9791" t="s">
        <v>81</v>
      </c>
      <c r="D9791" t="s">
        <v>99</v>
      </c>
      <c r="E9791" t="s">
        <v>92</v>
      </c>
      <c r="F9791">
        <v>1400</v>
      </c>
      <c r="G9791" t="s">
        <v>331</v>
      </c>
      <c r="H9791" s="15">
        <v>45962</v>
      </c>
      <c r="I9791">
        <v>1400</v>
      </c>
      <c r="J9791">
        <v>0</v>
      </c>
    </row>
    <row r="9792" spans="1:10" x14ac:dyDescent="0.3">
      <c r="A9792" s="15">
        <v>46327</v>
      </c>
      <c r="B9792" t="s">
        <v>467</v>
      </c>
      <c r="C9792" t="s">
        <v>91</v>
      </c>
      <c r="D9792" t="s">
        <v>86</v>
      </c>
      <c r="E9792" t="s">
        <v>89</v>
      </c>
      <c r="F9792">
        <v>8200</v>
      </c>
      <c r="G9792" t="s">
        <v>331</v>
      </c>
      <c r="H9792" s="15">
        <v>45962</v>
      </c>
      <c r="I9792">
        <v>8200</v>
      </c>
      <c r="J9792">
        <v>0</v>
      </c>
    </row>
    <row r="9793" spans="1:10" x14ac:dyDescent="0.3">
      <c r="A9793" s="15">
        <v>46327</v>
      </c>
      <c r="B9793" t="s">
        <v>469</v>
      </c>
      <c r="C9793" t="s">
        <v>81</v>
      </c>
      <c r="D9793" t="s">
        <v>86</v>
      </c>
      <c r="E9793" t="s">
        <v>87</v>
      </c>
      <c r="F9793">
        <v>2000</v>
      </c>
      <c r="G9793" t="s">
        <v>331</v>
      </c>
      <c r="H9793" s="15">
        <v>45992</v>
      </c>
      <c r="I9793">
        <v>2000</v>
      </c>
      <c r="J9793">
        <v>0</v>
      </c>
    </row>
    <row r="9794" spans="1:10" x14ac:dyDescent="0.3">
      <c r="A9794" s="15">
        <v>46327</v>
      </c>
      <c r="B9794" t="s">
        <v>470</v>
      </c>
      <c r="C9794" t="s">
        <v>81</v>
      </c>
      <c r="D9794" t="s">
        <v>86</v>
      </c>
      <c r="E9794" t="s">
        <v>103</v>
      </c>
      <c r="F9794">
        <v>1600</v>
      </c>
      <c r="G9794" t="s">
        <v>331</v>
      </c>
      <c r="H9794" s="15">
        <v>45992</v>
      </c>
      <c r="I9794">
        <v>1600</v>
      </c>
      <c r="J9794">
        <v>0</v>
      </c>
    </row>
    <row r="9795" spans="1:10" x14ac:dyDescent="0.3">
      <c r="A9795" s="15">
        <v>46327</v>
      </c>
      <c r="B9795" t="s">
        <v>471</v>
      </c>
      <c r="C9795" t="s">
        <v>110</v>
      </c>
      <c r="D9795" t="s">
        <v>86</v>
      </c>
      <c r="E9795" t="s">
        <v>103</v>
      </c>
      <c r="F9795">
        <v>31000</v>
      </c>
      <c r="G9795" t="s">
        <v>331</v>
      </c>
      <c r="H9795" s="15">
        <v>45992</v>
      </c>
      <c r="I9795">
        <v>31000</v>
      </c>
      <c r="J9795">
        <v>0</v>
      </c>
    </row>
    <row r="9796" spans="1:10" x14ac:dyDescent="0.3">
      <c r="A9796" s="15">
        <v>46327</v>
      </c>
      <c r="B9796" t="s">
        <v>472</v>
      </c>
      <c r="C9796" t="s">
        <v>91</v>
      </c>
      <c r="D9796" t="s">
        <v>86</v>
      </c>
      <c r="E9796" t="s">
        <v>97</v>
      </c>
      <c r="F9796">
        <v>5100</v>
      </c>
      <c r="G9796" t="s">
        <v>331</v>
      </c>
      <c r="H9796" s="15">
        <v>45992</v>
      </c>
      <c r="I9796">
        <v>5100</v>
      </c>
      <c r="J9796">
        <v>0</v>
      </c>
    </row>
    <row r="9797" spans="1:10" x14ac:dyDescent="0.3">
      <c r="A9797" s="15">
        <v>46327</v>
      </c>
      <c r="B9797" t="s">
        <v>475</v>
      </c>
      <c r="C9797" t="s">
        <v>110</v>
      </c>
      <c r="D9797" t="s">
        <v>82</v>
      </c>
      <c r="E9797" t="s">
        <v>101</v>
      </c>
      <c r="F9797">
        <v>35000</v>
      </c>
      <c r="G9797" t="s">
        <v>331</v>
      </c>
      <c r="H9797" s="15">
        <v>45992</v>
      </c>
      <c r="I9797">
        <v>35000</v>
      </c>
      <c r="J9797">
        <v>0</v>
      </c>
    </row>
    <row r="9798" spans="1:10" x14ac:dyDescent="0.3">
      <c r="A9798" s="15">
        <v>46327</v>
      </c>
      <c r="B9798" t="s">
        <v>476</v>
      </c>
      <c r="C9798" t="s">
        <v>81</v>
      </c>
      <c r="D9798" t="s">
        <v>82</v>
      </c>
      <c r="E9798" t="s">
        <v>89</v>
      </c>
      <c r="F9798">
        <v>2600</v>
      </c>
      <c r="G9798" t="s">
        <v>331</v>
      </c>
      <c r="H9798" s="15">
        <v>45992</v>
      </c>
      <c r="I9798">
        <v>2600</v>
      </c>
      <c r="J9798">
        <v>0</v>
      </c>
    </row>
    <row r="9799" spans="1:10" x14ac:dyDescent="0.3">
      <c r="A9799" s="15">
        <v>46327</v>
      </c>
      <c r="B9799" t="s">
        <v>477</v>
      </c>
      <c r="C9799" t="s">
        <v>81</v>
      </c>
      <c r="D9799" t="s">
        <v>82</v>
      </c>
      <c r="E9799" t="s">
        <v>92</v>
      </c>
      <c r="F9799">
        <v>2100</v>
      </c>
      <c r="G9799" t="s">
        <v>331</v>
      </c>
      <c r="H9799" s="15">
        <v>46023</v>
      </c>
      <c r="I9799">
        <v>2100</v>
      </c>
      <c r="J9799">
        <v>0</v>
      </c>
    </row>
    <row r="9800" spans="1:10" x14ac:dyDescent="0.3">
      <c r="A9800" s="15">
        <v>46327</v>
      </c>
      <c r="B9800" t="s">
        <v>478</v>
      </c>
      <c r="C9800" t="s">
        <v>91</v>
      </c>
      <c r="D9800" t="s">
        <v>82</v>
      </c>
      <c r="E9800" t="s">
        <v>97</v>
      </c>
      <c r="F9800">
        <v>6500</v>
      </c>
      <c r="G9800" t="s">
        <v>331</v>
      </c>
      <c r="H9800" s="15">
        <v>46023</v>
      </c>
      <c r="I9800">
        <v>6500</v>
      </c>
      <c r="J9800">
        <v>0</v>
      </c>
    </row>
    <row r="9801" spans="1:10" x14ac:dyDescent="0.3">
      <c r="A9801" s="15">
        <v>46327</v>
      </c>
      <c r="B9801" t="s">
        <v>479</v>
      </c>
      <c r="C9801" t="s">
        <v>81</v>
      </c>
      <c r="D9801" t="s">
        <v>82</v>
      </c>
      <c r="E9801" t="s">
        <v>87</v>
      </c>
      <c r="F9801">
        <v>1800</v>
      </c>
      <c r="G9801" t="s">
        <v>331</v>
      </c>
      <c r="H9801" s="15">
        <v>46023</v>
      </c>
      <c r="I9801">
        <v>1800</v>
      </c>
      <c r="J9801">
        <v>0</v>
      </c>
    </row>
    <row r="9802" spans="1:10" x14ac:dyDescent="0.3">
      <c r="A9802" s="15">
        <v>46327</v>
      </c>
      <c r="B9802" t="s">
        <v>480</v>
      </c>
      <c r="C9802" t="s">
        <v>81</v>
      </c>
      <c r="D9802" t="s">
        <v>86</v>
      </c>
      <c r="E9802" t="s">
        <v>103</v>
      </c>
      <c r="F9802">
        <v>1600</v>
      </c>
      <c r="G9802" t="s">
        <v>331</v>
      </c>
      <c r="H9802" s="15">
        <v>46023</v>
      </c>
      <c r="I9802">
        <v>1600</v>
      </c>
      <c r="J9802">
        <v>0</v>
      </c>
    </row>
    <row r="9803" spans="1:10" x14ac:dyDescent="0.3">
      <c r="A9803" s="15">
        <v>46327</v>
      </c>
      <c r="B9803" t="s">
        <v>481</v>
      </c>
      <c r="C9803" t="s">
        <v>81</v>
      </c>
      <c r="D9803" t="s">
        <v>82</v>
      </c>
      <c r="E9803" t="s">
        <v>103</v>
      </c>
      <c r="F9803">
        <v>1800</v>
      </c>
      <c r="G9803" t="s">
        <v>331</v>
      </c>
      <c r="H9803" s="15">
        <v>46023</v>
      </c>
      <c r="I9803">
        <v>1800</v>
      </c>
      <c r="J9803">
        <v>0</v>
      </c>
    </row>
    <row r="9804" spans="1:10" x14ac:dyDescent="0.3">
      <c r="A9804" s="15">
        <v>46327</v>
      </c>
      <c r="B9804" t="s">
        <v>482</v>
      </c>
      <c r="C9804" t="s">
        <v>110</v>
      </c>
      <c r="D9804" t="s">
        <v>82</v>
      </c>
      <c r="E9804" t="s">
        <v>83</v>
      </c>
      <c r="F9804">
        <v>18100</v>
      </c>
      <c r="G9804" t="s">
        <v>331</v>
      </c>
      <c r="H9804" s="15">
        <v>46023</v>
      </c>
      <c r="I9804">
        <v>18100</v>
      </c>
      <c r="J9804">
        <v>0</v>
      </c>
    </row>
    <row r="9805" spans="1:10" x14ac:dyDescent="0.3">
      <c r="A9805" s="15">
        <v>46327</v>
      </c>
      <c r="B9805" t="s">
        <v>483</v>
      </c>
      <c r="C9805" t="s">
        <v>81</v>
      </c>
      <c r="D9805" t="s">
        <v>82</v>
      </c>
      <c r="E9805" t="s">
        <v>89</v>
      </c>
      <c r="F9805">
        <v>2000</v>
      </c>
      <c r="G9805" t="s">
        <v>331</v>
      </c>
      <c r="H9805" s="15">
        <v>46023</v>
      </c>
      <c r="I9805">
        <v>2000</v>
      </c>
      <c r="J9805">
        <v>0</v>
      </c>
    </row>
    <row r="9806" spans="1:10" x14ac:dyDescent="0.3">
      <c r="A9806" s="15">
        <v>46327</v>
      </c>
      <c r="B9806" t="s">
        <v>484</v>
      </c>
      <c r="C9806" t="s">
        <v>110</v>
      </c>
      <c r="D9806" t="s">
        <v>99</v>
      </c>
      <c r="E9806" t="s">
        <v>101</v>
      </c>
      <c r="F9806">
        <v>21400</v>
      </c>
      <c r="G9806" t="s">
        <v>331</v>
      </c>
      <c r="H9806" s="15">
        <v>46054</v>
      </c>
      <c r="I9806">
        <v>21400</v>
      </c>
      <c r="J9806">
        <v>0</v>
      </c>
    </row>
    <row r="9807" spans="1:10" x14ac:dyDescent="0.3">
      <c r="A9807" s="15">
        <v>46327</v>
      </c>
      <c r="B9807" t="s">
        <v>485</v>
      </c>
      <c r="C9807" t="s">
        <v>125</v>
      </c>
      <c r="D9807" t="s">
        <v>82</v>
      </c>
      <c r="E9807" t="s">
        <v>89</v>
      </c>
      <c r="F9807">
        <v>65800</v>
      </c>
      <c r="G9807" t="s">
        <v>331</v>
      </c>
      <c r="H9807" s="15">
        <v>46054</v>
      </c>
      <c r="I9807">
        <v>65800</v>
      </c>
      <c r="J9807">
        <v>0</v>
      </c>
    </row>
    <row r="9808" spans="1:10" x14ac:dyDescent="0.3">
      <c r="A9808" s="15">
        <v>46327</v>
      </c>
      <c r="B9808" t="s">
        <v>486</v>
      </c>
      <c r="C9808" t="s">
        <v>81</v>
      </c>
      <c r="D9808" t="s">
        <v>82</v>
      </c>
      <c r="E9808" t="s">
        <v>87</v>
      </c>
      <c r="F9808">
        <v>1500</v>
      </c>
      <c r="G9808" t="s">
        <v>331</v>
      </c>
      <c r="H9808" s="15">
        <v>46054</v>
      </c>
      <c r="I9808">
        <v>1500</v>
      </c>
      <c r="J9808">
        <v>0</v>
      </c>
    </row>
    <row r="9809" spans="1:10" x14ac:dyDescent="0.3">
      <c r="A9809" s="15">
        <v>46327</v>
      </c>
      <c r="B9809" t="s">
        <v>487</v>
      </c>
      <c r="C9809" t="s">
        <v>81</v>
      </c>
      <c r="D9809" t="s">
        <v>86</v>
      </c>
      <c r="E9809" t="s">
        <v>83</v>
      </c>
      <c r="F9809">
        <v>1800</v>
      </c>
      <c r="G9809" t="s">
        <v>331</v>
      </c>
      <c r="H9809" s="15">
        <v>46054</v>
      </c>
      <c r="I9809">
        <v>1800</v>
      </c>
      <c r="J9809">
        <v>0</v>
      </c>
    </row>
    <row r="9810" spans="1:10" x14ac:dyDescent="0.3">
      <c r="A9810" s="15">
        <v>46327</v>
      </c>
      <c r="B9810" t="s">
        <v>488</v>
      </c>
      <c r="C9810" t="s">
        <v>91</v>
      </c>
      <c r="D9810" t="s">
        <v>86</v>
      </c>
      <c r="E9810" t="s">
        <v>89</v>
      </c>
      <c r="F9810">
        <v>6800</v>
      </c>
      <c r="G9810" t="s">
        <v>331</v>
      </c>
      <c r="H9810" s="15">
        <v>46054</v>
      </c>
      <c r="I9810">
        <v>6800</v>
      </c>
      <c r="J9810">
        <v>0</v>
      </c>
    </row>
    <row r="9811" spans="1:10" x14ac:dyDescent="0.3">
      <c r="A9811" s="15">
        <v>46327</v>
      </c>
      <c r="B9811" t="s">
        <v>489</v>
      </c>
      <c r="C9811" t="s">
        <v>81</v>
      </c>
      <c r="D9811" t="s">
        <v>96</v>
      </c>
      <c r="E9811" t="s">
        <v>97</v>
      </c>
      <c r="F9811">
        <v>1600</v>
      </c>
      <c r="G9811" t="s">
        <v>331</v>
      </c>
      <c r="H9811" s="15">
        <v>46054</v>
      </c>
      <c r="I9811">
        <v>1600</v>
      </c>
      <c r="J9811">
        <v>0</v>
      </c>
    </row>
    <row r="9812" spans="1:10" x14ac:dyDescent="0.3">
      <c r="A9812" s="15">
        <v>46327</v>
      </c>
      <c r="B9812" t="s">
        <v>490</v>
      </c>
      <c r="C9812" t="s">
        <v>81</v>
      </c>
      <c r="D9812" t="s">
        <v>86</v>
      </c>
      <c r="E9812" t="s">
        <v>103</v>
      </c>
      <c r="F9812">
        <v>1800</v>
      </c>
      <c r="G9812" t="s">
        <v>331</v>
      </c>
      <c r="H9812" s="15">
        <v>46054</v>
      </c>
      <c r="I9812">
        <v>1800</v>
      </c>
      <c r="J9812">
        <v>0</v>
      </c>
    </row>
    <row r="9813" spans="1:10" x14ac:dyDescent="0.3">
      <c r="A9813" s="15">
        <v>46327</v>
      </c>
      <c r="B9813" t="s">
        <v>491</v>
      </c>
      <c r="C9813" t="s">
        <v>81</v>
      </c>
      <c r="D9813" t="s">
        <v>96</v>
      </c>
      <c r="E9813" t="s">
        <v>92</v>
      </c>
      <c r="F9813">
        <v>1800</v>
      </c>
      <c r="G9813" t="s">
        <v>331</v>
      </c>
      <c r="H9813" s="15">
        <v>46054</v>
      </c>
      <c r="I9813">
        <v>1800</v>
      </c>
      <c r="J9813">
        <v>0</v>
      </c>
    </row>
    <row r="9814" spans="1:10" x14ac:dyDescent="0.3">
      <c r="A9814" s="15">
        <v>46327</v>
      </c>
      <c r="B9814" t="s">
        <v>492</v>
      </c>
      <c r="C9814" t="s">
        <v>81</v>
      </c>
      <c r="D9814" t="s">
        <v>99</v>
      </c>
      <c r="E9814" t="s">
        <v>92</v>
      </c>
      <c r="F9814">
        <v>1700</v>
      </c>
      <c r="G9814" t="s">
        <v>331</v>
      </c>
      <c r="H9814" s="15">
        <v>46082</v>
      </c>
      <c r="I9814">
        <v>1700</v>
      </c>
      <c r="J9814">
        <v>0</v>
      </c>
    </row>
    <row r="9815" spans="1:10" x14ac:dyDescent="0.3">
      <c r="A9815" s="15">
        <v>46327</v>
      </c>
      <c r="B9815" t="s">
        <v>493</v>
      </c>
      <c r="C9815" t="s">
        <v>81</v>
      </c>
      <c r="D9815" t="s">
        <v>96</v>
      </c>
      <c r="E9815" t="s">
        <v>101</v>
      </c>
      <c r="F9815">
        <v>1600</v>
      </c>
      <c r="G9815" t="s">
        <v>331</v>
      </c>
      <c r="H9815" s="15">
        <v>46082</v>
      </c>
      <c r="I9815">
        <v>1600</v>
      </c>
      <c r="J9815">
        <v>0</v>
      </c>
    </row>
    <row r="9816" spans="1:10" x14ac:dyDescent="0.3">
      <c r="A9816" s="15">
        <v>46327</v>
      </c>
      <c r="B9816" t="s">
        <v>494</v>
      </c>
      <c r="C9816" t="s">
        <v>110</v>
      </c>
      <c r="D9816" t="s">
        <v>82</v>
      </c>
      <c r="E9816" t="s">
        <v>103</v>
      </c>
      <c r="F9816">
        <v>21000</v>
      </c>
      <c r="G9816" t="s">
        <v>331</v>
      </c>
      <c r="H9816" s="15">
        <v>46082</v>
      </c>
      <c r="I9816">
        <v>21000</v>
      </c>
      <c r="J9816">
        <v>0</v>
      </c>
    </row>
    <row r="9817" spans="1:10" x14ac:dyDescent="0.3">
      <c r="A9817" s="15">
        <v>46327</v>
      </c>
      <c r="B9817" t="s">
        <v>496</v>
      </c>
      <c r="C9817" t="s">
        <v>110</v>
      </c>
      <c r="D9817" t="s">
        <v>99</v>
      </c>
      <c r="E9817" t="s">
        <v>97</v>
      </c>
      <c r="F9817">
        <v>16500</v>
      </c>
      <c r="G9817" t="s">
        <v>331</v>
      </c>
      <c r="H9817" s="15">
        <v>46082</v>
      </c>
      <c r="I9817">
        <v>16500</v>
      </c>
      <c r="J9817">
        <v>0</v>
      </c>
    </row>
    <row r="9818" spans="1:10" x14ac:dyDescent="0.3">
      <c r="A9818" s="15">
        <v>46327</v>
      </c>
      <c r="B9818" t="s">
        <v>497</v>
      </c>
      <c r="C9818" t="s">
        <v>91</v>
      </c>
      <c r="D9818" t="s">
        <v>86</v>
      </c>
      <c r="E9818" t="s">
        <v>97</v>
      </c>
      <c r="F9818">
        <v>4900</v>
      </c>
      <c r="G9818" t="s">
        <v>331</v>
      </c>
      <c r="H9818" s="15">
        <v>46082</v>
      </c>
      <c r="I9818">
        <v>4900</v>
      </c>
      <c r="J9818">
        <v>0</v>
      </c>
    </row>
    <row r="9819" spans="1:10" x14ac:dyDescent="0.3">
      <c r="A9819" s="15">
        <v>46327</v>
      </c>
      <c r="B9819" t="s">
        <v>498</v>
      </c>
      <c r="C9819" t="s">
        <v>91</v>
      </c>
      <c r="D9819" t="s">
        <v>82</v>
      </c>
      <c r="E9819" t="s">
        <v>83</v>
      </c>
      <c r="F9819">
        <v>7900</v>
      </c>
      <c r="G9819" t="s">
        <v>331</v>
      </c>
      <c r="H9819" s="15">
        <v>46113</v>
      </c>
      <c r="I9819">
        <v>7900</v>
      </c>
      <c r="J9819">
        <v>0</v>
      </c>
    </row>
    <row r="9820" spans="1:10" x14ac:dyDescent="0.3">
      <c r="A9820" s="15">
        <v>46327</v>
      </c>
      <c r="B9820" t="s">
        <v>499</v>
      </c>
      <c r="C9820" t="s">
        <v>91</v>
      </c>
      <c r="D9820" t="s">
        <v>82</v>
      </c>
      <c r="E9820" t="s">
        <v>101</v>
      </c>
      <c r="F9820">
        <v>7000</v>
      </c>
      <c r="G9820" t="s">
        <v>331</v>
      </c>
      <c r="H9820" s="15">
        <v>46113</v>
      </c>
      <c r="I9820">
        <v>7000</v>
      </c>
      <c r="J9820">
        <v>0</v>
      </c>
    </row>
    <row r="9821" spans="1:10" x14ac:dyDescent="0.3">
      <c r="A9821" s="15">
        <v>46327</v>
      </c>
      <c r="B9821" t="s">
        <v>500</v>
      </c>
      <c r="C9821" t="s">
        <v>81</v>
      </c>
      <c r="D9821" t="s">
        <v>86</v>
      </c>
      <c r="E9821" t="s">
        <v>83</v>
      </c>
      <c r="F9821">
        <v>2000</v>
      </c>
      <c r="G9821" t="s">
        <v>331</v>
      </c>
      <c r="H9821" s="15">
        <v>46113</v>
      </c>
      <c r="I9821">
        <v>2000</v>
      </c>
      <c r="J9821">
        <v>0</v>
      </c>
    </row>
    <row r="9822" spans="1:10" x14ac:dyDescent="0.3">
      <c r="A9822" s="15">
        <v>46327</v>
      </c>
      <c r="B9822" t="s">
        <v>501</v>
      </c>
      <c r="C9822" t="s">
        <v>110</v>
      </c>
      <c r="D9822" t="s">
        <v>86</v>
      </c>
      <c r="E9822" t="s">
        <v>97</v>
      </c>
      <c r="F9822">
        <v>27200</v>
      </c>
      <c r="G9822" t="s">
        <v>331</v>
      </c>
      <c r="H9822" s="15">
        <v>46113</v>
      </c>
      <c r="I9822">
        <v>27200</v>
      </c>
      <c r="J9822">
        <v>0</v>
      </c>
    </row>
    <row r="9823" spans="1:10" x14ac:dyDescent="0.3">
      <c r="A9823" s="15">
        <v>46327</v>
      </c>
      <c r="B9823" t="s">
        <v>502</v>
      </c>
      <c r="C9823" t="s">
        <v>81</v>
      </c>
      <c r="D9823" t="s">
        <v>99</v>
      </c>
      <c r="E9823" t="s">
        <v>83</v>
      </c>
      <c r="F9823">
        <v>2600</v>
      </c>
      <c r="G9823" t="s">
        <v>331</v>
      </c>
      <c r="H9823" s="15">
        <v>46113</v>
      </c>
      <c r="I9823">
        <v>2600</v>
      </c>
      <c r="J9823">
        <v>0</v>
      </c>
    </row>
    <row r="9824" spans="1:10" x14ac:dyDescent="0.3">
      <c r="A9824" s="15">
        <v>46327</v>
      </c>
      <c r="B9824" t="s">
        <v>503</v>
      </c>
      <c r="C9824" t="s">
        <v>110</v>
      </c>
      <c r="D9824" t="s">
        <v>86</v>
      </c>
      <c r="E9824" t="s">
        <v>87</v>
      </c>
      <c r="F9824">
        <v>43200</v>
      </c>
      <c r="G9824" t="s">
        <v>331</v>
      </c>
      <c r="H9824" s="15">
        <v>46113</v>
      </c>
      <c r="I9824">
        <v>43200</v>
      </c>
      <c r="J9824">
        <v>0</v>
      </c>
    </row>
    <row r="9825" spans="1:10" x14ac:dyDescent="0.3">
      <c r="A9825" s="15">
        <v>46327</v>
      </c>
      <c r="B9825" t="s">
        <v>504</v>
      </c>
      <c r="C9825" t="s">
        <v>81</v>
      </c>
      <c r="D9825" t="s">
        <v>86</v>
      </c>
      <c r="E9825" t="s">
        <v>103</v>
      </c>
      <c r="F9825">
        <v>1200</v>
      </c>
      <c r="G9825" t="s">
        <v>331</v>
      </c>
      <c r="H9825" s="15">
        <v>46113</v>
      </c>
      <c r="I9825">
        <v>1200</v>
      </c>
      <c r="J9825">
        <v>0</v>
      </c>
    </row>
    <row r="9826" spans="1:10" x14ac:dyDescent="0.3">
      <c r="A9826" s="15">
        <v>46327</v>
      </c>
      <c r="B9826" t="s">
        <v>505</v>
      </c>
      <c r="C9826" t="s">
        <v>81</v>
      </c>
      <c r="D9826" t="s">
        <v>86</v>
      </c>
      <c r="E9826" t="s">
        <v>97</v>
      </c>
      <c r="F9826">
        <v>2100</v>
      </c>
      <c r="G9826" t="s">
        <v>331</v>
      </c>
      <c r="H9826" s="15">
        <v>46113</v>
      </c>
      <c r="I9826">
        <v>2100</v>
      </c>
      <c r="J9826">
        <v>0</v>
      </c>
    </row>
    <row r="9827" spans="1:10" x14ac:dyDescent="0.3">
      <c r="A9827" s="15">
        <v>46327</v>
      </c>
      <c r="B9827" t="s">
        <v>506</v>
      </c>
      <c r="C9827" t="s">
        <v>91</v>
      </c>
      <c r="D9827" t="s">
        <v>82</v>
      </c>
      <c r="E9827" t="s">
        <v>89</v>
      </c>
      <c r="F9827">
        <v>5100</v>
      </c>
      <c r="G9827" t="s">
        <v>331</v>
      </c>
      <c r="H9827" s="15">
        <v>46113</v>
      </c>
      <c r="I9827">
        <v>5100</v>
      </c>
      <c r="J9827">
        <v>0</v>
      </c>
    </row>
    <row r="9828" spans="1:10" x14ac:dyDescent="0.3">
      <c r="A9828" s="15">
        <v>46327</v>
      </c>
      <c r="B9828" t="s">
        <v>507</v>
      </c>
      <c r="C9828" t="s">
        <v>81</v>
      </c>
      <c r="D9828" t="s">
        <v>86</v>
      </c>
      <c r="E9828" t="s">
        <v>89</v>
      </c>
      <c r="F9828">
        <v>1400</v>
      </c>
      <c r="G9828" t="s">
        <v>331</v>
      </c>
      <c r="H9828" s="15">
        <v>46143</v>
      </c>
      <c r="I9828">
        <v>1400</v>
      </c>
      <c r="J9828">
        <v>0</v>
      </c>
    </row>
    <row r="9829" spans="1:10" x14ac:dyDescent="0.3">
      <c r="A9829" s="15">
        <v>46327</v>
      </c>
      <c r="B9829" t="s">
        <v>508</v>
      </c>
      <c r="C9829" t="s">
        <v>91</v>
      </c>
      <c r="D9829" t="s">
        <v>82</v>
      </c>
      <c r="E9829" t="s">
        <v>83</v>
      </c>
      <c r="F9829">
        <v>8500</v>
      </c>
      <c r="G9829" t="s">
        <v>331</v>
      </c>
      <c r="H9829" s="15">
        <v>46143</v>
      </c>
      <c r="I9829">
        <v>8500</v>
      </c>
      <c r="J9829">
        <v>0</v>
      </c>
    </row>
    <row r="9830" spans="1:10" x14ac:dyDescent="0.3">
      <c r="A9830" s="15">
        <v>46327</v>
      </c>
      <c r="B9830" t="s">
        <v>509</v>
      </c>
      <c r="C9830" t="s">
        <v>91</v>
      </c>
      <c r="D9830" t="s">
        <v>86</v>
      </c>
      <c r="E9830" t="s">
        <v>103</v>
      </c>
      <c r="F9830">
        <v>8300</v>
      </c>
      <c r="G9830" t="s">
        <v>331</v>
      </c>
      <c r="H9830" s="15">
        <v>46143</v>
      </c>
      <c r="I9830">
        <v>8300</v>
      </c>
      <c r="J9830">
        <v>0</v>
      </c>
    </row>
    <row r="9831" spans="1:10" x14ac:dyDescent="0.3">
      <c r="A9831" s="15">
        <v>46327</v>
      </c>
      <c r="B9831" t="s">
        <v>510</v>
      </c>
      <c r="C9831" t="s">
        <v>91</v>
      </c>
      <c r="D9831" t="s">
        <v>86</v>
      </c>
      <c r="E9831" t="s">
        <v>101</v>
      </c>
      <c r="F9831">
        <v>8100</v>
      </c>
      <c r="G9831" t="s">
        <v>331</v>
      </c>
      <c r="H9831" s="15">
        <v>46143</v>
      </c>
      <c r="I9831">
        <v>8100</v>
      </c>
      <c r="J9831">
        <v>0</v>
      </c>
    </row>
    <row r="9832" spans="1:10" x14ac:dyDescent="0.3">
      <c r="A9832" s="15">
        <v>46327</v>
      </c>
      <c r="B9832" t="s">
        <v>511</v>
      </c>
      <c r="C9832" t="s">
        <v>91</v>
      </c>
      <c r="D9832" t="s">
        <v>99</v>
      </c>
      <c r="E9832" t="s">
        <v>101</v>
      </c>
      <c r="F9832">
        <v>7500</v>
      </c>
      <c r="G9832" t="s">
        <v>331</v>
      </c>
      <c r="H9832" s="15">
        <v>46143</v>
      </c>
      <c r="I9832">
        <v>7500</v>
      </c>
      <c r="J9832">
        <v>0</v>
      </c>
    </row>
    <row r="9833" spans="1:10" x14ac:dyDescent="0.3">
      <c r="A9833" s="15">
        <v>46327</v>
      </c>
      <c r="B9833" t="s">
        <v>512</v>
      </c>
      <c r="C9833" t="s">
        <v>110</v>
      </c>
      <c r="D9833" t="s">
        <v>96</v>
      </c>
      <c r="E9833" t="s">
        <v>103</v>
      </c>
      <c r="F9833">
        <v>30900</v>
      </c>
      <c r="G9833" t="s">
        <v>331</v>
      </c>
      <c r="H9833" s="15">
        <v>46143</v>
      </c>
      <c r="I9833">
        <v>30900</v>
      </c>
      <c r="J9833">
        <v>0</v>
      </c>
    </row>
    <row r="9834" spans="1:10" x14ac:dyDescent="0.3">
      <c r="A9834" s="15">
        <v>46327</v>
      </c>
      <c r="B9834" t="s">
        <v>513</v>
      </c>
      <c r="C9834" t="s">
        <v>91</v>
      </c>
      <c r="D9834" t="s">
        <v>96</v>
      </c>
      <c r="E9834" t="s">
        <v>103</v>
      </c>
      <c r="F9834">
        <v>7700</v>
      </c>
      <c r="G9834" t="s">
        <v>331</v>
      </c>
      <c r="H9834" s="15">
        <v>46143</v>
      </c>
      <c r="I9834">
        <v>7700</v>
      </c>
      <c r="J9834">
        <v>0</v>
      </c>
    </row>
    <row r="9835" spans="1:10" x14ac:dyDescent="0.3">
      <c r="A9835" s="15">
        <v>46327</v>
      </c>
      <c r="B9835" t="s">
        <v>514</v>
      </c>
      <c r="C9835" t="s">
        <v>81</v>
      </c>
      <c r="D9835" t="s">
        <v>99</v>
      </c>
      <c r="E9835" t="s">
        <v>92</v>
      </c>
      <c r="F9835">
        <v>2900</v>
      </c>
      <c r="G9835" t="s">
        <v>331</v>
      </c>
      <c r="H9835" s="15">
        <v>46174</v>
      </c>
      <c r="I9835">
        <v>2900</v>
      </c>
      <c r="J9835">
        <v>0</v>
      </c>
    </row>
    <row r="9836" spans="1:10" x14ac:dyDescent="0.3">
      <c r="A9836" s="15">
        <v>46327</v>
      </c>
      <c r="B9836" t="s">
        <v>515</v>
      </c>
      <c r="C9836" t="s">
        <v>110</v>
      </c>
      <c r="D9836" t="s">
        <v>86</v>
      </c>
      <c r="E9836" t="s">
        <v>101</v>
      </c>
      <c r="F9836">
        <v>32300</v>
      </c>
      <c r="G9836" t="s">
        <v>331</v>
      </c>
      <c r="H9836" s="15">
        <v>46174</v>
      </c>
      <c r="I9836">
        <v>32300</v>
      </c>
      <c r="J9836">
        <v>0</v>
      </c>
    </row>
    <row r="9837" spans="1:10" x14ac:dyDescent="0.3">
      <c r="A9837" s="15">
        <v>46327</v>
      </c>
      <c r="B9837" t="s">
        <v>516</v>
      </c>
      <c r="C9837" t="s">
        <v>81</v>
      </c>
      <c r="D9837" t="s">
        <v>99</v>
      </c>
      <c r="E9837" t="s">
        <v>89</v>
      </c>
      <c r="F9837">
        <v>1500</v>
      </c>
      <c r="G9837" t="s">
        <v>331</v>
      </c>
      <c r="H9837" s="15">
        <v>46174</v>
      </c>
      <c r="I9837">
        <v>1500</v>
      </c>
      <c r="J9837">
        <v>0</v>
      </c>
    </row>
    <row r="9838" spans="1:10" x14ac:dyDescent="0.3">
      <c r="A9838" s="15">
        <v>46327</v>
      </c>
      <c r="B9838" t="s">
        <v>517</v>
      </c>
      <c r="C9838" t="s">
        <v>91</v>
      </c>
      <c r="D9838" t="s">
        <v>82</v>
      </c>
      <c r="E9838" t="s">
        <v>97</v>
      </c>
      <c r="F9838">
        <v>6100</v>
      </c>
      <c r="G9838" t="s">
        <v>331</v>
      </c>
      <c r="H9838" s="15">
        <v>46174</v>
      </c>
      <c r="I9838">
        <v>6100</v>
      </c>
      <c r="J9838">
        <v>0</v>
      </c>
    </row>
    <row r="9839" spans="1:10" x14ac:dyDescent="0.3">
      <c r="A9839" s="15">
        <v>46327</v>
      </c>
      <c r="B9839" t="s">
        <v>518</v>
      </c>
      <c r="C9839" t="s">
        <v>110</v>
      </c>
      <c r="D9839" t="s">
        <v>96</v>
      </c>
      <c r="E9839" t="s">
        <v>103</v>
      </c>
      <c r="F9839">
        <v>26100</v>
      </c>
      <c r="G9839" t="s">
        <v>331</v>
      </c>
      <c r="H9839" s="15">
        <v>46174</v>
      </c>
      <c r="I9839">
        <v>26100</v>
      </c>
      <c r="J9839">
        <v>0</v>
      </c>
    </row>
    <row r="9840" spans="1:10" x14ac:dyDescent="0.3">
      <c r="A9840" s="15">
        <v>46327</v>
      </c>
      <c r="B9840" t="s">
        <v>519</v>
      </c>
      <c r="C9840" t="s">
        <v>91</v>
      </c>
      <c r="D9840" t="s">
        <v>86</v>
      </c>
      <c r="E9840" t="s">
        <v>89</v>
      </c>
      <c r="F9840">
        <v>7400</v>
      </c>
      <c r="G9840" t="s">
        <v>331</v>
      </c>
      <c r="H9840" s="15">
        <v>46174</v>
      </c>
      <c r="I9840">
        <v>7400</v>
      </c>
      <c r="J9840">
        <v>0</v>
      </c>
    </row>
    <row r="9841" spans="1:10" x14ac:dyDescent="0.3">
      <c r="A9841" s="15">
        <v>46327</v>
      </c>
      <c r="B9841" t="s">
        <v>520</v>
      </c>
      <c r="C9841" t="s">
        <v>91</v>
      </c>
      <c r="D9841" t="s">
        <v>86</v>
      </c>
      <c r="E9841" t="s">
        <v>101</v>
      </c>
      <c r="F9841">
        <v>5900</v>
      </c>
      <c r="G9841" t="s">
        <v>331</v>
      </c>
      <c r="H9841" s="15">
        <v>46174</v>
      </c>
      <c r="I9841">
        <v>5900</v>
      </c>
      <c r="J9841">
        <v>0</v>
      </c>
    </row>
    <row r="9842" spans="1:10" x14ac:dyDescent="0.3">
      <c r="A9842" s="15">
        <v>46327</v>
      </c>
      <c r="B9842" t="s">
        <v>521</v>
      </c>
      <c r="C9842" t="s">
        <v>81</v>
      </c>
      <c r="D9842" t="s">
        <v>86</v>
      </c>
      <c r="E9842" t="s">
        <v>97</v>
      </c>
      <c r="F9842">
        <v>1800</v>
      </c>
      <c r="G9842" t="s">
        <v>331</v>
      </c>
      <c r="H9842" s="15">
        <v>46174</v>
      </c>
      <c r="I9842">
        <v>1800</v>
      </c>
      <c r="J9842">
        <v>0</v>
      </c>
    </row>
    <row r="9843" spans="1:10" x14ac:dyDescent="0.3">
      <c r="A9843" s="15">
        <v>46327</v>
      </c>
      <c r="B9843" t="s">
        <v>522</v>
      </c>
      <c r="C9843" t="s">
        <v>91</v>
      </c>
      <c r="D9843" t="s">
        <v>86</v>
      </c>
      <c r="E9843" t="s">
        <v>92</v>
      </c>
      <c r="F9843">
        <v>4600</v>
      </c>
      <c r="G9843" t="s">
        <v>331</v>
      </c>
      <c r="H9843" s="15">
        <v>46174</v>
      </c>
      <c r="I9843">
        <v>4600</v>
      </c>
      <c r="J9843">
        <v>0</v>
      </c>
    </row>
    <row r="9844" spans="1:10" x14ac:dyDescent="0.3">
      <c r="A9844" s="15">
        <v>46327</v>
      </c>
      <c r="B9844" t="s">
        <v>523</v>
      </c>
      <c r="C9844" t="s">
        <v>91</v>
      </c>
      <c r="D9844" t="s">
        <v>82</v>
      </c>
      <c r="E9844" t="s">
        <v>97</v>
      </c>
      <c r="F9844">
        <v>6900</v>
      </c>
      <c r="G9844" t="s">
        <v>331</v>
      </c>
      <c r="H9844" s="15">
        <v>46174</v>
      </c>
      <c r="I9844">
        <v>6900</v>
      </c>
      <c r="J9844">
        <v>0</v>
      </c>
    </row>
    <row r="9845" spans="1:10" x14ac:dyDescent="0.3">
      <c r="A9845" s="15">
        <v>46327</v>
      </c>
      <c r="B9845" t="s">
        <v>524</v>
      </c>
      <c r="C9845" t="s">
        <v>81</v>
      </c>
      <c r="D9845" t="s">
        <v>99</v>
      </c>
      <c r="E9845" t="s">
        <v>83</v>
      </c>
      <c r="F9845">
        <v>1600</v>
      </c>
      <c r="G9845" t="s">
        <v>331</v>
      </c>
      <c r="H9845" s="15">
        <v>46204</v>
      </c>
      <c r="I9845">
        <v>1600</v>
      </c>
      <c r="J9845">
        <v>0</v>
      </c>
    </row>
    <row r="9846" spans="1:10" x14ac:dyDescent="0.3">
      <c r="A9846" s="15">
        <v>46327</v>
      </c>
      <c r="B9846" t="s">
        <v>525</v>
      </c>
      <c r="C9846" t="s">
        <v>81</v>
      </c>
      <c r="D9846" t="s">
        <v>82</v>
      </c>
      <c r="E9846" t="s">
        <v>92</v>
      </c>
      <c r="F9846">
        <v>1500</v>
      </c>
      <c r="G9846" t="s">
        <v>331</v>
      </c>
      <c r="H9846" s="15">
        <v>46204</v>
      </c>
      <c r="I9846">
        <v>1500</v>
      </c>
      <c r="J9846">
        <v>0</v>
      </c>
    </row>
    <row r="9847" spans="1:10" x14ac:dyDescent="0.3">
      <c r="A9847" s="15">
        <v>46327</v>
      </c>
      <c r="B9847" t="s">
        <v>526</v>
      </c>
      <c r="C9847" t="s">
        <v>81</v>
      </c>
      <c r="D9847" t="s">
        <v>96</v>
      </c>
      <c r="E9847" t="s">
        <v>87</v>
      </c>
      <c r="F9847">
        <v>1500</v>
      </c>
      <c r="G9847" t="s">
        <v>331</v>
      </c>
      <c r="H9847" s="15">
        <v>46204</v>
      </c>
      <c r="I9847">
        <v>1500</v>
      </c>
      <c r="J9847">
        <v>0</v>
      </c>
    </row>
    <row r="9848" spans="1:10" x14ac:dyDescent="0.3">
      <c r="A9848" s="15">
        <v>46327</v>
      </c>
      <c r="B9848" t="s">
        <v>527</v>
      </c>
      <c r="C9848" t="s">
        <v>81</v>
      </c>
      <c r="D9848" t="s">
        <v>99</v>
      </c>
      <c r="E9848" t="s">
        <v>89</v>
      </c>
      <c r="F9848">
        <v>1500</v>
      </c>
      <c r="G9848" t="s">
        <v>331</v>
      </c>
      <c r="H9848" s="15">
        <v>46204</v>
      </c>
      <c r="I9848">
        <v>1500</v>
      </c>
      <c r="J9848">
        <v>0</v>
      </c>
    </row>
    <row r="9849" spans="1:10" x14ac:dyDescent="0.3">
      <c r="A9849" s="15">
        <v>46327</v>
      </c>
      <c r="B9849" t="s">
        <v>528</v>
      </c>
      <c r="C9849" t="s">
        <v>81</v>
      </c>
      <c r="D9849" t="s">
        <v>82</v>
      </c>
      <c r="E9849" t="s">
        <v>103</v>
      </c>
      <c r="F9849">
        <v>1700</v>
      </c>
      <c r="G9849" t="s">
        <v>331</v>
      </c>
      <c r="H9849" s="15">
        <v>46204</v>
      </c>
      <c r="I9849">
        <v>1700</v>
      </c>
      <c r="J9849">
        <v>0</v>
      </c>
    </row>
    <row r="9850" spans="1:10" x14ac:dyDescent="0.3">
      <c r="A9850" s="15">
        <v>46327</v>
      </c>
      <c r="B9850" t="s">
        <v>529</v>
      </c>
      <c r="C9850" t="s">
        <v>81</v>
      </c>
      <c r="D9850" t="s">
        <v>99</v>
      </c>
      <c r="E9850" t="s">
        <v>92</v>
      </c>
      <c r="F9850">
        <v>1500</v>
      </c>
      <c r="G9850" t="s">
        <v>331</v>
      </c>
      <c r="H9850" s="15">
        <v>46204</v>
      </c>
      <c r="I9850">
        <v>1500</v>
      </c>
      <c r="J9850">
        <v>0</v>
      </c>
    </row>
    <row r="9851" spans="1:10" x14ac:dyDescent="0.3">
      <c r="A9851" s="15">
        <v>46327</v>
      </c>
      <c r="B9851" t="s">
        <v>530</v>
      </c>
      <c r="C9851" t="s">
        <v>110</v>
      </c>
      <c r="D9851" t="s">
        <v>82</v>
      </c>
      <c r="E9851" t="s">
        <v>89</v>
      </c>
      <c r="F9851">
        <v>27600</v>
      </c>
      <c r="G9851" t="s">
        <v>332</v>
      </c>
      <c r="H9851" s="15">
        <v>46204</v>
      </c>
      <c r="I9851">
        <v>24200</v>
      </c>
      <c r="J9851">
        <v>3400</v>
      </c>
    </row>
    <row r="9852" spans="1:10" x14ac:dyDescent="0.3">
      <c r="A9852" s="15">
        <v>46327</v>
      </c>
      <c r="B9852" t="s">
        <v>531</v>
      </c>
      <c r="C9852" t="s">
        <v>110</v>
      </c>
      <c r="D9852" t="s">
        <v>82</v>
      </c>
      <c r="E9852" t="s">
        <v>89</v>
      </c>
      <c r="F9852">
        <v>19800</v>
      </c>
      <c r="G9852" t="s">
        <v>331</v>
      </c>
      <c r="H9852" s="15">
        <v>46204</v>
      </c>
      <c r="I9852">
        <v>19800</v>
      </c>
      <c r="J9852">
        <v>0</v>
      </c>
    </row>
    <row r="9853" spans="1:10" x14ac:dyDescent="0.3">
      <c r="A9853" s="15">
        <v>46327</v>
      </c>
      <c r="B9853" t="s">
        <v>532</v>
      </c>
      <c r="C9853" t="s">
        <v>91</v>
      </c>
      <c r="D9853" t="s">
        <v>82</v>
      </c>
      <c r="E9853" t="s">
        <v>89</v>
      </c>
      <c r="F9853">
        <v>7000</v>
      </c>
      <c r="G9853" t="s">
        <v>331</v>
      </c>
      <c r="H9853" s="15">
        <v>46235</v>
      </c>
      <c r="I9853">
        <v>7000</v>
      </c>
      <c r="J9853">
        <v>0</v>
      </c>
    </row>
    <row r="9854" spans="1:10" x14ac:dyDescent="0.3">
      <c r="A9854" s="15">
        <v>46327</v>
      </c>
      <c r="B9854" t="s">
        <v>533</v>
      </c>
      <c r="C9854" t="s">
        <v>91</v>
      </c>
      <c r="D9854" t="s">
        <v>96</v>
      </c>
      <c r="E9854" t="s">
        <v>83</v>
      </c>
      <c r="F9854">
        <v>5500</v>
      </c>
      <c r="G9854" t="s">
        <v>331</v>
      </c>
      <c r="H9854" s="15">
        <v>46235</v>
      </c>
      <c r="I9854">
        <v>5500</v>
      </c>
      <c r="J9854">
        <v>0</v>
      </c>
    </row>
    <row r="9855" spans="1:10" x14ac:dyDescent="0.3">
      <c r="A9855" s="15">
        <v>46327</v>
      </c>
      <c r="B9855" t="s">
        <v>534</v>
      </c>
      <c r="C9855" t="s">
        <v>81</v>
      </c>
      <c r="D9855" t="s">
        <v>82</v>
      </c>
      <c r="E9855" t="s">
        <v>101</v>
      </c>
      <c r="F9855">
        <v>2000</v>
      </c>
      <c r="G9855" t="s">
        <v>331</v>
      </c>
      <c r="H9855" s="15">
        <v>46235</v>
      </c>
      <c r="I9855">
        <v>2000</v>
      </c>
      <c r="J9855">
        <v>0</v>
      </c>
    </row>
    <row r="9856" spans="1:10" x14ac:dyDescent="0.3">
      <c r="A9856" s="15">
        <v>46327</v>
      </c>
      <c r="B9856" t="s">
        <v>535</v>
      </c>
      <c r="C9856" t="s">
        <v>110</v>
      </c>
      <c r="D9856" t="s">
        <v>82</v>
      </c>
      <c r="E9856" t="s">
        <v>83</v>
      </c>
      <c r="F9856">
        <v>20100</v>
      </c>
      <c r="G9856" t="s">
        <v>331</v>
      </c>
      <c r="H9856" s="15">
        <v>46235</v>
      </c>
      <c r="I9856">
        <v>20100</v>
      </c>
      <c r="J9856">
        <v>0</v>
      </c>
    </row>
    <row r="9857" spans="1:10" x14ac:dyDescent="0.3">
      <c r="A9857" s="15">
        <v>46327</v>
      </c>
      <c r="B9857" t="s">
        <v>536</v>
      </c>
      <c r="C9857" t="s">
        <v>81</v>
      </c>
      <c r="D9857" t="s">
        <v>99</v>
      </c>
      <c r="E9857" t="s">
        <v>97</v>
      </c>
      <c r="F9857">
        <v>1700</v>
      </c>
      <c r="G9857" t="s">
        <v>331</v>
      </c>
      <c r="H9857" s="15">
        <v>46235</v>
      </c>
      <c r="I9857">
        <v>1700</v>
      </c>
      <c r="J9857">
        <v>0</v>
      </c>
    </row>
    <row r="9858" spans="1:10" x14ac:dyDescent="0.3">
      <c r="A9858" s="15">
        <v>46327</v>
      </c>
      <c r="B9858" t="s">
        <v>537</v>
      </c>
      <c r="C9858" t="s">
        <v>110</v>
      </c>
      <c r="D9858" t="s">
        <v>99</v>
      </c>
      <c r="E9858" t="s">
        <v>87</v>
      </c>
      <c r="F9858">
        <v>37600</v>
      </c>
      <c r="G9858" t="s">
        <v>331</v>
      </c>
      <c r="H9858" s="15">
        <v>46235</v>
      </c>
      <c r="I9858">
        <v>37600</v>
      </c>
      <c r="J9858">
        <v>0</v>
      </c>
    </row>
    <row r="9859" spans="1:10" x14ac:dyDescent="0.3">
      <c r="A9859" s="15">
        <v>46327</v>
      </c>
      <c r="B9859" t="s">
        <v>538</v>
      </c>
      <c r="C9859" t="s">
        <v>81</v>
      </c>
      <c r="D9859" t="s">
        <v>99</v>
      </c>
      <c r="E9859" t="s">
        <v>89</v>
      </c>
      <c r="F9859">
        <v>2200</v>
      </c>
      <c r="G9859" t="s">
        <v>331</v>
      </c>
      <c r="H9859" s="15">
        <v>46235</v>
      </c>
      <c r="I9859">
        <v>2200</v>
      </c>
      <c r="J9859">
        <v>0</v>
      </c>
    </row>
    <row r="9860" spans="1:10" x14ac:dyDescent="0.3">
      <c r="A9860" s="15">
        <v>46327</v>
      </c>
      <c r="B9860" t="s">
        <v>539</v>
      </c>
      <c r="C9860" t="s">
        <v>81</v>
      </c>
      <c r="D9860" t="s">
        <v>86</v>
      </c>
      <c r="E9860" t="s">
        <v>89</v>
      </c>
      <c r="F9860">
        <v>2400</v>
      </c>
      <c r="G9860" t="s">
        <v>331</v>
      </c>
      <c r="H9860" s="15">
        <v>46235</v>
      </c>
      <c r="I9860">
        <v>2400</v>
      </c>
      <c r="J9860">
        <v>0</v>
      </c>
    </row>
    <row r="9861" spans="1:10" x14ac:dyDescent="0.3">
      <c r="A9861" s="15">
        <v>46327</v>
      </c>
      <c r="B9861" t="s">
        <v>540</v>
      </c>
      <c r="C9861" t="s">
        <v>81</v>
      </c>
      <c r="D9861" t="s">
        <v>82</v>
      </c>
      <c r="E9861" t="s">
        <v>92</v>
      </c>
      <c r="F9861">
        <v>2400</v>
      </c>
      <c r="G9861" t="s">
        <v>331</v>
      </c>
      <c r="H9861" s="15">
        <v>46266</v>
      </c>
      <c r="I9861">
        <v>2400</v>
      </c>
      <c r="J9861">
        <v>0</v>
      </c>
    </row>
    <row r="9862" spans="1:10" x14ac:dyDescent="0.3">
      <c r="A9862" s="15">
        <v>46327</v>
      </c>
      <c r="B9862" t="s">
        <v>541</v>
      </c>
      <c r="C9862" t="s">
        <v>81</v>
      </c>
      <c r="D9862" t="s">
        <v>99</v>
      </c>
      <c r="E9862" t="s">
        <v>89</v>
      </c>
      <c r="F9862">
        <v>2000</v>
      </c>
      <c r="G9862" t="s">
        <v>331</v>
      </c>
      <c r="H9862" s="15">
        <v>46266</v>
      </c>
      <c r="I9862">
        <v>2000</v>
      </c>
      <c r="J9862">
        <v>0</v>
      </c>
    </row>
    <row r="9863" spans="1:10" x14ac:dyDescent="0.3">
      <c r="A9863" s="15">
        <v>46327</v>
      </c>
      <c r="B9863" t="s">
        <v>542</v>
      </c>
      <c r="C9863" t="s">
        <v>125</v>
      </c>
      <c r="D9863" t="s">
        <v>82</v>
      </c>
      <c r="E9863" t="s">
        <v>87</v>
      </c>
      <c r="F9863">
        <v>70300</v>
      </c>
      <c r="G9863" t="s">
        <v>331</v>
      </c>
      <c r="H9863" s="15">
        <v>46266</v>
      </c>
      <c r="I9863">
        <v>70300</v>
      </c>
      <c r="J9863">
        <v>0</v>
      </c>
    </row>
    <row r="9864" spans="1:10" x14ac:dyDescent="0.3">
      <c r="A9864" s="15">
        <v>46327</v>
      </c>
      <c r="B9864" t="s">
        <v>543</v>
      </c>
      <c r="C9864" t="s">
        <v>91</v>
      </c>
      <c r="D9864" t="s">
        <v>86</v>
      </c>
      <c r="E9864" t="s">
        <v>101</v>
      </c>
      <c r="F9864">
        <v>6800</v>
      </c>
      <c r="G9864" t="s">
        <v>331</v>
      </c>
      <c r="H9864" s="15">
        <v>46266</v>
      </c>
      <c r="I9864">
        <v>6800</v>
      </c>
      <c r="J9864">
        <v>0</v>
      </c>
    </row>
    <row r="9865" spans="1:10" x14ac:dyDescent="0.3">
      <c r="A9865" s="15">
        <v>46327</v>
      </c>
      <c r="B9865" t="s">
        <v>544</v>
      </c>
      <c r="C9865" t="s">
        <v>81</v>
      </c>
      <c r="D9865" t="s">
        <v>99</v>
      </c>
      <c r="E9865" t="s">
        <v>87</v>
      </c>
      <c r="F9865">
        <v>2500</v>
      </c>
      <c r="G9865" t="s">
        <v>331</v>
      </c>
      <c r="H9865" s="15">
        <v>46266</v>
      </c>
      <c r="I9865">
        <v>2500</v>
      </c>
      <c r="J9865">
        <v>0</v>
      </c>
    </row>
    <row r="9866" spans="1:10" x14ac:dyDescent="0.3">
      <c r="A9866" s="15">
        <v>46327</v>
      </c>
      <c r="B9866" t="s">
        <v>545</v>
      </c>
      <c r="C9866" t="s">
        <v>91</v>
      </c>
      <c r="D9866" t="s">
        <v>82</v>
      </c>
      <c r="E9866" t="s">
        <v>97</v>
      </c>
      <c r="F9866">
        <v>5000</v>
      </c>
      <c r="G9866" t="s">
        <v>331</v>
      </c>
      <c r="H9866" s="15">
        <v>46266</v>
      </c>
      <c r="I9866">
        <v>5000</v>
      </c>
      <c r="J9866">
        <v>0</v>
      </c>
    </row>
    <row r="9867" spans="1:10" x14ac:dyDescent="0.3">
      <c r="A9867" s="15">
        <v>46327</v>
      </c>
      <c r="B9867" t="s">
        <v>546</v>
      </c>
      <c r="C9867" t="s">
        <v>91</v>
      </c>
      <c r="D9867" t="s">
        <v>99</v>
      </c>
      <c r="E9867" t="s">
        <v>101</v>
      </c>
      <c r="F9867">
        <v>7200</v>
      </c>
      <c r="G9867" t="s">
        <v>331</v>
      </c>
      <c r="H9867" s="15">
        <v>46266</v>
      </c>
      <c r="I9867">
        <v>7200</v>
      </c>
      <c r="J9867">
        <v>0</v>
      </c>
    </row>
    <row r="9868" spans="1:10" x14ac:dyDescent="0.3">
      <c r="A9868" s="15">
        <v>46327</v>
      </c>
      <c r="B9868" t="s">
        <v>547</v>
      </c>
      <c r="C9868" t="s">
        <v>110</v>
      </c>
      <c r="D9868" t="s">
        <v>82</v>
      </c>
      <c r="E9868" t="s">
        <v>89</v>
      </c>
      <c r="F9868">
        <v>41400</v>
      </c>
      <c r="G9868" t="s">
        <v>331</v>
      </c>
      <c r="H9868" s="15">
        <v>46296</v>
      </c>
      <c r="I9868">
        <v>41400</v>
      </c>
      <c r="J9868">
        <v>0</v>
      </c>
    </row>
    <row r="9869" spans="1:10" x14ac:dyDescent="0.3">
      <c r="A9869" s="15">
        <v>46327</v>
      </c>
      <c r="B9869" t="s">
        <v>548</v>
      </c>
      <c r="C9869" t="s">
        <v>81</v>
      </c>
      <c r="D9869" t="s">
        <v>99</v>
      </c>
      <c r="E9869" t="s">
        <v>87</v>
      </c>
      <c r="F9869">
        <v>2700</v>
      </c>
      <c r="G9869" t="s">
        <v>331</v>
      </c>
      <c r="H9869" s="15">
        <v>46296</v>
      </c>
      <c r="I9869">
        <v>2700</v>
      </c>
      <c r="J9869">
        <v>0</v>
      </c>
    </row>
    <row r="9870" spans="1:10" x14ac:dyDescent="0.3">
      <c r="A9870" s="15">
        <v>46327</v>
      </c>
      <c r="B9870" t="s">
        <v>549</v>
      </c>
      <c r="C9870" t="s">
        <v>91</v>
      </c>
      <c r="D9870" t="s">
        <v>86</v>
      </c>
      <c r="E9870" t="s">
        <v>87</v>
      </c>
      <c r="F9870">
        <v>6100</v>
      </c>
      <c r="G9870" t="s">
        <v>331</v>
      </c>
      <c r="H9870" s="15">
        <v>46296</v>
      </c>
      <c r="I9870">
        <v>6100</v>
      </c>
      <c r="J9870">
        <v>0</v>
      </c>
    </row>
    <row r="9871" spans="1:10" x14ac:dyDescent="0.3">
      <c r="A9871" s="15">
        <v>46327</v>
      </c>
      <c r="B9871" t="s">
        <v>550</v>
      </c>
      <c r="C9871" t="s">
        <v>91</v>
      </c>
      <c r="D9871" t="s">
        <v>82</v>
      </c>
      <c r="E9871" t="s">
        <v>92</v>
      </c>
      <c r="F9871">
        <v>6000</v>
      </c>
      <c r="G9871" t="s">
        <v>331</v>
      </c>
      <c r="H9871" s="15">
        <v>46296</v>
      </c>
      <c r="I9871">
        <v>6000</v>
      </c>
      <c r="J9871">
        <v>0</v>
      </c>
    </row>
    <row r="9872" spans="1:10" x14ac:dyDescent="0.3">
      <c r="A9872" s="15">
        <v>46327</v>
      </c>
      <c r="B9872" t="s">
        <v>551</v>
      </c>
      <c r="C9872" t="s">
        <v>110</v>
      </c>
      <c r="D9872" t="s">
        <v>86</v>
      </c>
      <c r="E9872" t="s">
        <v>92</v>
      </c>
      <c r="F9872">
        <v>34900</v>
      </c>
      <c r="G9872" t="s">
        <v>331</v>
      </c>
      <c r="H9872" s="15">
        <v>46296</v>
      </c>
      <c r="I9872">
        <v>34900</v>
      </c>
      <c r="J9872">
        <v>0</v>
      </c>
    </row>
    <row r="9873" spans="1:10" x14ac:dyDescent="0.3">
      <c r="A9873" s="15">
        <v>46327</v>
      </c>
      <c r="B9873" t="s">
        <v>552</v>
      </c>
      <c r="C9873" t="s">
        <v>81</v>
      </c>
      <c r="D9873" t="s">
        <v>82</v>
      </c>
      <c r="E9873" t="s">
        <v>89</v>
      </c>
      <c r="F9873">
        <v>2300</v>
      </c>
      <c r="G9873" t="s">
        <v>331</v>
      </c>
      <c r="H9873" s="15">
        <v>46296</v>
      </c>
      <c r="I9873">
        <v>2300</v>
      </c>
      <c r="J9873">
        <v>0</v>
      </c>
    </row>
    <row r="9874" spans="1:10" x14ac:dyDescent="0.3">
      <c r="A9874" s="15">
        <v>46327</v>
      </c>
      <c r="B9874" t="s">
        <v>553</v>
      </c>
      <c r="C9874" t="s">
        <v>91</v>
      </c>
      <c r="D9874" t="s">
        <v>82</v>
      </c>
      <c r="E9874" t="s">
        <v>101</v>
      </c>
      <c r="F9874">
        <v>8300</v>
      </c>
      <c r="G9874" t="s">
        <v>331</v>
      </c>
      <c r="H9874" s="15">
        <v>46296</v>
      </c>
      <c r="I9874">
        <v>8300</v>
      </c>
      <c r="J9874">
        <v>0</v>
      </c>
    </row>
    <row r="9875" spans="1:10" x14ac:dyDescent="0.3">
      <c r="A9875" s="15">
        <v>46327</v>
      </c>
      <c r="B9875" t="s">
        <v>554</v>
      </c>
      <c r="C9875" t="s">
        <v>110</v>
      </c>
      <c r="D9875" t="s">
        <v>96</v>
      </c>
      <c r="E9875" t="s">
        <v>97</v>
      </c>
      <c r="F9875">
        <v>19700</v>
      </c>
      <c r="G9875" t="s">
        <v>84</v>
      </c>
      <c r="H9875" s="15">
        <v>46327</v>
      </c>
      <c r="I9875">
        <v>0</v>
      </c>
      <c r="J9875">
        <v>19700</v>
      </c>
    </row>
    <row r="9876" spans="1:10" x14ac:dyDescent="0.3">
      <c r="A9876" s="15">
        <v>46327</v>
      </c>
      <c r="B9876" t="s">
        <v>555</v>
      </c>
      <c r="C9876" t="s">
        <v>125</v>
      </c>
      <c r="D9876" t="s">
        <v>99</v>
      </c>
      <c r="E9876" t="s">
        <v>103</v>
      </c>
      <c r="F9876">
        <v>61400</v>
      </c>
      <c r="G9876" t="s">
        <v>84</v>
      </c>
      <c r="H9876" s="15">
        <v>46327</v>
      </c>
      <c r="I9876">
        <v>0</v>
      </c>
      <c r="J9876">
        <v>61400</v>
      </c>
    </row>
    <row r="9877" spans="1:10" x14ac:dyDescent="0.3">
      <c r="A9877" s="15">
        <v>46327</v>
      </c>
      <c r="B9877" t="s">
        <v>556</v>
      </c>
      <c r="C9877" t="s">
        <v>91</v>
      </c>
      <c r="D9877" t="s">
        <v>82</v>
      </c>
      <c r="E9877" t="s">
        <v>97</v>
      </c>
      <c r="F9877">
        <v>8800</v>
      </c>
      <c r="G9877" t="s">
        <v>84</v>
      </c>
      <c r="H9877" s="15">
        <v>46327</v>
      </c>
      <c r="I9877">
        <v>0</v>
      </c>
      <c r="J9877">
        <v>8800</v>
      </c>
    </row>
    <row r="9878" spans="1:10" x14ac:dyDescent="0.3">
      <c r="A9878" s="15">
        <v>46327</v>
      </c>
      <c r="B9878" t="s">
        <v>557</v>
      </c>
      <c r="C9878" t="s">
        <v>81</v>
      </c>
      <c r="D9878" t="s">
        <v>86</v>
      </c>
      <c r="E9878" t="s">
        <v>92</v>
      </c>
      <c r="F9878">
        <v>2400</v>
      </c>
      <c r="G9878" t="s">
        <v>84</v>
      </c>
      <c r="H9878" s="15">
        <v>46327</v>
      </c>
      <c r="I9878">
        <v>0</v>
      </c>
      <c r="J9878">
        <v>2400</v>
      </c>
    </row>
    <row r="9879" spans="1:10" x14ac:dyDescent="0.3">
      <c r="A9879" s="15">
        <v>46327</v>
      </c>
      <c r="B9879" t="s">
        <v>558</v>
      </c>
      <c r="C9879" t="s">
        <v>81</v>
      </c>
      <c r="D9879" t="s">
        <v>86</v>
      </c>
      <c r="E9879" t="s">
        <v>103</v>
      </c>
      <c r="F9879">
        <v>1800</v>
      </c>
      <c r="G9879" t="s">
        <v>84</v>
      </c>
      <c r="H9879" s="15">
        <v>46327</v>
      </c>
      <c r="I9879">
        <v>0</v>
      </c>
      <c r="J9879">
        <v>1800</v>
      </c>
    </row>
    <row r="9880" spans="1:10" x14ac:dyDescent="0.3">
      <c r="A9880" s="15">
        <v>46327</v>
      </c>
      <c r="B9880" t="s">
        <v>559</v>
      </c>
      <c r="C9880" t="s">
        <v>91</v>
      </c>
      <c r="D9880" t="s">
        <v>96</v>
      </c>
      <c r="E9880" t="s">
        <v>101</v>
      </c>
      <c r="F9880">
        <v>5400</v>
      </c>
      <c r="G9880" t="s">
        <v>84</v>
      </c>
      <c r="H9880" s="15">
        <v>46327</v>
      </c>
      <c r="I9880">
        <v>0</v>
      </c>
      <c r="J9880">
        <v>5400</v>
      </c>
    </row>
    <row r="9881" spans="1:10" x14ac:dyDescent="0.3">
      <c r="A9881" s="15">
        <v>46327</v>
      </c>
      <c r="B9881" t="s">
        <v>560</v>
      </c>
      <c r="C9881" t="s">
        <v>91</v>
      </c>
      <c r="D9881" t="s">
        <v>82</v>
      </c>
      <c r="E9881" t="s">
        <v>89</v>
      </c>
      <c r="F9881">
        <v>4900</v>
      </c>
      <c r="G9881" t="s">
        <v>84</v>
      </c>
      <c r="H9881" s="15">
        <v>46327</v>
      </c>
      <c r="I9881">
        <v>0</v>
      </c>
      <c r="J9881">
        <v>4900</v>
      </c>
    </row>
    <row r="9882" spans="1:10" x14ac:dyDescent="0.3">
      <c r="A9882" s="15">
        <v>46327</v>
      </c>
      <c r="B9882" t="s">
        <v>561</v>
      </c>
      <c r="C9882" t="s">
        <v>110</v>
      </c>
      <c r="D9882" t="s">
        <v>86</v>
      </c>
      <c r="E9882" t="s">
        <v>103</v>
      </c>
      <c r="F9882">
        <v>29800</v>
      </c>
      <c r="G9882" t="s">
        <v>84</v>
      </c>
      <c r="H9882" s="15">
        <v>46327</v>
      </c>
      <c r="I9882">
        <v>0</v>
      </c>
      <c r="J9882">
        <v>29800</v>
      </c>
    </row>
    <row r="9883" spans="1:10" x14ac:dyDescent="0.3">
      <c r="A9883" s="15">
        <v>46357</v>
      </c>
      <c r="B9883" t="s">
        <v>80</v>
      </c>
      <c r="C9883" t="s">
        <v>81</v>
      </c>
      <c r="D9883" t="s">
        <v>82</v>
      </c>
      <c r="E9883" t="s">
        <v>83</v>
      </c>
      <c r="F9883">
        <v>1900</v>
      </c>
      <c r="G9883" t="s">
        <v>331</v>
      </c>
      <c r="H9883" s="15">
        <v>45292</v>
      </c>
      <c r="I9883">
        <v>1900</v>
      </c>
      <c r="J9883">
        <v>0</v>
      </c>
    </row>
    <row r="9884" spans="1:10" x14ac:dyDescent="0.3">
      <c r="A9884" s="15">
        <v>46357</v>
      </c>
      <c r="B9884" t="s">
        <v>85</v>
      </c>
      <c r="C9884" t="s">
        <v>81</v>
      </c>
      <c r="D9884" t="s">
        <v>86</v>
      </c>
      <c r="E9884" t="s">
        <v>87</v>
      </c>
      <c r="F9884">
        <v>2200</v>
      </c>
      <c r="G9884" t="s">
        <v>331</v>
      </c>
      <c r="H9884" s="15">
        <v>45292</v>
      </c>
      <c r="I9884">
        <v>2200</v>
      </c>
      <c r="J9884">
        <v>0</v>
      </c>
    </row>
    <row r="9885" spans="1:10" x14ac:dyDescent="0.3">
      <c r="A9885" s="15">
        <v>46357</v>
      </c>
      <c r="B9885" t="s">
        <v>88</v>
      </c>
      <c r="C9885" t="s">
        <v>81</v>
      </c>
      <c r="D9885" t="s">
        <v>86</v>
      </c>
      <c r="E9885" t="s">
        <v>89</v>
      </c>
      <c r="F9885">
        <v>2400</v>
      </c>
      <c r="G9885" t="s">
        <v>331</v>
      </c>
      <c r="H9885" s="15">
        <v>45292</v>
      </c>
      <c r="I9885">
        <v>2400</v>
      </c>
      <c r="J9885">
        <v>0</v>
      </c>
    </row>
    <row r="9886" spans="1:10" x14ac:dyDescent="0.3">
      <c r="A9886" s="15">
        <v>46357</v>
      </c>
      <c r="B9886" t="s">
        <v>90</v>
      </c>
      <c r="C9886" t="s">
        <v>91</v>
      </c>
      <c r="D9886" t="s">
        <v>82</v>
      </c>
      <c r="E9886" t="s">
        <v>92</v>
      </c>
      <c r="F9886">
        <v>9200</v>
      </c>
      <c r="G9886" t="s">
        <v>331</v>
      </c>
      <c r="H9886" s="15">
        <v>45292</v>
      </c>
      <c r="I9886">
        <v>9200</v>
      </c>
      <c r="J9886">
        <v>0</v>
      </c>
    </row>
    <row r="9887" spans="1:10" x14ac:dyDescent="0.3">
      <c r="A9887" s="15">
        <v>46357</v>
      </c>
      <c r="B9887" t="s">
        <v>93</v>
      </c>
      <c r="C9887" t="s">
        <v>81</v>
      </c>
      <c r="D9887" t="s">
        <v>86</v>
      </c>
      <c r="E9887" t="s">
        <v>83</v>
      </c>
      <c r="F9887">
        <v>2600</v>
      </c>
      <c r="G9887" t="s">
        <v>331</v>
      </c>
      <c r="H9887" s="15">
        <v>45292</v>
      </c>
      <c r="I9887">
        <v>2600</v>
      </c>
      <c r="J9887">
        <v>0</v>
      </c>
    </row>
    <row r="9888" spans="1:10" x14ac:dyDescent="0.3">
      <c r="A9888" s="15">
        <v>46357</v>
      </c>
      <c r="B9888" t="s">
        <v>94</v>
      </c>
      <c r="C9888" t="s">
        <v>91</v>
      </c>
      <c r="D9888" t="s">
        <v>86</v>
      </c>
      <c r="E9888" t="s">
        <v>83</v>
      </c>
      <c r="F9888">
        <v>8900</v>
      </c>
      <c r="G9888" t="s">
        <v>331</v>
      </c>
      <c r="H9888" s="15">
        <v>45292</v>
      </c>
      <c r="I9888">
        <v>8900</v>
      </c>
      <c r="J9888">
        <v>0</v>
      </c>
    </row>
    <row r="9889" spans="1:10" x14ac:dyDescent="0.3">
      <c r="A9889" s="15">
        <v>46357</v>
      </c>
      <c r="B9889" t="s">
        <v>95</v>
      </c>
      <c r="C9889" t="s">
        <v>81</v>
      </c>
      <c r="D9889" t="s">
        <v>96</v>
      </c>
      <c r="E9889" t="s">
        <v>97</v>
      </c>
      <c r="F9889">
        <v>3100</v>
      </c>
      <c r="G9889" t="s">
        <v>331</v>
      </c>
      <c r="H9889" s="15">
        <v>45292</v>
      </c>
      <c r="I9889">
        <v>3100</v>
      </c>
      <c r="J9889">
        <v>0</v>
      </c>
    </row>
    <row r="9890" spans="1:10" x14ac:dyDescent="0.3">
      <c r="A9890" s="15">
        <v>46357</v>
      </c>
      <c r="B9890" t="s">
        <v>98</v>
      </c>
      <c r="C9890" t="s">
        <v>81</v>
      </c>
      <c r="D9890" t="s">
        <v>99</v>
      </c>
      <c r="E9890" t="s">
        <v>92</v>
      </c>
      <c r="F9890">
        <v>2000</v>
      </c>
      <c r="G9890" t="s">
        <v>331</v>
      </c>
      <c r="H9890" s="15">
        <v>45292</v>
      </c>
      <c r="I9890">
        <v>2000</v>
      </c>
      <c r="J9890">
        <v>0</v>
      </c>
    </row>
    <row r="9891" spans="1:10" x14ac:dyDescent="0.3">
      <c r="A9891" s="15">
        <v>46357</v>
      </c>
      <c r="B9891" t="s">
        <v>102</v>
      </c>
      <c r="C9891" t="s">
        <v>81</v>
      </c>
      <c r="D9891" t="s">
        <v>99</v>
      </c>
      <c r="E9891" t="s">
        <v>103</v>
      </c>
      <c r="F9891">
        <v>2500</v>
      </c>
      <c r="G9891" t="s">
        <v>331</v>
      </c>
      <c r="H9891" s="15">
        <v>45292</v>
      </c>
      <c r="I9891">
        <v>2500</v>
      </c>
      <c r="J9891">
        <v>0</v>
      </c>
    </row>
    <row r="9892" spans="1:10" x14ac:dyDescent="0.3">
      <c r="A9892" s="15">
        <v>46357</v>
      </c>
      <c r="B9892" t="s">
        <v>106</v>
      </c>
      <c r="C9892" t="s">
        <v>81</v>
      </c>
      <c r="D9892" t="s">
        <v>99</v>
      </c>
      <c r="E9892" t="s">
        <v>92</v>
      </c>
      <c r="F9892">
        <v>2700</v>
      </c>
      <c r="G9892" t="s">
        <v>331</v>
      </c>
      <c r="H9892" s="15">
        <v>45292</v>
      </c>
      <c r="I9892">
        <v>2700</v>
      </c>
      <c r="J9892">
        <v>0</v>
      </c>
    </row>
    <row r="9893" spans="1:10" x14ac:dyDescent="0.3">
      <c r="A9893" s="15">
        <v>46357</v>
      </c>
      <c r="B9893" t="s">
        <v>109</v>
      </c>
      <c r="C9893" t="s">
        <v>110</v>
      </c>
      <c r="D9893" t="s">
        <v>82</v>
      </c>
      <c r="E9893" t="s">
        <v>103</v>
      </c>
      <c r="F9893">
        <v>37500</v>
      </c>
      <c r="G9893" t="s">
        <v>331</v>
      </c>
      <c r="H9893" s="15">
        <v>45292</v>
      </c>
      <c r="I9893">
        <v>37500</v>
      </c>
      <c r="J9893">
        <v>0</v>
      </c>
    </row>
    <row r="9894" spans="1:10" x14ac:dyDescent="0.3">
      <c r="A9894" s="15">
        <v>46357</v>
      </c>
      <c r="B9894" t="s">
        <v>111</v>
      </c>
      <c r="C9894" t="s">
        <v>91</v>
      </c>
      <c r="D9894" t="s">
        <v>82</v>
      </c>
      <c r="E9894" t="s">
        <v>83</v>
      </c>
      <c r="F9894">
        <v>9800</v>
      </c>
      <c r="G9894" t="s">
        <v>332</v>
      </c>
      <c r="H9894" s="15">
        <v>45292</v>
      </c>
      <c r="I9894">
        <v>8800</v>
      </c>
      <c r="J9894">
        <v>1000</v>
      </c>
    </row>
    <row r="9895" spans="1:10" x14ac:dyDescent="0.3">
      <c r="A9895" s="15">
        <v>46357</v>
      </c>
      <c r="B9895" t="s">
        <v>112</v>
      </c>
      <c r="C9895" t="s">
        <v>91</v>
      </c>
      <c r="D9895" t="s">
        <v>82</v>
      </c>
      <c r="E9895" t="s">
        <v>92</v>
      </c>
      <c r="F9895">
        <v>8600</v>
      </c>
      <c r="G9895" t="s">
        <v>331</v>
      </c>
      <c r="H9895" s="15">
        <v>45292</v>
      </c>
      <c r="I9895">
        <v>8600</v>
      </c>
      <c r="J9895">
        <v>0</v>
      </c>
    </row>
    <row r="9896" spans="1:10" x14ac:dyDescent="0.3">
      <c r="A9896" s="15">
        <v>46357</v>
      </c>
      <c r="B9896" t="s">
        <v>114</v>
      </c>
      <c r="C9896" t="s">
        <v>110</v>
      </c>
      <c r="D9896" t="s">
        <v>99</v>
      </c>
      <c r="E9896" t="s">
        <v>97</v>
      </c>
      <c r="F9896">
        <v>39000</v>
      </c>
      <c r="G9896" t="s">
        <v>331</v>
      </c>
      <c r="H9896" s="15">
        <v>45292</v>
      </c>
      <c r="I9896">
        <v>39000</v>
      </c>
      <c r="J9896">
        <v>0</v>
      </c>
    </row>
    <row r="9897" spans="1:10" x14ac:dyDescent="0.3">
      <c r="A9897" s="15">
        <v>46357</v>
      </c>
      <c r="B9897" t="s">
        <v>115</v>
      </c>
      <c r="C9897" t="s">
        <v>81</v>
      </c>
      <c r="D9897" t="s">
        <v>82</v>
      </c>
      <c r="E9897" t="s">
        <v>101</v>
      </c>
      <c r="F9897">
        <v>2600</v>
      </c>
      <c r="G9897" t="s">
        <v>331</v>
      </c>
      <c r="H9897" s="15">
        <v>45292</v>
      </c>
      <c r="I9897">
        <v>2600</v>
      </c>
      <c r="J9897">
        <v>0</v>
      </c>
    </row>
    <row r="9898" spans="1:10" x14ac:dyDescent="0.3">
      <c r="A9898" s="15">
        <v>46357</v>
      </c>
      <c r="B9898" t="s">
        <v>116</v>
      </c>
      <c r="C9898" t="s">
        <v>81</v>
      </c>
      <c r="D9898" t="s">
        <v>86</v>
      </c>
      <c r="E9898" t="s">
        <v>87</v>
      </c>
      <c r="F9898">
        <v>2700</v>
      </c>
      <c r="G9898" t="s">
        <v>331</v>
      </c>
      <c r="H9898" s="15">
        <v>45292</v>
      </c>
      <c r="I9898">
        <v>2700</v>
      </c>
      <c r="J9898">
        <v>0</v>
      </c>
    </row>
    <row r="9899" spans="1:10" x14ac:dyDescent="0.3">
      <c r="A9899" s="15">
        <v>46357</v>
      </c>
      <c r="B9899" t="s">
        <v>117</v>
      </c>
      <c r="C9899" t="s">
        <v>81</v>
      </c>
      <c r="D9899" t="s">
        <v>86</v>
      </c>
      <c r="E9899" t="s">
        <v>103</v>
      </c>
      <c r="F9899">
        <v>2500</v>
      </c>
      <c r="G9899" t="s">
        <v>331</v>
      </c>
      <c r="H9899" s="15">
        <v>45292</v>
      </c>
      <c r="I9899">
        <v>2500</v>
      </c>
      <c r="J9899">
        <v>0</v>
      </c>
    </row>
    <row r="9900" spans="1:10" x14ac:dyDescent="0.3">
      <c r="A9900" s="15">
        <v>46357</v>
      </c>
      <c r="B9900" t="s">
        <v>120</v>
      </c>
      <c r="C9900" t="s">
        <v>81</v>
      </c>
      <c r="D9900" t="s">
        <v>86</v>
      </c>
      <c r="E9900" t="s">
        <v>101</v>
      </c>
      <c r="F9900">
        <v>2200</v>
      </c>
      <c r="G9900" t="s">
        <v>331</v>
      </c>
      <c r="H9900" s="15">
        <v>45292</v>
      </c>
      <c r="I9900">
        <v>2200</v>
      </c>
      <c r="J9900">
        <v>0</v>
      </c>
    </row>
    <row r="9901" spans="1:10" x14ac:dyDescent="0.3">
      <c r="A9901" s="15">
        <v>46357</v>
      </c>
      <c r="B9901" t="s">
        <v>123</v>
      </c>
      <c r="C9901" t="s">
        <v>81</v>
      </c>
      <c r="D9901" t="s">
        <v>82</v>
      </c>
      <c r="E9901" t="s">
        <v>92</v>
      </c>
      <c r="F9901">
        <v>1900</v>
      </c>
      <c r="G9901" t="s">
        <v>331</v>
      </c>
      <c r="H9901" s="15">
        <v>45292</v>
      </c>
      <c r="I9901">
        <v>1900</v>
      </c>
      <c r="J9901">
        <v>0</v>
      </c>
    </row>
    <row r="9902" spans="1:10" x14ac:dyDescent="0.3">
      <c r="A9902" s="15">
        <v>46357</v>
      </c>
      <c r="B9902" t="s">
        <v>124</v>
      </c>
      <c r="C9902" t="s">
        <v>125</v>
      </c>
      <c r="D9902" t="s">
        <v>82</v>
      </c>
      <c r="E9902" t="s">
        <v>97</v>
      </c>
      <c r="F9902">
        <v>67900</v>
      </c>
      <c r="G9902" t="s">
        <v>331</v>
      </c>
      <c r="H9902" s="15">
        <v>45292</v>
      </c>
      <c r="I9902">
        <v>67900</v>
      </c>
      <c r="J9902">
        <v>0</v>
      </c>
    </row>
    <row r="9903" spans="1:10" x14ac:dyDescent="0.3">
      <c r="A9903" s="15">
        <v>46357</v>
      </c>
      <c r="B9903" t="s">
        <v>126</v>
      </c>
      <c r="C9903" t="s">
        <v>91</v>
      </c>
      <c r="D9903" t="s">
        <v>82</v>
      </c>
      <c r="E9903" t="s">
        <v>83</v>
      </c>
      <c r="F9903">
        <v>8800</v>
      </c>
      <c r="G9903" t="s">
        <v>331</v>
      </c>
      <c r="H9903" s="15">
        <v>45292</v>
      </c>
      <c r="I9903">
        <v>8800</v>
      </c>
      <c r="J9903">
        <v>0</v>
      </c>
    </row>
    <row r="9904" spans="1:10" x14ac:dyDescent="0.3">
      <c r="A9904" s="15">
        <v>46357</v>
      </c>
      <c r="B9904" t="s">
        <v>128</v>
      </c>
      <c r="C9904" t="s">
        <v>81</v>
      </c>
      <c r="D9904" t="s">
        <v>82</v>
      </c>
      <c r="E9904" t="s">
        <v>92</v>
      </c>
      <c r="F9904">
        <v>1700</v>
      </c>
      <c r="G9904" t="s">
        <v>331</v>
      </c>
      <c r="H9904" s="15">
        <v>45292</v>
      </c>
      <c r="I9904">
        <v>1700</v>
      </c>
      <c r="J9904">
        <v>0</v>
      </c>
    </row>
    <row r="9905" spans="1:10" x14ac:dyDescent="0.3">
      <c r="A9905" s="15">
        <v>46357</v>
      </c>
      <c r="B9905" t="s">
        <v>129</v>
      </c>
      <c r="C9905" t="s">
        <v>110</v>
      </c>
      <c r="D9905" t="s">
        <v>86</v>
      </c>
      <c r="E9905" t="s">
        <v>92</v>
      </c>
      <c r="F9905">
        <v>40500</v>
      </c>
      <c r="G9905" t="s">
        <v>331</v>
      </c>
      <c r="H9905" s="15">
        <v>45292</v>
      </c>
      <c r="I9905">
        <v>40500</v>
      </c>
      <c r="J9905">
        <v>0</v>
      </c>
    </row>
    <row r="9906" spans="1:10" x14ac:dyDescent="0.3">
      <c r="A9906" s="15">
        <v>46357</v>
      </c>
      <c r="B9906" t="s">
        <v>133</v>
      </c>
      <c r="C9906" t="s">
        <v>81</v>
      </c>
      <c r="D9906" t="s">
        <v>96</v>
      </c>
      <c r="E9906" t="s">
        <v>87</v>
      </c>
      <c r="F9906">
        <v>2700</v>
      </c>
      <c r="G9906" t="s">
        <v>331</v>
      </c>
      <c r="H9906" s="15">
        <v>45292</v>
      </c>
      <c r="I9906">
        <v>2700</v>
      </c>
      <c r="J9906">
        <v>0</v>
      </c>
    </row>
    <row r="9907" spans="1:10" x14ac:dyDescent="0.3">
      <c r="A9907" s="15">
        <v>46357</v>
      </c>
      <c r="B9907" t="s">
        <v>134</v>
      </c>
      <c r="C9907" t="s">
        <v>81</v>
      </c>
      <c r="D9907" t="s">
        <v>82</v>
      </c>
      <c r="E9907" t="s">
        <v>92</v>
      </c>
      <c r="F9907">
        <v>2600</v>
      </c>
      <c r="G9907" t="s">
        <v>331</v>
      </c>
      <c r="H9907" s="15">
        <v>45292</v>
      </c>
      <c r="I9907">
        <v>2600</v>
      </c>
      <c r="J9907">
        <v>0</v>
      </c>
    </row>
    <row r="9908" spans="1:10" x14ac:dyDescent="0.3">
      <c r="A9908" s="15">
        <v>46357</v>
      </c>
      <c r="B9908" t="s">
        <v>135</v>
      </c>
      <c r="C9908" t="s">
        <v>81</v>
      </c>
      <c r="D9908" t="s">
        <v>82</v>
      </c>
      <c r="E9908" t="s">
        <v>103</v>
      </c>
      <c r="F9908">
        <v>2400</v>
      </c>
      <c r="G9908" t="s">
        <v>331</v>
      </c>
      <c r="H9908" s="15">
        <v>45292</v>
      </c>
      <c r="I9908">
        <v>2400</v>
      </c>
      <c r="J9908">
        <v>0</v>
      </c>
    </row>
    <row r="9909" spans="1:10" x14ac:dyDescent="0.3">
      <c r="A9909" s="15">
        <v>46357</v>
      </c>
      <c r="B9909" t="s">
        <v>136</v>
      </c>
      <c r="C9909" t="s">
        <v>81</v>
      </c>
      <c r="D9909" t="s">
        <v>82</v>
      </c>
      <c r="E9909" t="s">
        <v>101</v>
      </c>
      <c r="F9909">
        <v>2900</v>
      </c>
      <c r="G9909" t="s">
        <v>331</v>
      </c>
      <c r="H9909" s="15">
        <v>45292</v>
      </c>
      <c r="I9909">
        <v>2900</v>
      </c>
      <c r="J9909">
        <v>0</v>
      </c>
    </row>
    <row r="9910" spans="1:10" x14ac:dyDescent="0.3">
      <c r="A9910" s="15">
        <v>46357</v>
      </c>
      <c r="B9910" t="s">
        <v>138</v>
      </c>
      <c r="C9910" t="s">
        <v>81</v>
      </c>
      <c r="D9910" t="s">
        <v>86</v>
      </c>
      <c r="E9910" t="s">
        <v>97</v>
      </c>
      <c r="F9910">
        <v>3300</v>
      </c>
      <c r="G9910" t="s">
        <v>331</v>
      </c>
      <c r="H9910" s="15">
        <v>45292</v>
      </c>
      <c r="I9910">
        <v>3300</v>
      </c>
      <c r="J9910">
        <v>0</v>
      </c>
    </row>
    <row r="9911" spans="1:10" x14ac:dyDescent="0.3">
      <c r="A9911" s="15">
        <v>46357</v>
      </c>
      <c r="B9911" t="s">
        <v>139</v>
      </c>
      <c r="C9911" t="s">
        <v>91</v>
      </c>
      <c r="D9911" t="s">
        <v>82</v>
      </c>
      <c r="E9911" t="s">
        <v>103</v>
      </c>
      <c r="F9911">
        <v>6800</v>
      </c>
      <c r="G9911" t="s">
        <v>331</v>
      </c>
      <c r="H9911" s="15">
        <v>45292</v>
      </c>
      <c r="I9911">
        <v>6800</v>
      </c>
      <c r="J9911">
        <v>0</v>
      </c>
    </row>
    <row r="9912" spans="1:10" x14ac:dyDescent="0.3">
      <c r="A9912" s="15">
        <v>46357</v>
      </c>
      <c r="B9912" t="s">
        <v>141</v>
      </c>
      <c r="C9912" t="s">
        <v>125</v>
      </c>
      <c r="D9912" t="s">
        <v>99</v>
      </c>
      <c r="E9912" t="s">
        <v>103</v>
      </c>
      <c r="F9912">
        <v>127400</v>
      </c>
      <c r="G9912" t="s">
        <v>331</v>
      </c>
      <c r="H9912" s="15">
        <v>45292</v>
      </c>
      <c r="I9912">
        <v>127400</v>
      </c>
      <c r="J9912">
        <v>0</v>
      </c>
    </row>
    <row r="9913" spans="1:10" x14ac:dyDescent="0.3">
      <c r="A9913" s="15">
        <v>46357</v>
      </c>
      <c r="B9913" t="s">
        <v>142</v>
      </c>
      <c r="C9913" t="s">
        <v>125</v>
      </c>
      <c r="D9913" t="s">
        <v>82</v>
      </c>
      <c r="E9913" t="s">
        <v>92</v>
      </c>
      <c r="F9913">
        <v>114200</v>
      </c>
      <c r="G9913" t="s">
        <v>331</v>
      </c>
      <c r="H9913" s="15">
        <v>45292</v>
      </c>
      <c r="I9913">
        <v>114200</v>
      </c>
      <c r="J9913">
        <v>0</v>
      </c>
    </row>
    <row r="9914" spans="1:10" x14ac:dyDescent="0.3">
      <c r="A9914" s="15">
        <v>46357</v>
      </c>
      <c r="B9914" t="s">
        <v>143</v>
      </c>
      <c r="C9914" t="s">
        <v>91</v>
      </c>
      <c r="D9914" t="s">
        <v>99</v>
      </c>
      <c r="E9914" t="s">
        <v>103</v>
      </c>
      <c r="F9914">
        <v>8500</v>
      </c>
      <c r="G9914" t="s">
        <v>331</v>
      </c>
      <c r="H9914" s="15">
        <v>45292</v>
      </c>
      <c r="I9914">
        <v>8500</v>
      </c>
      <c r="J9914">
        <v>0</v>
      </c>
    </row>
    <row r="9915" spans="1:10" x14ac:dyDescent="0.3">
      <c r="A9915" s="15">
        <v>46357</v>
      </c>
      <c r="B9915" t="s">
        <v>144</v>
      </c>
      <c r="C9915" t="s">
        <v>81</v>
      </c>
      <c r="D9915" t="s">
        <v>82</v>
      </c>
      <c r="E9915" t="s">
        <v>92</v>
      </c>
      <c r="F9915">
        <v>0</v>
      </c>
      <c r="G9915" t="s">
        <v>333</v>
      </c>
      <c r="H9915" s="15">
        <v>45292</v>
      </c>
      <c r="I9915">
        <v>2500</v>
      </c>
      <c r="J9915">
        <v>-2500</v>
      </c>
    </row>
    <row r="9916" spans="1:10" x14ac:dyDescent="0.3">
      <c r="A9916" s="15">
        <v>46357</v>
      </c>
      <c r="B9916" t="s">
        <v>145</v>
      </c>
      <c r="C9916" t="s">
        <v>91</v>
      </c>
      <c r="D9916" t="s">
        <v>82</v>
      </c>
      <c r="E9916" t="s">
        <v>87</v>
      </c>
      <c r="F9916">
        <v>7400</v>
      </c>
      <c r="G9916" t="s">
        <v>331</v>
      </c>
      <c r="H9916" s="15">
        <v>45292</v>
      </c>
      <c r="I9916">
        <v>7400</v>
      </c>
      <c r="J9916">
        <v>0</v>
      </c>
    </row>
    <row r="9917" spans="1:10" x14ac:dyDescent="0.3">
      <c r="A9917" s="15">
        <v>46357</v>
      </c>
      <c r="B9917" t="s">
        <v>146</v>
      </c>
      <c r="C9917" t="s">
        <v>91</v>
      </c>
      <c r="D9917" t="s">
        <v>86</v>
      </c>
      <c r="E9917" t="s">
        <v>87</v>
      </c>
      <c r="F9917">
        <v>10100</v>
      </c>
      <c r="G9917" t="s">
        <v>331</v>
      </c>
      <c r="H9917" s="15">
        <v>45292</v>
      </c>
      <c r="I9917">
        <v>10100</v>
      </c>
      <c r="J9917">
        <v>0</v>
      </c>
    </row>
    <row r="9918" spans="1:10" x14ac:dyDescent="0.3">
      <c r="A9918" s="15">
        <v>46357</v>
      </c>
      <c r="B9918" t="s">
        <v>149</v>
      </c>
      <c r="C9918" t="s">
        <v>110</v>
      </c>
      <c r="D9918" t="s">
        <v>82</v>
      </c>
      <c r="E9918" t="s">
        <v>103</v>
      </c>
      <c r="F9918">
        <v>25500</v>
      </c>
      <c r="G9918" t="s">
        <v>331</v>
      </c>
      <c r="H9918" s="15">
        <v>45292</v>
      </c>
      <c r="I9918">
        <v>25500</v>
      </c>
      <c r="J9918">
        <v>0</v>
      </c>
    </row>
    <row r="9919" spans="1:10" x14ac:dyDescent="0.3">
      <c r="A9919" s="15">
        <v>46357</v>
      </c>
      <c r="B9919" t="s">
        <v>151</v>
      </c>
      <c r="C9919" t="s">
        <v>91</v>
      </c>
      <c r="D9919" t="s">
        <v>82</v>
      </c>
      <c r="E9919" t="s">
        <v>97</v>
      </c>
      <c r="F9919">
        <v>5600</v>
      </c>
      <c r="G9919" t="s">
        <v>331</v>
      </c>
      <c r="H9919" s="15">
        <v>45292</v>
      </c>
      <c r="I9919">
        <v>5600</v>
      </c>
      <c r="J9919">
        <v>0</v>
      </c>
    </row>
    <row r="9920" spans="1:10" x14ac:dyDescent="0.3">
      <c r="A9920" s="15">
        <v>46357</v>
      </c>
      <c r="B9920" t="s">
        <v>154</v>
      </c>
      <c r="C9920" t="s">
        <v>91</v>
      </c>
      <c r="D9920" t="s">
        <v>86</v>
      </c>
      <c r="E9920" t="s">
        <v>103</v>
      </c>
      <c r="F9920">
        <v>8300</v>
      </c>
      <c r="G9920" t="s">
        <v>331</v>
      </c>
      <c r="H9920" s="15">
        <v>45292</v>
      </c>
      <c r="I9920">
        <v>8300</v>
      </c>
      <c r="J9920">
        <v>0</v>
      </c>
    </row>
    <row r="9921" spans="1:10" x14ac:dyDescent="0.3">
      <c r="A9921" s="15">
        <v>46357</v>
      </c>
      <c r="B9921" t="s">
        <v>155</v>
      </c>
      <c r="C9921" t="s">
        <v>91</v>
      </c>
      <c r="D9921" t="s">
        <v>82</v>
      </c>
      <c r="E9921" t="s">
        <v>92</v>
      </c>
      <c r="F9921">
        <v>7300</v>
      </c>
      <c r="G9921" t="s">
        <v>331</v>
      </c>
      <c r="H9921" s="15">
        <v>45292</v>
      </c>
      <c r="I9921">
        <v>7300</v>
      </c>
      <c r="J9921">
        <v>0</v>
      </c>
    </row>
    <row r="9922" spans="1:10" x14ac:dyDescent="0.3">
      <c r="A9922" s="15">
        <v>46357</v>
      </c>
      <c r="B9922" t="s">
        <v>157</v>
      </c>
      <c r="C9922" t="s">
        <v>81</v>
      </c>
      <c r="D9922" t="s">
        <v>82</v>
      </c>
      <c r="E9922" t="s">
        <v>92</v>
      </c>
      <c r="F9922">
        <v>1800</v>
      </c>
      <c r="G9922" t="s">
        <v>331</v>
      </c>
      <c r="H9922" s="15">
        <v>45292</v>
      </c>
      <c r="I9922">
        <v>1800</v>
      </c>
      <c r="J9922">
        <v>0</v>
      </c>
    </row>
    <row r="9923" spans="1:10" x14ac:dyDescent="0.3">
      <c r="A9923" s="15">
        <v>46357</v>
      </c>
      <c r="B9923" t="s">
        <v>159</v>
      </c>
      <c r="C9923" t="s">
        <v>81</v>
      </c>
      <c r="D9923" t="s">
        <v>86</v>
      </c>
      <c r="E9923" t="s">
        <v>87</v>
      </c>
      <c r="F9923">
        <v>2600</v>
      </c>
      <c r="G9923" t="s">
        <v>331</v>
      </c>
      <c r="H9923" s="15">
        <v>45292</v>
      </c>
      <c r="I9923">
        <v>2600</v>
      </c>
      <c r="J9923">
        <v>0</v>
      </c>
    </row>
    <row r="9924" spans="1:10" x14ac:dyDescent="0.3">
      <c r="A9924" s="15">
        <v>46357</v>
      </c>
      <c r="B9924" t="s">
        <v>161</v>
      </c>
      <c r="C9924" t="s">
        <v>91</v>
      </c>
      <c r="D9924" t="s">
        <v>99</v>
      </c>
      <c r="E9924" t="s">
        <v>83</v>
      </c>
      <c r="F9924">
        <v>10900</v>
      </c>
      <c r="G9924" t="s">
        <v>331</v>
      </c>
      <c r="H9924" s="15">
        <v>45292</v>
      </c>
      <c r="I9924">
        <v>10900</v>
      </c>
      <c r="J9924">
        <v>0</v>
      </c>
    </row>
    <row r="9925" spans="1:10" x14ac:dyDescent="0.3">
      <c r="A9925" s="15">
        <v>46357</v>
      </c>
      <c r="B9925" t="s">
        <v>164</v>
      </c>
      <c r="C9925" t="s">
        <v>81</v>
      </c>
      <c r="D9925" t="s">
        <v>99</v>
      </c>
      <c r="E9925" t="s">
        <v>89</v>
      </c>
      <c r="F9925">
        <v>2900</v>
      </c>
      <c r="G9925" t="s">
        <v>332</v>
      </c>
      <c r="H9925" s="15">
        <v>45292</v>
      </c>
      <c r="I9925">
        <v>2800</v>
      </c>
      <c r="J9925">
        <v>100</v>
      </c>
    </row>
    <row r="9926" spans="1:10" x14ac:dyDescent="0.3">
      <c r="A9926" s="15">
        <v>46357</v>
      </c>
      <c r="B9926" t="s">
        <v>166</v>
      </c>
      <c r="C9926" t="s">
        <v>81</v>
      </c>
      <c r="D9926" t="s">
        <v>99</v>
      </c>
      <c r="E9926" t="s">
        <v>103</v>
      </c>
      <c r="F9926">
        <v>2600</v>
      </c>
      <c r="G9926" t="s">
        <v>331</v>
      </c>
      <c r="H9926" s="15">
        <v>45292</v>
      </c>
      <c r="I9926">
        <v>2600</v>
      </c>
      <c r="J9926">
        <v>0</v>
      </c>
    </row>
    <row r="9927" spans="1:10" x14ac:dyDescent="0.3">
      <c r="A9927" s="15">
        <v>46357</v>
      </c>
      <c r="B9927" t="s">
        <v>167</v>
      </c>
      <c r="C9927" t="s">
        <v>81</v>
      </c>
      <c r="D9927" t="s">
        <v>82</v>
      </c>
      <c r="E9927" t="s">
        <v>97</v>
      </c>
      <c r="F9927">
        <v>2000</v>
      </c>
      <c r="G9927" t="s">
        <v>331</v>
      </c>
      <c r="H9927" s="15">
        <v>45292</v>
      </c>
      <c r="I9927">
        <v>2000</v>
      </c>
      <c r="J9927">
        <v>0</v>
      </c>
    </row>
    <row r="9928" spans="1:10" x14ac:dyDescent="0.3">
      <c r="A9928" s="15">
        <v>46357</v>
      </c>
      <c r="B9928" t="s">
        <v>168</v>
      </c>
      <c r="C9928" t="s">
        <v>91</v>
      </c>
      <c r="D9928" t="s">
        <v>86</v>
      </c>
      <c r="E9928" t="s">
        <v>103</v>
      </c>
      <c r="F9928">
        <v>10700</v>
      </c>
      <c r="G9928" t="s">
        <v>331</v>
      </c>
      <c r="H9928" s="15">
        <v>45292</v>
      </c>
      <c r="I9928">
        <v>10700</v>
      </c>
      <c r="J9928">
        <v>0</v>
      </c>
    </row>
    <row r="9929" spans="1:10" x14ac:dyDescent="0.3">
      <c r="A9929" s="15">
        <v>46357</v>
      </c>
      <c r="B9929" t="s">
        <v>170</v>
      </c>
      <c r="C9929" t="s">
        <v>91</v>
      </c>
      <c r="D9929" t="s">
        <v>99</v>
      </c>
      <c r="E9929" t="s">
        <v>83</v>
      </c>
      <c r="F9929">
        <v>5500</v>
      </c>
      <c r="G9929" t="s">
        <v>331</v>
      </c>
      <c r="H9929" s="15">
        <v>45292</v>
      </c>
      <c r="I9929">
        <v>5500</v>
      </c>
      <c r="J9929">
        <v>0</v>
      </c>
    </row>
    <row r="9930" spans="1:10" x14ac:dyDescent="0.3">
      <c r="A9930" s="15">
        <v>46357</v>
      </c>
      <c r="B9930" t="s">
        <v>171</v>
      </c>
      <c r="C9930" t="s">
        <v>81</v>
      </c>
      <c r="D9930" t="s">
        <v>99</v>
      </c>
      <c r="E9930" t="s">
        <v>97</v>
      </c>
      <c r="F9930">
        <v>1700</v>
      </c>
      <c r="G9930" t="s">
        <v>331</v>
      </c>
      <c r="H9930" s="15">
        <v>45292</v>
      </c>
      <c r="I9930">
        <v>1700</v>
      </c>
      <c r="J9930">
        <v>0</v>
      </c>
    </row>
    <row r="9931" spans="1:10" x14ac:dyDescent="0.3">
      <c r="A9931" s="15">
        <v>46357</v>
      </c>
      <c r="B9931" t="s">
        <v>174</v>
      </c>
      <c r="C9931" t="s">
        <v>81</v>
      </c>
      <c r="D9931" t="s">
        <v>82</v>
      </c>
      <c r="E9931" t="s">
        <v>92</v>
      </c>
      <c r="F9931">
        <v>2400</v>
      </c>
      <c r="G9931" t="s">
        <v>331</v>
      </c>
      <c r="H9931" s="15">
        <v>45292</v>
      </c>
      <c r="I9931">
        <v>2400</v>
      </c>
      <c r="J9931">
        <v>0</v>
      </c>
    </row>
    <row r="9932" spans="1:10" x14ac:dyDescent="0.3">
      <c r="A9932" s="15">
        <v>46357</v>
      </c>
      <c r="B9932" t="s">
        <v>175</v>
      </c>
      <c r="C9932" t="s">
        <v>91</v>
      </c>
      <c r="D9932" t="s">
        <v>96</v>
      </c>
      <c r="E9932" t="s">
        <v>83</v>
      </c>
      <c r="F9932">
        <v>8800</v>
      </c>
      <c r="G9932" t="s">
        <v>331</v>
      </c>
      <c r="H9932" s="15">
        <v>45292</v>
      </c>
      <c r="I9932">
        <v>8800</v>
      </c>
      <c r="J9932">
        <v>0</v>
      </c>
    </row>
    <row r="9933" spans="1:10" x14ac:dyDescent="0.3">
      <c r="A9933" s="15">
        <v>46357</v>
      </c>
      <c r="B9933" t="s">
        <v>176</v>
      </c>
      <c r="C9933" t="s">
        <v>81</v>
      </c>
      <c r="D9933" t="s">
        <v>99</v>
      </c>
      <c r="E9933" t="s">
        <v>92</v>
      </c>
      <c r="F9933">
        <v>2900</v>
      </c>
      <c r="G9933" t="s">
        <v>331</v>
      </c>
      <c r="H9933" s="15">
        <v>45292</v>
      </c>
      <c r="I9933">
        <v>2900</v>
      </c>
      <c r="J9933">
        <v>0</v>
      </c>
    </row>
    <row r="9934" spans="1:10" x14ac:dyDescent="0.3">
      <c r="A9934" s="15">
        <v>46357</v>
      </c>
      <c r="B9934" t="s">
        <v>177</v>
      </c>
      <c r="C9934" t="s">
        <v>81</v>
      </c>
      <c r="D9934" t="s">
        <v>96</v>
      </c>
      <c r="E9934" t="s">
        <v>83</v>
      </c>
      <c r="F9934">
        <v>2900</v>
      </c>
      <c r="G9934" t="s">
        <v>331</v>
      </c>
      <c r="H9934" s="15">
        <v>45292</v>
      </c>
      <c r="I9934">
        <v>2900</v>
      </c>
      <c r="J9934">
        <v>0</v>
      </c>
    </row>
    <row r="9935" spans="1:10" x14ac:dyDescent="0.3">
      <c r="A9935" s="15">
        <v>46357</v>
      </c>
      <c r="B9935" t="s">
        <v>178</v>
      </c>
      <c r="C9935" t="s">
        <v>91</v>
      </c>
      <c r="D9935" t="s">
        <v>82</v>
      </c>
      <c r="E9935" t="s">
        <v>89</v>
      </c>
      <c r="F9935">
        <v>8400</v>
      </c>
      <c r="G9935" t="s">
        <v>331</v>
      </c>
      <c r="H9935" s="15">
        <v>45292</v>
      </c>
      <c r="I9935">
        <v>8400</v>
      </c>
      <c r="J9935">
        <v>0</v>
      </c>
    </row>
    <row r="9936" spans="1:10" x14ac:dyDescent="0.3">
      <c r="A9936" s="15">
        <v>46357</v>
      </c>
      <c r="B9936" t="s">
        <v>179</v>
      </c>
      <c r="C9936" t="s">
        <v>110</v>
      </c>
      <c r="D9936" t="s">
        <v>86</v>
      </c>
      <c r="E9936" t="s">
        <v>87</v>
      </c>
      <c r="F9936">
        <v>27000</v>
      </c>
      <c r="G9936" t="s">
        <v>331</v>
      </c>
      <c r="H9936" s="15">
        <v>45292</v>
      </c>
      <c r="I9936">
        <v>27000</v>
      </c>
      <c r="J9936">
        <v>0</v>
      </c>
    </row>
    <row r="9937" spans="1:10" x14ac:dyDescent="0.3">
      <c r="A9937" s="15">
        <v>46357</v>
      </c>
      <c r="B9937" t="s">
        <v>180</v>
      </c>
      <c r="C9937" t="s">
        <v>91</v>
      </c>
      <c r="D9937" t="s">
        <v>86</v>
      </c>
      <c r="E9937" t="s">
        <v>83</v>
      </c>
      <c r="F9937">
        <v>8500</v>
      </c>
      <c r="G9937" t="s">
        <v>331</v>
      </c>
      <c r="H9937" s="15">
        <v>45292</v>
      </c>
      <c r="I9937">
        <v>8500</v>
      </c>
      <c r="J9937">
        <v>0</v>
      </c>
    </row>
    <row r="9938" spans="1:10" x14ac:dyDescent="0.3">
      <c r="A9938" s="15">
        <v>46357</v>
      </c>
      <c r="B9938" t="s">
        <v>181</v>
      </c>
      <c r="C9938" t="s">
        <v>91</v>
      </c>
      <c r="D9938" t="s">
        <v>82</v>
      </c>
      <c r="E9938" t="s">
        <v>97</v>
      </c>
      <c r="F9938">
        <v>10100</v>
      </c>
      <c r="G9938" t="s">
        <v>331</v>
      </c>
      <c r="H9938" s="15">
        <v>45292</v>
      </c>
      <c r="I9938">
        <v>10100</v>
      </c>
      <c r="J9938">
        <v>0</v>
      </c>
    </row>
    <row r="9939" spans="1:10" x14ac:dyDescent="0.3">
      <c r="A9939" s="15">
        <v>46357</v>
      </c>
      <c r="B9939" t="s">
        <v>182</v>
      </c>
      <c r="C9939" t="s">
        <v>125</v>
      </c>
      <c r="D9939" t="s">
        <v>82</v>
      </c>
      <c r="E9939" t="s">
        <v>92</v>
      </c>
      <c r="F9939">
        <v>100200</v>
      </c>
      <c r="G9939" t="s">
        <v>331</v>
      </c>
      <c r="H9939" s="15">
        <v>45292</v>
      </c>
      <c r="I9939">
        <v>100200</v>
      </c>
      <c r="J9939">
        <v>0</v>
      </c>
    </row>
    <row r="9940" spans="1:10" x14ac:dyDescent="0.3">
      <c r="A9940" s="15">
        <v>46357</v>
      </c>
      <c r="B9940" t="s">
        <v>183</v>
      </c>
      <c r="C9940" t="s">
        <v>91</v>
      </c>
      <c r="D9940" t="s">
        <v>96</v>
      </c>
      <c r="E9940" t="s">
        <v>92</v>
      </c>
      <c r="F9940">
        <v>9500</v>
      </c>
      <c r="G9940" t="s">
        <v>331</v>
      </c>
      <c r="H9940" s="15">
        <v>45292</v>
      </c>
      <c r="I9940">
        <v>9500</v>
      </c>
      <c r="J9940">
        <v>0</v>
      </c>
    </row>
    <row r="9941" spans="1:10" x14ac:dyDescent="0.3">
      <c r="A9941" s="15">
        <v>46357</v>
      </c>
      <c r="B9941" t="s">
        <v>184</v>
      </c>
      <c r="C9941" t="s">
        <v>81</v>
      </c>
      <c r="D9941" t="s">
        <v>82</v>
      </c>
      <c r="E9941" t="s">
        <v>83</v>
      </c>
      <c r="F9941">
        <v>2400</v>
      </c>
      <c r="G9941" t="s">
        <v>331</v>
      </c>
      <c r="H9941" s="15">
        <v>45292</v>
      </c>
      <c r="I9941">
        <v>2400</v>
      </c>
      <c r="J9941">
        <v>0</v>
      </c>
    </row>
    <row r="9942" spans="1:10" x14ac:dyDescent="0.3">
      <c r="A9942" s="15">
        <v>46357</v>
      </c>
      <c r="B9942" t="s">
        <v>185</v>
      </c>
      <c r="C9942" t="s">
        <v>81</v>
      </c>
      <c r="D9942" t="s">
        <v>96</v>
      </c>
      <c r="E9942" t="s">
        <v>97</v>
      </c>
      <c r="F9942">
        <v>1900</v>
      </c>
      <c r="G9942" t="s">
        <v>331</v>
      </c>
      <c r="H9942" s="15">
        <v>45292</v>
      </c>
      <c r="I9942">
        <v>1900</v>
      </c>
      <c r="J9942">
        <v>0</v>
      </c>
    </row>
    <row r="9943" spans="1:10" x14ac:dyDescent="0.3">
      <c r="A9943" s="15">
        <v>46357</v>
      </c>
      <c r="B9943" t="s">
        <v>186</v>
      </c>
      <c r="C9943" t="s">
        <v>91</v>
      </c>
      <c r="D9943" t="s">
        <v>82</v>
      </c>
      <c r="E9943" t="s">
        <v>103</v>
      </c>
      <c r="F9943">
        <v>13900</v>
      </c>
      <c r="G9943" t="s">
        <v>331</v>
      </c>
      <c r="H9943" s="15">
        <v>45292</v>
      </c>
      <c r="I9943">
        <v>13900</v>
      </c>
      <c r="J9943">
        <v>0</v>
      </c>
    </row>
    <row r="9944" spans="1:10" x14ac:dyDescent="0.3">
      <c r="A9944" s="15">
        <v>46357</v>
      </c>
      <c r="B9944" t="s">
        <v>187</v>
      </c>
      <c r="C9944" t="s">
        <v>110</v>
      </c>
      <c r="D9944" t="s">
        <v>86</v>
      </c>
      <c r="E9944" t="s">
        <v>97</v>
      </c>
      <c r="F9944">
        <v>30100</v>
      </c>
      <c r="G9944" t="s">
        <v>331</v>
      </c>
      <c r="H9944" s="15">
        <v>45292</v>
      </c>
      <c r="I9944">
        <v>30100</v>
      </c>
      <c r="J9944">
        <v>0</v>
      </c>
    </row>
    <row r="9945" spans="1:10" x14ac:dyDescent="0.3">
      <c r="A9945" s="15">
        <v>46357</v>
      </c>
      <c r="B9945" t="s">
        <v>188</v>
      </c>
      <c r="C9945" t="s">
        <v>91</v>
      </c>
      <c r="D9945" t="s">
        <v>82</v>
      </c>
      <c r="E9945" t="s">
        <v>92</v>
      </c>
      <c r="F9945">
        <v>12800</v>
      </c>
      <c r="G9945" t="s">
        <v>331</v>
      </c>
      <c r="H9945" s="15">
        <v>45292</v>
      </c>
      <c r="I9945">
        <v>12800</v>
      </c>
      <c r="J9945">
        <v>0</v>
      </c>
    </row>
    <row r="9946" spans="1:10" x14ac:dyDescent="0.3">
      <c r="A9946" s="15">
        <v>46357</v>
      </c>
      <c r="B9946" t="s">
        <v>189</v>
      </c>
      <c r="C9946" t="s">
        <v>81</v>
      </c>
      <c r="D9946" t="s">
        <v>86</v>
      </c>
      <c r="E9946" t="s">
        <v>103</v>
      </c>
      <c r="F9946">
        <v>2300</v>
      </c>
      <c r="G9946" t="s">
        <v>331</v>
      </c>
      <c r="H9946" s="15">
        <v>45292</v>
      </c>
      <c r="I9946">
        <v>2300</v>
      </c>
      <c r="J9946">
        <v>0</v>
      </c>
    </row>
    <row r="9947" spans="1:10" x14ac:dyDescent="0.3">
      <c r="A9947" s="15">
        <v>46357</v>
      </c>
      <c r="B9947" t="s">
        <v>190</v>
      </c>
      <c r="C9947" t="s">
        <v>81</v>
      </c>
      <c r="D9947" t="s">
        <v>99</v>
      </c>
      <c r="E9947" t="s">
        <v>89</v>
      </c>
      <c r="F9947">
        <v>1900</v>
      </c>
      <c r="G9947" t="s">
        <v>331</v>
      </c>
      <c r="H9947" s="15">
        <v>45292</v>
      </c>
      <c r="I9947">
        <v>1900</v>
      </c>
      <c r="J9947">
        <v>0</v>
      </c>
    </row>
    <row r="9948" spans="1:10" x14ac:dyDescent="0.3">
      <c r="A9948" s="15">
        <v>46357</v>
      </c>
      <c r="B9948" t="s">
        <v>191</v>
      </c>
      <c r="C9948" t="s">
        <v>91</v>
      </c>
      <c r="D9948" t="s">
        <v>86</v>
      </c>
      <c r="E9948" t="s">
        <v>87</v>
      </c>
      <c r="F9948">
        <v>6900</v>
      </c>
      <c r="G9948" t="s">
        <v>331</v>
      </c>
      <c r="H9948" s="15">
        <v>45292</v>
      </c>
      <c r="I9948">
        <v>6900</v>
      </c>
      <c r="J9948">
        <v>0</v>
      </c>
    </row>
    <row r="9949" spans="1:10" x14ac:dyDescent="0.3">
      <c r="A9949" s="15">
        <v>46357</v>
      </c>
      <c r="B9949" t="s">
        <v>193</v>
      </c>
      <c r="C9949" t="s">
        <v>81</v>
      </c>
      <c r="D9949" t="s">
        <v>82</v>
      </c>
      <c r="E9949" t="s">
        <v>87</v>
      </c>
      <c r="F9949">
        <v>3200</v>
      </c>
      <c r="G9949" t="s">
        <v>331</v>
      </c>
      <c r="H9949" s="15">
        <v>45292</v>
      </c>
      <c r="I9949">
        <v>3200</v>
      </c>
      <c r="J9949">
        <v>0</v>
      </c>
    </row>
    <row r="9950" spans="1:10" x14ac:dyDescent="0.3">
      <c r="A9950" s="15">
        <v>46357</v>
      </c>
      <c r="B9950" t="s">
        <v>195</v>
      </c>
      <c r="C9950" t="s">
        <v>91</v>
      </c>
      <c r="D9950" t="s">
        <v>86</v>
      </c>
      <c r="E9950" t="s">
        <v>97</v>
      </c>
      <c r="F9950">
        <v>6800</v>
      </c>
      <c r="G9950" t="s">
        <v>331</v>
      </c>
      <c r="H9950" s="15">
        <v>45292</v>
      </c>
      <c r="I9950">
        <v>6800</v>
      </c>
      <c r="J9950">
        <v>0</v>
      </c>
    </row>
    <row r="9951" spans="1:10" x14ac:dyDescent="0.3">
      <c r="A9951" s="15">
        <v>46357</v>
      </c>
      <c r="B9951" t="s">
        <v>197</v>
      </c>
      <c r="C9951" t="s">
        <v>91</v>
      </c>
      <c r="D9951" t="s">
        <v>82</v>
      </c>
      <c r="E9951" t="s">
        <v>89</v>
      </c>
      <c r="F9951">
        <v>12000</v>
      </c>
      <c r="G9951" t="s">
        <v>331</v>
      </c>
      <c r="H9951" s="15">
        <v>45292</v>
      </c>
      <c r="I9951">
        <v>12000</v>
      </c>
      <c r="J9951">
        <v>0</v>
      </c>
    </row>
    <row r="9952" spans="1:10" x14ac:dyDescent="0.3">
      <c r="A9952" s="15">
        <v>46357</v>
      </c>
      <c r="B9952" t="s">
        <v>198</v>
      </c>
      <c r="C9952" t="s">
        <v>81</v>
      </c>
      <c r="D9952" t="s">
        <v>82</v>
      </c>
      <c r="E9952" t="s">
        <v>89</v>
      </c>
      <c r="F9952">
        <v>2900</v>
      </c>
      <c r="G9952" t="s">
        <v>331</v>
      </c>
      <c r="H9952" s="15">
        <v>45292</v>
      </c>
      <c r="I9952">
        <v>2900</v>
      </c>
      <c r="J9952">
        <v>0</v>
      </c>
    </row>
    <row r="9953" spans="1:10" x14ac:dyDescent="0.3">
      <c r="A9953" s="15">
        <v>46357</v>
      </c>
      <c r="B9953" t="s">
        <v>199</v>
      </c>
      <c r="C9953" t="s">
        <v>81</v>
      </c>
      <c r="D9953" t="s">
        <v>86</v>
      </c>
      <c r="E9953" t="s">
        <v>89</v>
      </c>
      <c r="F9953">
        <v>2200</v>
      </c>
      <c r="G9953" t="s">
        <v>331</v>
      </c>
      <c r="H9953" s="15">
        <v>45292</v>
      </c>
      <c r="I9953">
        <v>2200</v>
      </c>
      <c r="J9953">
        <v>0</v>
      </c>
    </row>
    <row r="9954" spans="1:10" x14ac:dyDescent="0.3">
      <c r="A9954" s="15">
        <v>46357</v>
      </c>
      <c r="B9954" t="s">
        <v>200</v>
      </c>
      <c r="C9954" t="s">
        <v>91</v>
      </c>
      <c r="D9954" t="s">
        <v>86</v>
      </c>
      <c r="E9954" t="s">
        <v>92</v>
      </c>
      <c r="F9954">
        <v>8800</v>
      </c>
      <c r="G9954" t="s">
        <v>331</v>
      </c>
      <c r="H9954" s="15">
        <v>45292</v>
      </c>
      <c r="I9954">
        <v>8800</v>
      </c>
      <c r="J9954">
        <v>0</v>
      </c>
    </row>
    <row r="9955" spans="1:10" x14ac:dyDescent="0.3">
      <c r="A9955" s="15">
        <v>46357</v>
      </c>
      <c r="B9955" t="s">
        <v>201</v>
      </c>
      <c r="C9955" t="s">
        <v>81</v>
      </c>
      <c r="D9955" t="s">
        <v>86</v>
      </c>
      <c r="E9955" t="s">
        <v>83</v>
      </c>
      <c r="F9955">
        <v>1500</v>
      </c>
      <c r="G9955" t="s">
        <v>331</v>
      </c>
      <c r="H9955" s="15">
        <v>45292</v>
      </c>
      <c r="I9955">
        <v>1500</v>
      </c>
      <c r="J9955">
        <v>0</v>
      </c>
    </row>
    <row r="9956" spans="1:10" x14ac:dyDescent="0.3">
      <c r="A9956" s="15">
        <v>46357</v>
      </c>
      <c r="B9956" t="s">
        <v>202</v>
      </c>
      <c r="C9956" t="s">
        <v>91</v>
      </c>
      <c r="D9956" t="s">
        <v>82</v>
      </c>
      <c r="E9956" t="s">
        <v>92</v>
      </c>
      <c r="F9956">
        <v>12700</v>
      </c>
      <c r="G9956" t="s">
        <v>331</v>
      </c>
      <c r="H9956" s="15">
        <v>45292</v>
      </c>
      <c r="I9956">
        <v>12700</v>
      </c>
      <c r="J9956">
        <v>0</v>
      </c>
    </row>
    <row r="9957" spans="1:10" x14ac:dyDescent="0.3">
      <c r="A9957" s="15">
        <v>46357</v>
      </c>
      <c r="B9957" t="s">
        <v>204</v>
      </c>
      <c r="C9957" t="s">
        <v>81</v>
      </c>
      <c r="D9957" t="s">
        <v>82</v>
      </c>
      <c r="E9957" t="s">
        <v>87</v>
      </c>
      <c r="F9957">
        <v>0</v>
      </c>
      <c r="G9957" t="s">
        <v>333</v>
      </c>
      <c r="H9957" s="15">
        <v>45292</v>
      </c>
      <c r="I9957">
        <v>1900</v>
      </c>
      <c r="J9957">
        <v>-1900</v>
      </c>
    </row>
    <row r="9958" spans="1:10" x14ac:dyDescent="0.3">
      <c r="A9958" s="15">
        <v>46357</v>
      </c>
      <c r="B9958" t="s">
        <v>205</v>
      </c>
      <c r="C9958" t="s">
        <v>91</v>
      </c>
      <c r="D9958" t="s">
        <v>86</v>
      </c>
      <c r="E9958" t="s">
        <v>103</v>
      </c>
      <c r="F9958">
        <v>9800</v>
      </c>
      <c r="G9958" t="s">
        <v>331</v>
      </c>
      <c r="H9958" s="15">
        <v>45292</v>
      </c>
      <c r="I9958">
        <v>9800</v>
      </c>
      <c r="J9958">
        <v>0</v>
      </c>
    </row>
    <row r="9959" spans="1:10" x14ac:dyDescent="0.3">
      <c r="A9959" s="15">
        <v>46357</v>
      </c>
      <c r="B9959" t="s">
        <v>206</v>
      </c>
      <c r="C9959" t="s">
        <v>81</v>
      </c>
      <c r="D9959" t="s">
        <v>86</v>
      </c>
      <c r="E9959" t="s">
        <v>89</v>
      </c>
      <c r="F9959">
        <v>3300</v>
      </c>
      <c r="G9959" t="s">
        <v>331</v>
      </c>
      <c r="H9959" s="15">
        <v>45292</v>
      </c>
      <c r="I9959">
        <v>3300</v>
      </c>
      <c r="J9959">
        <v>0</v>
      </c>
    </row>
    <row r="9960" spans="1:10" x14ac:dyDescent="0.3">
      <c r="A9960" s="15">
        <v>46357</v>
      </c>
      <c r="B9960" t="s">
        <v>207</v>
      </c>
      <c r="C9960" t="s">
        <v>81</v>
      </c>
      <c r="D9960" t="s">
        <v>82</v>
      </c>
      <c r="E9960" t="s">
        <v>89</v>
      </c>
      <c r="F9960">
        <v>3500</v>
      </c>
      <c r="G9960" t="s">
        <v>331</v>
      </c>
      <c r="H9960" s="15">
        <v>45292</v>
      </c>
      <c r="I9960">
        <v>3500</v>
      </c>
      <c r="J9960">
        <v>0</v>
      </c>
    </row>
    <row r="9961" spans="1:10" x14ac:dyDescent="0.3">
      <c r="A9961" s="15">
        <v>46357</v>
      </c>
      <c r="B9961" t="s">
        <v>208</v>
      </c>
      <c r="C9961" t="s">
        <v>91</v>
      </c>
      <c r="D9961" t="s">
        <v>99</v>
      </c>
      <c r="E9961" t="s">
        <v>89</v>
      </c>
      <c r="F9961">
        <v>7700</v>
      </c>
      <c r="G9961" t="s">
        <v>331</v>
      </c>
      <c r="H9961" s="15">
        <v>45292</v>
      </c>
      <c r="I9961">
        <v>7700</v>
      </c>
      <c r="J9961">
        <v>0</v>
      </c>
    </row>
    <row r="9962" spans="1:10" x14ac:dyDescent="0.3">
      <c r="A9962" s="15">
        <v>46357</v>
      </c>
      <c r="B9962" t="s">
        <v>209</v>
      </c>
      <c r="C9962" t="s">
        <v>81</v>
      </c>
      <c r="D9962" t="s">
        <v>86</v>
      </c>
      <c r="E9962" t="s">
        <v>83</v>
      </c>
      <c r="F9962">
        <v>3000</v>
      </c>
      <c r="G9962" t="s">
        <v>331</v>
      </c>
      <c r="H9962" s="15">
        <v>45292</v>
      </c>
      <c r="I9962">
        <v>3000</v>
      </c>
      <c r="J9962">
        <v>0</v>
      </c>
    </row>
    <row r="9963" spans="1:10" x14ac:dyDescent="0.3">
      <c r="A9963" s="15">
        <v>46357</v>
      </c>
      <c r="B9963" t="s">
        <v>210</v>
      </c>
      <c r="C9963" t="s">
        <v>125</v>
      </c>
      <c r="D9963" t="s">
        <v>96</v>
      </c>
      <c r="E9963" t="s">
        <v>89</v>
      </c>
      <c r="F9963">
        <v>82900</v>
      </c>
      <c r="G9963" t="s">
        <v>331</v>
      </c>
      <c r="H9963" s="15">
        <v>45292</v>
      </c>
      <c r="I9963">
        <v>82900</v>
      </c>
      <c r="J9963">
        <v>0</v>
      </c>
    </row>
    <row r="9964" spans="1:10" x14ac:dyDescent="0.3">
      <c r="A9964" s="15">
        <v>46357</v>
      </c>
      <c r="B9964" t="s">
        <v>213</v>
      </c>
      <c r="C9964" t="s">
        <v>81</v>
      </c>
      <c r="D9964" t="s">
        <v>82</v>
      </c>
      <c r="E9964" t="s">
        <v>97</v>
      </c>
      <c r="F9964">
        <v>3300</v>
      </c>
      <c r="G9964" t="s">
        <v>331</v>
      </c>
      <c r="H9964" s="15">
        <v>45292</v>
      </c>
      <c r="I9964">
        <v>3300</v>
      </c>
      <c r="J9964">
        <v>0</v>
      </c>
    </row>
    <row r="9965" spans="1:10" x14ac:dyDescent="0.3">
      <c r="A9965" s="15">
        <v>46357</v>
      </c>
      <c r="B9965" t="s">
        <v>214</v>
      </c>
      <c r="C9965" t="s">
        <v>91</v>
      </c>
      <c r="D9965" t="s">
        <v>82</v>
      </c>
      <c r="E9965" t="s">
        <v>89</v>
      </c>
      <c r="F9965">
        <v>8700</v>
      </c>
      <c r="G9965" t="s">
        <v>331</v>
      </c>
      <c r="H9965" s="15">
        <v>45292</v>
      </c>
      <c r="I9965">
        <v>8700</v>
      </c>
      <c r="J9965">
        <v>0</v>
      </c>
    </row>
    <row r="9966" spans="1:10" x14ac:dyDescent="0.3">
      <c r="A9966" s="15">
        <v>46357</v>
      </c>
      <c r="B9966" t="s">
        <v>216</v>
      </c>
      <c r="C9966" t="s">
        <v>81</v>
      </c>
      <c r="D9966" t="s">
        <v>82</v>
      </c>
      <c r="E9966" t="s">
        <v>97</v>
      </c>
      <c r="F9966">
        <v>3500</v>
      </c>
      <c r="G9966" t="s">
        <v>331</v>
      </c>
      <c r="H9966" s="15">
        <v>45292</v>
      </c>
      <c r="I9966">
        <v>3500</v>
      </c>
      <c r="J9966">
        <v>0</v>
      </c>
    </row>
    <row r="9967" spans="1:10" x14ac:dyDescent="0.3">
      <c r="A9967" s="15">
        <v>46357</v>
      </c>
      <c r="B9967" t="s">
        <v>218</v>
      </c>
      <c r="C9967" t="s">
        <v>110</v>
      </c>
      <c r="D9967" t="s">
        <v>99</v>
      </c>
      <c r="E9967" t="s">
        <v>92</v>
      </c>
      <c r="F9967">
        <v>32200</v>
      </c>
      <c r="G9967" t="s">
        <v>331</v>
      </c>
      <c r="H9967" s="15">
        <v>45292</v>
      </c>
      <c r="I9967">
        <v>32200</v>
      </c>
      <c r="J9967">
        <v>0</v>
      </c>
    </row>
    <row r="9968" spans="1:10" x14ac:dyDescent="0.3">
      <c r="A9968" s="15">
        <v>46357</v>
      </c>
      <c r="B9968" t="s">
        <v>220</v>
      </c>
      <c r="C9968" t="s">
        <v>110</v>
      </c>
      <c r="D9968" t="s">
        <v>82</v>
      </c>
      <c r="E9968" t="s">
        <v>89</v>
      </c>
      <c r="F9968">
        <v>30800</v>
      </c>
      <c r="G9968" t="s">
        <v>331</v>
      </c>
      <c r="H9968" s="15">
        <v>45292</v>
      </c>
      <c r="I9968">
        <v>30800</v>
      </c>
      <c r="J9968">
        <v>0</v>
      </c>
    </row>
    <row r="9969" spans="1:10" x14ac:dyDescent="0.3">
      <c r="A9969" s="15">
        <v>46357</v>
      </c>
      <c r="B9969" t="s">
        <v>224</v>
      </c>
      <c r="C9969" t="s">
        <v>91</v>
      </c>
      <c r="D9969" t="s">
        <v>82</v>
      </c>
      <c r="E9969" t="s">
        <v>101</v>
      </c>
      <c r="F9969">
        <v>10000</v>
      </c>
      <c r="G9969" t="s">
        <v>331</v>
      </c>
      <c r="H9969" s="15">
        <v>45292</v>
      </c>
      <c r="I9969">
        <v>10000</v>
      </c>
      <c r="J9969">
        <v>0</v>
      </c>
    </row>
    <row r="9970" spans="1:10" x14ac:dyDescent="0.3">
      <c r="A9970" s="15">
        <v>46357</v>
      </c>
      <c r="B9970" t="s">
        <v>225</v>
      </c>
      <c r="C9970" t="s">
        <v>110</v>
      </c>
      <c r="D9970" t="s">
        <v>99</v>
      </c>
      <c r="E9970" t="s">
        <v>103</v>
      </c>
      <c r="F9970">
        <v>42200</v>
      </c>
      <c r="G9970" t="s">
        <v>331</v>
      </c>
      <c r="H9970" s="15">
        <v>45292</v>
      </c>
      <c r="I9970">
        <v>42200</v>
      </c>
      <c r="J9970">
        <v>0</v>
      </c>
    </row>
    <row r="9971" spans="1:10" x14ac:dyDescent="0.3">
      <c r="A9971" s="15">
        <v>46357</v>
      </c>
      <c r="B9971" t="s">
        <v>226</v>
      </c>
      <c r="C9971" t="s">
        <v>91</v>
      </c>
      <c r="D9971" t="s">
        <v>82</v>
      </c>
      <c r="E9971" t="s">
        <v>103</v>
      </c>
      <c r="F9971">
        <v>7200</v>
      </c>
      <c r="G9971" t="s">
        <v>331</v>
      </c>
      <c r="H9971" s="15">
        <v>45292</v>
      </c>
      <c r="I9971">
        <v>7200</v>
      </c>
      <c r="J9971">
        <v>0</v>
      </c>
    </row>
    <row r="9972" spans="1:10" x14ac:dyDescent="0.3">
      <c r="A9972" s="15">
        <v>46357</v>
      </c>
      <c r="B9972" t="s">
        <v>227</v>
      </c>
      <c r="C9972" t="s">
        <v>110</v>
      </c>
      <c r="D9972" t="s">
        <v>86</v>
      </c>
      <c r="E9972" t="s">
        <v>87</v>
      </c>
      <c r="F9972">
        <v>25400</v>
      </c>
      <c r="G9972" t="s">
        <v>331</v>
      </c>
      <c r="H9972" s="15">
        <v>45292</v>
      </c>
      <c r="I9972">
        <v>25400</v>
      </c>
      <c r="J9972">
        <v>0</v>
      </c>
    </row>
    <row r="9973" spans="1:10" x14ac:dyDescent="0.3">
      <c r="A9973" s="15">
        <v>46357</v>
      </c>
      <c r="B9973" t="s">
        <v>228</v>
      </c>
      <c r="C9973" t="s">
        <v>91</v>
      </c>
      <c r="D9973" t="s">
        <v>96</v>
      </c>
      <c r="E9973" t="s">
        <v>89</v>
      </c>
      <c r="F9973">
        <v>12000</v>
      </c>
      <c r="G9973" t="s">
        <v>331</v>
      </c>
      <c r="H9973" s="15">
        <v>45292</v>
      </c>
      <c r="I9973">
        <v>12000</v>
      </c>
      <c r="J9973">
        <v>0</v>
      </c>
    </row>
    <row r="9974" spans="1:10" x14ac:dyDescent="0.3">
      <c r="A9974" s="15">
        <v>46357</v>
      </c>
      <c r="B9974" t="s">
        <v>229</v>
      </c>
      <c r="C9974" t="s">
        <v>81</v>
      </c>
      <c r="D9974" t="s">
        <v>82</v>
      </c>
      <c r="E9974" t="s">
        <v>83</v>
      </c>
      <c r="F9974">
        <v>3700</v>
      </c>
      <c r="G9974" t="s">
        <v>331</v>
      </c>
      <c r="H9974" s="15">
        <v>45292</v>
      </c>
      <c r="I9974">
        <v>3700</v>
      </c>
      <c r="J9974">
        <v>0</v>
      </c>
    </row>
    <row r="9975" spans="1:10" x14ac:dyDescent="0.3">
      <c r="A9975" s="15">
        <v>46357</v>
      </c>
      <c r="B9975" t="s">
        <v>230</v>
      </c>
      <c r="C9975" t="s">
        <v>81</v>
      </c>
      <c r="D9975" t="s">
        <v>86</v>
      </c>
      <c r="E9975" t="s">
        <v>101</v>
      </c>
      <c r="F9975">
        <v>3700</v>
      </c>
      <c r="G9975" t="s">
        <v>331</v>
      </c>
      <c r="H9975" s="15">
        <v>45292</v>
      </c>
      <c r="I9975">
        <v>3700</v>
      </c>
      <c r="J9975">
        <v>0</v>
      </c>
    </row>
    <row r="9976" spans="1:10" x14ac:dyDescent="0.3">
      <c r="A9976" s="15">
        <v>46357</v>
      </c>
      <c r="B9976" t="s">
        <v>232</v>
      </c>
      <c r="C9976" t="s">
        <v>125</v>
      </c>
      <c r="D9976" t="s">
        <v>86</v>
      </c>
      <c r="E9976" t="s">
        <v>83</v>
      </c>
      <c r="F9976">
        <v>121100</v>
      </c>
      <c r="G9976" t="s">
        <v>331</v>
      </c>
      <c r="H9976" s="15">
        <v>45292</v>
      </c>
      <c r="I9976">
        <v>121100</v>
      </c>
      <c r="J9976">
        <v>0</v>
      </c>
    </row>
    <row r="9977" spans="1:10" x14ac:dyDescent="0.3">
      <c r="A9977" s="15">
        <v>46357</v>
      </c>
      <c r="B9977" t="s">
        <v>233</v>
      </c>
      <c r="C9977" t="s">
        <v>81</v>
      </c>
      <c r="D9977" t="s">
        <v>82</v>
      </c>
      <c r="E9977" t="s">
        <v>87</v>
      </c>
      <c r="F9977">
        <v>3300</v>
      </c>
      <c r="G9977" t="s">
        <v>331</v>
      </c>
      <c r="H9977" s="15">
        <v>45292</v>
      </c>
      <c r="I9977">
        <v>3300</v>
      </c>
      <c r="J9977">
        <v>0</v>
      </c>
    </row>
    <row r="9978" spans="1:10" x14ac:dyDescent="0.3">
      <c r="A9978" s="15">
        <v>46357</v>
      </c>
      <c r="B9978" t="s">
        <v>235</v>
      </c>
      <c r="C9978" t="s">
        <v>91</v>
      </c>
      <c r="D9978" t="s">
        <v>96</v>
      </c>
      <c r="E9978" t="s">
        <v>103</v>
      </c>
      <c r="F9978">
        <v>11100</v>
      </c>
      <c r="G9978" t="s">
        <v>331</v>
      </c>
      <c r="H9978" s="15">
        <v>45292</v>
      </c>
      <c r="I9978">
        <v>11100</v>
      </c>
      <c r="J9978">
        <v>0</v>
      </c>
    </row>
    <row r="9979" spans="1:10" x14ac:dyDescent="0.3">
      <c r="A9979" s="15">
        <v>46357</v>
      </c>
      <c r="B9979" t="s">
        <v>237</v>
      </c>
      <c r="C9979" t="s">
        <v>91</v>
      </c>
      <c r="D9979" t="s">
        <v>82</v>
      </c>
      <c r="E9979" t="s">
        <v>83</v>
      </c>
      <c r="F9979">
        <v>7600</v>
      </c>
      <c r="G9979" t="s">
        <v>332</v>
      </c>
      <c r="H9979" s="15">
        <v>45292</v>
      </c>
      <c r="I9979">
        <v>6900</v>
      </c>
      <c r="J9979">
        <v>700</v>
      </c>
    </row>
    <row r="9980" spans="1:10" x14ac:dyDescent="0.3">
      <c r="A9980" s="15">
        <v>46357</v>
      </c>
      <c r="B9980" t="s">
        <v>238</v>
      </c>
      <c r="C9980" t="s">
        <v>81</v>
      </c>
      <c r="D9980" t="s">
        <v>99</v>
      </c>
      <c r="E9980" t="s">
        <v>97</v>
      </c>
      <c r="F9980">
        <v>2300</v>
      </c>
      <c r="G9980" t="s">
        <v>331</v>
      </c>
      <c r="H9980" s="15">
        <v>45292</v>
      </c>
      <c r="I9980">
        <v>2300</v>
      </c>
      <c r="J9980">
        <v>0</v>
      </c>
    </row>
    <row r="9981" spans="1:10" x14ac:dyDescent="0.3">
      <c r="A9981" s="15">
        <v>46357</v>
      </c>
      <c r="B9981" t="s">
        <v>239</v>
      </c>
      <c r="C9981" t="s">
        <v>81</v>
      </c>
      <c r="D9981" t="s">
        <v>82</v>
      </c>
      <c r="E9981" t="s">
        <v>103</v>
      </c>
      <c r="F9981">
        <v>2500</v>
      </c>
      <c r="G9981" t="s">
        <v>331</v>
      </c>
      <c r="H9981" s="15">
        <v>45292</v>
      </c>
      <c r="I9981">
        <v>2500</v>
      </c>
      <c r="J9981">
        <v>0</v>
      </c>
    </row>
    <row r="9982" spans="1:10" x14ac:dyDescent="0.3">
      <c r="A9982" s="15">
        <v>46357</v>
      </c>
      <c r="B9982" t="s">
        <v>240</v>
      </c>
      <c r="C9982" t="s">
        <v>81</v>
      </c>
      <c r="D9982" t="s">
        <v>99</v>
      </c>
      <c r="E9982" t="s">
        <v>103</v>
      </c>
      <c r="F9982">
        <v>2300</v>
      </c>
      <c r="G9982" t="s">
        <v>331</v>
      </c>
      <c r="H9982" s="15">
        <v>45292</v>
      </c>
      <c r="I9982">
        <v>2300</v>
      </c>
      <c r="J9982">
        <v>0</v>
      </c>
    </row>
    <row r="9983" spans="1:10" x14ac:dyDescent="0.3">
      <c r="A9983" s="15">
        <v>46357</v>
      </c>
      <c r="B9983" t="s">
        <v>241</v>
      </c>
      <c r="C9983" t="s">
        <v>91</v>
      </c>
      <c r="D9983" t="s">
        <v>96</v>
      </c>
      <c r="E9983" t="s">
        <v>87</v>
      </c>
      <c r="F9983">
        <v>13000</v>
      </c>
      <c r="G9983" t="s">
        <v>331</v>
      </c>
      <c r="H9983" s="15">
        <v>45292</v>
      </c>
      <c r="I9983">
        <v>13000</v>
      </c>
      <c r="J9983">
        <v>0</v>
      </c>
    </row>
    <row r="9984" spans="1:10" x14ac:dyDescent="0.3">
      <c r="A9984" s="15">
        <v>46357</v>
      </c>
      <c r="B9984" t="s">
        <v>242</v>
      </c>
      <c r="C9984" t="s">
        <v>110</v>
      </c>
      <c r="D9984" t="s">
        <v>99</v>
      </c>
      <c r="E9984" t="s">
        <v>101</v>
      </c>
      <c r="F9984">
        <v>34800</v>
      </c>
      <c r="G9984" t="s">
        <v>331</v>
      </c>
      <c r="H9984" s="15">
        <v>45292</v>
      </c>
      <c r="I9984">
        <v>34800</v>
      </c>
      <c r="J9984">
        <v>0</v>
      </c>
    </row>
    <row r="9985" spans="1:10" x14ac:dyDescent="0.3">
      <c r="A9985" s="15">
        <v>46357</v>
      </c>
      <c r="B9985" t="s">
        <v>244</v>
      </c>
      <c r="C9985" t="s">
        <v>91</v>
      </c>
      <c r="D9985" t="s">
        <v>82</v>
      </c>
      <c r="E9985" t="s">
        <v>92</v>
      </c>
      <c r="F9985">
        <v>7800</v>
      </c>
      <c r="G9985" t="s">
        <v>331</v>
      </c>
      <c r="H9985" s="15">
        <v>45292</v>
      </c>
      <c r="I9985">
        <v>7800</v>
      </c>
      <c r="J9985">
        <v>0</v>
      </c>
    </row>
    <row r="9986" spans="1:10" x14ac:dyDescent="0.3">
      <c r="A9986" s="15">
        <v>46357</v>
      </c>
      <c r="B9986" t="s">
        <v>245</v>
      </c>
      <c r="C9986" t="s">
        <v>81</v>
      </c>
      <c r="D9986" t="s">
        <v>99</v>
      </c>
      <c r="E9986" t="s">
        <v>97</v>
      </c>
      <c r="F9986">
        <v>2900</v>
      </c>
      <c r="G9986" t="s">
        <v>331</v>
      </c>
      <c r="H9986" s="15">
        <v>45292</v>
      </c>
      <c r="I9986">
        <v>2900</v>
      </c>
      <c r="J9986">
        <v>0</v>
      </c>
    </row>
    <row r="9987" spans="1:10" x14ac:dyDescent="0.3">
      <c r="A9987" s="15">
        <v>46357</v>
      </c>
      <c r="B9987" t="s">
        <v>246</v>
      </c>
      <c r="C9987" t="s">
        <v>91</v>
      </c>
      <c r="D9987" t="s">
        <v>86</v>
      </c>
      <c r="E9987" t="s">
        <v>103</v>
      </c>
      <c r="F9987">
        <v>10100</v>
      </c>
      <c r="G9987" t="s">
        <v>331</v>
      </c>
      <c r="H9987" s="15">
        <v>45292</v>
      </c>
      <c r="I9987">
        <v>10100</v>
      </c>
      <c r="J9987">
        <v>0</v>
      </c>
    </row>
    <row r="9988" spans="1:10" x14ac:dyDescent="0.3">
      <c r="A9988" s="15">
        <v>46357</v>
      </c>
      <c r="B9988" t="s">
        <v>247</v>
      </c>
      <c r="C9988" t="s">
        <v>91</v>
      </c>
      <c r="D9988" t="s">
        <v>86</v>
      </c>
      <c r="E9988" t="s">
        <v>89</v>
      </c>
      <c r="F9988">
        <v>7700</v>
      </c>
      <c r="G9988" t="s">
        <v>331</v>
      </c>
      <c r="H9988" s="15">
        <v>45292</v>
      </c>
      <c r="I9988">
        <v>7700</v>
      </c>
      <c r="J9988">
        <v>0</v>
      </c>
    </row>
    <row r="9989" spans="1:10" x14ac:dyDescent="0.3">
      <c r="A9989" s="15">
        <v>46357</v>
      </c>
      <c r="B9989" t="s">
        <v>248</v>
      </c>
      <c r="C9989" t="s">
        <v>81</v>
      </c>
      <c r="D9989" t="s">
        <v>82</v>
      </c>
      <c r="E9989" t="s">
        <v>103</v>
      </c>
      <c r="F9989">
        <v>1800</v>
      </c>
      <c r="G9989" t="s">
        <v>331</v>
      </c>
      <c r="H9989" s="15">
        <v>45292</v>
      </c>
      <c r="I9989">
        <v>1800</v>
      </c>
      <c r="J9989">
        <v>0</v>
      </c>
    </row>
    <row r="9990" spans="1:10" x14ac:dyDescent="0.3">
      <c r="A9990" s="15">
        <v>46357</v>
      </c>
      <c r="B9990" t="s">
        <v>250</v>
      </c>
      <c r="C9990" t="s">
        <v>81</v>
      </c>
      <c r="D9990" t="s">
        <v>86</v>
      </c>
      <c r="E9990" t="s">
        <v>87</v>
      </c>
      <c r="F9990">
        <v>2800</v>
      </c>
      <c r="G9990" t="s">
        <v>334</v>
      </c>
      <c r="H9990" s="15">
        <v>45292</v>
      </c>
      <c r="I9990">
        <v>3200</v>
      </c>
      <c r="J9990">
        <v>-400</v>
      </c>
    </row>
    <row r="9991" spans="1:10" x14ac:dyDescent="0.3">
      <c r="A9991" s="15">
        <v>46357</v>
      </c>
      <c r="B9991" t="s">
        <v>251</v>
      </c>
      <c r="C9991" t="s">
        <v>91</v>
      </c>
      <c r="D9991" t="s">
        <v>99</v>
      </c>
      <c r="E9991" t="s">
        <v>103</v>
      </c>
      <c r="F9991">
        <v>8800</v>
      </c>
      <c r="G9991" t="s">
        <v>331</v>
      </c>
      <c r="H9991" s="15">
        <v>45292</v>
      </c>
      <c r="I9991">
        <v>8800</v>
      </c>
      <c r="J9991">
        <v>0</v>
      </c>
    </row>
    <row r="9992" spans="1:10" x14ac:dyDescent="0.3">
      <c r="A9992" s="15">
        <v>46357</v>
      </c>
      <c r="B9992" t="s">
        <v>252</v>
      </c>
      <c r="C9992" t="s">
        <v>81</v>
      </c>
      <c r="D9992" t="s">
        <v>99</v>
      </c>
      <c r="E9992" t="s">
        <v>92</v>
      </c>
      <c r="F9992">
        <v>3400</v>
      </c>
      <c r="G9992" t="s">
        <v>331</v>
      </c>
      <c r="H9992" s="15">
        <v>45292</v>
      </c>
      <c r="I9992">
        <v>3400</v>
      </c>
      <c r="J9992">
        <v>0</v>
      </c>
    </row>
    <row r="9993" spans="1:10" x14ac:dyDescent="0.3">
      <c r="A9993" s="15">
        <v>46357</v>
      </c>
      <c r="B9993" t="s">
        <v>253</v>
      </c>
      <c r="C9993" t="s">
        <v>81</v>
      </c>
      <c r="D9993" t="s">
        <v>96</v>
      </c>
      <c r="E9993" t="s">
        <v>89</v>
      </c>
      <c r="F9993">
        <v>2600</v>
      </c>
      <c r="G9993" t="s">
        <v>331</v>
      </c>
      <c r="H9993" s="15">
        <v>45292</v>
      </c>
      <c r="I9993">
        <v>2600</v>
      </c>
      <c r="J9993">
        <v>0</v>
      </c>
    </row>
    <row r="9994" spans="1:10" x14ac:dyDescent="0.3">
      <c r="A9994" s="15">
        <v>46357</v>
      </c>
      <c r="B9994" t="s">
        <v>255</v>
      </c>
      <c r="C9994" t="s">
        <v>91</v>
      </c>
      <c r="D9994" t="s">
        <v>86</v>
      </c>
      <c r="E9994" t="s">
        <v>89</v>
      </c>
      <c r="F9994">
        <v>9700</v>
      </c>
      <c r="G9994" t="s">
        <v>331</v>
      </c>
      <c r="H9994" s="15">
        <v>45292</v>
      </c>
      <c r="I9994">
        <v>9700</v>
      </c>
      <c r="J9994">
        <v>0</v>
      </c>
    </row>
    <row r="9995" spans="1:10" x14ac:dyDescent="0.3">
      <c r="A9995" s="15">
        <v>46357</v>
      </c>
      <c r="B9995" t="s">
        <v>256</v>
      </c>
      <c r="C9995" t="s">
        <v>81</v>
      </c>
      <c r="D9995" t="s">
        <v>82</v>
      </c>
      <c r="E9995" t="s">
        <v>103</v>
      </c>
      <c r="F9995">
        <v>2000</v>
      </c>
      <c r="G9995" t="s">
        <v>331</v>
      </c>
      <c r="H9995" s="15">
        <v>45292</v>
      </c>
      <c r="I9995">
        <v>2000</v>
      </c>
      <c r="J9995">
        <v>0</v>
      </c>
    </row>
    <row r="9996" spans="1:10" x14ac:dyDescent="0.3">
      <c r="A9996" s="15">
        <v>46357</v>
      </c>
      <c r="B9996" t="s">
        <v>258</v>
      </c>
      <c r="C9996" t="s">
        <v>125</v>
      </c>
      <c r="D9996" t="s">
        <v>86</v>
      </c>
      <c r="E9996" t="s">
        <v>83</v>
      </c>
      <c r="F9996">
        <v>96300</v>
      </c>
      <c r="G9996" t="s">
        <v>331</v>
      </c>
      <c r="H9996" s="15">
        <v>45292</v>
      </c>
      <c r="I9996">
        <v>96300</v>
      </c>
      <c r="J9996">
        <v>0</v>
      </c>
    </row>
    <row r="9997" spans="1:10" x14ac:dyDescent="0.3">
      <c r="A9997" s="15">
        <v>46357</v>
      </c>
      <c r="B9997" t="s">
        <v>259</v>
      </c>
      <c r="C9997" t="s">
        <v>81</v>
      </c>
      <c r="D9997" t="s">
        <v>86</v>
      </c>
      <c r="E9997" t="s">
        <v>89</v>
      </c>
      <c r="F9997">
        <v>1900</v>
      </c>
      <c r="G9997" t="s">
        <v>331</v>
      </c>
      <c r="H9997" s="15">
        <v>45292</v>
      </c>
      <c r="I9997">
        <v>1900</v>
      </c>
      <c r="J9997">
        <v>0</v>
      </c>
    </row>
    <row r="9998" spans="1:10" x14ac:dyDescent="0.3">
      <c r="A9998" s="15">
        <v>46357</v>
      </c>
      <c r="B9998" t="s">
        <v>260</v>
      </c>
      <c r="C9998" t="s">
        <v>81</v>
      </c>
      <c r="D9998" t="s">
        <v>86</v>
      </c>
      <c r="E9998" t="s">
        <v>97</v>
      </c>
      <c r="F9998">
        <v>2100</v>
      </c>
      <c r="G9998" t="s">
        <v>331</v>
      </c>
      <c r="H9998" s="15">
        <v>45292</v>
      </c>
      <c r="I9998">
        <v>2100</v>
      </c>
      <c r="J9998">
        <v>0</v>
      </c>
    </row>
    <row r="9999" spans="1:10" x14ac:dyDescent="0.3">
      <c r="A9999" s="15">
        <v>46357</v>
      </c>
      <c r="B9999" t="s">
        <v>264</v>
      </c>
      <c r="C9999" t="s">
        <v>110</v>
      </c>
      <c r="D9999" t="s">
        <v>86</v>
      </c>
      <c r="E9999" t="s">
        <v>97</v>
      </c>
      <c r="F9999">
        <v>31500</v>
      </c>
      <c r="G9999" t="s">
        <v>331</v>
      </c>
      <c r="H9999" s="15">
        <v>45292</v>
      </c>
      <c r="I9999">
        <v>31500</v>
      </c>
      <c r="J9999">
        <v>0</v>
      </c>
    </row>
    <row r="10000" spans="1:10" x14ac:dyDescent="0.3">
      <c r="A10000" s="15">
        <v>46357</v>
      </c>
      <c r="B10000" t="s">
        <v>265</v>
      </c>
      <c r="C10000" t="s">
        <v>125</v>
      </c>
      <c r="D10000" t="s">
        <v>86</v>
      </c>
      <c r="E10000" t="s">
        <v>101</v>
      </c>
      <c r="F10000">
        <v>82200</v>
      </c>
      <c r="G10000" t="s">
        <v>331</v>
      </c>
      <c r="H10000" s="15">
        <v>45292</v>
      </c>
      <c r="I10000">
        <v>82200</v>
      </c>
      <c r="J10000">
        <v>0</v>
      </c>
    </row>
    <row r="10001" spans="1:10" x14ac:dyDescent="0.3">
      <c r="A10001" s="15">
        <v>46357</v>
      </c>
      <c r="B10001" t="s">
        <v>266</v>
      </c>
      <c r="C10001" t="s">
        <v>81</v>
      </c>
      <c r="D10001" t="s">
        <v>82</v>
      </c>
      <c r="E10001" t="s">
        <v>83</v>
      </c>
      <c r="F10001">
        <v>1900</v>
      </c>
      <c r="G10001" t="s">
        <v>334</v>
      </c>
      <c r="H10001" s="15">
        <v>45292</v>
      </c>
      <c r="I10001">
        <v>2200</v>
      </c>
      <c r="J10001">
        <v>-300</v>
      </c>
    </row>
    <row r="10002" spans="1:10" x14ac:dyDescent="0.3">
      <c r="A10002" s="15">
        <v>46357</v>
      </c>
      <c r="B10002" t="s">
        <v>267</v>
      </c>
      <c r="C10002" t="s">
        <v>91</v>
      </c>
      <c r="D10002" t="s">
        <v>82</v>
      </c>
      <c r="E10002" t="s">
        <v>97</v>
      </c>
      <c r="F10002">
        <v>7300</v>
      </c>
      <c r="G10002" t="s">
        <v>331</v>
      </c>
      <c r="H10002" s="15">
        <v>45292</v>
      </c>
      <c r="I10002">
        <v>7300</v>
      </c>
      <c r="J10002">
        <v>0</v>
      </c>
    </row>
    <row r="10003" spans="1:10" x14ac:dyDescent="0.3">
      <c r="A10003" s="15">
        <v>46357</v>
      </c>
      <c r="B10003" t="s">
        <v>272</v>
      </c>
      <c r="C10003" t="s">
        <v>125</v>
      </c>
      <c r="D10003" t="s">
        <v>96</v>
      </c>
      <c r="E10003" t="s">
        <v>103</v>
      </c>
      <c r="F10003">
        <v>101100</v>
      </c>
      <c r="G10003" t="s">
        <v>331</v>
      </c>
      <c r="H10003" s="15">
        <v>45292</v>
      </c>
      <c r="I10003">
        <v>101100</v>
      </c>
      <c r="J10003">
        <v>0</v>
      </c>
    </row>
    <row r="10004" spans="1:10" x14ac:dyDescent="0.3">
      <c r="A10004" s="15">
        <v>46357</v>
      </c>
      <c r="B10004" t="s">
        <v>273</v>
      </c>
      <c r="C10004" t="s">
        <v>81</v>
      </c>
      <c r="D10004" t="s">
        <v>82</v>
      </c>
      <c r="E10004" t="s">
        <v>101</v>
      </c>
      <c r="F10004">
        <v>3300</v>
      </c>
      <c r="G10004" t="s">
        <v>331</v>
      </c>
      <c r="H10004" s="15">
        <v>45292</v>
      </c>
      <c r="I10004">
        <v>3300</v>
      </c>
      <c r="J10004">
        <v>0</v>
      </c>
    </row>
    <row r="10005" spans="1:10" x14ac:dyDescent="0.3">
      <c r="A10005" s="15">
        <v>46357</v>
      </c>
      <c r="B10005" t="s">
        <v>274</v>
      </c>
      <c r="C10005" t="s">
        <v>91</v>
      </c>
      <c r="D10005" t="s">
        <v>99</v>
      </c>
      <c r="E10005" t="s">
        <v>87</v>
      </c>
      <c r="F10005">
        <v>11400</v>
      </c>
      <c r="G10005" t="s">
        <v>331</v>
      </c>
      <c r="H10005" s="15">
        <v>45292</v>
      </c>
      <c r="I10005">
        <v>11400</v>
      </c>
      <c r="J10005">
        <v>0</v>
      </c>
    </row>
    <row r="10006" spans="1:10" x14ac:dyDescent="0.3">
      <c r="A10006" s="15">
        <v>46357</v>
      </c>
      <c r="B10006" t="s">
        <v>276</v>
      </c>
      <c r="C10006" t="s">
        <v>81</v>
      </c>
      <c r="D10006" t="s">
        <v>82</v>
      </c>
      <c r="E10006" t="s">
        <v>103</v>
      </c>
      <c r="F10006">
        <v>3300</v>
      </c>
      <c r="G10006" t="s">
        <v>331</v>
      </c>
      <c r="H10006" s="15">
        <v>45292</v>
      </c>
      <c r="I10006">
        <v>3300</v>
      </c>
      <c r="J10006">
        <v>0</v>
      </c>
    </row>
    <row r="10007" spans="1:10" x14ac:dyDescent="0.3">
      <c r="A10007" s="15">
        <v>46357</v>
      </c>
      <c r="B10007" t="s">
        <v>277</v>
      </c>
      <c r="C10007" t="s">
        <v>91</v>
      </c>
      <c r="D10007" t="s">
        <v>86</v>
      </c>
      <c r="E10007" t="s">
        <v>97</v>
      </c>
      <c r="F10007">
        <v>9900</v>
      </c>
      <c r="G10007" t="s">
        <v>331</v>
      </c>
      <c r="H10007" s="15">
        <v>45292</v>
      </c>
      <c r="I10007">
        <v>9900</v>
      </c>
      <c r="J10007">
        <v>0</v>
      </c>
    </row>
    <row r="10008" spans="1:10" x14ac:dyDescent="0.3">
      <c r="A10008" s="15">
        <v>46357</v>
      </c>
      <c r="B10008" t="s">
        <v>279</v>
      </c>
      <c r="C10008" t="s">
        <v>91</v>
      </c>
      <c r="D10008" t="s">
        <v>99</v>
      </c>
      <c r="E10008" t="s">
        <v>89</v>
      </c>
      <c r="F10008">
        <v>10800</v>
      </c>
      <c r="G10008" t="s">
        <v>332</v>
      </c>
      <c r="H10008" s="15">
        <v>45292</v>
      </c>
      <c r="I10008">
        <v>9800</v>
      </c>
      <c r="J10008">
        <v>1000</v>
      </c>
    </row>
    <row r="10009" spans="1:10" x14ac:dyDescent="0.3">
      <c r="A10009" s="15">
        <v>46357</v>
      </c>
      <c r="B10009" t="s">
        <v>282</v>
      </c>
      <c r="C10009" t="s">
        <v>91</v>
      </c>
      <c r="D10009" t="s">
        <v>86</v>
      </c>
      <c r="E10009" t="s">
        <v>92</v>
      </c>
      <c r="F10009">
        <v>6100</v>
      </c>
      <c r="G10009" t="s">
        <v>331</v>
      </c>
      <c r="H10009" s="15">
        <v>45292</v>
      </c>
      <c r="I10009">
        <v>6100</v>
      </c>
      <c r="J10009">
        <v>0</v>
      </c>
    </row>
    <row r="10010" spans="1:10" x14ac:dyDescent="0.3">
      <c r="A10010" s="15">
        <v>46357</v>
      </c>
      <c r="B10010" t="s">
        <v>283</v>
      </c>
      <c r="C10010" t="s">
        <v>110</v>
      </c>
      <c r="D10010" t="s">
        <v>82</v>
      </c>
      <c r="E10010" t="s">
        <v>87</v>
      </c>
      <c r="F10010">
        <v>34200</v>
      </c>
      <c r="G10010" t="s">
        <v>331</v>
      </c>
      <c r="H10010" s="15">
        <v>45292</v>
      </c>
      <c r="I10010">
        <v>34200</v>
      </c>
      <c r="J10010">
        <v>0</v>
      </c>
    </row>
    <row r="10011" spans="1:10" x14ac:dyDescent="0.3">
      <c r="A10011" s="15">
        <v>46357</v>
      </c>
      <c r="B10011" t="s">
        <v>285</v>
      </c>
      <c r="C10011" t="s">
        <v>91</v>
      </c>
      <c r="D10011" t="s">
        <v>82</v>
      </c>
      <c r="E10011" t="s">
        <v>83</v>
      </c>
      <c r="F10011">
        <v>9600</v>
      </c>
      <c r="G10011" t="s">
        <v>331</v>
      </c>
      <c r="H10011" s="15">
        <v>45292</v>
      </c>
      <c r="I10011">
        <v>9600</v>
      </c>
      <c r="J10011">
        <v>0</v>
      </c>
    </row>
    <row r="10012" spans="1:10" x14ac:dyDescent="0.3">
      <c r="A10012" s="15">
        <v>46357</v>
      </c>
      <c r="B10012" t="s">
        <v>286</v>
      </c>
      <c r="C10012" t="s">
        <v>125</v>
      </c>
      <c r="D10012" t="s">
        <v>86</v>
      </c>
      <c r="E10012" t="s">
        <v>92</v>
      </c>
      <c r="F10012">
        <v>92400</v>
      </c>
      <c r="G10012" t="s">
        <v>331</v>
      </c>
      <c r="H10012" s="15">
        <v>45292</v>
      </c>
      <c r="I10012">
        <v>92400</v>
      </c>
      <c r="J10012">
        <v>0</v>
      </c>
    </row>
    <row r="10013" spans="1:10" x14ac:dyDescent="0.3">
      <c r="A10013" s="15">
        <v>46357</v>
      </c>
      <c r="B10013" t="s">
        <v>287</v>
      </c>
      <c r="C10013" t="s">
        <v>81</v>
      </c>
      <c r="D10013" t="s">
        <v>99</v>
      </c>
      <c r="E10013" t="s">
        <v>87</v>
      </c>
      <c r="F10013">
        <v>2400</v>
      </c>
      <c r="G10013" t="s">
        <v>331</v>
      </c>
      <c r="H10013" s="15">
        <v>45292</v>
      </c>
      <c r="I10013">
        <v>2400</v>
      </c>
      <c r="J10013">
        <v>0</v>
      </c>
    </row>
    <row r="10014" spans="1:10" x14ac:dyDescent="0.3">
      <c r="A10014" s="15">
        <v>46357</v>
      </c>
      <c r="B10014" t="s">
        <v>288</v>
      </c>
      <c r="C10014" t="s">
        <v>81</v>
      </c>
      <c r="D10014" t="s">
        <v>99</v>
      </c>
      <c r="E10014" t="s">
        <v>97</v>
      </c>
      <c r="F10014">
        <v>3100</v>
      </c>
      <c r="G10014" t="s">
        <v>331</v>
      </c>
      <c r="H10014" s="15">
        <v>45292</v>
      </c>
      <c r="I10014">
        <v>3100</v>
      </c>
      <c r="J10014">
        <v>0</v>
      </c>
    </row>
    <row r="10015" spans="1:10" x14ac:dyDescent="0.3">
      <c r="A10015" s="15">
        <v>46357</v>
      </c>
      <c r="B10015" t="s">
        <v>289</v>
      </c>
      <c r="C10015" t="s">
        <v>91</v>
      </c>
      <c r="D10015" t="s">
        <v>86</v>
      </c>
      <c r="E10015" t="s">
        <v>101</v>
      </c>
      <c r="F10015">
        <v>9400</v>
      </c>
      <c r="G10015" t="s">
        <v>331</v>
      </c>
      <c r="H10015" s="15">
        <v>45292</v>
      </c>
      <c r="I10015">
        <v>9400</v>
      </c>
      <c r="J10015">
        <v>0</v>
      </c>
    </row>
    <row r="10016" spans="1:10" x14ac:dyDescent="0.3">
      <c r="A10016" s="15">
        <v>46357</v>
      </c>
      <c r="B10016" t="s">
        <v>290</v>
      </c>
      <c r="C10016" t="s">
        <v>81</v>
      </c>
      <c r="D10016" t="s">
        <v>82</v>
      </c>
      <c r="E10016" t="s">
        <v>103</v>
      </c>
      <c r="F10016">
        <v>2800</v>
      </c>
      <c r="G10016" t="s">
        <v>331</v>
      </c>
      <c r="H10016" s="15">
        <v>45292</v>
      </c>
      <c r="I10016">
        <v>2800</v>
      </c>
      <c r="J10016">
        <v>0</v>
      </c>
    </row>
    <row r="10017" spans="1:10" x14ac:dyDescent="0.3">
      <c r="A10017" s="15">
        <v>46357</v>
      </c>
      <c r="B10017" t="s">
        <v>291</v>
      </c>
      <c r="C10017" t="s">
        <v>81</v>
      </c>
      <c r="D10017" t="s">
        <v>82</v>
      </c>
      <c r="E10017" t="s">
        <v>83</v>
      </c>
      <c r="F10017">
        <v>3100</v>
      </c>
      <c r="G10017" t="s">
        <v>331</v>
      </c>
      <c r="H10017" s="15">
        <v>45292</v>
      </c>
      <c r="I10017">
        <v>3100</v>
      </c>
      <c r="J10017">
        <v>0</v>
      </c>
    </row>
    <row r="10018" spans="1:10" x14ac:dyDescent="0.3">
      <c r="A10018" s="15">
        <v>46357</v>
      </c>
      <c r="B10018" t="s">
        <v>293</v>
      </c>
      <c r="C10018" t="s">
        <v>81</v>
      </c>
      <c r="D10018" t="s">
        <v>86</v>
      </c>
      <c r="E10018" t="s">
        <v>103</v>
      </c>
      <c r="F10018">
        <v>2200</v>
      </c>
      <c r="G10018" t="s">
        <v>331</v>
      </c>
      <c r="H10018" s="15">
        <v>45292</v>
      </c>
      <c r="I10018">
        <v>2200</v>
      </c>
      <c r="J10018">
        <v>0</v>
      </c>
    </row>
    <row r="10019" spans="1:10" x14ac:dyDescent="0.3">
      <c r="A10019" s="15">
        <v>46357</v>
      </c>
      <c r="B10019" t="s">
        <v>294</v>
      </c>
      <c r="C10019" t="s">
        <v>91</v>
      </c>
      <c r="D10019" t="s">
        <v>82</v>
      </c>
      <c r="E10019" t="s">
        <v>97</v>
      </c>
      <c r="F10019">
        <v>7900</v>
      </c>
      <c r="G10019" t="s">
        <v>331</v>
      </c>
      <c r="H10019" s="15">
        <v>45292</v>
      </c>
      <c r="I10019">
        <v>7900</v>
      </c>
      <c r="J10019">
        <v>0</v>
      </c>
    </row>
    <row r="10020" spans="1:10" x14ac:dyDescent="0.3">
      <c r="A10020" s="15">
        <v>46357</v>
      </c>
      <c r="B10020" t="s">
        <v>295</v>
      </c>
      <c r="C10020" t="s">
        <v>81</v>
      </c>
      <c r="D10020" t="s">
        <v>82</v>
      </c>
      <c r="E10020" t="s">
        <v>103</v>
      </c>
      <c r="F10020">
        <v>2000</v>
      </c>
      <c r="G10020" t="s">
        <v>331</v>
      </c>
      <c r="H10020" s="15">
        <v>45292</v>
      </c>
      <c r="I10020">
        <v>2000</v>
      </c>
      <c r="J10020">
        <v>0</v>
      </c>
    </row>
    <row r="10021" spans="1:10" x14ac:dyDescent="0.3">
      <c r="A10021" s="15">
        <v>46357</v>
      </c>
      <c r="B10021" t="s">
        <v>298</v>
      </c>
      <c r="C10021" t="s">
        <v>81</v>
      </c>
      <c r="D10021" t="s">
        <v>86</v>
      </c>
      <c r="E10021" t="s">
        <v>89</v>
      </c>
      <c r="F10021">
        <v>2700</v>
      </c>
      <c r="G10021" t="s">
        <v>331</v>
      </c>
      <c r="H10021" s="15">
        <v>45292</v>
      </c>
      <c r="I10021">
        <v>2700</v>
      </c>
      <c r="J10021">
        <v>0</v>
      </c>
    </row>
    <row r="10022" spans="1:10" x14ac:dyDescent="0.3">
      <c r="A10022" s="15">
        <v>46357</v>
      </c>
      <c r="B10022" t="s">
        <v>299</v>
      </c>
      <c r="C10022" t="s">
        <v>81</v>
      </c>
      <c r="D10022" t="s">
        <v>99</v>
      </c>
      <c r="E10022" t="s">
        <v>103</v>
      </c>
      <c r="F10022">
        <v>2900</v>
      </c>
      <c r="G10022" t="s">
        <v>331</v>
      </c>
      <c r="H10022" s="15">
        <v>45292</v>
      </c>
      <c r="I10022">
        <v>2900</v>
      </c>
      <c r="J10022">
        <v>0</v>
      </c>
    </row>
    <row r="10023" spans="1:10" x14ac:dyDescent="0.3">
      <c r="A10023" s="15">
        <v>46357</v>
      </c>
      <c r="B10023" t="s">
        <v>300</v>
      </c>
      <c r="C10023" t="s">
        <v>91</v>
      </c>
      <c r="D10023" t="s">
        <v>82</v>
      </c>
      <c r="E10023" t="s">
        <v>89</v>
      </c>
      <c r="F10023">
        <v>11500</v>
      </c>
      <c r="G10023" t="s">
        <v>331</v>
      </c>
      <c r="H10023" s="15">
        <v>45292</v>
      </c>
      <c r="I10023">
        <v>11500</v>
      </c>
      <c r="J10023">
        <v>0</v>
      </c>
    </row>
    <row r="10024" spans="1:10" x14ac:dyDescent="0.3">
      <c r="A10024" s="15">
        <v>46357</v>
      </c>
      <c r="B10024" t="s">
        <v>303</v>
      </c>
      <c r="C10024" t="s">
        <v>81</v>
      </c>
      <c r="D10024" t="s">
        <v>82</v>
      </c>
      <c r="E10024" t="s">
        <v>83</v>
      </c>
      <c r="F10024">
        <v>1500</v>
      </c>
      <c r="G10024" t="s">
        <v>331</v>
      </c>
      <c r="H10024" s="15">
        <v>45292</v>
      </c>
      <c r="I10024">
        <v>1500</v>
      </c>
      <c r="J10024">
        <v>0</v>
      </c>
    </row>
    <row r="10025" spans="1:10" x14ac:dyDescent="0.3">
      <c r="A10025" s="15">
        <v>46357</v>
      </c>
      <c r="B10025" t="s">
        <v>304</v>
      </c>
      <c r="C10025" t="s">
        <v>81</v>
      </c>
      <c r="D10025" t="s">
        <v>86</v>
      </c>
      <c r="E10025" t="s">
        <v>92</v>
      </c>
      <c r="F10025">
        <v>2300</v>
      </c>
      <c r="G10025" t="s">
        <v>331</v>
      </c>
      <c r="H10025" s="15">
        <v>45292</v>
      </c>
      <c r="I10025">
        <v>2300</v>
      </c>
      <c r="J10025">
        <v>0</v>
      </c>
    </row>
    <row r="10026" spans="1:10" x14ac:dyDescent="0.3">
      <c r="A10026" s="15">
        <v>46357</v>
      </c>
      <c r="B10026" t="s">
        <v>306</v>
      </c>
      <c r="C10026" t="s">
        <v>91</v>
      </c>
      <c r="D10026" t="s">
        <v>82</v>
      </c>
      <c r="E10026" t="s">
        <v>87</v>
      </c>
      <c r="F10026">
        <v>13200</v>
      </c>
      <c r="G10026" t="s">
        <v>331</v>
      </c>
      <c r="H10026" s="15">
        <v>45292</v>
      </c>
      <c r="I10026">
        <v>13200</v>
      </c>
      <c r="J10026">
        <v>0</v>
      </c>
    </row>
    <row r="10027" spans="1:10" x14ac:dyDescent="0.3">
      <c r="A10027" s="15">
        <v>46357</v>
      </c>
      <c r="B10027" t="s">
        <v>307</v>
      </c>
      <c r="C10027" t="s">
        <v>81</v>
      </c>
      <c r="D10027" t="s">
        <v>86</v>
      </c>
      <c r="E10027" t="s">
        <v>97</v>
      </c>
      <c r="F10027">
        <v>2600</v>
      </c>
      <c r="G10027" t="s">
        <v>331</v>
      </c>
      <c r="H10027" s="15">
        <v>45292</v>
      </c>
      <c r="I10027">
        <v>2600</v>
      </c>
      <c r="J10027">
        <v>0</v>
      </c>
    </row>
    <row r="10028" spans="1:10" x14ac:dyDescent="0.3">
      <c r="A10028" s="15">
        <v>46357</v>
      </c>
      <c r="B10028" t="s">
        <v>309</v>
      </c>
      <c r="C10028" t="s">
        <v>91</v>
      </c>
      <c r="D10028" t="s">
        <v>82</v>
      </c>
      <c r="E10028" t="s">
        <v>87</v>
      </c>
      <c r="F10028">
        <v>11800</v>
      </c>
      <c r="G10028" t="s">
        <v>331</v>
      </c>
      <c r="H10028" s="15">
        <v>45292</v>
      </c>
      <c r="I10028">
        <v>11800</v>
      </c>
      <c r="J10028">
        <v>0</v>
      </c>
    </row>
    <row r="10029" spans="1:10" x14ac:dyDescent="0.3">
      <c r="A10029" s="15">
        <v>46357</v>
      </c>
      <c r="B10029" t="s">
        <v>310</v>
      </c>
      <c r="C10029" t="s">
        <v>91</v>
      </c>
      <c r="D10029" t="s">
        <v>99</v>
      </c>
      <c r="E10029" t="s">
        <v>87</v>
      </c>
      <c r="F10029">
        <v>10800</v>
      </c>
      <c r="G10029" t="s">
        <v>331</v>
      </c>
      <c r="H10029" s="15">
        <v>45292</v>
      </c>
      <c r="I10029">
        <v>10800</v>
      </c>
      <c r="J10029">
        <v>0</v>
      </c>
    </row>
    <row r="10030" spans="1:10" x14ac:dyDescent="0.3">
      <c r="A10030" s="15">
        <v>46357</v>
      </c>
      <c r="B10030" t="s">
        <v>315</v>
      </c>
      <c r="C10030" t="s">
        <v>125</v>
      </c>
      <c r="D10030" t="s">
        <v>86</v>
      </c>
      <c r="E10030" t="s">
        <v>92</v>
      </c>
      <c r="F10030">
        <v>76200</v>
      </c>
      <c r="G10030" t="s">
        <v>331</v>
      </c>
      <c r="H10030" s="15">
        <v>45292</v>
      </c>
      <c r="I10030">
        <v>76200</v>
      </c>
      <c r="J10030">
        <v>0</v>
      </c>
    </row>
    <row r="10031" spans="1:10" x14ac:dyDescent="0.3">
      <c r="A10031" s="15">
        <v>46357</v>
      </c>
      <c r="B10031" t="s">
        <v>316</v>
      </c>
      <c r="C10031" t="s">
        <v>81</v>
      </c>
      <c r="D10031" t="s">
        <v>96</v>
      </c>
      <c r="E10031" t="s">
        <v>92</v>
      </c>
      <c r="F10031">
        <v>2000</v>
      </c>
      <c r="G10031" t="s">
        <v>331</v>
      </c>
      <c r="H10031" s="15">
        <v>45292</v>
      </c>
      <c r="I10031">
        <v>2000</v>
      </c>
      <c r="J10031">
        <v>0</v>
      </c>
    </row>
    <row r="10032" spans="1:10" x14ac:dyDescent="0.3">
      <c r="A10032" s="15">
        <v>46357</v>
      </c>
      <c r="B10032" t="s">
        <v>318</v>
      </c>
      <c r="C10032" t="s">
        <v>110</v>
      </c>
      <c r="D10032" t="s">
        <v>82</v>
      </c>
      <c r="E10032" t="s">
        <v>97</v>
      </c>
      <c r="F10032">
        <v>29600</v>
      </c>
      <c r="G10032" t="s">
        <v>331</v>
      </c>
      <c r="H10032" s="15">
        <v>45292</v>
      </c>
      <c r="I10032">
        <v>29600</v>
      </c>
      <c r="J10032">
        <v>0</v>
      </c>
    </row>
    <row r="10033" spans="1:10" x14ac:dyDescent="0.3">
      <c r="A10033" s="15">
        <v>46357</v>
      </c>
      <c r="B10033" t="s">
        <v>320</v>
      </c>
      <c r="C10033" t="s">
        <v>91</v>
      </c>
      <c r="D10033" t="s">
        <v>86</v>
      </c>
      <c r="E10033" t="s">
        <v>97</v>
      </c>
      <c r="F10033">
        <v>7700</v>
      </c>
      <c r="G10033" t="s">
        <v>331</v>
      </c>
      <c r="H10033" s="15">
        <v>45292</v>
      </c>
      <c r="I10033">
        <v>7700</v>
      </c>
      <c r="J10033">
        <v>0</v>
      </c>
    </row>
    <row r="10034" spans="1:10" x14ac:dyDescent="0.3">
      <c r="A10034" s="15">
        <v>46357</v>
      </c>
      <c r="B10034" t="s">
        <v>322</v>
      </c>
      <c r="C10034" t="s">
        <v>81</v>
      </c>
      <c r="D10034" t="s">
        <v>82</v>
      </c>
      <c r="E10034" t="s">
        <v>103</v>
      </c>
      <c r="F10034">
        <v>2000</v>
      </c>
      <c r="G10034" t="s">
        <v>331</v>
      </c>
      <c r="H10034" s="15">
        <v>45292</v>
      </c>
      <c r="I10034">
        <v>2000</v>
      </c>
      <c r="J10034">
        <v>0</v>
      </c>
    </row>
    <row r="10035" spans="1:10" x14ac:dyDescent="0.3">
      <c r="A10035" s="15">
        <v>46357</v>
      </c>
      <c r="B10035" t="s">
        <v>323</v>
      </c>
      <c r="C10035" t="s">
        <v>110</v>
      </c>
      <c r="D10035" t="s">
        <v>82</v>
      </c>
      <c r="E10035" t="s">
        <v>89</v>
      </c>
      <c r="F10035">
        <v>22100</v>
      </c>
      <c r="G10035" t="s">
        <v>331</v>
      </c>
      <c r="H10035" s="15">
        <v>45292</v>
      </c>
      <c r="I10035">
        <v>22100</v>
      </c>
      <c r="J10035">
        <v>0</v>
      </c>
    </row>
    <row r="10036" spans="1:10" x14ac:dyDescent="0.3">
      <c r="A10036" s="15">
        <v>46357</v>
      </c>
      <c r="B10036" t="s">
        <v>324</v>
      </c>
      <c r="C10036" t="s">
        <v>81</v>
      </c>
      <c r="D10036" t="s">
        <v>86</v>
      </c>
      <c r="E10036" t="s">
        <v>87</v>
      </c>
      <c r="F10036">
        <v>2400</v>
      </c>
      <c r="G10036" t="s">
        <v>331</v>
      </c>
      <c r="H10036" s="15">
        <v>45292</v>
      </c>
      <c r="I10036">
        <v>2400</v>
      </c>
      <c r="J10036">
        <v>0</v>
      </c>
    </row>
    <row r="10037" spans="1:10" x14ac:dyDescent="0.3">
      <c r="A10037" s="15">
        <v>46357</v>
      </c>
      <c r="B10037" t="s">
        <v>325</v>
      </c>
      <c r="C10037" t="s">
        <v>91</v>
      </c>
      <c r="D10037" t="s">
        <v>86</v>
      </c>
      <c r="E10037" t="s">
        <v>87</v>
      </c>
      <c r="F10037">
        <v>9400</v>
      </c>
      <c r="G10037" t="s">
        <v>331</v>
      </c>
      <c r="H10037" s="15">
        <v>45292</v>
      </c>
      <c r="I10037">
        <v>9400</v>
      </c>
      <c r="J10037">
        <v>0</v>
      </c>
    </row>
    <row r="10038" spans="1:10" x14ac:dyDescent="0.3">
      <c r="A10038" s="15">
        <v>46357</v>
      </c>
      <c r="B10038" t="s">
        <v>327</v>
      </c>
      <c r="C10038" t="s">
        <v>125</v>
      </c>
      <c r="D10038" t="s">
        <v>99</v>
      </c>
      <c r="E10038" t="s">
        <v>97</v>
      </c>
      <c r="F10038">
        <v>77500</v>
      </c>
      <c r="G10038" t="s">
        <v>331</v>
      </c>
      <c r="H10038" s="15">
        <v>45292</v>
      </c>
      <c r="I10038">
        <v>77500</v>
      </c>
      <c r="J10038">
        <v>0</v>
      </c>
    </row>
    <row r="10039" spans="1:10" x14ac:dyDescent="0.3">
      <c r="A10039" s="15">
        <v>46357</v>
      </c>
      <c r="B10039" t="s">
        <v>329</v>
      </c>
      <c r="C10039" t="s">
        <v>81</v>
      </c>
      <c r="D10039" t="s">
        <v>86</v>
      </c>
      <c r="E10039" t="s">
        <v>101</v>
      </c>
      <c r="F10039">
        <v>2600</v>
      </c>
      <c r="G10039" t="s">
        <v>332</v>
      </c>
      <c r="H10039" s="15">
        <v>45292</v>
      </c>
      <c r="I10039">
        <v>2200</v>
      </c>
      <c r="J10039">
        <v>400</v>
      </c>
    </row>
    <row r="10040" spans="1:10" x14ac:dyDescent="0.3">
      <c r="A10040" s="15">
        <v>46357</v>
      </c>
      <c r="B10040" t="s">
        <v>330</v>
      </c>
      <c r="C10040" t="s">
        <v>125</v>
      </c>
      <c r="D10040" t="s">
        <v>86</v>
      </c>
      <c r="E10040" t="s">
        <v>87</v>
      </c>
      <c r="F10040">
        <v>95400</v>
      </c>
      <c r="G10040" t="s">
        <v>331</v>
      </c>
      <c r="H10040" s="15">
        <v>45292</v>
      </c>
      <c r="I10040">
        <v>95400</v>
      </c>
      <c r="J10040">
        <v>0</v>
      </c>
    </row>
    <row r="10041" spans="1:10" x14ac:dyDescent="0.3">
      <c r="A10041" s="15">
        <v>46357</v>
      </c>
      <c r="B10041" t="s">
        <v>335</v>
      </c>
      <c r="C10041" t="s">
        <v>91</v>
      </c>
      <c r="D10041" t="s">
        <v>86</v>
      </c>
      <c r="E10041" t="s">
        <v>89</v>
      </c>
      <c r="F10041">
        <v>6500</v>
      </c>
      <c r="G10041" t="s">
        <v>331</v>
      </c>
      <c r="H10041" s="15">
        <v>45323</v>
      </c>
      <c r="I10041">
        <v>6500</v>
      </c>
      <c r="J10041">
        <v>0</v>
      </c>
    </row>
    <row r="10042" spans="1:10" x14ac:dyDescent="0.3">
      <c r="A10042" s="15">
        <v>46357</v>
      </c>
      <c r="B10042" t="s">
        <v>339</v>
      </c>
      <c r="C10042" t="s">
        <v>81</v>
      </c>
      <c r="D10042" t="s">
        <v>82</v>
      </c>
      <c r="E10042" t="s">
        <v>103</v>
      </c>
      <c r="F10042">
        <v>1400</v>
      </c>
      <c r="G10042" t="s">
        <v>331</v>
      </c>
      <c r="H10042" s="15">
        <v>45323</v>
      </c>
      <c r="I10042">
        <v>1400</v>
      </c>
      <c r="J10042">
        <v>0</v>
      </c>
    </row>
    <row r="10043" spans="1:10" x14ac:dyDescent="0.3">
      <c r="A10043" s="15">
        <v>46357</v>
      </c>
      <c r="B10043" t="s">
        <v>341</v>
      </c>
      <c r="C10043" t="s">
        <v>110</v>
      </c>
      <c r="D10043" t="s">
        <v>82</v>
      </c>
      <c r="E10043" t="s">
        <v>92</v>
      </c>
      <c r="F10043">
        <v>18800</v>
      </c>
      <c r="G10043" t="s">
        <v>331</v>
      </c>
      <c r="H10043" s="15">
        <v>45323</v>
      </c>
      <c r="I10043">
        <v>18800</v>
      </c>
      <c r="J10043">
        <v>0</v>
      </c>
    </row>
    <row r="10044" spans="1:10" x14ac:dyDescent="0.3">
      <c r="A10044" s="15">
        <v>46357</v>
      </c>
      <c r="B10044" t="s">
        <v>342</v>
      </c>
      <c r="C10044" t="s">
        <v>91</v>
      </c>
      <c r="D10044" t="s">
        <v>82</v>
      </c>
      <c r="E10044" t="s">
        <v>83</v>
      </c>
      <c r="F10044">
        <v>7300</v>
      </c>
      <c r="G10044" t="s">
        <v>331</v>
      </c>
      <c r="H10044" s="15">
        <v>45352</v>
      </c>
      <c r="I10044">
        <v>7300</v>
      </c>
      <c r="J10044">
        <v>0</v>
      </c>
    </row>
    <row r="10045" spans="1:10" x14ac:dyDescent="0.3">
      <c r="A10045" s="15">
        <v>46357</v>
      </c>
      <c r="B10045" t="s">
        <v>343</v>
      </c>
      <c r="C10045" t="s">
        <v>81</v>
      </c>
      <c r="D10045" t="s">
        <v>82</v>
      </c>
      <c r="E10045" t="s">
        <v>89</v>
      </c>
      <c r="F10045">
        <v>2500</v>
      </c>
      <c r="G10045" t="s">
        <v>331</v>
      </c>
      <c r="H10045" s="15">
        <v>45352</v>
      </c>
      <c r="I10045">
        <v>2500</v>
      </c>
      <c r="J10045">
        <v>0</v>
      </c>
    </row>
    <row r="10046" spans="1:10" x14ac:dyDescent="0.3">
      <c r="A10046" s="15">
        <v>46357</v>
      </c>
      <c r="B10046" t="s">
        <v>344</v>
      </c>
      <c r="C10046" t="s">
        <v>110</v>
      </c>
      <c r="D10046" t="s">
        <v>86</v>
      </c>
      <c r="E10046" t="s">
        <v>89</v>
      </c>
      <c r="F10046">
        <v>25800</v>
      </c>
      <c r="G10046" t="s">
        <v>331</v>
      </c>
      <c r="H10046" s="15">
        <v>45352</v>
      </c>
      <c r="I10046">
        <v>25800</v>
      </c>
      <c r="J10046">
        <v>0</v>
      </c>
    </row>
    <row r="10047" spans="1:10" x14ac:dyDescent="0.3">
      <c r="A10047" s="15">
        <v>46357</v>
      </c>
      <c r="B10047" t="s">
        <v>345</v>
      </c>
      <c r="C10047" t="s">
        <v>91</v>
      </c>
      <c r="D10047" t="s">
        <v>86</v>
      </c>
      <c r="E10047" t="s">
        <v>83</v>
      </c>
      <c r="F10047">
        <v>7900</v>
      </c>
      <c r="G10047" t="s">
        <v>331</v>
      </c>
      <c r="H10047" s="15">
        <v>45352</v>
      </c>
      <c r="I10047">
        <v>7900</v>
      </c>
      <c r="J10047">
        <v>0</v>
      </c>
    </row>
    <row r="10048" spans="1:10" x14ac:dyDescent="0.3">
      <c r="A10048" s="15">
        <v>46357</v>
      </c>
      <c r="B10048" t="s">
        <v>346</v>
      </c>
      <c r="C10048" t="s">
        <v>81</v>
      </c>
      <c r="D10048" t="s">
        <v>86</v>
      </c>
      <c r="E10048" t="s">
        <v>97</v>
      </c>
      <c r="F10048">
        <v>1700</v>
      </c>
      <c r="G10048" t="s">
        <v>331</v>
      </c>
      <c r="H10048" s="15">
        <v>45352</v>
      </c>
      <c r="I10048">
        <v>1700</v>
      </c>
      <c r="J10048">
        <v>0</v>
      </c>
    </row>
    <row r="10049" spans="1:10" x14ac:dyDescent="0.3">
      <c r="A10049" s="15">
        <v>46357</v>
      </c>
      <c r="B10049" t="s">
        <v>347</v>
      </c>
      <c r="C10049" t="s">
        <v>91</v>
      </c>
      <c r="D10049" t="s">
        <v>82</v>
      </c>
      <c r="E10049" t="s">
        <v>83</v>
      </c>
      <c r="F10049">
        <v>4700</v>
      </c>
      <c r="G10049" t="s">
        <v>331</v>
      </c>
      <c r="H10049" s="15">
        <v>45383</v>
      </c>
      <c r="I10049">
        <v>4700</v>
      </c>
      <c r="J10049">
        <v>0</v>
      </c>
    </row>
    <row r="10050" spans="1:10" x14ac:dyDescent="0.3">
      <c r="A10050" s="15">
        <v>46357</v>
      </c>
      <c r="B10050" t="s">
        <v>350</v>
      </c>
      <c r="C10050" t="s">
        <v>91</v>
      </c>
      <c r="D10050" t="s">
        <v>82</v>
      </c>
      <c r="E10050" t="s">
        <v>83</v>
      </c>
      <c r="F10050">
        <v>4400</v>
      </c>
      <c r="G10050" t="s">
        <v>331</v>
      </c>
      <c r="H10050" s="15">
        <v>45383</v>
      </c>
      <c r="I10050">
        <v>4400</v>
      </c>
      <c r="J10050">
        <v>0</v>
      </c>
    </row>
    <row r="10051" spans="1:10" x14ac:dyDescent="0.3">
      <c r="A10051" s="15">
        <v>46357</v>
      </c>
      <c r="B10051" t="s">
        <v>351</v>
      </c>
      <c r="C10051" t="s">
        <v>81</v>
      </c>
      <c r="D10051" t="s">
        <v>86</v>
      </c>
      <c r="E10051" t="s">
        <v>83</v>
      </c>
      <c r="F10051">
        <v>2700</v>
      </c>
      <c r="G10051" t="s">
        <v>331</v>
      </c>
      <c r="H10051" s="15">
        <v>45383</v>
      </c>
      <c r="I10051">
        <v>2700</v>
      </c>
      <c r="J10051">
        <v>0</v>
      </c>
    </row>
    <row r="10052" spans="1:10" x14ac:dyDescent="0.3">
      <c r="A10052" s="15">
        <v>46357</v>
      </c>
      <c r="B10052" t="s">
        <v>352</v>
      </c>
      <c r="C10052" t="s">
        <v>91</v>
      </c>
      <c r="D10052" t="s">
        <v>82</v>
      </c>
      <c r="E10052" t="s">
        <v>89</v>
      </c>
      <c r="F10052">
        <v>8800</v>
      </c>
      <c r="G10052" t="s">
        <v>331</v>
      </c>
      <c r="H10052" s="15">
        <v>45383</v>
      </c>
      <c r="I10052">
        <v>8800</v>
      </c>
      <c r="J10052">
        <v>0</v>
      </c>
    </row>
    <row r="10053" spans="1:10" x14ac:dyDescent="0.3">
      <c r="A10053" s="15">
        <v>46357</v>
      </c>
      <c r="B10053" t="s">
        <v>353</v>
      </c>
      <c r="C10053" t="s">
        <v>81</v>
      </c>
      <c r="D10053" t="s">
        <v>99</v>
      </c>
      <c r="E10053" t="s">
        <v>103</v>
      </c>
      <c r="F10053">
        <v>1200</v>
      </c>
      <c r="G10053" t="s">
        <v>331</v>
      </c>
      <c r="H10053" s="15">
        <v>45383</v>
      </c>
      <c r="I10053">
        <v>1200</v>
      </c>
      <c r="J10053">
        <v>0</v>
      </c>
    </row>
    <row r="10054" spans="1:10" x14ac:dyDescent="0.3">
      <c r="A10054" s="15">
        <v>46357</v>
      </c>
      <c r="B10054" t="s">
        <v>354</v>
      </c>
      <c r="C10054" t="s">
        <v>81</v>
      </c>
      <c r="D10054" t="s">
        <v>82</v>
      </c>
      <c r="E10054" t="s">
        <v>92</v>
      </c>
      <c r="F10054">
        <v>1400</v>
      </c>
      <c r="G10054" t="s">
        <v>334</v>
      </c>
      <c r="H10054" s="15">
        <v>45413</v>
      </c>
      <c r="I10054">
        <v>1700</v>
      </c>
      <c r="J10054">
        <v>-300</v>
      </c>
    </row>
    <row r="10055" spans="1:10" x14ac:dyDescent="0.3">
      <c r="A10055" s="15">
        <v>46357</v>
      </c>
      <c r="B10055" t="s">
        <v>356</v>
      </c>
      <c r="C10055" t="s">
        <v>110</v>
      </c>
      <c r="D10055" t="s">
        <v>82</v>
      </c>
      <c r="E10055" t="s">
        <v>97</v>
      </c>
      <c r="F10055">
        <v>33000</v>
      </c>
      <c r="G10055" t="s">
        <v>331</v>
      </c>
      <c r="H10055" s="15">
        <v>45413</v>
      </c>
      <c r="I10055">
        <v>33000</v>
      </c>
      <c r="J10055">
        <v>0</v>
      </c>
    </row>
    <row r="10056" spans="1:10" x14ac:dyDescent="0.3">
      <c r="A10056" s="15">
        <v>46357</v>
      </c>
      <c r="B10056" t="s">
        <v>359</v>
      </c>
      <c r="C10056" t="s">
        <v>110</v>
      </c>
      <c r="D10056" t="s">
        <v>86</v>
      </c>
      <c r="E10056" t="s">
        <v>101</v>
      </c>
      <c r="F10056">
        <v>28900</v>
      </c>
      <c r="G10056" t="s">
        <v>331</v>
      </c>
      <c r="H10056" s="15">
        <v>45413</v>
      </c>
      <c r="I10056">
        <v>28900</v>
      </c>
      <c r="J10056">
        <v>0</v>
      </c>
    </row>
    <row r="10057" spans="1:10" x14ac:dyDescent="0.3">
      <c r="A10057" s="15">
        <v>46357</v>
      </c>
      <c r="B10057" t="s">
        <v>361</v>
      </c>
      <c r="C10057" t="s">
        <v>91</v>
      </c>
      <c r="D10057" t="s">
        <v>86</v>
      </c>
      <c r="E10057" t="s">
        <v>83</v>
      </c>
      <c r="F10057">
        <v>7100</v>
      </c>
      <c r="G10057" t="s">
        <v>331</v>
      </c>
      <c r="H10057" s="15">
        <v>45444</v>
      </c>
      <c r="I10057">
        <v>7100</v>
      </c>
      <c r="J10057">
        <v>0</v>
      </c>
    </row>
    <row r="10058" spans="1:10" x14ac:dyDescent="0.3">
      <c r="A10058" s="15">
        <v>46357</v>
      </c>
      <c r="B10058" t="s">
        <v>362</v>
      </c>
      <c r="C10058" t="s">
        <v>91</v>
      </c>
      <c r="D10058" t="s">
        <v>82</v>
      </c>
      <c r="E10058" t="s">
        <v>101</v>
      </c>
      <c r="F10058">
        <v>5700</v>
      </c>
      <c r="G10058" t="s">
        <v>331</v>
      </c>
      <c r="H10058" s="15">
        <v>45444</v>
      </c>
      <c r="I10058">
        <v>5700</v>
      </c>
      <c r="J10058">
        <v>0</v>
      </c>
    </row>
    <row r="10059" spans="1:10" x14ac:dyDescent="0.3">
      <c r="A10059" s="15">
        <v>46357</v>
      </c>
      <c r="B10059" t="s">
        <v>363</v>
      </c>
      <c r="C10059" t="s">
        <v>91</v>
      </c>
      <c r="D10059" t="s">
        <v>86</v>
      </c>
      <c r="E10059" t="s">
        <v>83</v>
      </c>
      <c r="F10059">
        <v>4400</v>
      </c>
      <c r="G10059" t="s">
        <v>331</v>
      </c>
      <c r="H10059" s="15">
        <v>45444</v>
      </c>
      <c r="I10059">
        <v>4400</v>
      </c>
      <c r="J10059">
        <v>0</v>
      </c>
    </row>
    <row r="10060" spans="1:10" x14ac:dyDescent="0.3">
      <c r="A10060" s="15">
        <v>46357</v>
      </c>
      <c r="B10060" t="s">
        <v>364</v>
      </c>
      <c r="C10060" t="s">
        <v>91</v>
      </c>
      <c r="D10060" t="s">
        <v>82</v>
      </c>
      <c r="E10060" t="s">
        <v>101</v>
      </c>
      <c r="F10060">
        <v>7600</v>
      </c>
      <c r="G10060" t="s">
        <v>331</v>
      </c>
      <c r="H10060" s="15">
        <v>45444</v>
      </c>
      <c r="I10060">
        <v>7600</v>
      </c>
      <c r="J10060">
        <v>0</v>
      </c>
    </row>
    <row r="10061" spans="1:10" x14ac:dyDescent="0.3">
      <c r="A10061" s="15">
        <v>46357</v>
      </c>
      <c r="B10061" t="s">
        <v>366</v>
      </c>
      <c r="C10061" t="s">
        <v>81</v>
      </c>
      <c r="D10061" t="s">
        <v>99</v>
      </c>
      <c r="E10061" t="s">
        <v>92</v>
      </c>
      <c r="F10061">
        <v>1600</v>
      </c>
      <c r="G10061" t="s">
        <v>331</v>
      </c>
      <c r="H10061" s="15">
        <v>45474</v>
      </c>
      <c r="I10061">
        <v>1600</v>
      </c>
      <c r="J10061">
        <v>0</v>
      </c>
    </row>
    <row r="10062" spans="1:10" x14ac:dyDescent="0.3">
      <c r="A10062" s="15">
        <v>46357</v>
      </c>
      <c r="B10062" t="s">
        <v>368</v>
      </c>
      <c r="C10062" t="s">
        <v>81</v>
      </c>
      <c r="D10062" t="s">
        <v>86</v>
      </c>
      <c r="E10062" t="s">
        <v>89</v>
      </c>
      <c r="F10062">
        <v>1200</v>
      </c>
      <c r="G10062" t="s">
        <v>331</v>
      </c>
      <c r="H10062" s="15">
        <v>45474</v>
      </c>
      <c r="I10062">
        <v>1200</v>
      </c>
      <c r="J10062">
        <v>0</v>
      </c>
    </row>
    <row r="10063" spans="1:10" x14ac:dyDescent="0.3">
      <c r="A10063" s="15">
        <v>46357</v>
      </c>
      <c r="B10063" t="s">
        <v>370</v>
      </c>
      <c r="C10063" t="s">
        <v>81</v>
      </c>
      <c r="D10063" t="s">
        <v>99</v>
      </c>
      <c r="E10063" t="s">
        <v>87</v>
      </c>
      <c r="F10063">
        <v>2300</v>
      </c>
      <c r="G10063" t="s">
        <v>331</v>
      </c>
      <c r="H10063" s="15">
        <v>45474</v>
      </c>
      <c r="I10063">
        <v>2300</v>
      </c>
      <c r="J10063">
        <v>0</v>
      </c>
    </row>
    <row r="10064" spans="1:10" x14ac:dyDescent="0.3">
      <c r="A10064" s="15">
        <v>46357</v>
      </c>
      <c r="B10064" t="s">
        <v>376</v>
      </c>
      <c r="C10064" t="s">
        <v>110</v>
      </c>
      <c r="D10064" t="s">
        <v>86</v>
      </c>
      <c r="E10064" t="s">
        <v>103</v>
      </c>
      <c r="F10064">
        <v>22900</v>
      </c>
      <c r="G10064" t="s">
        <v>331</v>
      </c>
      <c r="H10064" s="15">
        <v>45505</v>
      </c>
      <c r="I10064">
        <v>22900</v>
      </c>
      <c r="J10064">
        <v>0</v>
      </c>
    </row>
    <row r="10065" spans="1:10" x14ac:dyDescent="0.3">
      <c r="A10065" s="15">
        <v>46357</v>
      </c>
      <c r="B10065" t="s">
        <v>377</v>
      </c>
      <c r="C10065" t="s">
        <v>81</v>
      </c>
      <c r="D10065" t="s">
        <v>99</v>
      </c>
      <c r="E10065" t="s">
        <v>92</v>
      </c>
      <c r="F10065">
        <v>2300</v>
      </c>
      <c r="G10065" t="s">
        <v>331</v>
      </c>
      <c r="H10065" s="15">
        <v>45536</v>
      </c>
      <c r="I10065">
        <v>2300</v>
      </c>
      <c r="J10065">
        <v>0</v>
      </c>
    </row>
    <row r="10066" spans="1:10" x14ac:dyDescent="0.3">
      <c r="A10066" s="15">
        <v>46357</v>
      </c>
      <c r="B10066" t="s">
        <v>379</v>
      </c>
      <c r="C10066" t="s">
        <v>81</v>
      </c>
      <c r="D10066" t="s">
        <v>99</v>
      </c>
      <c r="E10066" t="s">
        <v>101</v>
      </c>
      <c r="F10066">
        <v>2300</v>
      </c>
      <c r="G10066" t="s">
        <v>331</v>
      </c>
      <c r="H10066" s="15">
        <v>45536</v>
      </c>
      <c r="I10066">
        <v>2300</v>
      </c>
      <c r="J10066">
        <v>0</v>
      </c>
    </row>
    <row r="10067" spans="1:10" x14ac:dyDescent="0.3">
      <c r="A10067" s="15">
        <v>46357</v>
      </c>
      <c r="B10067" t="s">
        <v>381</v>
      </c>
      <c r="C10067" t="s">
        <v>91</v>
      </c>
      <c r="D10067" t="s">
        <v>86</v>
      </c>
      <c r="E10067" t="s">
        <v>92</v>
      </c>
      <c r="F10067">
        <v>4600</v>
      </c>
      <c r="G10067" t="s">
        <v>331</v>
      </c>
      <c r="H10067" s="15">
        <v>45536</v>
      </c>
      <c r="I10067">
        <v>4600</v>
      </c>
      <c r="J10067">
        <v>0</v>
      </c>
    </row>
    <row r="10068" spans="1:10" x14ac:dyDescent="0.3">
      <c r="A10068" s="15">
        <v>46357</v>
      </c>
      <c r="B10068" t="s">
        <v>382</v>
      </c>
      <c r="C10068" t="s">
        <v>81</v>
      </c>
      <c r="D10068" t="s">
        <v>96</v>
      </c>
      <c r="E10068" t="s">
        <v>101</v>
      </c>
      <c r="F10068">
        <v>2100</v>
      </c>
      <c r="G10068" t="s">
        <v>331</v>
      </c>
      <c r="H10068" s="15">
        <v>45536</v>
      </c>
      <c r="I10068">
        <v>2100</v>
      </c>
      <c r="J10068">
        <v>0</v>
      </c>
    </row>
    <row r="10069" spans="1:10" x14ac:dyDescent="0.3">
      <c r="A10069" s="15">
        <v>46357</v>
      </c>
      <c r="B10069" t="s">
        <v>383</v>
      </c>
      <c r="C10069" t="s">
        <v>81</v>
      </c>
      <c r="D10069" t="s">
        <v>82</v>
      </c>
      <c r="E10069" t="s">
        <v>87</v>
      </c>
      <c r="F10069">
        <v>1600</v>
      </c>
      <c r="G10069" t="s">
        <v>331</v>
      </c>
      <c r="H10069" s="15">
        <v>45536</v>
      </c>
      <c r="I10069">
        <v>1600</v>
      </c>
      <c r="J10069">
        <v>0</v>
      </c>
    </row>
    <row r="10070" spans="1:10" x14ac:dyDescent="0.3">
      <c r="A10070" s="15">
        <v>46357</v>
      </c>
      <c r="B10070" t="s">
        <v>385</v>
      </c>
      <c r="C10070" t="s">
        <v>91</v>
      </c>
      <c r="D10070" t="s">
        <v>99</v>
      </c>
      <c r="E10070" t="s">
        <v>83</v>
      </c>
      <c r="F10070">
        <v>8300</v>
      </c>
      <c r="G10070" t="s">
        <v>331</v>
      </c>
      <c r="H10070" s="15">
        <v>45566</v>
      </c>
      <c r="I10070">
        <v>8300</v>
      </c>
      <c r="J10070">
        <v>0</v>
      </c>
    </row>
    <row r="10071" spans="1:10" x14ac:dyDescent="0.3">
      <c r="A10071" s="15">
        <v>46357</v>
      </c>
      <c r="B10071" t="s">
        <v>386</v>
      </c>
      <c r="C10071" t="s">
        <v>81</v>
      </c>
      <c r="D10071" t="s">
        <v>82</v>
      </c>
      <c r="E10071" t="s">
        <v>103</v>
      </c>
      <c r="F10071">
        <v>2500</v>
      </c>
      <c r="G10071" t="s">
        <v>332</v>
      </c>
      <c r="H10071" s="15">
        <v>45566</v>
      </c>
      <c r="I10071">
        <v>2200</v>
      </c>
      <c r="J10071">
        <v>300</v>
      </c>
    </row>
    <row r="10072" spans="1:10" x14ac:dyDescent="0.3">
      <c r="A10072" s="15">
        <v>46357</v>
      </c>
      <c r="B10072" t="s">
        <v>387</v>
      </c>
      <c r="C10072" t="s">
        <v>81</v>
      </c>
      <c r="D10072" t="s">
        <v>86</v>
      </c>
      <c r="E10072" t="s">
        <v>92</v>
      </c>
      <c r="F10072">
        <v>1500</v>
      </c>
      <c r="G10072" t="s">
        <v>331</v>
      </c>
      <c r="H10072" s="15">
        <v>45566</v>
      </c>
      <c r="I10072">
        <v>1500</v>
      </c>
      <c r="J10072">
        <v>0</v>
      </c>
    </row>
    <row r="10073" spans="1:10" x14ac:dyDescent="0.3">
      <c r="A10073" s="15">
        <v>46357</v>
      </c>
      <c r="B10073" t="s">
        <v>388</v>
      </c>
      <c r="C10073" t="s">
        <v>81</v>
      </c>
      <c r="D10073" t="s">
        <v>99</v>
      </c>
      <c r="E10073" t="s">
        <v>103</v>
      </c>
      <c r="F10073">
        <v>1800</v>
      </c>
      <c r="G10073" t="s">
        <v>331</v>
      </c>
      <c r="H10073" s="15">
        <v>45566</v>
      </c>
      <c r="I10073">
        <v>1800</v>
      </c>
      <c r="J10073">
        <v>0</v>
      </c>
    </row>
    <row r="10074" spans="1:10" x14ac:dyDescent="0.3">
      <c r="A10074" s="15">
        <v>46357</v>
      </c>
      <c r="B10074" t="s">
        <v>390</v>
      </c>
      <c r="C10074" t="s">
        <v>91</v>
      </c>
      <c r="D10074" t="s">
        <v>82</v>
      </c>
      <c r="E10074" t="s">
        <v>89</v>
      </c>
      <c r="F10074">
        <v>6200</v>
      </c>
      <c r="G10074" t="s">
        <v>331</v>
      </c>
      <c r="H10074" s="15">
        <v>45566</v>
      </c>
      <c r="I10074">
        <v>6200</v>
      </c>
      <c r="J10074">
        <v>0</v>
      </c>
    </row>
    <row r="10075" spans="1:10" x14ac:dyDescent="0.3">
      <c r="A10075" s="15">
        <v>46357</v>
      </c>
      <c r="B10075" t="s">
        <v>392</v>
      </c>
      <c r="C10075" t="s">
        <v>91</v>
      </c>
      <c r="D10075" t="s">
        <v>86</v>
      </c>
      <c r="E10075" t="s">
        <v>97</v>
      </c>
      <c r="F10075">
        <v>10000</v>
      </c>
      <c r="G10075" t="s">
        <v>331</v>
      </c>
      <c r="H10075" s="15">
        <v>45597</v>
      </c>
      <c r="I10075">
        <v>10000</v>
      </c>
      <c r="J10075">
        <v>0</v>
      </c>
    </row>
    <row r="10076" spans="1:10" x14ac:dyDescent="0.3">
      <c r="A10076" s="15">
        <v>46357</v>
      </c>
      <c r="B10076" t="s">
        <v>393</v>
      </c>
      <c r="C10076" t="s">
        <v>81</v>
      </c>
      <c r="D10076" t="s">
        <v>82</v>
      </c>
      <c r="E10076" t="s">
        <v>92</v>
      </c>
      <c r="F10076">
        <v>2100</v>
      </c>
      <c r="G10076" t="s">
        <v>331</v>
      </c>
      <c r="H10076" s="15">
        <v>45597</v>
      </c>
      <c r="I10076">
        <v>2100</v>
      </c>
      <c r="J10076">
        <v>0</v>
      </c>
    </row>
    <row r="10077" spans="1:10" x14ac:dyDescent="0.3">
      <c r="A10077" s="15">
        <v>46357</v>
      </c>
      <c r="B10077" t="s">
        <v>394</v>
      </c>
      <c r="C10077" t="s">
        <v>81</v>
      </c>
      <c r="D10077" t="s">
        <v>99</v>
      </c>
      <c r="E10077" t="s">
        <v>87</v>
      </c>
      <c r="F10077">
        <v>1500</v>
      </c>
      <c r="G10077" t="s">
        <v>331</v>
      </c>
      <c r="H10077" s="15">
        <v>45597</v>
      </c>
      <c r="I10077">
        <v>1500</v>
      </c>
      <c r="J10077">
        <v>0</v>
      </c>
    </row>
    <row r="10078" spans="1:10" x14ac:dyDescent="0.3">
      <c r="A10078" s="15">
        <v>46357</v>
      </c>
      <c r="B10078" t="s">
        <v>395</v>
      </c>
      <c r="C10078" t="s">
        <v>81</v>
      </c>
      <c r="D10078" t="s">
        <v>82</v>
      </c>
      <c r="E10078" t="s">
        <v>97</v>
      </c>
      <c r="F10078">
        <v>2500</v>
      </c>
      <c r="G10078" t="s">
        <v>331</v>
      </c>
      <c r="H10078" s="15">
        <v>45627</v>
      </c>
      <c r="I10078">
        <v>2500</v>
      </c>
      <c r="J10078">
        <v>0</v>
      </c>
    </row>
    <row r="10079" spans="1:10" x14ac:dyDescent="0.3">
      <c r="A10079" s="15">
        <v>46357</v>
      </c>
      <c r="B10079" t="s">
        <v>398</v>
      </c>
      <c r="C10079" t="s">
        <v>81</v>
      </c>
      <c r="D10079" t="s">
        <v>86</v>
      </c>
      <c r="E10079" t="s">
        <v>92</v>
      </c>
      <c r="F10079">
        <v>1400</v>
      </c>
      <c r="G10079" t="s">
        <v>334</v>
      </c>
      <c r="H10079" s="15">
        <v>45627</v>
      </c>
      <c r="I10079">
        <v>1500</v>
      </c>
      <c r="J10079">
        <v>-100</v>
      </c>
    </row>
    <row r="10080" spans="1:10" x14ac:dyDescent="0.3">
      <c r="A10080" s="15">
        <v>46357</v>
      </c>
      <c r="B10080" t="s">
        <v>399</v>
      </c>
      <c r="C10080" t="s">
        <v>110</v>
      </c>
      <c r="D10080" t="s">
        <v>82</v>
      </c>
      <c r="E10080" t="s">
        <v>101</v>
      </c>
      <c r="F10080">
        <v>17400</v>
      </c>
      <c r="G10080" t="s">
        <v>331</v>
      </c>
      <c r="H10080" s="15">
        <v>45627</v>
      </c>
      <c r="I10080">
        <v>17400</v>
      </c>
      <c r="J10080">
        <v>0</v>
      </c>
    </row>
    <row r="10081" spans="1:10" x14ac:dyDescent="0.3">
      <c r="A10081" s="15">
        <v>46357</v>
      </c>
      <c r="B10081" t="s">
        <v>400</v>
      </c>
      <c r="C10081" t="s">
        <v>91</v>
      </c>
      <c r="D10081" t="s">
        <v>82</v>
      </c>
      <c r="E10081" t="s">
        <v>103</v>
      </c>
      <c r="F10081">
        <v>4600</v>
      </c>
      <c r="G10081" t="s">
        <v>331</v>
      </c>
      <c r="H10081" s="15">
        <v>45627</v>
      </c>
      <c r="I10081">
        <v>4600</v>
      </c>
      <c r="J10081">
        <v>0</v>
      </c>
    </row>
    <row r="10082" spans="1:10" x14ac:dyDescent="0.3">
      <c r="A10082" s="15">
        <v>46357</v>
      </c>
      <c r="B10082" t="s">
        <v>403</v>
      </c>
      <c r="C10082" t="s">
        <v>81</v>
      </c>
      <c r="D10082" t="s">
        <v>82</v>
      </c>
      <c r="E10082" t="s">
        <v>101</v>
      </c>
      <c r="F10082">
        <v>1900</v>
      </c>
      <c r="G10082" t="s">
        <v>331</v>
      </c>
      <c r="H10082" s="15">
        <v>45658</v>
      </c>
      <c r="I10082">
        <v>1900</v>
      </c>
      <c r="J10082">
        <v>0</v>
      </c>
    </row>
    <row r="10083" spans="1:10" x14ac:dyDescent="0.3">
      <c r="A10083" s="15">
        <v>46357</v>
      </c>
      <c r="B10083" t="s">
        <v>404</v>
      </c>
      <c r="C10083" t="s">
        <v>81</v>
      </c>
      <c r="D10083" t="s">
        <v>86</v>
      </c>
      <c r="E10083" t="s">
        <v>83</v>
      </c>
      <c r="F10083">
        <v>2100</v>
      </c>
      <c r="G10083" t="s">
        <v>331</v>
      </c>
      <c r="H10083" s="15">
        <v>45658</v>
      </c>
      <c r="I10083">
        <v>2100</v>
      </c>
      <c r="J10083">
        <v>0</v>
      </c>
    </row>
    <row r="10084" spans="1:10" x14ac:dyDescent="0.3">
      <c r="A10084" s="15">
        <v>46357</v>
      </c>
      <c r="B10084" t="s">
        <v>405</v>
      </c>
      <c r="C10084" t="s">
        <v>81</v>
      </c>
      <c r="D10084" t="s">
        <v>82</v>
      </c>
      <c r="E10084" t="s">
        <v>92</v>
      </c>
      <c r="F10084">
        <v>1600</v>
      </c>
      <c r="G10084" t="s">
        <v>331</v>
      </c>
      <c r="H10084" s="15">
        <v>45658</v>
      </c>
      <c r="I10084">
        <v>1600</v>
      </c>
      <c r="J10084">
        <v>0</v>
      </c>
    </row>
    <row r="10085" spans="1:10" x14ac:dyDescent="0.3">
      <c r="A10085" s="15">
        <v>46357</v>
      </c>
      <c r="B10085" t="s">
        <v>407</v>
      </c>
      <c r="C10085" t="s">
        <v>81</v>
      </c>
      <c r="D10085" t="s">
        <v>82</v>
      </c>
      <c r="E10085" t="s">
        <v>92</v>
      </c>
      <c r="F10085">
        <v>2700</v>
      </c>
      <c r="G10085" t="s">
        <v>332</v>
      </c>
      <c r="H10085" s="15">
        <v>45689</v>
      </c>
      <c r="I10085">
        <v>2400</v>
      </c>
      <c r="J10085">
        <v>300</v>
      </c>
    </row>
    <row r="10086" spans="1:10" x14ac:dyDescent="0.3">
      <c r="A10086" s="15">
        <v>46357</v>
      </c>
      <c r="B10086" t="s">
        <v>409</v>
      </c>
      <c r="C10086" t="s">
        <v>81</v>
      </c>
      <c r="D10086" t="s">
        <v>82</v>
      </c>
      <c r="E10086" t="s">
        <v>83</v>
      </c>
      <c r="F10086">
        <v>1700</v>
      </c>
      <c r="G10086" t="s">
        <v>331</v>
      </c>
      <c r="H10086" s="15">
        <v>45689</v>
      </c>
      <c r="I10086">
        <v>1700</v>
      </c>
      <c r="J10086">
        <v>0</v>
      </c>
    </row>
    <row r="10087" spans="1:10" x14ac:dyDescent="0.3">
      <c r="A10087" s="15">
        <v>46357</v>
      </c>
      <c r="B10087" t="s">
        <v>410</v>
      </c>
      <c r="C10087" t="s">
        <v>125</v>
      </c>
      <c r="D10087" t="s">
        <v>82</v>
      </c>
      <c r="E10087" t="s">
        <v>103</v>
      </c>
      <c r="F10087">
        <v>56400</v>
      </c>
      <c r="G10087" t="s">
        <v>331</v>
      </c>
      <c r="H10087" s="15">
        <v>45689</v>
      </c>
      <c r="I10087">
        <v>56400</v>
      </c>
      <c r="J10087">
        <v>0</v>
      </c>
    </row>
    <row r="10088" spans="1:10" x14ac:dyDescent="0.3">
      <c r="A10088" s="15">
        <v>46357</v>
      </c>
      <c r="B10088" t="s">
        <v>411</v>
      </c>
      <c r="C10088" t="s">
        <v>91</v>
      </c>
      <c r="D10088" t="s">
        <v>86</v>
      </c>
      <c r="E10088" t="s">
        <v>92</v>
      </c>
      <c r="F10088">
        <v>7700</v>
      </c>
      <c r="G10088" t="s">
        <v>331</v>
      </c>
      <c r="H10088" s="15">
        <v>45689</v>
      </c>
      <c r="I10088">
        <v>7700</v>
      </c>
      <c r="J10088">
        <v>0</v>
      </c>
    </row>
    <row r="10089" spans="1:10" x14ac:dyDescent="0.3">
      <c r="A10089" s="15">
        <v>46357</v>
      </c>
      <c r="B10089" t="s">
        <v>413</v>
      </c>
      <c r="C10089" t="s">
        <v>81</v>
      </c>
      <c r="D10089" t="s">
        <v>99</v>
      </c>
      <c r="E10089" t="s">
        <v>101</v>
      </c>
      <c r="F10089">
        <v>2000</v>
      </c>
      <c r="G10089" t="s">
        <v>331</v>
      </c>
      <c r="H10089" s="15">
        <v>45717</v>
      </c>
      <c r="I10089">
        <v>2000</v>
      </c>
      <c r="J10089">
        <v>0</v>
      </c>
    </row>
    <row r="10090" spans="1:10" x14ac:dyDescent="0.3">
      <c r="A10090" s="15">
        <v>46357</v>
      </c>
      <c r="B10090" t="s">
        <v>414</v>
      </c>
      <c r="C10090" t="s">
        <v>110</v>
      </c>
      <c r="D10090" t="s">
        <v>99</v>
      </c>
      <c r="E10090" t="s">
        <v>89</v>
      </c>
      <c r="F10090">
        <v>30900</v>
      </c>
      <c r="G10090" t="s">
        <v>331</v>
      </c>
      <c r="H10090" s="15">
        <v>45717</v>
      </c>
      <c r="I10090">
        <v>30900</v>
      </c>
      <c r="J10090">
        <v>0</v>
      </c>
    </row>
    <row r="10091" spans="1:10" x14ac:dyDescent="0.3">
      <c r="A10091" s="15">
        <v>46357</v>
      </c>
      <c r="B10091" t="s">
        <v>417</v>
      </c>
      <c r="C10091" t="s">
        <v>110</v>
      </c>
      <c r="D10091" t="s">
        <v>86</v>
      </c>
      <c r="E10091" t="s">
        <v>92</v>
      </c>
      <c r="F10091">
        <v>35600</v>
      </c>
      <c r="G10091" t="s">
        <v>331</v>
      </c>
      <c r="H10091" s="15">
        <v>45717</v>
      </c>
      <c r="I10091">
        <v>35600</v>
      </c>
      <c r="J10091">
        <v>0</v>
      </c>
    </row>
    <row r="10092" spans="1:10" x14ac:dyDescent="0.3">
      <c r="A10092" s="15">
        <v>46357</v>
      </c>
      <c r="B10092" t="s">
        <v>418</v>
      </c>
      <c r="C10092" t="s">
        <v>81</v>
      </c>
      <c r="D10092" t="s">
        <v>86</v>
      </c>
      <c r="E10092" t="s">
        <v>92</v>
      </c>
      <c r="F10092">
        <v>2000</v>
      </c>
      <c r="G10092" t="s">
        <v>331</v>
      </c>
      <c r="H10092" s="15">
        <v>45748</v>
      </c>
      <c r="I10092">
        <v>2000</v>
      </c>
      <c r="J10092">
        <v>0</v>
      </c>
    </row>
    <row r="10093" spans="1:10" x14ac:dyDescent="0.3">
      <c r="A10093" s="15">
        <v>46357</v>
      </c>
      <c r="B10093" t="s">
        <v>420</v>
      </c>
      <c r="C10093" t="s">
        <v>110</v>
      </c>
      <c r="D10093" t="s">
        <v>96</v>
      </c>
      <c r="E10093" t="s">
        <v>103</v>
      </c>
      <c r="F10093">
        <v>22900</v>
      </c>
      <c r="G10093" t="s">
        <v>331</v>
      </c>
      <c r="H10093" s="15">
        <v>45748</v>
      </c>
      <c r="I10093">
        <v>22900</v>
      </c>
      <c r="J10093">
        <v>0</v>
      </c>
    </row>
    <row r="10094" spans="1:10" x14ac:dyDescent="0.3">
      <c r="A10094" s="15">
        <v>46357</v>
      </c>
      <c r="B10094" t="s">
        <v>421</v>
      </c>
      <c r="C10094" t="s">
        <v>110</v>
      </c>
      <c r="D10094" t="s">
        <v>82</v>
      </c>
      <c r="E10094" t="s">
        <v>103</v>
      </c>
      <c r="F10094">
        <v>18800</v>
      </c>
      <c r="G10094" t="s">
        <v>331</v>
      </c>
      <c r="H10094" s="15">
        <v>45748</v>
      </c>
      <c r="I10094">
        <v>18800</v>
      </c>
      <c r="J10094">
        <v>0</v>
      </c>
    </row>
    <row r="10095" spans="1:10" x14ac:dyDescent="0.3">
      <c r="A10095" s="15">
        <v>46357</v>
      </c>
      <c r="B10095" t="s">
        <v>422</v>
      </c>
      <c r="C10095" t="s">
        <v>81</v>
      </c>
      <c r="D10095" t="s">
        <v>82</v>
      </c>
      <c r="E10095" t="s">
        <v>97</v>
      </c>
      <c r="F10095">
        <v>2300</v>
      </c>
      <c r="G10095" t="s">
        <v>331</v>
      </c>
      <c r="H10095" s="15">
        <v>45748</v>
      </c>
      <c r="I10095">
        <v>2300</v>
      </c>
      <c r="J10095">
        <v>0</v>
      </c>
    </row>
    <row r="10096" spans="1:10" x14ac:dyDescent="0.3">
      <c r="A10096" s="15">
        <v>46357</v>
      </c>
      <c r="B10096" t="s">
        <v>423</v>
      </c>
      <c r="C10096" t="s">
        <v>125</v>
      </c>
      <c r="D10096" t="s">
        <v>86</v>
      </c>
      <c r="E10096" t="s">
        <v>97</v>
      </c>
      <c r="F10096">
        <v>45600</v>
      </c>
      <c r="G10096" t="s">
        <v>331</v>
      </c>
      <c r="H10096" s="15">
        <v>45748</v>
      </c>
      <c r="I10096">
        <v>45600</v>
      </c>
      <c r="J10096">
        <v>0</v>
      </c>
    </row>
    <row r="10097" spans="1:10" x14ac:dyDescent="0.3">
      <c r="A10097" s="15">
        <v>46357</v>
      </c>
      <c r="B10097" t="s">
        <v>425</v>
      </c>
      <c r="C10097" t="s">
        <v>110</v>
      </c>
      <c r="D10097" t="s">
        <v>82</v>
      </c>
      <c r="E10097" t="s">
        <v>97</v>
      </c>
      <c r="F10097">
        <v>22700</v>
      </c>
      <c r="G10097" t="s">
        <v>331</v>
      </c>
      <c r="H10097" s="15">
        <v>45778</v>
      </c>
      <c r="I10097">
        <v>22700</v>
      </c>
      <c r="J10097">
        <v>0</v>
      </c>
    </row>
    <row r="10098" spans="1:10" x14ac:dyDescent="0.3">
      <c r="A10098" s="15">
        <v>46357</v>
      </c>
      <c r="B10098" t="s">
        <v>426</v>
      </c>
      <c r="C10098" t="s">
        <v>81</v>
      </c>
      <c r="D10098" t="s">
        <v>82</v>
      </c>
      <c r="E10098" t="s">
        <v>89</v>
      </c>
      <c r="F10098">
        <v>1600</v>
      </c>
      <c r="G10098" t="s">
        <v>331</v>
      </c>
      <c r="H10098" s="15">
        <v>45778</v>
      </c>
      <c r="I10098">
        <v>1600</v>
      </c>
      <c r="J10098">
        <v>0</v>
      </c>
    </row>
    <row r="10099" spans="1:10" x14ac:dyDescent="0.3">
      <c r="A10099" s="15">
        <v>46357</v>
      </c>
      <c r="B10099" t="s">
        <v>427</v>
      </c>
      <c r="C10099" t="s">
        <v>110</v>
      </c>
      <c r="D10099" t="s">
        <v>82</v>
      </c>
      <c r="E10099" t="s">
        <v>83</v>
      </c>
      <c r="F10099">
        <v>25300</v>
      </c>
      <c r="G10099" t="s">
        <v>331</v>
      </c>
      <c r="H10099" s="15">
        <v>45778</v>
      </c>
      <c r="I10099">
        <v>25300</v>
      </c>
      <c r="J10099">
        <v>0</v>
      </c>
    </row>
    <row r="10100" spans="1:10" x14ac:dyDescent="0.3">
      <c r="A10100" s="15">
        <v>46357</v>
      </c>
      <c r="B10100" t="s">
        <v>428</v>
      </c>
      <c r="C10100" t="s">
        <v>81</v>
      </c>
      <c r="D10100" t="s">
        <v>86</v>
      </c>
      <c r="E10100" t="s">
        <v>89</v>
      </c>
      <c r="F10100">
        <v>2300</v>
      </c>
      <c r="G10100" t="s">
        <v>331</v>
      </c>
      <c r="H10100" s="15">
        <v>45778</v>
      </c>
      <c r="I10100">
        <v>2300</v>
      </c>
      <c r="J10100">
        <v>0</v>
      </c>
    </row>
    <row r="10101" spans="1:10" x14ac:dyDescent="0.3">
      <c r="A10101" s="15">
        <v>46357</v>
      </c>
      <c r="B10101" t="s">
        <v>430</v>
      </c>
      <c r="C10101" t="s">
        <v>110</v>
      </c>
      <c r="D10101" t="s">
        <v>82</v>
      </c>
      <c r="E10101" t="s">
        <v>87</v>
      </c>
      <c r="F10101">
        <v>24300</v>
      </c>
      <c r="G10101" t="s">
        <v>331</v>
      </c>
      <c r="H10101" s="15">
        <v>45809</v>
      </c>
      <c r="I10101">
        <v>24300</v>
      </c>
      <c r="J10101">
        <v>0</v>
      </c>
    </row>
    <row r="10102" spans="1:10" x14ac:dyDescent="0.3">
      <c r="A10102" s="15">
        <v>46357</v>
      </c>
      <c r="B10102" t="s">
        <v>431</v>
      </c>
      <c r="C10102" t="s">
        <v>110</v>
      </c>
      <c r="D10102" t="s">
        <v>82</v>
      </c>
      <c r="E10102" t="s">
        <v>101</v>
      </c>
      <c r="F10102">
        <v>19800</v>
      </c>
      <c r="G10102" t="s">
        <v>331</v>
      </c>
      <c r="H10102" s="15">
        <v>45809</v>
      </c>
      <c r="I10102">
        <v>19800</v>
      </c>
      <c r="J10102">
        <v>0</v>
      </c>
    </row>
    <row r="10103" spans="1:10" x14ac:dyDescent="0.3">
      <c r="A10103" s="15">
        <v>46357</v>
      </c>
      <c r="B10103" t="s">
        <v>435</v>
      </c>
      <c r="C10103" t="s">
        <v>81</v>
      </c>
      <c r="D10103" t="s">
        <v>82</v>
      </c>
      <c r="E10103" t="s">
        <v>92</v>
      </c>
      <c r="F10103">
        <v>1400</v>
      </c>
      <c r="G10103" t="s">
        <v>331</v>
      </c>
      <c r="H10103" s="15">
        <v>45809</v>
      </c>
      <c r="I10103">
        <v>1400</v>
      </c>
      <c r="J10103">
        <v>0</v>
      </c>
    </row>
    <row r="10104" spans="1:10" x14ac:dyDescent="0.3">
      <c r="A10104" s="15">
        <v>46357</v>
      </c>
      <c r="B10104" t="s">
        <v>436</v>
      </c>
      <c r="C10104" t="s">
        <v>81</v>
      </c>
      <c r="D10104" t="s">
        <v>82</v>
      </c>
      <c r="E10104" t="s">
        <v>97</v>
      </c>
      <c r="F10104">
        <v>2100</v>
      </c>
      <c r="G10104" t="s">
        <v>331</v>
      </c>
      <c r="H10104" s="15">
        <v>45839</v>
      </c>
      <c r="I10104">
        <v>2100</v>
      </c>
      <c r="J10104">
        <v>0</v>
      </c>
    </row>
    <row r="10105" spans="1:10" x14ac:dyDescent="0.3">
      <c r="A10105" s="15">
        <v>46357</v>
      </c>
      <c r="B10105" t="s">
        <v>437</v>
      </c>
      <c r="C10105" t="s">
        <v>81</v>
      </c>
      <c r="D10105" t="s">
        <v>99</v>
      </c>
      <c r="E10105" t="s">
        <v>92</v>
      </c>
      <c r="F10105">
        <v>1800</v>
      </c>
      <c r="G10105" t="s">
        <v>331</v>
      </c>
      <c r="H10105" s="15">
        <v>45839</v>
      </c>
      <c r="I10105">
        <v>1800</v>
      </c>
      <c r="J10105">
        <v>0</v>
      </c>
    </row>
    <row r="10106" spans="1:10" x14ac:dyDescent="0.3">
      <c r="A10106" s="15">
        <v>46357</v>
      </c>
      <c r="B10106" t="s">
        <v>438</v>
      </c>
      <c r="C10106" t="s">
        <v>91</v>
      </c>
      <c r="D10106" t="s">
        <v>96</v>
      </c>
      <c r="E10106" t="s">
        <v>101</v>
      </c>
      <c r="F10106">
        <v>8600</v>
      </c>
      <c r="G10106" t="s">
        <v>331</v>
      </c>
      <c r="H10106" s="15">
        <v>45839</v>
      </c>
      <c r="I10106">
        <v>8600</v>
      </c>
      <c r="J10106">
        <v>0</v>
      </c>
    </row>
    <row r="10107" spans="1:10" x14ac:dyDescent="0.3">
      <c r="A10107" s="15">
        <v>46357</v>
      </c>
      <c r="B10107" t="s">
        <v>439</v>
      </c>
      <c r="C10107" t="s">
        <v>81</v>
      </c>
      <c r="D10107" t="s">
        <v>99</v>
      </c>
      <c r="E10107" t="s">
        <v>87</v>
      </c>
      <c r="F10107">
        <v>1900</v>
      </c>
      <c r="G10107" t="s">
        <v>331</v>
      </c>
      <c r="H10107" s="15">
        <v>45839</v>
      </c>
      <c r="I10107">
        <v>1900</v>
      </c>
      <c r="J10107">
        <v>0</v>
      </c>
    </row>
    <row r="10108" spans="1:10" x14ac:dyDescent="0.3">
      <c r="A10108" s="15">
        <v>46357</v>
      </c>
      <c r="B10108" t="s">
        <v>440</v>
      </c>
      <c r="C10108" t="s">
        <v>81</v>
      </c>
      <c r="D10108" t="s">
        <v>82</v>
      </c>
      <c r="E10108" t="s">
        <v>97</v>
      </c>
      <c r="F10108">
        <v>2200</v>
      </c>
      <c r="G10108" t="s">
        <v>331</v>
      </c>
      <c r="H10108" s="15">
        <v>45839</v>
      </c>
      <c r="I10108">
        <v>2200</v>
      </c>
      <c r="J10108">
        <v>0</v>
      </c>
    </row>
    <row r="10109" spans="1:10" x14ac:dyDescent="0.3">
      <c r="A10109" s="15">
        <v>46357</v>
      </c>
      <c r="B10109" t="s">
        <v>441</v>
      </c>
      <c r="C10109" t="s">
        <v>110</v>
      </c>
      <c r="D10109" t="s">
        <v>86</v>
      </c>
      <c r="E10109" t="s">
        <v>97</v>
      </c>
      <c r="F10109">
        <v>35800</v>
      </c>
      <c r="G10109" t="s">
        <v>331</v>
      </c>
      <c r="H10109" s="15">
        <v>45839</v>
      </c>
      <c r="I10109">
        <v>35800</v>
      </c>
      <c r="J10109">
        <v>0</v>
      </c>
    </row>
    <row r="10110" spans="1:10" x14ac:dyDescent="0.3">
      <c r="A10110" s="15">
        <v>46357</v>
      </c>
      <c r="B10110" t="s">
        <v>442</v>
      </c>
      <c r="C10110" t="s">
        <v>110</v>
      </c>
      <c r="D10110" t="s">
        <v>86</v>
      </c>
      <c r="E10110" t="s">
        <v>83</v>
      </c>
      <c r="F10110">
        <v>23900</v>
      </c>
      <c r="G10110" t="s">
        <v>331</v>
      </c>
      <c r="H10110" s="15">
        <v>45870</v>
      </c>
      <c r="I10110">
        <v>23900</v>
      </c>
      <c r="J10110">
        <v>0</v>
      </c>
    </row>
    <row r="10111" spans="1:10" x14ac:dyDescent="0.3">
      <c r="A10111" s="15">
        <v>46357</v>
      </c>
      <c r="B10111" t="s">
        <v>443</v>
      </c>
      <c r="C10111" t="s">
        <v>81</v>
      </c>
      <c r="D10111" t="s">
        <v>86</v>
      </c>
      <c r="E10111" t="s">
        <v>101</v>
      </c>
      <c r="F10111">
        <v>1800</v>
      </c>
      <c r="G10111" t="s">
        <v>331</v>
      </c>
      <c r="H10111" s="15">
        <v>45870</v>
      </c>
      <c r="I10111">
        <v>1800</v>
      </c>
      <c r="J10111">
        <v>0</v>
      </c>
    </row>
    <row r="10112" spans="1:10" x14ac:dyDescent="0.3">
      <c r="A10112" s="15">
        <v>46357</v>
      </c>
      <c r="B10112" t="s">
        <v>444</v>
      </c>
      <c r="C10112" t="s">
        <v>125</v>
      </c>
      <c r="D10112" t="s">
        <v>82</v>
      </c>
      <c r="E10112" t="s">
        <v>92</v>
      </c>
      <c r="F10112">
        <v>71600</v>
      </c>
      <c r="G10112" t="s">
        <v>331</v>
      </c>
      <c r="H10112" s="15">
        <v>45870</v>
      </c>
      <c r="I10112">
        <v>71600</v>
      </c>
      <c r="J10112">
        <v>0</v>
      </c>
    </row>
    <row r="10113" spans="1:10" x14ac:dyDescent="0.3">
      <c r="A10113" s="15">
        <v>46357</v>
      </c>
      <c r="B10113" t="s">
        <v>445</v>
      </c>
      <c r="C10113" t="s">
        <v>91</v>
      </c>
      <c r="D10113" t="s">
        <v>82</v>
      </c>
      <c r="E10113" t="s">
        <v>89</v>
      </c>
      <c r="F10113">
        <v>4700</v>
      </c>
      <c r="G10113" t="s">
        <v>331</v>
      </c>
      <c r="H10113" s="15">
        <v>45870</v>
      </c>
      <c r="I10113">
        <v>4700</v>
      </c>
      <c r="J10113">
        <v>0</v>
      </c>
    </row>
    <row r="10114" spans="1:10" x14ac:dyDescent="0.3">
      <c r="A10114" s="15">
        <v>46357</v>
      </c>
      <c r="B10114" t="s">
        <v>446</v>
      </c>
      <c r="C10114" t="s">
        <v>81</v>
      </c>
      <c r="D10114" t="s">
        <v>86</v>
      </c>
      <c r="E10114" t="s">
        <v>97</v>
      </c>
      <c r="F10114">
        <v>1600</v>
      </c>
      <c r="G10114" t="s">
        <v>331</v>
      </c>
      <c r="H10114" s="15">
        <v>45870</v>
      </c>
      <c r="I10114">
        <v>1600</v>
      </c>
      <c r="J10114">
        <v>0</v>
      </c>
    </row>
    <row r="10115" spans="1:10" x14ac:dyDescent="0.3">
      <c r="A10115" s="15">
        <v>46357</v>
      </c>
      <c r="B10115" t="s">
        <v>447</v>
      </c>
      <c r="C10115" t="s">
        <v>81</v>
      </c>
      <c r="D10115" t="s">
        <v>86</v>
      </c>
      <c r="E10115" t="s">
        <v>103</v>
      </c>
      <c r="F10115">
        <v>2300</v>
      </c>
      <c r="G10115" t="s">
        <v>331</v>
      </c>
      <c r="H10115" s="15">
        <v>45870</v>
      </c>
      <c r="I10115">
        <v>2300</v>
      </c>
      <c r="J10115">
        <v>0</v>
      </c>
    </row>
    <row r="10116" spans="1:10" x14ac:dyDescent="0.3">
      <c r="A10116" s="15">
        <v>46357</v>
      </c>
      <c r="B10116" t="s">
        <v>449</v>
      </c>
      <c r="C10116" t="s">
        <v>81</v>
      </c>
      <c r="D10116" t="s">
        <v>82</v>
      </c>
      <c r="E10116" t="s">
        <v>92</v>
      </c>
      <c r="F10116">
        <v>1600</v>
      </c>
      <c r="G10116" t="s">
        <v>331</v>
      </c>
      <c r="H10116" s="15">
        <v>45870</v>
      </c>
      <c r="I10116">
        <v>1600</v>
      </c>
      <c r="J10116">
        <v>0</v>
      </c>
    </row>
    <row r="10117" spans="1:10" x14ac:dyDescent="0.3">
      <c r="A10117" s="15">
        <v>46357</v>
      </c>
      <c r="B10117" t="s">
        <v>450</v>
      </c>
      <c r="C10117" t="s">
        <v>81</v>
      </c>
      <c r="D10117" t="s">
        <v>86</v>
      </c>
      <c r="E10117" t="s">
        <v>89</v>
      </c>
      <c r="F10117">
        <v>1900</v>
      </c>
      <c r="G10117" t="s">
        <v>331</v>
      </c>
      <c r="H10117" s="15">
        <v>45901</v>
      </c>
      <c r="I10117">
        <v>1900</v>
      </c>
      <c r="J10117">
        <v>0</v>
      </c>
    </row>
    <row r="10118" spans="1:10" x14ac:dyDescent="0.3">
      <c r="A10118" s="15">
        <v>46357</v>
      </c>
      <c r="B10118" t="s">
        <v>452</v>
      </c>
      <c r="C10118" t="s">
        <v>91</v>
      </c>
      <c r="D10118" t="s">
        <v>86</v>
      </c>
      <c r="E10118" t="s">
        <v>92</v>
      </c>
      <c r="F10118">
        <v>7500</v>
      </c>
      <c r="G10118" t="s">
        <v>331</v>
      </c>
      <c r="H10118" s="15">
        <v>45901</v>
      </c>
      <c r="I10118">
        <v>7500</v>
      </c>
      <c r="J10118">
        <v>0</v>
      </c>
    </row>
    <row r="10119" spans="1:10" x14ac:dyDescent="0.3">
      <c r="A10119" s="15">
        <v>46357</v>
      </c>
      <c r="B10119" t="s">
        <v>454</v>
      </c>
      <c r="C10119" t="s">
        <v>91</v>
      </c>
      <c r="D10119" t="s">
        <v>82</v>
      </c>
      <c r="E10119" t="s">
        <v>89</v>
      </c>
      <c r="F10119">
        <v>6200</v>
      </c>
      <c r="G10119" t="s">
        <v>331</v>
      </c>
      <c r="H10119" s="15">
        <v>45901</v>
      </c>
      <c r="I10119">
        <v>6200</v>
      </c>
      <c r="J10119">
        <v>0</v>
      </c>
    </row>
    <row r="10120" spans="1:10" x14ac:dyDescent="0.3">
      <c r="A10120" s="15">
        <v>46357</v>
      </c>
      <c r="B10120" t="s">
        <v>455</v>
      </c>
      <c r="C10120" t="s">
        <v>125</v>
      </c>
      <c r="D10120" t="s">
        <v>99</v>
      </c>
      <c r="E10120" t="s">
        <v>103</v>
      </c>
      <c r="F10120">
        <v>75900</v>
      </c>
      <c r="G10120" t="s">
        <v>331</v>
      </c>
      <c r="H10120" s="15">
        <v>45901</v>
      </c>
      <c r="I10120">
        <v>75900</v>
      </c>
      <c r="J10120">
        <v>0</v>
      </c>
    </row>
    <row r="10121" spans="1:10" x14ac:dyDescent="0.3">
      <c r="A10121" s="15">
        <v>46357</v>
      </c>
      <c r="B10121" t="s">
        <v>457</v>
      </c>
      <c r="C10121" t="s">
        <v>81</v>
      </c>
      <c r="D10121" t="s">
        <v>86</v>
      </c>
      <c r="E10121" t="s">
        <v>89</v>
      </c>
      <c r="F10121">
        <v>2600</v>
      </c>
      <c r="G10121" t="s">
        <v>331</v>
      </c>
      <c r="H10121" s="15">
        <v>45931</v>
      </c>
      <c r="I10121">
        <v>2600</v>
      </c>
      <c r="J10121">
        <v>0</v>
      </c>
    </row>
    <row r="10122" spans="1:10" x14ac:dyDescent="0.3">
      <c r="A10122" s="15">
        <v>46357</v>
      </c>
      <c r="B10122" t="s">
        <v>458</v>
      </c>
      <c r="C10122" t="s">
        <v>91</v>
      </c>
      <c r="D10122" t="s">
        <v>86</v>
      </c>
      <c r="E10122" t="s">
        <v>83</v>
      </c>
      <c r="F10122">
        <v>8900</v>
      </c>
      <c r="G10122" t="s">
        <v>331</v>
      </c>
      <c r="H10122" s="15">
        <v>45931</v>
      </c>
      <c r="I10122">
        <v>8900</v>
      </c>
      <c r="J10122">
        <v>0</v>
      </c>
    </row>
    <row r="10123" spans="1:10" x14ac:dyDescent="0.3">
      <c r="A10123" s="15">
        <v>46357</v>
      </c>
      <c r="B10123" t="s">
        <v>461</v>
      </c>
      <c r="C10123" t="s">
        <v>81</v>
      </c>
      <c r="D10123" t="s">
        <v>86</v>
      </c>
      <c r="E10123" t="s">
        <v>92</v>
      </c>
      <c r="F10123">
        <v>1700</v>
      </c>
      <c r="G10123" t="s">
        <v>331</v>
      </c>
      <c r="H10123" s="15">
        <v>45931</v>
      </c>
      <c r="I10123">
        <v>1700</v>
      </c>
      <c r="J10123">
        <v>0</v>
      </c>
    </row>
    <row r="10124" spans="1:10" x14ac:dyDescent="0.3">
      <c r="A10124" s="15">
        <v>46357</v>
      </c>
      <c r="B10124" t="s">
        <v>462</v>
      </c>
      <c r="C10124" t="s">
        <v>81</v>
      </c>
      <c r="D10124" t="s">
        <v>86</v>
      </c>
      <c r="E10124" t="s">
        <v>92</v>
      </c>
      <c r="F10124">
        <v>2000</v>
      </c>
      <c r="G10124" t="s">
        <v>331</v>
      </c>
      <c r="H10124" s="15">
        <v>45931</v>
      </c>
      <c r="I10124">
        <v>2000</v>
      </c>
      <c r="J10124">
        <v>0</v>
      </c>
    </row>
    <row r="10125" spans="1:10" x14ac:dyDescent="0.3">
      <c r="A10125" s="15">
        <v>46357</v>
      </c>
      <c r="B10125" t="s">
        <v>464</v>
      </c>
      <c r="C10125" t="s">
        <v>91</v>
      </c>
      <c r="D10125" t="s">
        <v>99</v>
      </c>
      <c r="E10125" t="s">
        <v>87</v>
      </c>
      <c r="F10125">
        <v>6000</v>
      </c>
      <c r="G10125" t="s">
        <v>331</v>
      </c>
      <c r="H10125" s="15">
        <v>45962</v>
      </c>
      <c r="I10125">
        <v>6000</v>
      </c>
      <c r="J10125">
        <v>0</v>
      </c>
    </row>
    <row r="10126" spans="1:10" x14ac:dyDescent="0.3">
      <c r="A10126" s="15">
        <v>46357</v>
      </c>
      <c r="B10126" t="s">
        <v>466</v>
      </c>
      <c r="C10126" t="s">
        <v>81</v>
      </c>
      <c r="D10126" t="s">
        <v>99</v>
      </c>
      <c r="E10126" t="s">
        <v>92</v>
      </c>
      <c r="F10126">
        <v>1400</v>
      </c>
      <c r="G10126" t="s">
        <v>331</v>
      </c>
      <c r="H10126" s="15">
        <v>45962</v>
      </c>
      <c r="I10126">
        <v>1400</v>
      </c>
      <c r="J10126">
        <v>0</v>
      </c>
    </row>
    <row r="10127" spans="1:10" x14ac:dyDescent="0.3">
      <c r="A10127" s="15">
        <v>46357</v>
      </c>
      <c r="B10127" t="s">
        <v>467</v>
      </c>
      <c r="C10127" t="s">
        <v>91</v>
      </c>
      <c r="D10127" t="s">
        <v>86</v>
      </c>
      <c r="E10127" t="s">
        <v>89</v>
      </c>
      <c r="F10127">
        <v>0</v>
      </c>
      <c r="G10127" t="s">
        <v>333</v>
      </c>
      <c r="H10127" s="15">
        <v>45962</v>
      </c>
      <c r="I10127">
        <v>8200</v>
      </c>
      <c r="J10127">
        <v>-8200</v>
      </c>
    </row>
    <row r="10128" spans="1:10" x14ac:dyDescent="0.3">
      <c r="A10128" s="15">
        <v>46357</v>
      </c>
      <c r="B10128" t="s">
        <v>469</v>
      </c>
      <c r="C10128" t="s">
        <v>81</v>
      </c>
      <c r="D10128" t="s">
        <v>86</v>
      </c>
      <c r="E10128" t="s">
        <v>87</v>
      </c>
      <c r="F10128">
        <v>2000</v>
      </c>
      <c r="G10128" t="s">
        <v>331</v>
      </c>
      <c r="H10128" s="15">
        <v>45992</v>
      </c>
      <c r="I10128">
        <v>2000</v>
      </c>
      <c r="J10128">
        <v>0</v>
      </c>
    </row>
    <row r="10129" spans="1:10" x14ac:dyDescent="0.3">
      <c r="A10129" s="15">
        <v>46357</v>
      </c>
      <c r="B10129" t="s">
        <v>470</v>
      </c>
      <c r="C10129" t="s">
        <v>81</v>
      </c>
      <c r="D10129" t="s">
        <v>86</v>
      </c>
      <c r="E10129" t="s">
        <v>103</v>
      </c>
      <c r="F10129">
        <v>1600</v>
      </c>
      <c r="G10129" t="s">
        <v>331</v>
      </c>
      <c r="H10129" s="15">
        <v>45992</v>
      </c>
      <c r="I10129">
        <v>1600</v>
      </c>
      <c r="J10129">
        <v>0</v>
      </c>
    </row>
    <row r="10130" spans="1:10" x14ac:dyDescent="0.3">
      <c r="A10130" s="15">
        <v>46357</v>
      </c>
      <c r="B10130" t="s">
        <v>471</v>
      </c>
      <c r="C10130" t="s">
        <v>110</v>
      </c>
      <c r="D10130" t="s">
        <v>86</v>
      </c>
      <c r="E10130" t="s">
        <v>103</v>
      </c>
      <c r="F10130">
        <v>31000</v>
      </c>
      <c r="G10130" t="s">
        <v>331</v>
      </c>
      <c r="H10130" s="15">
        <v>45992</v>
      </c>
      <c r="I10130">
        <v>31000</v>
      </c>
      <c r="J10130">
        <v>0</v>
      </c>
    </row>
    <row r="10131" spans="1:10" x14ac:dyDescent="0.3">
      <c r="A10131" s="15">
        <v>46357</v>
      </c>
      <c r="B10131" t="s">
        <v>472</v>
      </c>
      <c r="C10131" t="s">
        <v>91</v>
      </c>
      <c r="D10131" t="s">
        <v>86</v>
      </c>
      <c r="E10131" t="s">
        <v>97</v>
      </c>
      <c r="F10131">
        <v>5600</v>
      </c>
      <c r="G10131" t="s">
        <v>332</v>
      </c>
      <c r="H10131" s="15">
        <v>45992</v>
      </c>
      <c r="I10131">
        <v>5100</v>
      </c>
      <c r="J10131">
        <v>500</v>
      </c>
    </row>
    <row r="10132" spans="1:10" x14ac:dyDescent="0.3">
      <c r="A10132" s="15">
        <v>46357</v>
      </c>
      <c r="B10132" t="s">
        <v>475</v>
      </c>
      <c r="C10132" t="s">
        <v>110</v>
      </c>
      <c r="D10132" t="s">
        <v>82</v>
      </c>
      <c r="E10132" t="s">
        <v>101</v>
      </c>
      <c r="F10132">
        <v>35000</v>
      </c>
      <c r="G10132" t="s">
        <v>331</v>
      </c>
      <c r="H10132" s="15">
        <v>45992</v>
      </c>
      <c r="I10132">
        <v>35000</v>
      </c>
      <c r="J10132">
        <v>0</v>
      </c>
    </row>
    <row r="10133" spans="1:10" x14ac:dyDescent="0.3">
      <c r="A10133" s="15">
        <v>46357</v>
      </c>
      <c r="B10133" t="s">
        <v>476</v>
      </c>
      <c r="C10133" t="s">
        <v>81</v>
      </c>
      <c r="D10133" t="s">
        <v>82</v>
      </c>
      <c r="E10133" t="s">
        <v>89</v>
      </c>
      <c r="F10133">
        <v>2600</v>
      </c>
      <c r="G10133" t="s">
        <v>331</v>
      </c>
      <c r="H10133" s="15">
        <v>45992</v>
      </c>
      <c r="I10133">
        <v>2600</v>
      </c>
      <c r="J10133">
        <v>0</v>
      </c>
    </row>
    <row r="10134" spans="1:10" x14ac:dyDescent="0.3">
      <c r="A10134" s="15">
        <v>46357</v>
      </c>
      <c r="B10134" t="s">
        <v>477</v>
      </c>
      <c r="C10134" t="s">
        <v>81</v>
      </c>
      <c r="D10134" t="s">
        <v>82</v>
      </c>
      <c r="E10134" t="s">
        <v>92</v>
      </c>
      <c r="F10134">
        <v>2100</v>
      </c>
      <c r="G10134" t="s">
        <v>331</v>
      </c>
      <c r="H10134" s="15">
        <v>46023</v>
      </c>
      <c r="I10134">
        <v>2100</v>
      </c>
      <c r="J10134">
        <v>0</v>
      </c>
    </row>
    <row r="10135" spans="1:10" x14ac:dyDescent="0.3">
      <c r="A10135" s="15">
        <v>46357</v>
      </c>
      <c r="B10135" t="s">
        <v>478</v>
      </c>
      <c r="C10135" t="s">
        <v>91</v>
      </c>
      <c r="D10135" t="s">
        <v>82</v>
      </c>
      <c r="E10135" t="s">
        <v>97</v>
      </c>
      <c r="F10135">
        <v>6500</v>
      </c>
      <c r="G10135" t="s">
        <v>331</v>
      </c>
      <c r="H10135" s="15">
        <v>46023</v>
      </c>
      <c r="I10135">
        <v>6500</v>
      </c>
      <c r="J10135">
        <v>0</v>
      </c>
    </row>
    <row r="10136" spans="1:10" x14ac:dyDescent="0.3">
      <c r="A10136" s="15">
        <v>46357</v>
      </c>
      <c r="B10136" t="s">
        <v>479</v>
      </c>
      <c r="C10136" t="s">
        <v>81</v>
      </c>
      <c r="D10136" t="s">
        <v>82</v>
      </c>
      <c r="E10136" t="s">
        <v>87</v>
      </c>
      <c r="F10136">
        <v>1800</v>
      </c>
      <c r="G10136" t="s">
        <v>331</v>
      </c>
      <c r="H10136" s="15">
        <v>46023</v>
      </c>
      <c r="I10136">
        <v>1800</v>
      </c>
      <c r="J10136">
        <v>0</v>
      </c>
    </row>
    <row r="10137" spans="1:10" x14ac:dyDescent="0.3">
      <c r="A10137" s="15">
        <v>46357</v>
      </c>
      <c r="B10137" t="s">
        <v>480</v>
      </c>
      <c r="C10137" t="s">
        <v>81</v>
      </c>
      <c r="D10137" t="s">
        <v>86</v>
      </c>
      <c r="E10137" t="s">
        <v>103</v>
      </c>
      <c r="F10137">
        <v>1600</v>
      </c>
      <c r="G10137" t="s">
        <v>331</v>
      </c>
      <c r="H10137" s="15">
        <v>46023</v>
      </c>
      <c r="I10137">
        <v>1600</v>
      </c>
      <c r="J10137">
        <v>0</v>
      </c>
    </row>
    <row r="10138" spans="1:10" x14ac:dyDescent="0.3">
      <c r="A10138" s="15">
        <v>46357</v>
      </c>
      <c r="B10138" t="s">
        <v>481</v>
      </c>
      <c r="C10138" t="s">
        <v>81</v>
      </c>
      <c r="D10138" t="s">
        <v>82</v>
      </c>
      <c r="E10138" t="s">
        <v>103</v>
      </c>
      <c r="F10138">
        <v>1800</v>
      </c>
      <c r="G10138" t="s">
        <v>331</v>
      </c>
      <c r="H10138" s="15">
        <v>46023</v>
      </c>
      <c r="I10138">
        <v>1800</v>
      </c>
      <c r="J10138">
        <v>0</v>
      </c>
    </row>
    <row r="10139" spans="1:10" x14ac:dyDescent="0.3">
      <c r="A10139" s="15">
        <v>46357</v>
      </c>
      <c r="B10139" t="s">
        <v>482</v>
      </c>
      <c r="C10139" t="s">
        <v>110</v>
      </c>
      <c r="D10139" t="s">
        <v>82</v>
      </c>
      <c r="E10139" t="s">
        <v>83</v>
      </c>
      <c r="F10139">
        <v>18100</v>
      </c>
      <c r="G10139" t="s">
        <v>331</v>
      </c>
      <c r="H10139" s="15">
        <v>46023</v>
      </c>
      <c r="I10139">
        <v>18100</v>
      </c>
      <c r="J10139">
        <v>0</v>
      </c>
    </row>
    <row r="10140" spans="1:10" x14ac:dyDescent="0.3">
      <c r="A10140" s="15">
        <v>46357</v>
      </c>
      <c r="B10140" t="s">
        <v>483</v>
      </c>
      <c r="C10140" t="s">
        <v>81</v>
      </c>
      <c r="D10140" t="s">
        <v>82</v>
      </c>
      <c r="E10140" t="s">
        <v>89</v>
      </c>
      <c r="F10140">
        <v>2000</v>
      </c>
      <c r="G10140" t="s">
        <v>331</v>
      </c>
      <c r="H10140" s="15">
        <v>46023</v>
      </c>
      <c r="I10140">
        <v>2000</v>
      </c>
      <c r="J10140">
        <v>0</v>
      </c>
    </row>
    <row r="10141" spans="1:10" x14ac:dyDescent="0.3">
      <c r="A10141" s="15">
        <v>46357</v>
      </c>
      <c r="B10141" t="s">
        <v>484</v>
      </c>
      <c r="C10141" t="s">
        <v>110</v>
      </c>
      <c r="D10141" t="s">
        <v>99</v>
      </c>
      <c r="E10141" t="s">
        <v>101</v>
      </c>
      <c r="F10141">
        <v>21400</v>
      </c>
      <c r="G10141" t="s">
        <v>331</v>
      </c>
      <c r="H10141" s="15">
        <v>46054</v>
      </c>
      <c r="I10141">
        <v>21400</v>
      </c>
      <c r="J10141">
        <v>0</v>
      </c>
    </row>
    <row r="10142" spans="1:10" x14ac:dyDescent="0.3">
      <c r="A10142" s="15">
        <v>46357</v>
      </c>
      <c r="B10142" t="s">
        <v>485</v>
      </c>
      <c r="C10142" t="s">
        <v>125</v>
      </c>
      <c r="D10142" t="s">
        <v>82</v>
      </c>
      <c r="E10142" t="s">
        <v>89</v>
      </c>
      <c r="F10142">
        <v>65800</v>
      </c>
      <c r="G10142" t="s">
        <v>331</v>
      </c>
      <c r="H10142" s="15">
        <v>46054</v>
      </c>
      <c r="I10142">
        <v>65800</v>
      </c>
      <c r="J10142">
        <v>0</v>
      </c>
    </row>
    <row r="10143" spans="1:10" x14ac:dyDescent="0.3">
      <c r="A10143" s="15">
        <v>46357</v>
      </c>
      <c r="B10143" t="s">
        <v>486</v>
      </c>
      <c r="C10143" t="s">
        <v>81</v>
      </c>
      <c r="D10143" t="s">
        <v>82</v>
      </c>
      <c r="E10143" t="s">
        <v>87</v>
      </c>
      <c r="F10143">
        <v>1500</v>
      </c>
      <c r="G10143" t="s">
        <v>331</v>
      </c>
      <c r="H10143" s="15">
        <v>46054</v>
      </c>
      <c r="I10143">
        <v>1500</v>
      </c>
      <c r="J10143">
        <v>0</v>
      </c>
    </row>
    <row r="10144" spans="1:10" x14ac:dyDescent="0.3">
      <c r="A10144" s="15">
        <v>46357</v>
      </c>
      <c r="B10144" t="s">
        <v>487</v>
      </c>
      <c r="C10144" t="s">
        <v>81</v>
      </c>
      <c r="D10144" t="s">
        <v>86</v>
      </c>
      <c r="E10144" t="s">
        <v>83</v>
      </c>
      <c r="F10144">
        <v>1800</v>
      </c>
      <c r="G10144" t="s">
        <v>331</v>
      </c>
      <c r="H10144" s="15">
        <v>46054</v>
      </c>
      <c r="I10144">
        <v>1800</v>
      </c>
      <c r="J10144">
        <v>0</v>
      </c>
    </row>
    <row r="10145" spans="1:10" x14ac:dyDescent="0.3">
      <c r="A10145" s="15">
        <v>46357</v>
      </c>
      <c r="B10145" t="s">
        <v>488</v>
      </c>
      <c r="C10145" t="s">
        <v>91</v>
      </c>
      <c r="D10145" t="s">
        <v>86</v>
      </c>
      <c r="E10145" t="s">
        <v>89</v>
      </c>
      <c r="F10145">
        <v>6800</v>
      </c>
      <c r="G10145" t="s">
        <v>331</v>
      </c>
      <c r="H10145" s="15">
        <v>46054</v>
      </c>
      <c r="I10145">
        <v>6800</v>
      </c>
      <c r="J10145">
        <v>0</v>
      </c>
    </row>
    <row r="10146" spans="1:10" x14ac:dyDescent="0.3">
      <c r="A10146" s="15">
        <v>46357</v>
      </c>
      <c r="B10146" t="s">
        <v>489</v>
      </c>
      <c r="C10146" t="s">
        <v>81</v>
      </c>
      <c r="D10146" t="s">
        <v>96</v>
      </c>
      <c r="E10146" t="s">
        <v>97</v>
      </c>
      <c r="F10146">
        <v>1600</v>
      </c>
      <c r="G10146" t="s">
        <v>331</v>
      </c>
      <c r="H10146" s="15">
        <v>46054</v>
      </c>
      <c r="I10146">
        <v>1600</v>
      </c>
      <c r="J10146">
        <v>0</v>
      </c>
    </row>
    <row r="10147" spans="1:10" x14ac:dyDescent="0.3">
      <c r="A10147" s="15">
        <v>46357</v>
      </c>
      <c r="B10147" t="s">
        <v>490</v>
      </c>
      <c r="C10147" t="s">
        <v>81</v>
      </c>
      <c r="D10147" t="s">
        <v>86</v>
      </c>
      <c r="E10147" t="s">
        <v>103</v>
      </c>
      <c r="F10147">
        <v>1800</v>
      </c>
      <c r="G10147" t="s">
        <v>331</v>
      </c>
      <c r="H10147" s="15">
        <v>46054</v>
      </c>
      <c r="I10147">
        <v>1800</v>
      </c>
      <c r="J10147">
        <v>0</v>
      </c>
    </row>
    <row r="10148" spans="1:10" x14ac:dyDescent="0.3">
      <c r="A10148" s="15">
        <v>46357</v>
      </c>
      <c r="B10148" t="s">
        <v>491</v>
      </c>
      <c r="C10148" t="s">
        <v>81</v>
      </c>
      <c r="D10148" t="s">
        <v>96</v>
      </c>
      <c r="E10148" t="s">
        <v>92</v>
      </c>
      <c r="F10148">
        <v>1600</v>
      </c>
      <c r="G10148" t="s">
        <v>334</v>
      </c>
      <c r="H10148" s="15">
        <v>46054</v>
      </c>
      <c r="I10148">
        <v>1800</v>
      </c>
      <c r="J10148">
        <v>-200</v>
      </c>
    </row>
    <row r="10149" spans="1:10" x14ac:dyDescent="0.3">
      <c r="A10149" s="15">
        <v>46357</v>
      </c>
      <c r="B10149" t="s">
        <v>492</v>
      </c>
      <c r="C10149" t="s">
        <v>81</v>
      </c>
      <c r="D10149" t="s">
        <v>99</v>
      </c>
      <c r="E10149" t="s">
        <v>92</v>
      </c>
      <c r="F10149">
        <v>1700</v>
      </c>
      <c r="G10149" t="s">
        <v>331</v>
      </c>
      <c r="H10149" s="15">
        <v>46082</v>
      </c>
      <c r="I10149">
        <v>1700</v>
      </c>
      <c r="J10149">
        <v>0</v>
      </c>
    </row>
    <row r="10150" spans="1:10" x14ac:dyDescent="0.3">
      <c r="A10150" s="15">
        <v>46357</v>
      </c>
      <c r="B10150" t="s">
        <v>493</v>
      </c>
      <c r="C10150" t="s">
        <v>81</v>
      </c>
      <c r="D10150" t="s">
        <v>96</v>
      </c>
      <c r="E10150" t="s">
        <v>101</v>
      </c>
      <c r="F10150">
        <v>1600</v>
      </c>
      <c r="G10150" t="s">
        <v>331</v>
      </c>
      <c r="H10150" s="15">
        <v>46082</v>
      </c>
      <c r="I10150">
        <v>1600</v>
      </c>
      <c r="J10150">
        <v>0</v>
      </c>
    </row>
    <row r="10151" spans="1:10" x14ac:dyDescent="0.3">
      <c r="A10151" s="15">
        <v>46357</v>
      </c>
      <c r="B10151" t="s">
        <v>494</v>
      </c>
      <c r="C10151" t="s">
        <v>110</v>
      </c>
      <c r="D10151" t="s">
        <v>82</v>
      </c>
      <c r="E10151" t="s">
        <v>103</v>
      </c>
      <c r="F10151">
        <v>21000</v>
      </c>
      <c r="G10151" t="s">
        <v>331</v>
      </c>
      <c r="H10151" s="15">
        <v>46082</v>
      </c>
      <c r="I10151">
        <v>21000</v>
      </c>
      <c r="J10151">
        <v>0</v>
      </c>
    </row>
    <row r="10152" spans="1:10" x14ac:dyDescent="0.3">
      <c r="A10152" s="15">
        <v>46357</v>
      </c>
      <c r="B10152" t="s">
        <v>496</v>
      </c>
      <c r="C10152" t="s">
        <v>110</v>
      </c>
      <c r="D10152" t="s">
        <v>99</v>
      </c>
      <c r="E10152" t="s">
        <v>97</v>
      </c>
      <c r="F10152">
        <v>16500</v>
      </c>
      <c r="G10152" t="s">
        <v>331</v>
      </c>
      <c r="H10152" s="15">
        <v>46082</v>
      </c>
      <c r="I10152">
        <v>16500</v>
      </c>
      <c r="J10152">
        <v>0</v>
      </c>
    </row>
    <row r="10153" spans="1:10" x14ac:dyDescent="0.3">
      <c r="A10153" s="15">
        <v>46357</v>
      </c>
      <c r="B10153" t="s">
        <v>497</v>
      </c>
      <c r="C10153" t="s">
        <v>91</v>
      </c>
      <c r="D10153" t="s">
        <v>86</v>
      </c>
      <c r="E10153" t="s">
        <v>97</v>
      </c>
      <c r="F10153">
        <v>4900</v>
      </c>
      <c r="G10153" t="s">
        <v>331</v>
      </c>
      <c r="H10153" s="15">
        <v>46082</v>
      </c>
      <c r="I10153">
        <v>4900</v>
      </c>
      <c r="J10153">
        <v>0</v>
      </c>
    </row>
    <row r="10154" spans="1:10" x14ac:dyDescent="0.3">
      <c r="A10154" s="15">
        <v>46357</v>
      </c>
      <c r="B10154" t="s">
        <v>498</v>
      </c>
      <c r="C10154" t="s">
        <v>91</v>
      </c>
      <c r="D10154" t="s">
        <v>82</v>
      </c>
      <c r="E10154" t="s">
        <v>83</v>
      </c>
      <c r="F10154">
        <v>7900</v>
      </c>
      <c r="G10154" t="s">
        <v>331</v>
      </c>
      <c r="H10154" s="15">
        <v>46113</v>
      </c>
      <c r="I10154">
        <v>7900</v>
      </c>
      <c r="J10154">
        <v>0</v>
      </c>
    </row>
    <row r="10155" spans="1:10" x14ac:dyDescent="0.3">
      <c r="A10155" s="15">
        <v>46357</v>
      </c>
      <c r="B10155" t="s">
        <v>499</v>
      </c>
      <c r="C10155" t="s">
        <v>91</v>
      </c>
      <c r="D10155" t="s">
        <v>82</v>
      </c>
      <c r="E10155" t="s">
        <v>101</v>
      </c>
      <c r="F10155">
        <v>7000</v>
      </c>
      <c r="G10155" t="s">
        <v>331</v>
      </c>
      <c r="H10155" s="15">
        <v>46113</v>
      </c>
      <c r="I10155">
        <v>7000</v>
      </c>
      <c r="J10155">
        <v>0</v>
      </c>
    </row>
    <row r="10156" spans="1:10" x14ac:dyDescent="0.3">
      <c r="A10156" s="15">
        <v>46357</v>
      </c>
      <c r="B10156" t="s">
        <v>500</v>
      </c>
      <c r="C10156" t="s">
        <v>81</v>
      </c>
      <c r="D10156" t="s">
        <v>86</v>
      </c>
      <c r="E10156" t="s">
        <v>83</v>
      </c>
      <c r="F10156">
        <v>2000</v>
      </c>
      <c r="G10156" t="s">
        <v>331</v>
      </c>
      <c r="H10156" s="15">
        <v>46113</v>
      </c>
      <c r="I10156">
        <v>2000</v>
      </c>
      <c r="J10156">
        <v>0</v>
      </c>
    </row>
    <row r="10157" spans="1:10" x14ac:dyDescent="0.3">
      <c r="A10157" s="15">
        <v>46357</v>
      </c>
      <c r="B10157" t="s">
        <v>501</v>
      </c>
      <c r="C10157" t="s">
        <v>110</v>
      </c>
      <c r="D10157" t="s">
        <v>86</v>
      </c>
      <c r="E10157" t="s">
        <v>97</v>
      </c>
      <c r="F10157">
        <v>24400</v>
      </c>
      <c r="G10157" t="s">
        <v>334</v>
      </c>
      <c r="H10157" s="15">
        <v>46113</v>
      </c>
      <c r="I10157">
        <v>27200</v>
      </c>
      <c r="J10157">
        <v>-2800</v>
      </c>
    </row>
    <row r="10158" spans="1:10" x14ac:dyDescent="0.3">
      <c r="A10158" s="15">
        <v>46357</v>
      </c>
      <c r="B10158" t="s">
        <v>502</v>
      </c>
      <c r="C10158" t="s">
        <v>81</v>
      </c>
      <c r="D10158" t="s">
        <v>99</v>
      </c>
      <c r="E10158" t="s">
        <v>83</v>
      </c>
      <c r="F10158">
        <v>2600</v>
      </c>
      <c r="G10158" t="s">
        <v>331</v>
      </c>
      <c r="H10158" s="15">
        <v>46113</v>
      </c>
      <c r="I10158">
        <v>2600</v>
      </c>
      <c r="J10158">
        <v>0</v>
      </c>
    </row>
    <row r="10159" spans="1:10" x14ac:dyDescent="0.3">
      <c r="A10159" s="15">
        <v>46357</v>
      </c>
      <c r="B10159" t="s">
        <v>503</v>
      </c>
      <c r="C10159" t="s">
        <v>110</v>
      </c>
      <c r="D10159" t="s">
        <v>86</v>
      </c>
      <c r="E10159" t="s">
        <v>87</v>
      </c>
      <c r="F10159">
        <v>43200</v>
      </c>
      <c r="G10159" t="s">
        <v>331</v>
      </c>
      <c r="H10159" s="15">
        <v>46113</v>
      </c>
      <c r="I10159">
        <v>43200</v>
      </c>
      <c r="J10159">
        <v>0</v>
      </c>
    </row>
    <row r="10160" spans="1:10" x14ac:dyDescent="0.3">
      <c r="A10160" s="15">
        <v>46357</v>
      </c>
      <c r="B10160" t="s">
        <v>504</v>
      </c>
      <c r="C10160" t="s">
        <v>81</v>
      </c>
      <c r="D10160" t="s">
        <v>86</v>
      </c>
      <c r="E10160" t="s">
        <v>103</v>
      </c>
      <c r="F10160">
        <v>1200</v>
      </c>
      <c r="G10160" t="s">
        <v>331</v>
      </c>
      <c r="H10160" s="15">
        <v>46113</v>
      </c>
      <c r="I10160">
        <v>1200</v>
      </c>
      <c r="J10160">
        <v>0</v>
      </c>
    </row>
    <row r="10161" spans="1:10" x14ac:dyDescent="0.3">
      <c r="A10161" s="15">
        <v>46357</v>
      </c>
      <c r="B10161" t="s">
        <v>505</v>
      </c>
      <c r="C10161" t="s">
        <v>81</v>
      </c>
      <c r="D10161" t="s">
        <v>86</v>
      </c>
      <c r="E10161" t="s">
        <v>97</v>
      </c>
      <c r="F10161">
        <v>2100</v>
      </c>
      <c r="G10161" t="s">
        <v>331</v>
      </c>
      <c r="H10161" s="15">
        <v>46113</v>
      </c>
      <c r="I10161">
        <v>2100</v>
      </c>
      <c r="J10161">
        <v>0</v>
      </c>
    </row>
    <row r="10162" spans="1:10" x14ac:dyDescent="0.3">
      <c r="A10162" s="15">
        <v>46357</v>
      </c>
      <c r="B10162" t="s">
        <v>506</v>
      </c>
      <c r="C10162" t="s">
        <v>91</v>
      </c>
      <c r="D10162" t="s">
        <v>82</v>
      </c>
      <c r="E10162" t="s">
        <v>89</v>
      </c>
      <c r="F10162">
        <v>5100</v>
      </c>
      <c r="G10162" t="s">
        <v>331</v>
      </c>
      <c r="H10162" s="15">
        <v>46113</v>
      </c>
      <c r="I10162">
        <v>5100</v>
      </c>
      <c r="J10162">
        <v>0</v>
      </c>
    </row>
    <row r="10163" spans="1:10" x14ac:dyDescent="0.3">
      <c r="A10163" s="15">
        <v>46357</v>
      </c>
      <c r="B10163" t="s">
        <v>507</v>
      </c>
      <c r="C10163" t="s">
        <v>81</v>
      </c>
      <c r="D10163" t="s">
        <v>86</v>
      </c>
      <c r="E10163" t="s">
        <v>89</v>
      </c>
      <c r="F10163">
        <v>1400</v>
      </c>
      <c r="G10163" t="s">
        <v>331</v>
      </c>
      <c r="H10163" s="15">
        <v>46143</v>
      </c>
      <c r="I10163">
        <v>1400</v>
      </c>
      <c r="J10163">
        <v>0</v>
      </c>
    </row>
    <row r="10164" spans="1:10" x14ac:dyDescent="0.3">
      <c r="A10164" s="15">
        <v>46357</v>
      </c>
      <c r="B10164" t="s">
        <v>508</v>
      </c>
      <c r="C10164" t="s">
        <v>91</v>
      </c>
      <c r="D10164" t="s">
        <v>82</v>
      </c>
      <c r="E10164" t="s">
        <v>83</v>
      </c>
      <c r="F10164">
        <v>8500</v>
      </c>
      <c r="G10164" t="s">
        <v>331</v>
      </c>
      <c r="H10164" s="15">
        <v>46143</v>
      </c>
      <c r="I10164">
        <v>8500</v>
      </c>
      <c r="J10164">
        <v>0</v>
      </c>
    </row>
    <row r="10165" spans="1:10" x14ac:dyDescent="0.3">
      <c r="A10165" s="15">
        <v>46357</v>
      </c>
      <c r="B10165" t="s">
        <v>509</v>
      </c>
      <c r="C10165" t="s">
        <v>91</v>
      </c>
      <c r="D10165" t="s">
        <v>86</v>
      </c>
      <c r="E10165" t="s">
        <v>103</v>
      </c>
      <c r="F10165">
        <v>8300</v>
      </c>
      <c r="G10165" t="s">
        <v>331</v>
      </c>
      <c r="H10165" s="15">
        <v>46143</v>
      </c>
      <c r="I10165">
        <v>8300</v>
      </c>
      <c r="J10165">
        <v>0</v>
      </c>
    </row>
    <row r="10166" spans="1:10" x14ac:dyDescent="0.3">
      <c r="A10166" s="15">
        <v>46357</v>
      </c>
      <c r="B10166" t="s">
        <v>510</v>
      </c>
      <c r="C10166" t="s">
        <v>91</v>
      </c>
      <c r="D10166" t="s">
        <v>86</v>
      </c>
      <c r="E10166" t="s">
        <v>101</v>
      </c>
      <c r="F10166">
        <v>8100</v>
      </c>
      <c r="G10166" t="s">
        <v>331</v>
      </c>
      <c r="H10166" s="15">
        <v>46143</v>
      </c>
      <c r="I10166">
        <v>8100</v>
      </c>
      <c r="J10166">
        <v>0</v>
      </c>
    </row>
    <row r="10167" spans="1:10" x14ac:dyDescent="0.3">
      <c r="A10167" s="15">
        <v>46357</v>
      </c>
      <c r="B10167" t="s">
        <v>511</v>
      </c>
      <c r="C10167" t="s">
        <v>91</v>
      </c>
      <c r="D10167" t="s">
        <v>99</v>
      </c>
      <c r="E10167" t="s">
        <v>101</v>
      </c>
      <c r="F10167">
        <v>7500</v>
      </c>
      <c r="G10167" t="s">
        <v>331</v>
      </c>
      <c r="H10167" s="15">
        <v>46143</v>
      </c>
      <c r="I10167">
        <v>7500</v>
      </c>
      <c r="J10167">
        <v>0</v>
      </c>
    </row>
    <row r="10168" spans="1:10" x14ac:dyDescent="0.3">
      <c r="A10168" s="15">
        <v>46357</v>
      </c>
      <c r="B10168" t="s">
        <v>512</v>
      </c>
      <c r="C10168" t="s">
        <v>110</v>
      </c>
      <c r="D10168" t="s">
        <v>96</v>
      </c>
      <c r="E10168" t="s">
        <v>103</v>
      </c>
      <c r="F10168">
        <v>30900</v>
      </c>
      <c r="G10168" t="s">
        <v>331</v>
      </c>
      <c r="H10168" s="15">
        <v>46143</v>
      </c>
      <c r="I10168">
        <v>30900</v>
      </c>
      <c r="J10168">
        <v>0</v>
      </c>
    </row>
    <row r="10169" spans="1:10" x14ac:dyDescent="0.3">
      <c r="A10169" s="15">
        <v>46357</v>
      </c>
      <c r="B10169" t="s">
        <v>513</v>
      </c>
      <c r="C10169" t="s">
        <v>91</v>
      </c>
      <c r="D10169" t="s">
        <v>96</v>
      </c>
      <c r="E10169" t="s">
        <v>103</v>
      </c>
      <c r="F10169">
        <v>7700</v>
      </c>
      <c r="G10169" t="s">
        <v>331</v>
      </c>
      <c r="H10169" s="15">
        <v>46143</v>
      </c>
      <c r="I10169">
        <v>7700</v>
      </c>
      <c r="J10169">
        <v>0</v>
      </c>
    </row>
    <row r="10170" spans="1:10" x14ac:dyDescent="0.3">
      <c r="A10170" s="15">
        <v>46357</v>
      </c>
      <c r="B10170" t="s">
        <v>514</v>
      </c>
      <c r="C10170" t="s">
        <v>81</v>
      </c>
      <c r="D10170" t="s">
        <v>99</v>
      </c>
      <c r="E10170" t="s">
        <v>92</v>
      </c>
      <c r="F10170">
        <v>2900</v>
      </c>
      <c r="G10170" t="s">
        <v>331</v>
      </c>
      <c r="H10170" s="15">
        <v>46174</v>
      </c>
      <c r="I10170">
        <v>2900</v>
      </c>
      <c r="J10170">
        <v>0</v>
      </c>
    </row>
    <row r="10171" spans="1:10" x14ac:dyDescent="0.3">
      <c r="A10171" s="15">
        <v>46357</v>
      </c>
      <c r="B10171" t="s">
        <v>515</v>
      </c>
      <c r="C10171" t="s">
        <v>110</v>
      </c>
      <c r="D10171" t="s">
        <v>86</v>
      </c>
      <c r="E10171" t="s">
        <v>101</v>
      </c>
      <c r="F10171">
        <v>32300</v>
      </c>
      <c r="G10171" t="s">
        <v>331</v>
      </c>
      <c r="H10171" s="15">
        <v>46174</v>
      </c>
      <c r="I10171">
        <v>32300</v>
      </c>
      <c r="J10171">
        <v>0</v>
      </c>
    </row>
    <row r="10172" spans="1:10" x14ac:dyDescent="0.3">
      <c r="A10172" s="15">
        <v>46357</v>
      </c>
      <c r="B10172" t="s">
        <v>516</v>
      </c>
      <c r="C10172" t="s">
        <v>81</v>
      </c>
      <c r="D10172" t="s">
        <v>99</v>
      </c>
      <c r="E10172" t="s">
        <v>89</v>
      </c>
      <c r="F10172">
        <v>1500</v>
      </c>
      <c r="G10172" t="s">
        <v>331</v>
      </c>
      <c r="H10172" s="15">
        <v>46174</v>
      </c>
      <c r="I10172">
        <v>1500</v>
      </c>
      <c r="J10172">
        <v>0</v>
      </c>
    </row>
    <row r="10173" spans="1:10" x14ac:dyDescent="0.3">
      <c r="A10173" s="15">
        <v>46357</v>
      </c>
      <c r="B10173" t="s">
        <v>517</v>
      </c>
      <c r="C10173" t="s">
        <v>91</v>
      </c>
      <c r="D10173" t="s">
        <v>82</v>
      </c>
      <c r="E10173" t="s">
        <v>97</v>
      </c>
      <c r="F10173">
        <v>6100</v>
      </c>
      <c r="G10173" t="s">
        <v>331</v>
      </c>
      <c r="H10173" s="15">
        <v>46174</v>
      </c>
      <c r="I10173">
        <v>6100</v>
      </c>
      <c r="J10173">
        <v>0</v>
      </c>
    </row>
    <row r="10174" spans="1:10" x14ac:dyDescent="0.3">
      <c r="A10174" s="15">
        <v>46357</v>
      </c>
      <c r="B10174" t="s">
        <v>518</v>
      </c>
      <c r="C10174" t="s">
        <v>110</v>
      </c>
      <c r="D10174" t="s">
        <v>96</v>
      </c>
      <c r="E10174" t="s">
        <v>103</v>
      </c>
      <c r="F10174">
        <v>26100</v>
      </c>
      <c r="G10174" t="s">
        <v>331</v>
      </c>
      <c r="H10174" s="15">
        <v>46174</v>
      </c>
      <c r="I10174">
        <v>26100</v>
      </c>
      <c r="J10174">
        <v>0</v>
      </c>
    </row>
    <row r="10175" spans="1:10" x14ac:dyDescent="0.3">
      <c r="A10175" s="15">
        <v>46357</v>
      </c>
      <c r="B10175" t="s">
        <v>519</v>
      </c>
      <c r="C10175" t="s">
        <v>91</v>
      </c>
      <c r="D10175" t="s">
        <v>86</v>
      </c>
      <c r="E10175" t="s">
        <v>89</v>
      </c>
      <c r="F10175">
        <v>7400</v>
      </c>
      <c r="G10175" t="s">
        <v>331</v>
      </c>
      <c r="H10175" s="15">
        <v>46174</v>
      </c>
      <c r="I10175">
        <v>7400</v>
      </c>
      <c r="J10175">
        <v>0</v>
      </c>
    </row>
    <row r="10176" spans="1:10" x14ac:dyDescent="0.3">
      <c r="A10176" s="15">
        <v>46357</v>
      </c>
      <c r="B10176" t="s">
        <v>520</v>
      </c>
      <c r="C10176" t="s">
        <v>91</v>
      </c>
      <c r="D10176" t="s">
        <v>86</v>
      </c>
      <c r="E10176" t="s">
        <v>101</v>
      </c>
      <c r="F10176">
        <v>5900</v>
      </c>
      <c r="G10176" t="s">
        <v>331</v>
      </c>
      <c r="H10176" s="15">
        <v>46174</v>
      </c>
      <c r="I10176">
        <v>5900</v>
      </c>
      <c r="J10176">
        <v>0</v>
      </c>
    </row>
    <row r="10177" spans="1:10" x14ac:dyDescent="0.3">
      <c r="A10177" s="15">
        <v>46357</v>
      </c>
      <c r="B10177" t="s">
        <v>521</v>
      </c>
      <c r="C10177" t="s">
        <v>81</v>
      </c>
      <c r="D10177" t="s">
        <v>86</v>
      </c>
      <c r="E10177" t="s">
        <v>97</v>
      </c>
      <c r="F10177">
        <v>1800</v>
      </c>
      <c r="G10177" t="s">
        <v>331</v>
      </c>
      <c r="H10177" s="15">
        <v>46174</v>
      </c>
      <c r="I10177">
        <v>1800</v>
      </c>
      <c r="J10177">
        <v>0</v>
      </c>
    </row>
    <row r="10178" spans="1:10" x14ac:dyDescent="0.3">
      <c r="A10178" s="15">
        <v>46357</v>
      </c>
      <c r="B10178" t="s">
        <v>522</v>
      </c>
      <c r="C10178" t="s">
        <v>91</v>
      </c>
      <c r="D10178" t="s">
        <v>86</v>
      </c>
      <c r="E10178" t="s">
        <v>92</v>
      </c>
      <c r="F10178">
        <v>4600</v>
      </c>
      <c r="G10178" t="s">
        <v>331</v>
      </c>
      <c r="H10178" s="15">
        <v>46174</v>
      </c>
      <c r="I10178">
        <v>4600</v>
      </c>
      <c r="J10178">
        <v>0</v>
      </c>
    </row>
    <row r="10179" spans="1:10" x14ac:dyDescent="0.3">
      <c r="A10179" s="15">
        <v>46357</v>
      </c>
      <c r="B10179" t="s">
        <v>523</v>
      </c>
      <c r="C10179" t="s">
        <v>91</v>
      </c>
      <c r="D10179" t="s">
        <v>82</v>
      </c>
      <c r="E10179" t="s">
        <v>97</v>
      </c>
      <c r="F10179">
        <v>6900</v>
      </c>
      <c r="G10179" t="s">
        <v>331</v>
      </c>
      <c r="H10179" s="15">
        <v>46174</v>
      </c>
      <c r="I10179">
        <v>6900</v>
      </c>
      <c r="J10179">
        <v>0</v>
      </c>
    </row>
    <row r="10180" spans="1:10" x14ac:dyDescent="0.3">
      <c r="A10180" s="15">
        <v>46357</v>
      </c>
      <c r="B10180" t="s">
        <v>524</v>
      </c>
      <c r="C10180" t="s">
        <v>81</v>
      </c>
      <c r="D10180" t="s">
        <v>99</v>
      </c>
      <c r="E10180" t="s">
        <v>83</v>
      </c>
      <c r="F10180">
        <v>1600</v>
      </c>
      <c r="G10180" t="s">
        <v>331</v>
      </c>
      <c r="H10180" s="15">
        <v>46204</v>
      </c>
      <c r="I10180">
        <v>1600</v>
      </c>
      <c r="J10180">
        <v>0</v>
      </c>
    </row>
    <row r="10181" spans="1:10" x14ac:dyDescent="0.3">
      <c r="A10181" s="15">
        <v>46357</v>
      </c>
      <c r="B10181" t="s">
        <v>525</v>
      </c>
      <c r="C10181" t="s">
        <v>81</v>
      </c>
      <c r="D10181" t="s">
        <v>82</v>
      </c>
      <c r="E10181" t="s">
        <v>92</v>
      </c>
      <c r="F10181">
        <v>1500</v>
      </c>
      <c r="G10181" t="s">
        <v>331</v>
      </c>
      <c r="H10181" s="15">
        <v>46204</v>
      </c>
      <c r="I10181">
        <v>1500</v>
      </c>
      <c r="J10181">
        <v>0</v>
      </c>
    </row>
    <row r="10182" spans="1:10" x14ac:dyDescent="0.3">
      <c r="A10182" s="15">
        <v>46357</v>
      </c>
      <c r="B10182" t="s">
        <v>526</v>
      </c>
      <c r="C10182" t="s">
        <v>81</v>
      </c>
      <c r="D10182" t="s">
        <v>96</v>
      </c>
      <c r="E10182" t="s">
        <v>87</v>
      </c>
      <c r="F10182">
        <v>1500</v>
      </c>
      <c r="G10182" t="s">
        <v>331</v>
      </c>
      <c r="H10182" s="15">
        <v>46204</v>
      </c>
      <c r="I10182">
        <v>1500</v>
      </c>
      <c r="J10182">
        <v>0</v>
      </c>
    </row>
    <row r="10183" spans="1:10" x14ac:dyDescent="0.3">
      <c r="A10183" s="15">
        <v>46357</v>
      </c>
      <c r="B10183" t="s">
        <v>527</v>
      </c>
      <c r="C10183" t="s">
        <v>81</v>
      </c>
      <c r="D10183" t="s">
        <v>99</v>
      </c>
      <c r="E10183" t="s">
        <v>89</v>
      </c>
      <c r="F10183">
        <v>1500</v>
      </c>
      <c r="G10183" t="s">
        <v>331</v>
      </c>
      <c r="H10183" s="15">
        <v>46204</v>
      </c>
      <c r="I10183">
        <v>1500</v>
      </c>
      <c r="J10183">
        <v>0</v>
      </c>
    </row>
    <row r="10184" spans="1:10" x14ac:dyDescent="0.3">
      <c r="A10184" s="15">
        <v>46357</v>
      </c>
      <c r="B10184" t="s">
        <v>528</v>
      </c>
      <c r="C10184" t="s">
        <v>81</v>
      </c>
      <c r="D10184" t="s">
        <v>82</v>
      </c>
      <c r="E10184" t="s">
        <v>103</v>
      </c>
      <c r="F10184">
        <v>1700</v>
      </c>
      <c r="G10184" t="s">
        <v>331</v>
      </c>
      <c r="H10184" s="15">
        <v>46204</v>
      </c>
      <c r="I10184">
        <v>1700</v>
      </c>
      <c r="J10184">
        <v>0</v>
      </c>
    </row>
    <row r="10185" spans="1:10" x14ac:dyDescent="0.3">
      <c r="A10185" s="15">
        <v>46357</v>
      </c>
      <c r="B10185" t="s">
        <v>529</v>
      </c>
      <c r="C10185" t="s">
        <v>81</v>
      </c>
      <c r="D10185" t="s">
        <v>99</v>
      </c>
      <c r="E10185" t="s">
        <v>92</v>
      </c>
      <c r="F10185">
        <v>1500</v>
      </c>
      <c r="G10185" t="s">
        <v>331</v>
      </c>
      <c r="H10185" s="15">
        <v>46204</v>
      </c>
      <c r="I10185">
        <v>1500</v>
      </c>
      <c r="J10185">
        <v>0</v>
      </c>
    </row>
    <row r="10186" spans="1:10" x14ac:dyDescent="0.3">
      <c r="A10186" s="15">
        <v>46357</v>
      </c>
      <c r="B10186" t="s">
        <v>530</v>
      </c>
      <c r="C10186" t="s">
        <v>110</v>
      </c>
      <c r="D10186" t="s">
        <v>82</v>
      </c>
      <c r="E10186" t="s">
        <v>89</v>
      </c>
      <c r="F10186">
        <v>27600</v>
      </c>
      <c r="G10186" t="s">
        <v>331</v>
      </c>
      <c r="H10186" s="15">
        <v>46204</v>
      </c>
      <c r="I10186">
        <v>27600</v>
      </c>
      <c r="J10186">
        <v>0</v>
      </c>
    </row>
    <row r="10187" spans="1:10" x14ac:dyDescent="0.3">
      <c r="A10187" s="15">
        <v>46357</v>
      </c>
      <c r="B10187" t="s">
        <v>531</v>
      </c>
      <c r="C10187" t="s">
        <v>110</v>
      </c>
      <c r="D10187" t="s">
        <v>82</v>
      </c>
      <c r="E10187" t="s">
        <v>89</v>
      </c>
      <c r="F10187">
        <v>19800</v>
      </c>
      <c r="G10187" t="s">
        <v>331</v>
      </c>
      <c r="H10187" s="15">
        <v>46204</v>
      </c>
      <c r="I10187">
        <v>19800</v>
      </c>
      <c r="J10187">
        <v>0</v>
      </c>
    </row>
    <row r="10188" spans="1:10" x14ac:dyDescent="0.3">
      <c r="A10188" s="15">
        <v>46357</v>
      </c>
      <c r="B10188" t="s">
        <v>532</v>
      </c>
      <c r="C10188" t="s">
        <v>91</v>
      </c>
      <c r="D10188" t="s">
        <v>82</v>
      </c>
      <c r="E10188" t="s">
        <v>89</v>
      </c>
      <c r="F10188">
        <v>7000</v>
      </c>
      <c r="G10188" t="s">
        <v>331</v>
      </c>
      <c r="H10188" s="15">
        <v>46235</v>
      </c>
      <c r="I10188">
        <v>7000</v>
      </c>
      <c r="J10188">
        <v>0</v>
      </c>
    </row>
    <row r="10189" spans="1:10" x14ac:dyDescent="0.3">
      <c r="A10189" s="15">
        <v>46357</v>
      </c>
      <c r="B10189" t="s">
        <v>533</v>
      </c>
      <c r="C10189" t="s">
        <v>91</v>
      </c>
      <c r="D10189" t="s">
        <v>96</v>
      </c>
      <c r="E10189" t="s">
        <v>83</v>
      </c>
      <c r="F10189">
        <v>5500</v>
      </c>
      <c r="G10189" t="s">
        <v>331</v>
      </c>
      <c r="H10189" s="15">
        <v>46235</v>
      </c>
      <c r="I10189">
        <v>5500</v>
      </c>
      <c r="J10189">
        <v>0</v>
      </c>
    </row>
    <row r="10190" spans="1:10" x14ac:dyDescent="0.3">
      <c r="A10190" s="15">
        <v>46357</v>
      </c>
      <c r="B10190" t="s">
        <v>534</v>
      </c>
      <c r="C10190" t="s">
        <v>81</v>
      </c>
      <c r="D10190" t="s">
        <v>82</v>
      </c>
      <c r="E10190" t="s">
        <v>101</v>
      </c>
      <c r="F10190">
        <v>2000</v>
      </c>
      <c r="G10190" t="s">
        <v>331</v>
      </c>
      <c r="H10190" s="15">
        <v>46235</v>
      </c>
      <c r="I10190">
        <v>2000</v>
      </c>
      <c r="J10190">
        <v>0</v>
      </c>
    </row>
    <row r="10191" spans="1:10" x14ac:dyDescent="0.3">
      <c r="A10191" s="15">
        <v>46357</v>
      </c>
      <c r="B10191" t="s">
        <v>535</v>
      </c>
      <c r="C10191" t="s">
        <v>110</v>
      </c>
      <c r="D10191" t="s">
        <v>82</v>
      </c>
      <c r="E10191" t="s">
        <v>83</v>
      </c>
      <c r="F10191">
        <v>20100</v>
      </c>
      <c r="G10191" t="s">
        <v>331</v>
      </c>
      <c r="H10191" s="15">
        <v>46235</v>
      </c>
      <c r="I10191">
        <v>20100</v>
      </c>
      <c r="J10191">
        <v>0</v>
      </c>
    </row>
    <row r="10192" spans="1:10" x14ac:dyDescent="0.3">
      <c r="A10192" s="15">
        <v>46357</v>
      </c>
      <c r="B10192" t="s">
        <v>536</v>
      </c>
      <c r="C10192" t="s">
        <v>81</v>
      </c>
      <c r="D10192" t="s">
        <v>99</v>
      </c>
      <c r="E10192" t="s">
        <v>97</v>
      </c>
      <c r="F10192">
        <v>1700</v>
      </c>
      <c r="G10192" t="s">
        <v>331</v>
      </c>
      <c r="H10192" s="15">
        <v>46235</v>
      </c>
      <c r="I10192">
        <v>1700</v>
      </c>
      <c r="J10192">
        <v>0</v>
      </c>
    </row>
    <row r="10193" spans="1:10" x14ac:dyDescent="0.3">
      <c r="A10193" s="15">
        <v>46357</v>
      </c>
      <c r="B10193" t="s">
        <v>537</v>
      </c>
      <c r="C10193" t="s">
        <v>110</v>
      </c>
      <c r="D10193" t="s">
        <v>99</v>
      </c>
      <c r="E10193" t="s">
        <v>87</v>
      </c>
      <c r="F10193">
        <v>37600</v>
      </c>
      <c r="G10193" t="s">
        <v>331</v>
      </c>
      <c r="H10193" s="15">
        <v>46235</v>
      </c>
      <c r="I10193">
        <v>37600</v>
      </c>
      <c r="J10193">
        <v>0</v>
      </c>
    </row>
    <row r="10194" spans="1:10" x14ac:dyDescent="0.3">
      <c r="A10194" s="15">
        <v>46357</v>
      </c>
      <c r="B10194" t="s">
        <v>538</v>
      </c>
      <c r="C10194" t="s">
        <v>81</v>
      </c>
      <c r="D10194" t="s">
        <v>99</v>
      </c>
      <c r="E10194" t="s">
        <v>89</v>
      </c>
      <c r="F10194">
        <v>2200</v>
      </c>
      <c r="G10194" t="s">
        <v>331</v>
      </c>
      <c r="H10194" s="15">
        <v>46235</v>
      </c>
      <c r="I10194">
        <v>2200</v>
      </c>
      <c r="J10194">
        <v>0</v>
      </c>
    </row>
    <row r="10195" spans="1:10" x14ac:dyDescent="0.3">
      <c r="A10195" s="15">
        <v>46357</v>
      </c>
      <c r="B10195" t="s">
        <v>539</v>
      </c>
      <c r="C10195" t="s">
        <v>81</v>
      </c>
      <c r="D10195" t="s">
        <v>86</v>
      </c>
      <c r="E10195" t="s">
        <v>89</v>
      </c>
      <c r="F10195">
        <v>2400</v>
      </c>
      <c r="G10195" t="s">
        <v>331</v>
      </c>
      <c r="H10195" s="15">
        <v>46235</v>
      </c>
      <c r="I10195">
        <v>2400</v>
      </c>
      <c r="J10195">
        <v>0</v>
      </c>
    </row>
    <row r="10196" spans="1:10" x14ac:dyDescent="0.3">
      <c r="A10196" s="15">
        <v>46357</v>
      </c>
      <c r="B10196" t="s">
        <v>540</v>
      </c>
      <c r="C10196" t="s">
        <v>81</v>
      </c>
      <c r="D10196" t="s">
        <v>82</v>
      </c>
      <c r="E10196" t="s">
        <v>92</v>
      </c>
      <c r="F10196">
        <v>2400</v>
      </c>
      <c r="G10196" t="s">
        <v>331</v>
      </c>
      <c r="H10196" s="15">
        <v>46266</v>
      </c>
      <c r="I10196">
        <v>2400</v>
      </c>
      <c r="J10196">
        <v>0</v>
      </c>
    </row>
    <row r="10197" spans="1:10" x14ac:dyDescent="0.3">
      <c r="A10197" s="15">
        <v>46357</v>
      </c>
      <c r="B10197" t="s">
        <v>541</v>
      </c>
      <c r="C10197" t="s">
        <v>81</v>
      </c>
      <c r="D10197" t="s">
        <v>99</v>
      </c>
      <c r="E10197" t="s">
        <v>89</v>
      </c>
      <c r="F10197">
        <v>2000</v>
      </c>
      <c r="G10197" t="s">
        <v>331</v>
      </c>
      <c r="H10197" s="15">
        <v>46266</v>
      </c>
      <c r="I10197">
        <v>2000</v>
      </c>
      <c r="J10197">
        <v>0</v>
      </c>
    </row>
    <row r="10198" spans="1:10" x14ac:dyDescent="0.3">
      <c r="A10198" s="15">
        <v>46357</v>
      </c>
      <c r="B10198" t="s">
        <v>542</v>
      </c>
      <c r="C10198" t="s">
        <v>125</v>
      </c>
      <c r="D10198" t="s">
        <v>82</v>
      </c>
      <c r="E10198" t="s">
        <v>87</v>
      </c>
      <c r="F10198">
        <v>70300</v>
      </c>
      <c r="G10198" t="s">
        <v>331</v>
      </c>
      <c r="H10198" s="15">
        <v>46266</v>
      </c>
      <c r="I10198">
        <v>70300</v>
      </c>
      <c r="J10198">
        <v>0</v>
      </c>
    </row>
    <row r="10199" spans="1:10" x14ac:dyDescent="0.3">
      <c r="A10199" s="15">
        <v>46357</v>
      </c>
      <c r="B10199" t="s">
        <v>543</v>
      </c>
      <c r="C10199" t="s">
        <v>91</v>
      </c>
      <c r="D10199" t="s">
        <v>86</v>
      </c>
      <c r="E10199" t="s">
        <v>101</v>
      </c>
      <c r="F10199">
        <v>6800</v>
      </c>
      <c r="G10199" t="s">
        <v>331</v>
      </c>
      <c r="H10199" s="15">
        <v>46266</v>
      </c>
      <c r="I10199">
        <v>6800</v>
      </c>
      <c r="J10199">
        <v>0</v>
      </c>
    </row>
    <row r="10200" spans="1:10" x14ac:dyDescent="0.3">
      <c r="A10200" s="15">
        <v>46357</v>
      </c>
      <c r="B10200" t="s">
        <v>544</v>
      </c>
      <c r="C10200" t="s">
        <v>81</v>
      </c>
      <c r="D10200" t="s">
        <v>99</v>
      </c>
      <c r="E10200" t="s">
        <v>87</v>
      </c>
      <c r="F10200">
        <v>2500</v>
      </c>
      <c r="G10200" t="s">
        <v>331</v>
      </c>
      <c r="H10200" s="15">
        <v>46266</v>
      </c>
      <c r="I10200">
        <v>2500</v>
      </c>
      <c r="J10200">
        <v>0</v>
      </c>
    </row>
    <row r="10201" spans="1:10" x14ac:dyDescent="0.3">
      <c r="A10201" s="15">
        <v>46357</v>
      </c>
      <c r="B10201" t="s">
        <v>545</v>
      </c>
      <c r="C10201" t="s">
        <v>91</v>
      </c>
      <c r="D10201" t="s">
        <v>82</v>
      </c>
      <c r="E10201" t="s">
        <v>97</v>
      </c>
      <c r="F10201">
        <v>5000</v>
      </c>
      <c r="G10201" t="s">
        <v>331</v>
      </c>
      <c r="H10201" s="15">
        <v>46266</v>
      </c>
      <c r="I10201">
        <v>5000</v>
      </c>
      <c r="J10201">
        <v>0</v>
      </c>
    </row>
    <row r="10202" spans="1:10" x14ac:dyDescent="0.3">
      <c r="A10202" s="15">
        <v>46357</v>
      </c>
      <c r="B10202" t="s">
        <v>546</v>
      </c>
      <c r="C10202" t="s">
        <v>91</v>
      </c>
      <c r="D10202" t="s">
        <v>99</v>
      </c>
      <c r="E10202" t="s">
        <v>101</v>
      </c>
      <c r="F10202">
        <v>7200</v>
      </c>
      <c r="G10202" t="s">
        <v>331</v>
      </c>
      <c r="H10202" s="15">
        <v>46266</v>
      </c>
      <c r="I10202">
        <v>7200</v>
      </c>
      <c r="J10202">
        <v>0</v>
      </c>
    </row>
    <row r="10203" spans="1:10" x14ac:dyDescent="0.3">
      <c r="A10203" s="15">
        <v>46357</v>
      </c>
      <c r="B10203" t="s">
        <v>547</v>
      </c>
      <c r="C10203" t="s">
        <v>110</v>
      </c>
      <c r="D10203" t="s">
        <v>82</v>
      </c>
      <c r="E10203" t="s">
        <v>89</v>
      </c>
      <c r="F10203">
        <v>41400</v>
      </c>
      <c r="G10203" t="s">
        <v>331</v>
      </c>
      <c r="H10203" s="15">
        <v>46296</v>
      </c>
      <c r="I10203">
        <v>41400</v>
      </c>
      <c r="J10203">
        <v>0</v>
      </c>
    </row>
    <row r="10204" spans="1:10" x14ac:dyDescent="0.3">
      <c r="A10204" s="15">
        <v>46357</v>
      </c>
      <c r="B10204" t="s">
        <v>548</v>
      </c>
      <c r="C10204" t="s">
        <v>81</v>
      </c>
      <c r="D10204" t="s">
        <v>99</v>
      </c>
      <c r="E10204" t="s">
        <v>87</v>
      </c>
      <c r="F10204">
        <v>2700</v>
      </c>
      <c r="G10204" t="s">
        <v>331</v>
      </c>
      <c r="H10204" s="15">
        <v>46296</v>
      </c>
      <c r="I10204">
        <v>2700</v>
      </c>
      <c r="J10204">
        <v>0</v>
      </c>
    </row>
    <row r="10205" spans="1:10" x14ac:dyDescent="0.3">
      <c r="A10205" s="15">
        <v>46357</v>
      </c>
      <c r="B10205" t="s">
        <v>549</v>
      </c>
      <c r="C10205" t="s">
        <v>91</v>
      </c>
      <c r="D10205" t="s">
        <v>86</v>
      </c>
      <c r="E10205" t="s">
        <v>87</v>
      </c>
      <c r="F10205">
        <v>6100</v>
      </c>
      <c r="G10205" t="s">
        <v>331</v>
      </c>
      <c r="H10205" s="15">
        <v>46296</v>
      </c>
      <c r="I10205">
        <v>6100</v>
      </c>
      <c r="J10205">
        <v>0</v>
      </c>
    </row>
    <row r="10206" spans="1:10" x14ac:dyDescent="0.3">
      <c r="A10206" s="15">
        <v>46357</v>
      </c>
      <c r="B10206" t="s">
        <v>550</v>
      </c>
      <c r="C10206" t="s">
        <v>91</v>
      </c>
      <c r="D10206" t="s">
        <v>82</v>
      </c>
      <c r="E10206" t="s">
        <v>92</v>
      </c>
      <c r="F10206">
        <v>6000</v>
      </c>
      <c r="G10206" t="s">
        <v>331</v>
      </c>
      <c r="H10206" s="15">
        <v>46296</v>
      </c>
      <c r="I10206">
        <v>6000</v>
      </c>
      <c r="J10206">
        <v>0</v>
      </c>
    </row>
    <row r="10207" spans="1:10" x14ac:dyDescent="0.3">
      <c r="A10207" s="15">
        <v>46357</v>
      </c>
      <c r="B10207" t="s">
        <v>551</v>
      </c>
      <c r="C10207" t="s">
        <v>110</v>
      </c>
      <c r="D10207" t="s">
        <v>86</v>
      </c>
      <c r="E10207" t="s">
        <v>92</v>
      </c>
      <c r="F10207">
        <v>34900</v>
      </c>
      <c r="G10207" t="s">
        <v>331</v>
      </c>
      <c r="H10207" s="15">
        <v>46296</v>
      </c>
      <c r="I10207">
        <v>34900</v>
      </c>
      <c r="J10207">
        <v>0</v>
      </c>
    </row>
    <row r="10208" spans="1:10" x14ac:dyDescent="0.3">
      <c r="A10208" s="15">
        <v>46357</v>
      </c>
      <c r="B10208" t="s">
        <v>552</v>
      </c>
      <c r="C10208" t="s">
        <v>81</v>
      </c>
      <c r="D10208" t="s">
        <v>82</v>
      </c>
      <c r="E10208" t="s">
        <v>89</v>
      </c>
      <c r="F10208">
        <v>2300</v>
      </c>
      <c r="G10208" t="s">
        <v>331</v>
      </c>
      <c r="H10208" s="15">
        <v>46296</v>
      </c>
      <c r="I10208">
        <v>2300</v>
      </c>
      <c r="J10208">
        <v>0</v>
      </c>
    </row>
    <row r="10209" spans="1:10" x14ac:dyDescent="0.3">
      <c r="A10209" s="15">
        <v>46357</v>
      </c>
      <c r="B10209" t="s">
        <v>553</v>
      </c>
      <c r="C10209" t="s">
        <v>91</v>
      </c>
      <c r="D10209" t="s">
        <v>82</v>
      </c>
      <c r="E10209" t="s">
        <v>101</v>
      </c>
      <c r="F10209">
        <v>8300</v>
      </c>
      <c r="G10209" t="s">
        <v>331</v>
      </c>
      <c r="H10209" s="15">
        <v>46296</v>
      </c>
      <c r="I10209">
        <v>8300</v>
      </c>
      <c r="J10209">
        <v>0</v>
      </c>
    </row>
    <row r="10210" spans="1:10" x14ac:dyDescent="0.3">
      <c r="A10210" s="15">
        <v>46357</v>
      </c>
      <c r="B10210" t="s">
        <v>554</v>
      </c>
      <c r="C10210" t="s">
        <v>110</v>
      </c>
      <c r="D10210" t="s">
        <v>96</v>
      </c>
      <c r="E10210" t="s">
        <v>97</v>
      </c>
      <c r="F10210">
        <v>19700</v>
      </c>
      <c r="G10210" t="s">
        <v>331</v>
      </c>
      <c r="H10210" s="15">
        <v>46327</v>
      </c>
      <c r="I10210">
        <v>19700</v>
      </c>
      <c r="J10210">
        <v>0</v>
      </c>
    </row>
    <row r="10211" spans="1:10" x14ac:dyDescent="0.3">
      <c r="A10211" s="15">
        <v>46357</v>
      </c>
      <c r="B10211" t="s">
        <v>555</v>
      </c>
      <c r="C10211" t="s">
        <v>125</v>
      </c>
      <c r="D10211" t="s">
        <v>99</v>
      </c>
      <c r="E10211" t="s">
        <v>103</v>
      </c>
      <c r="F10211">
        <v>61400</v>
      </c>
      <c r="G10211" t="s">
        <v>331</v>
      </c>
      <c r="H10211" s="15">
        <v>46327</v>
      </c>
      <c r="I10211">
        <v>61400</v>
      </c>
      <c r="J10211">
        <v>0</v>
      </c>
    </row>
    <row r="10212" spans="1:10" x14ac:dyDescent="0.3">
      <c r="A10212" s="15">
        <v>46357</v>
      </c>
      <c r="B10212" t="s">
        <v>556</v>
      </c>
      <c r="C10212" t="s">
        <v>91</v>
      </c>
      <c r="D10212" t="s">
        <v>82</v>
      </c>
      <c r="E10212" t="s">
        <v>97</v>
      </c>
      <c r="F10212">
        <v>8800</v>
      </c>
      <c r="G10212" t="s">
        <v>331</v>
      </c>
      <c r="H10212" s="15">
        <v>46327</v>
      </c>
      <c r="I10212">
        <v>8800</v>
      </c>
      <c r="J10212">
        <v>0</v>
      </c>
    </row>
    <row r="10213" spans="1:10" x14ac:dyDescent="0.3">
      <c r="A10213" s="15">
        <v>46357</v>
      </c>
      <c r="B10213" t="s">
        <v>557</v>
      </c>
      <c r="C10213" t="s">
        <v>81</v>
      </c>
      <c r="D10213" t="s">
        <v>86</v>
      </c>
      <c r="E10213" t="s">
        <v>92</v>
      </c>
      <c r="F10213">
        <v>2400</v>
      </c>
      <c r="G10213" t="s">
        <v>331</v>
      </c>
      <c r="H10213" s="15">
        <v>46327</v>
      </c>
      <c r="I10213">
        <v>2400</v>
      </c>
      <c r="J10213">
        <v>0</v>
      </c>
    </row>
    <row r="10214" spans="1:10" x14ac:dyDescent="0.3">
      <c r="A10214" s="15">
        <v>46357</v>
      </c>
      <c r="B10214" t="s">
        <v>558</v>
      </c>
      <c r="C10214" t="s">
        <v>81</v>
      </c>
      <c r="D10214" t="s">
        <v>86</v>
      </c>
      <c r="E10214" t="s">
        <v>103</v>
      </c>
      <c r="F10214">
        <v>1800</v>
      </c>
      <c r="G10214" t="s">
        <v>331</v>
      </c>
      <c r="H10214" s="15">
        <v>46327</v>
      </c>
      <c r="I10214">
        <v>1800</v>
      </c>
      <c r="J10214">
        <v>0</v>
      </c>
    </row>
    <row r="10215" spans="1:10" x14ac:dyDescent="0.3">
      <c r="A10215" s="15">
        <v>46357</v>
      </c>
      <c r="B10215" t="s">
        <v>559</v>
      </c>
      <c r="C10215" t="s">
        <v>91</v>
      </c>
      <c r="D10215" t="s">
        <v>96</v>
      </c>
      <c r="E10215" t="s">
        <v>101</v>
      </c>
      <c r="F10215">
        <v>5400</v>
      </c>
      <c r="G10215" t="s">
        <v>331</v>
      </c>
      <c r="H10215" s="15">
        <v>46327</v>
      </c>
      <c r="I10215">
        <v>5400</v>
      </c>
      <c r="J10215">
        <v>0</v>
      </c>
    </row>
    <row r="10216" spans="1:10" x14ac:dyDescent="0.3">
      <c r="A10216" s="15">
        <v>46357</v>
      </c>
      <c r="B10216" t="s">
        <v>560</v>
      </c>
      <c r="C10216" t="s">
        <v>91</v>
      </c>
      <c r="D10216" t="s">
        <v>82</v>
      </c>
      <c r="E10216" t="s">
        <v>89</v>
      </c>
      <c r="F10216">
        <v>4900</v>
      </c>
      <c r="G10216" t="s">
        <v>331</v>
      </c>
      <c r="H10216" s="15">
        <v>46327</v>
      </c>
      <c r="I10216">
        <v>4900</v>
      </c>
      <c r="J10216">
        <v>0</v>
      </c>
    </row>
    <row r="10217" spans="1:10" x14ac:dyDescent="0.3">
      <c r="A10217" s="15">
        <v>46357</v>
      </c>
      <c r="B10217" t="s">
        <v>561</v>
      </c>
      <c r="C10217" t="s">
        <v>110</v>
      </c>
      <c r="D10217" t="s">
        <v>86</v>
      </c>
      <c r="E10217" t="s">
        <v>103</v>
      </c>
      <c r="F10217">
        <v>29800</v>
      </c>
      <c r="G10217" t="s">
        <v>331</v>
      </c>
      <c r="H10217" s="15">
        <v>46327</v>
      </c>
      <c r="I10217">
        <v>29800</v>
      </c>
      <c r="J10217">
        <v>0</v>
      </c>
    </row>
    <row r="10218" spans="1:10" x14ac:dyDescent="0.3">
      <c r="A10218" s="15">
        <v>46357</v>
      </c>
      <c r="B10218" t="s">
        <v>562</v>
      </c>
      <c r="C10218" t="s">
        <v>91</v>
      </c>
      <c r="D10218" t="s">
        <v>86</v>
      </c>
      <c r="E10218" t="s">
        <v>101</v>
      </c>
      <c r="F10218">
        <v>5400</v>
      </c>
      <c r="G10218" t="s">
        <v>84</v>
      </c>
      <c r="H10218" s="15">
        <v>46357</v>
      </c>
      <c r="I10218">
        <v>0</v>
      </c>
      <c r="J10218">
        <v>5400</v>
      </c>
    </row>
    <row r="10219" spans="1:10" x14ac:dyDescent="0.3">
      <c r="A10219" s="15">
        <v>46357</v>
      </c>
      <c r="B10219" t="s">
        <v>563</v>
      </c>
      <c r="C10219" t="s">
        <v>81</v>
      </c>
      <c r="D10219" t="s">
        <v>82</v>
      </c>
      <c r="E10219" t="s">
        <v>92</v>
      </c>
      <c r="F10219">
        <v>1400</v>
      </c>
      <c r="G10219" t="s">
        <v>84</v>
      </c>
      <c r="H10219" s="15">
        <v>46357</v>
      </c>
      <c r="I10219">
        <v>0</v>
      </c>
      <c r="J10219">
        <v>1400</v>
      </c>
    </row>
    <row r="10220" spans="1:10" x14ac:dyDescent="0.3">
      <c r="A10220" s="15">
        <v>46357</v>
      </c>
      <c r="B10220" t="s">
        <v>564</v>
      </c>
      <c r="C10220" t="s">
        <v>110</v>
      </c>
      <c r="D10220" t="s">
        <v>86</v>
      </c>
      <c r="E10220" t="s">
        <v>83</v>
      </c>
      <c r="F10220">
        <v>19500</v>
      </c>
      <c r="G10220" t="s">
        <v>84</v>
      </c>
      <c r="H10220" s="15">
        <v>46357</v>
      </c>
      <c r="I10220">
        <v>0</v>
      </c>
      <c r="J10220">
        <v>19500</v>
      </c>
    </row>
    <row r="10221" spans="1:10" x14ac:dyDescent="0.3">
      <c r="A10221" s="15">
        <v>46357</v>
      </c>
      <c r="B10221" t="s">
        <v>565</v>
      </c>
      <c r="C10221" t="s">
        <v>81</v>
      </c>
      <c r="D10221" t="s">
        <v>86</v>
      </c>
      <c r="E10221" t="s">
        <v>87</v>
      </c>
      <c r="F10221">
        <v>1400</v>
      </c>
      <c r="G10221" t="s">
        <v>84</v>
      </c>
      <c r="H10221" s="15">
        <v>46357</v>
      </c>
      <c r="I10221">
        <v>0</v>
      </c>
      <c r="J10221">
        <v>1400</v>
      </c>
    </row>
    <row r="10222" spans="1:10" x14ac:dyDescent="0.3">
      <c r="A10222" s="15">
        <v>46357</v>
      </c>
      <c r="B10222" t="s">
        <v>566</v>
      </c>
      <c r="C10222" t="s">
        <v>81</v>
      </c>
      <c r="D10222" t="s">
        <v>99</v>
      </c>
      <c r="E10222" t="s">
        <v>87</v>
      </c>
      <c r="F10222">
        <v>1600</v>
      </c>
      <c r="G10222" t="s">
        <v>84</v>
      </c>
      <c r="H10222" s="15">
        <v>46357</v>
      </c>
      <c r="I10222">
        <v>0</v>
      </c>
      <c r="J10222">
        <v>1600</v>
      </c>
    </row>
    <row r="10223" spans="1:10" x14ac:dyDescent="0.3">
      <c r="A10223" s="15">
        <v>46357</v>
      </c>
      <c r="B10223" t="s">
        <v>567</v>
      </c>
      <c r="C10223" t="s">
        <v>81</v>
      </c>
      <c r="D10223" t="s">
        <v>99</v>
      </c>
      <c r="E10223" t="s">
        <v>83</v>
      </c>
      <c r="F10223">
        <v>1400</v>
      </c>
      <c r="G10223" t="s">
        <v>84</v>
      </c>
      <c r="H10223" s="15">
        <v>46357</v>
      </c>
      <c r="I10223">
        <v>0</v>
      </c>
      <c r="J10223">
        <v>1400</v>
      </c>
    </row>
    <row r="10224" spans="1:10" x14ac:dyDescent="0.3">
      <c r="A10224" s="15">
        <v>46357</v>
      </c>
      <c r="B10224" t="s">
        <v>568</v>
      </c>
      <c r="C10224" t="s">
        <v>81</v>
      </c>
      <c r="D10224" t="s">
        <v>82</v>
      </c>
      <c r="E10224" t="s">
        <v>101</v>
      </c>
      <c r="F10224">
        <v>1800</v>
      </c>
      <c r="G10224" t="s">
        <v>84</v>
      </c>
      <c r="H10224" s="15">
        <v>46357</v>
      </c>
      <c r="I10224">
        <v>0</v>
      </c>
      <c r="J10224">
        <v>1800</v>
      </c>
    </row>
    <row r="10225" spans="1:10" x14ac:dyDescent="0.3">
      <c r="A10225" s="15">
        <v>46357</v>
      </c>
      <c r="B10225" t="s">
        <v>569</v>
      </c>
      <c r="C10225" t="s">
        <v>91</v>
      </c>
      <c r="D10225" t="s">
        <v>86</v>
      </c>
      <c r="E10225" t="s">
        <v>103</v>
      </c>
      <c r="F10225">
        <v>7500</v>
      </c>
      <c r="G10225" t="s">
        <v>84</v>
      </c>
      <c r="H10225" s="15">
        <v>46357</v>
      </c>
      <c r="I10225">
        <v>0</v>
      </c>
      <c r="J10225">
        <v>7500</v>
      </c>
    </row>
    <row r="10226" spans="1:10" x14ac:dyDescent="0.3">
      <c r="A10226" s="15">
        <v>46357</v>
      </c>
      <c r="B10226" t="s">
        <v>570</v>
      </c>
      <c r="C10226" t="s">
        <v>81</v>
      </c>
      <c r="D10226" t="s">
        <v>99</v>
      </c>
      <c r="E10226" t="s">
        <v>87</v>
      </c>
      <c r="F10226">
        <v>2300</v>
      </c>
      <c r="G10226" t="s">
        <v>84</v>
      </c>
      <c r="H10226" s="15">
        <v>46357</v>
      </c>
      <c r="I10226">
        <v>0</v>
      </c>
      <c r="J10226">
        <v>2300</v>
      </c>
    </row>
  </sheetData>
  <autoFilter ref="A3:J10226" xr:uid="{00000000-0009-0000-0000-000002000000}"/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0"/>
  <sheetViews>
    <sheetView showGridLines="0"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" customWidth="1"/>
    <col min="2" max="2" width="30" customWidth="1"/>
    <col min="3" max="14" width="13" customWidth="1"/>
  </cols>
  <sheetData>
    <row r="1" spans="1:14" ht="34.049999999999997" customHeight="1" x14ac:dyDescent="0.3">
      <c r="A1" s="28" t="s">
        <v>571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</row>
    <row r="2" spans="1:14" ht="15" customHeight="1" x14ac:dyDescent="0.3"/>
    <row r="3" spans="1:14" ht="15" customHeight="1" x14ac:dyDescent="0.3">
      <c r="B3" s="5"/>
      <c r="C3" s="16">
        <v>46023</v>
      </c>
      <c r="D3" s="16">
        <v>46054</v>
      </c>
      <c r="E3" s="16">
        <v>46082</v>
      </c>
      <c r="F3" s="16">
        <v>46113</v>
      </c>
      <c r="G3" s="16">
        <v>46143</v>
      </c>
      <c r="H3" s="16">
        <v>46174</v>
      </c>
      <c r="I3" s="16">
        <v>46204</v>
      </c>
      <c r="J3" s="16">
        <v>46235</v>
      </c>
      <c r="K3" s="16">
        <v>46266</v>
      </c>
      <c r="L3" s="16">
        <v>46296</v>
      </c>
      <c r="M3" s="16">
        <v>46327</v>
      </c>
      <c r="N3" s="16">
        <v>46357</v>
      </c>
    </row>
    <row r="4" spans="1:14" ht="15" customHeight="1" x14ac:dyDescent="0.3">
      <c r="B4" s="17" t="s">
        <v>572</v>
      </c>
      <c r="C4" s="18">
        <f>IF(C$3=DATE(2026,1,1),SUMIFS('Customer ARR Ledger'!$F$4:$F$10226,'Customer ARR Ledger'!$A$4:$A$10226,DATE(2025,12,1))*12,B10)</f>
        <v>48393600</v>
      </c>
      <c r="D4" s="18">
        <f>IF(D$3=DATE(2026,1,1),SUMIFS('Customer ARR Ledger'!$F$4:$F$10226,'Customer ARR Ledger'!$A$4:$A$10226,DATE(2025,12,1))*12,C10)</f>
        <v>48380400</v>
      </c>
      <c r="E4" s="18">
        <f>IF(E$3=DATE(2026,1,1),SUMIFS('Customer ARR Ledger'!$F$4:$F$10226,'Customer ARR Ledger'!$A$4:$A$10226,DATE(2025,12,1))*12,D10)</f>
        <v>47478000</v>
      </c>
      <c r="F4" s="18">
        <f>IF(F$3=DATE(2026,1,1),SUMIFS('Customer ARR Ledger'!$F$4:$F$10226,'Customer ARR Ledger'!$A$4:$A$10226,DATE(2025,12,1))*12,E10)</f>
        <v>47031600</v>
      </c>
      <c r="G4" s="18">
        <f>IF(G$3=DATE(2026,1,1),SUMIFS('Customer ARR Ledger'!$F$4:$F$10226,'Customer ARR Ledger'!$A$4:$A$10226,DATE(2025,12,1))*12,F10)</f>
        <v>48093600</v>
      </c>
      <c r="H4" s="18">
        <f>IF(H$3=DATE(2026,1,1),SUMIFS('Customer ARR Ledger'!$F$4:$F$10226,'Customer ARR Ledger'!$A$4:$A$10226,DATE(2025,12,1))*12,G10)</f>
        <v>47923200</v>
      </c>
      <c r="I4" s="18">
        <f>IF(I$3=DATE(2026,1,1),SUMIFS('Customer ARR Ledger'!$F$4:$F$10226,'Customer ARR Ledger'!$A$4:$A$10226,DATE(2025,12,1))*12,H10)</f>
        <v>48980400</v>
      </c>
      <c r="J4" s="18">
        <f>IF(J$3=DATE(2026,1,1),SUMIFS('Customer ARR Ledger'!$F$4:$F$10226,'Customer ARR Ledger'!$A$4:$A$10226,DATE(2025,12,1))*12,I10)</f>
        <v>49276800</v>
      </c>
      <c r="K4" s="18">
        <f>IF(K$3=DATE(2026,1,1),SUMIFS('Customer ARR Ledger'!$F$4:$F$10226,'Customer ARR Ledger'!$A$4:$A$10226,DATE(2025,12,1))*12,J10)</f>
        <v>49252800</v>
      </c>
      <c r="L4" s="18">
        <f>IF(L$3=DATE(2026,1,1),SUMIFS('Customer ARR Ledger'!$F$4:$F$10226,'Customer ARR Ledger'!$A$4:$A$10226,DATE(2025,12,1))*12,K10)</f>
        <v>50152800</v>
      </c>
      <c r="M4" s="18">
        <f>IF(M$3=DATE(2026,1,1),SUMIFS('Customer ARR Ledger'!$F$4:$F$10226,'Customer ARR Ledger'!$A$4:$A$10226,DATE(2025,12,1))*12,L10)</f>
        <v>50264400</v>
      </c>
      <c r="N4" s="18">
        <f>IF(N$3=DATE(2026,1,1),SUMIFS('Customer ARR Ledger'!$F$4:$F$10226,'Customer ARR Ledger'!$A$4:$A$10226,DATE(2025,12,1))*12,M10)</f>
        <v>51692400</v>
      </c>
    </row>
    <row r="5" spans="1:14" ht="15" customHeight="1" x14ac:dyDescent="0.3">
      <c r="B5" s="19" t="s">
        <v>573</v>
      </c>
      <c r="C5" s="18">
        <f>SUMIFS('Customer ARR Ledger'!$J$4:$J$10226,'Customer ARR Ledger'!$A$4:$A$10226,C$3,'Customer ARR Ledger'!$G$4:$G$10226,"new")*12</f>
        <v>403200</v>
      </c>
      <c r="D5" s="18">
        <f>SUMIFS('Customer ARR Ledger'!$J$4:$J$10226,'Customer ARR Ledger'!$A$4:$A$10226,D$3,'Customer ARR Ledger'!$G$4:$G$10226,"new")*12</f>
        <v>1225200</v>
      </c>
      <c r="E5" s="18">
        <f>SUMIFS('Customer ARR Ledger'!$J$4:$J$10226,'Customer ARR Ledger'!$A$4:$A$10226,E$3,'Customer ARR Ledger'!$G$4:$G$10226,"new")*12</f>
        <v>564000</v>
      </c>
      <c r="F5" s="18">
        <f>SUMIFS('Customer ARR Ledger'!$J$4:$J$10226,'Customer ARR Ledger'!$A$4:$A$10226,F$3,'Customer ARR Ledger'!$G$4:$G$10226,"new")*12</f>
        <v>1141200</v>
      </c>
      <c r="G5" s="18">
        <f>SUMIFS('Customer ARR Ledger'!$J$4:$J$10226,'Customer ARR Ledger'!$A$4:$A$10226,G$3,'Customer ARR Ledger'!$G$4:$G$10226,"new")*12</f>
        <v>856800</v>
      </c>
      <c r="H5" s="18">
        <f>SUMIFS('Customer ARR Ledger'!$J$4:$J$10226,'Customer ARR Ledger'!$A$4:$A$10226,H$3,'Customer ARR Ledger'!$G$4:$G$10226,"new")*12</f>
        <v>1126800</v>
      </c>
      <c r="I5" s="18">
        <f>SUMIFS('Customer ARR Ledger'!$J$4:$J$10226,'Customer ARR Ledger'!$A$4:$A$10226,I$3,'Customer ARR Ledger'!$G$4:$G$10226,"new")*12</f>
        <v>642000</v>
      </c>
      <c r="J5" s="18">
        <f>SUMIFS('Customer ARR Ledger'!$J$4:$J$10226,'Customer ARR Ledger'!$A$4:$A$10226,J$3,'Customer ARR Ledger'!$G$4:$G$10226,"new")*12</f>
        <v>938400</v>
      </c>
      <c r="K5" s="18">
        <f>SUMIFS('Customer ARR Ledger'!$J$4:$J$10226,'Customer ARR Ledger'!$A$4:$A$10226,K$3,'Customer ARR Ledger'!$G$4:$G$10226,"new")*12</f>
        <v>1154400</v>
      </c>
      <c r="L5" s="18">
        <f>SUMIFS('Customer ARR Ledger'!$J$4:$J$10226,'Customer ARR Ledger'!$A$4:$A$10226,L$3,'Customer ARR Ledger'!$G$4:$G$10226,"new")*12</f>
        <v>1220400</v>
      </c>
      <c r="M5" s="18">
        <f>SUMIFS('Customer ARR Ledger'!$J$4:$J$10226,'Customer ARR Ledger'!$A$4:$A$10226,M$3,'Customer ARR Ledger'!$G$4:$G$10226,"new")*12</f>
        <v>1610400</v>
      </c>
      <c r="N5" s="18">
        <f>SUMIFS('Customer ARR Ledger'!$J$4:$J$10226,'Customer ARR Ledger'!$A$4:$A$10226,N$3,'Customer ARR Ledger'!$G$4:$G$10226,"new")*12</f>
        <v>507600</v>
      </c>
    </row>
    <row r="6" spans="1:14" ht="15" customHeight="1" x14ac:dyDescent="0.3">
      <c r="B6" s="19" t="s">
        <v>574</v>
      </c>
      <c r="C6" s="18">
        <f>SUMIFS('Customer ARR Ledger'!$J$4:$J$10226,'Customer ARR Ledger'!$A$4:$A$10226,C$3,'Customer ARR Ledger'!$G$4:$G$10226,"expanded")*12</f>
        <v>103200</v>
      </c>
      <c r="D6" s="18">
        <f>SUMIFS('Customer ARR Ledger'!$J$4:$J$10226,'Customer ARR Ledger'!$A$4:$A$10226,D$3,'Customer ARR Ledger'!$G$4:$G$10226,"expanded")*12</f>
        <v>18000</v>
      </c>
      <c r="E6" s="18">
        <f>SUMIFS('Customer ARR Ledger'!$J$4:$J$10226,'Customer ARR Ledger'!$A$4:$A$10226,E$3,'Customer ARR Ledger'!$G$4:$G$10226,"expanded")*12</f>
        <v>44400</v>
      </c>
      <c r="F6" s="18">
        <f>SUMIFS('Customer ARR Ledger'!$J$4:$J$10226,'Customer ARR Ledger'!$A$4:$A$10226,F$3,'Customer ARR Ledger'!$G$4:$G$10226,"expanded")*12</f>
        <v>170400</v>
      </c>
      <c r="G6" s="18">
        <f>SUMIFS('Customer ARR Ledger'!$J$4:$J$10226,'Customer ARR Ledger'!$A$4:$A$10226,G$3,'Customer ARR Ledger'!$G$4:$G$10226,"expanded")*12</f>
        <v>140400</v>
      </c>
      <c r="H6" s="18">
        <f>SUMIFS('Customer ARR Ledger'!$J$4:$J$10226,'Customer ARR Ledger'!$A$4:$A$10226,H$3,'Customer ARR Ledger'!$G$4:$G$10226,"expanded")*12</f>
        <v>192000</v>
      </c>
      <c r="I6" s="18">
        <f>SUMIFS('Customer ARR Ledger'!$J$4:$J$10226,'Customer ARR Ledger'!$A$4:$A$10226,I$3,'Customer ARR Ledger'!$G$4:$G$10226,"expanded")*12</f>
        <v>40800</v>
      </c>
      <c r="J6" s="18">
        <f>SUMIFS('Customer ARR Ledger'!$J$4:$J$10226,'Customer ARR Ledger'!$A$4:$A$10226,J$3,'Customer ARR Ledger'!$G$4:$G$10226,"expanded")*12</f>
        <v>52800</v>
      </c>
      <c r="K6" s="18">
        <f>SUMIFS('Customer ARR Ledger'!$J$4:$J$10226,'Customer ARR Ledger'!$A$4:$A$10226,K$3,'Customer ARR Ledger'!$G$4:$G$10226,"expanded")*12</f>
        <v>39600</v>
      </c>
      <c r="L6" s="18">
        <f>SUMIFS('Customer ARR Ledger'!$J$4:$J$10226,'Customer ARR Ledger'!$A$4:$A$10226,L$3,'Customer ARR Ledger'!$G$4:$G$10226,"expanded")*12</f>
        <v>84000</v>
      </c>
      <c r="M6" s="18">
        <f>SUMIFS('Customer ARR Ledger'!$J$4:$J$10226,'Customer ARR Ledger'!$A$4:$A$10226,M$3,'Customer ARR Ledger'!$G$4:$G$10226,"expanded")*12</f>
        <v>117600</v>
      </c>
      <c r="N6" s="18">
        <f>SUMIFS('Customer ARR Ledger'!$J$4:$J$10226,'Customer ARR Ledger'!$A$4:$A$10226,N$3,'Customer ARR Ledger'!$G$4:$G$10226,"expanded")*12</f>
        <v>51600</v>
      </c>
    </row>
    <row r="7" spans="1:14" ht="15" customHeight="1" x14ac:dyDescent="0.3">
      <c r="B7" s="19" t="s">
        <v>575</v>
      </c>
      <c r="C7" s="18">
        <f>-SUMIFS('Customer ARR Ledger'!$J$4:$J$10226,'Customer ARR Ledger'!$A$4:$A$10226,C$3,'Customer ARR Ledger'!$G$4:$G$10226,"contracted")*12</f>
        <v>43200</v>
      </c>
      <c r="D7" s="18">
        <f>-SUMIFS('Customer ARR Ledger'!$J$4:$J$10226,'Customer ARR Ledger'!$A$4:$A$10226,D$3,'Customer ARR Ledger'!$G$4:$G$10226,"contracted")*12</f>
        <v>279600</v>
      </c>
      <c r="E7" s="18">
        <f>-SUMIFS('Customer ARR Ledger'!$J$4:$J$10226,'Customer ARR Ledger'!$A$4:$A$10226,E$3,'Customer ARR Ledger'!$G$4:$G$10226,"contracted")*12</f>
        <v>79200</v>
      </c>
      <c r="F7" s="18">
        <f>-SUMIFS('Customer ARR Ledger'!$J$4:$J$10226,'Customer ARR Ledger'!$A$4:$A$10226,F$3,'Customer ARR Ledger'!$G$4:$G$10226,"contracted")*12</f>
        <v>94800</v>
      </c>
      <c r="G7" s="18">
        <f>-SUMIFS('Customer ARR Ledger'!$J$4:$J$10226,'Customer ARR Ledger'!$A$4:$A$10226,G$3,'Customer ARR Ledger'!$G$4:$G$10226,"contracted")*12</f>
        <v>39600</v>
      </c>
      <c r="H7" s="18">
        <f>-SUMIFS('Customer ARR Ledger'!$J$4:$J$10226,'Customer ARR Ledger'!$A$4:$A$10226,H$3,'Customer ARR Ledger'!$G$4:$G$10226,"contracted")*12</f>
        <v>64800</v>
      </c>
      <c r="I7" s="18">
        <f>-SUMIFS('Customer ARR Ledger'!$J$4:$J$10226,'Customer ARR Ledger'!$A$4:$A$10226,I$3,'Customer ARR Ledger'!$G$4:$G$10226,"contracted")*12</f>
        <v>344400</v>
      </c>
      <c r="J7" s="18">
        <f>-SUMIFS('Customer ARR Ledger'!$J$4:$J$10226,'Customer ARR Ledger'!$A$4:$A$10226,J$3,'Customer ARR Ledger'!$G$4:$G$10226,"contracted")*12</f>
        <v>10800</v>
      </c>
      <c r="K7" s="18">
        <f>-SUMIFS('Customer ARR Ledger'!$J$4:$J$10226,'Customer ARR Ledger'!$A$4:$A$10226,K$3,'Customer ARR Ledger'!$G$4:$G$10226,"contracted")*12</f>
        <v>44400</v>
      </c>
      <c r="L7" s="18">
        <f>-SUMIFS('Customer ARR Ledger'!$J$4:$J$10226,'Customer ARR Ledger'!$A$4:$A$10226,L$3,'Customer ARR Ledger'!$G$4:$G$10226,"contracted")*12</f>
        <v>153600</v>
      </c>
      <c r="M7" s="18">
        <f>-SUMIFS('Customer ARR Ledger'!$J$4:$J$10226,'Customer ARR Ledger'!$A$4:$A$10226,M$3,'Customer ARR Ledger'!$G$4:$G$10226,"contracted")*12</f>
        <v>2400</v>
      </c>
      <c r="N7" s="18">
        <f>-SUMIFS('Customer ARR Ledger'!$J$4:$J$10226,'Customer ARR Ledger'!$A$4:$A$10226,N$3,'Customer ARR Ledger'!$G$4:$G$10226,"contracted")*12</f>
        <v>49200</v>
      </c>
    </row>
    <row r="8" spans="1:14" ht="15" customHeight="1" x14ac:dyDescent="0.3">
      <c r="B8" s="19" t="s">
        <v>576</v>
      </c>
      <c r="C8" s="18">
        <f>-SUMIFS('Customer ARR Ledger'!$J$4:$J$10226,'Customer ARR Ledger'!$A$4:$A$10226,C$3,'Customer ARR Ledger'!$G$4:$G$10226,"churned")*12</f>
        <v>476400</v>
      </c>
      <c r="D8" s="18">
        <f>-SUMIFS('Customer ARR Ledger'!$J$4:$J$10226,'Customer ARR Ledger'!$A$4:$A$10226,D$3,'Customer ARR Ledger'!$G$4:$G$10226,"churned")*12</f>
        <v>1866000</v>
      </c>
      <c r="E8" s="18">
        <f>-SUMIFS('Customer ARR Ledger'!$J$4:$J$10226,'Customer ARR Ledger'!$A$4:$A$10226,E$3,'Customer ARR Ledger'!$G$4:$G$10226,"churned")*12</f>
        <v>975600</v>
      </c>
      <c r="F8" s="18">
        <f>-SUMIFS('Customer ARR Ledger'!$J$4:$J$10226,'Customer ARR Ledger'!$A$4:$A$10226,F$3,'Customer ARR Ledger'!$G$4:$G$10226,"churned")*12</f>
        <v>154800</v>
      </c>
      <c r="G8" s="18">
        <f>-SUMIFS('Customer ARR Ledger'!$J$4:$J$10226,'Customer ARR Ledger'!$A$4:$A$10226,G$3,'Customer ARR Ledger'!$G$4:$G$10226,"churned")*12</f>
        <v>1128000</v>
      </c>
      <c r="H8" s="18">
        <f>-SUMIFS('Customer ARR Ledger'!$J$4:$J$10226,'Customer ARR Ledger'!$A$4:$A$10226,H$3,'Customer ARR Ledger'!$G$4:$G$10226,"churned")*12</f>
        <v>196800</v>
      </c>
      <c r="I8" s="18">
        <f>-SUMIFS('Customer ARR Ledger'!$J$4:$J$10226,'Customer ARR Ledger'!$A$4:$A$10226,I$3,'Customer ARR Ledger'!$G$4:$G$10226,"churned")*12</f>
        <v>42000</v>
      </c>
      <c r="J8" s="18">
        <f>-SUMIFS('Customer ARR Ledger'!$J$4:$J$10226,'Customer ARR Ledger'!$A$4:$A$10226,J$3,'Customer ARR Ledger'!$G$4:$G$10226,"churned")*12</f>
        <v>1004400</v>
      </c>
      <c r="K8" s="18">
        <f>-SUMIFS('Customer ARR Ledger'!$J$4:$J$10226,'Customer ARR Ledger'!$A$4:$A$10226,K$3,'Customer ARR Ledger'!$G$4:$G$10226,"churned")*12</f>
        <v>249600</v>
      </c>
      <c r="L8" s="18">
        <f>-SUMIFS('Customer ARR Ledger'!$J$4:$J$10226,'Customer ARR Ledger'!$A$4:$A$10226,L$3,'Customer ARR Ledger'!$G$4:$G$10226,"churned")*12</f>
        <v>1039200</v>
      </c>
      <c r="M8" s="18">
        <f>-SUMIFS('Customer ARR Ledger'!$J$4:$J$10226,'Customer ARR Ledger'!$A$4:$A$10226,M$3,'Customer ARR Ledger'!$G$4:$G$10226,"churned")*12</f>
        <v>297600</v>
      </c>
      <c r="N8" s="18">
        <f>-SUMIFS('Customer ARR Ledger'!$J$4:$J$10226,'Customer ARR Ledger'!$A$4:$A$10226,N$3,'Customer ARR Ledger'!$G$4:$G$10226,"churned")*12</f>
        <v>151200</v>
      </c>
    </row>
    <row r="9" spans="1:14" ht="15" customHeight="1" x14ac:dyDescent="0.3">
      <c r="B9" s="19" t="s">
        <v>577</v>
      </c>
      <c r="C9" s="18">
        <f t="shared" ref="C9:N9" si="0">SUM(C5:C6)-SUM(C7:C8)</f>
        <v>-13200</v>
      </c>
      <c r="D9" s="18">
        <f t="shared" si="0"/>
        <v>-902400</v>
      </c>
      <c r="E9" s="18">
        <f t="shared" si="0"/>
        <v>-446400</v>
      </c>
      <c r="F9" s="18">
        <f t="shared" si="0"/>
        <v>1062000</v>
      </c>
      <c r="G9" s="18">
        <f t="shared" si="0"/>
        <v>-170400</v>
      </c>
      <c r="H9" s="18">
        <f t="shared" si="0"/>
        <v>1057200</v>
      </c>
      <c r="I9" s="18">
        <f t="shared" si="0"/>
        <v>296400</v>
      </c>
      <c r="J9" s="18">
        <f t="shared" si="0"/>
        <v>-24000</v>
      </c>
      <c r="K9" s="18">
        <f t="shared" si="0"/>
        <v>900000</v>
      </c>
      <c r="L9" s="18">
        <f t="shared" si="0"/>
        <v>111600</v>
      </c>
      <c r="M9" s="18">
        <f t="shared" si="0"/>
        <v>1428000</v>
      </c>
      <c r="N9" s="18">
        <f t="shared" si="0"/>
        <v>358800</v>
      </c>
    </row>
    <row r="10" spans="1:14" ht="15" customHeight="1" x14ac:dyDescent="0.3">
      <c r="B10" s="17" t="s">
        <v>578</v>
      </c>
      <c r="C10" s="18">
        <f t="shared" ref="C10:N10" si="1">SUM(C4:C6)-SUM(C7:C8)</f>
        <v>48380400</v>
      </c>
      <c r="D10" s="18">
        <f t="shared" si="1"/>
        <v>47478000</v>
      </c>
      <c r="E10" s="18">
        <f t="shared" si="1"/>
        <v>47031600</v>
      </c>
      <c r="F10" s="18">
        <f t="shared" si="1"/>
        <v>48093600</v>
      </c>
      <c r="G10" s="18">
        <f t="shared" si="1"/>
        <v>47923200</v>
      </c>
      <c r="H10" s="18">
        <f t="shared" si="1"/>
        <v>48980400</v>
      </c>
      <c r="I10" s="18">
        <f t="shared" si="1"/>
        <v>49276800</v>
      </c>
      <c r="J10" s="18">
        <f t="shared" si="1"/>
        <v>49252800</v>
      </c>
      <c r="K10" s="18">
        <f t="shared" si="1"/>
        <v>50152800</v>
      </c>
      <c r="L10" s="18">
        <f t="shared" si="1"/>
        <v>50264400</v>
      </c>
      <c r="M10" s="18">
        <f t="shared" si="1"/>
        <v>51692400</v>
      </c>
      <c r="N10" s="18">
        <f t="shared" si="1"/>
        <v>52051200</v>
      </c>
    </row>
    <row r="11" spans="1:14" ht="15" customHeight="1" x14ac:dyDescent="0.3">
      <c r="B11" s="17" t="s">
        <v>579</v>
      </c>
      <c r="C11" s="18">
        <f>C10-(SUMIFS('Customer ARR Ledger'!$F$4:$F$10226,'Customer ARR Ledger'!$A$4:$A$10226,C$3)*12)</f>
        <v>0</v>
      </c>
      <c r="D11" s="18">
        <f>D10-(SUMIFS('Customer ARR Ledger'!$F$4:$F$10226,'Customer ARR Ledger'!$A$4:$A$10226,D$3)*12)</f>
        <v>0</v>
      </c>
      <c r="E11" s="18">
        <f>E10-(SUMIFS('Customer ARR Ledger'!$F$4:$F$10226,'Customer ARR Ledger'!$A$4:$A$10226,E$3)*12)</f>
        <v>0</v>
      </c>
      <c r="F11" s="18">
        <f>F10-(SUMIFS('Customer ARR Ledger'!$F$4:$F$10226,'Customer ARR Ledger'!$A$4:$A$10226,F$3)*12)</f>
        <v>0</v>
      </c>
      <c r="G11" s="18">
        <f>G10-(SUMIFS('Customer ARR Ledger'!$F$4:$F$10226,'Customer ARR Ledger'!$A$4:$A$10226,G$3)*12)</f>
        <v>0</v>
      </c>
      <c r="H11" s="18">
        <f>H10-(SUMIFS('Customer ARR Ledger'!$F$4:$F$10226,'Customer ARR Ledger'!$A$4:$A$10226,H$3)*12)</f>
        <v>0</v>
      </c>
      <c r="I11" s="18">
        <f>I10-(SUMIFS('Customer ARR Ledger'!$F$4:$F$10226,'Customer ARR Ledger'!$A$4:$A$10226,I$3)*12)</f>
        <v>0</v>
      </c>
      <c r="J11" s="18">
        <f>J10-(SUMIFS('Customer ARR Ledger'!$F$4:$F$10226,'Customer ARR Ledger'!$A$4:$A$10226,J$3)*12)</f>
        <v>0</v>
      </c>
      <c r="K11" s="18">
        <f>K10-(SUMIFS('Customer ARR Ledger'!$F$4:$F$10226,'Customer ARR Ledger'!$A$4:$A$10226,K$3)*12)</f>
        <v>0</v>
      </c>
      <c r="L11" s="18">
        <f>L10-(SUMIFS('Customer ARR Ledger'!$F$4:$F$10226,'Customer ARR Ledger'!$A$4:$A$10226,L$3)*12)</f>
        <v>0</v>
      </c>
      <c r="M11" s="18">
        <f>M10-(SUMIFS('Customer ARR Ledger'!$F$4:$F$10226,'Customer ARR Ledger'!$A$4:$A$10226,M$3)*12)</f>
        <v>0</v>
      </c>
      <c r="N11" s="18">
        <f>N10-(SUMIFS('Customer ARR Ledger'!$F$4:$F$10226,'Customer ARR Ledger'!$A$4:$A$10226,N$3)*12)</f>
        <v>0</v>
      </c>
    </row>
    <row r="12" spans="1:14" ht="15" customHeight="1" x14ac:dyDescent="0.3"/>
    <row r="13" spans="1:14" ht="15" customHeight="1" x14ac:dyDescent="0.3"/>
    <row r="14" spans="1:14" ht="15" customHeight="1" x14ac:dyDescent="0.3"/>
    <row r="15" spans="1:14" ht="15" customHeight="1" x14ac:dyDescent="0.3"/>
    <row r="16" spans="1:14" ht="15" customHeight="1" x14ac:dyDescent="0.3"/>
    <row r="17" ht="15" customHeight="1" x14ac:dyDescent="0.3"/>
    <row r="18" ht="15" customHeight="1" x14ac:dyDescent="0.3"/>
    <row r="19" ht="15" customHeight="1" x14ac:dyDescent="0.3"/>
    <row r="20" ht="15" customHeight="1" x14ac:dyDescent="0.3"/>
    <row r="21" ht="15" customHeight="1" x14ac:dyDescent="0.3"/>
    <row r="22" ht="15" customHeight="1" x14ac:dyDescent="0.3"/>
    <row r="23" ht="15" customHeight="1" x14ac:dyDescent="0.3"/>
    <row r="24" ht="15" customHeight="1" x14ac:dyDescent="0.3"/>
    <row r="25" ht="15" customHeight="1" x14ac:dyDescent="0.3"/>
    <row r="26" ht="15" customHeight="1" x14ac:dyDescent="0.3"/>
    <row r="27" ht="15" customHeight="1" x14ac:dyDescent="0.3"/>
    <row r="28" ht="15" customHeight="1" x14ac:dyDescent="0.3"/>
    <row r="29" ht="15" customHeight="1" x14ac:dyDescent="0.3"/>
    <row r="30" ht="15" customHeight="1" x14ac:dyDescent="0.3"/>
  </sheetData>
  <mergeCells count="1">
    <mergeCell ref="A1:N1"/>
  </mergeCells>
  <conditionalFormatting sqref="C11:N11">
    <cfRule type="cellIs" dxfId="6" priority="1" operator="notEqual">
      <formula>0</formula>
    </cfRule>
  </conditionalFormatting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458"/>
  <sheetViews>
    <sheetView showGridLines="0"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" customWidth="1"/>
    <col min="2" max="2" width="30" customWidth="1"/>
    <col min="3" max="14" width="13" customWidth="1"/>
    <col min="16" max="26" width="13" hidden="1" customWidth="1"/>
  </cols>
  <sheetData>
    <row r="1" spans="1:14" ht="34.049999999999997" customHeight="1" x14ac:dyDescent="0.3">
      <c r="A1" s="28" t="s">
        <v>580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</row>
    <row r="2" spans="1:14" ht="15" customHeight="1" x14ac:dyDescent="0.3"/>
    <row r="3" spans="1:14" ht="15" customHeight="1" x14ac:dyDescent="0.3">
      <c r="B3" s="5"/>
      <c r="C3" s="16">
        <v>46023</v>
      </c>
      <c r="D3" s="16">
        <v>46054</v>
      </c>
      <c r="E3" s="16">
        <v>46082</v>
      </c>
      <c r="F3" s="16">
        <v>46113</v>
      </c>
      <c r="G3" s="16">
        <v>46143</v>
      </c>
      <c r="H3" s="16">
        <v>46174</v>
      </c>
      <c r="I3" s="16">
        <v>46204</v>
      </c>
      <c r="J3" s="16">
        <v>46235</v>
      </c>
      <c r="K3" s="16">
        <v>46266</v>
      </c>
      <c r="L3" s="16">
        <v>46296</v>
      </c>
      <c r="M3" s="16">
        <v>46327</v>
      </c>
      <c r="N3" s="16">
        <v>46357</v>
      </c>
    </row>
    <row r="4" spans="1:14" ht="15" customHeight="1" x14ac:dyDescent="0.3">
      <c r="B4" s="30" t="s">
        <v>18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</row>
    <row r="5" spans="1:14" ht="15" customHeight="1" x14ac:dyDescent="0.3">
      <c r="B5" t="s">
        <v>572</v>
      </c>
      <c r="C5" s="18">
        <f>IF(C$3=DATE(2026,1,1),'ARR Bridge'!C4,B10)</f>
        <v>48393600</v>
      </c>
      <c r="D5" s="18">
        <f>IF(D$3=DATE(2026,1,1),'ARR Bridge'!C4,C10)</f>
        <v>49019717.600000001</v>
      </c>
      <c r="E5" s="18">
        <f>IF(E$3=DATE(2026,1,1),'ARR Bridge'!C4,D10)</f>
        <v>49538266.435599998</v>
      </c>
      <c r="F5" s="18">
        <f>IF(F$3=DATE(2026,1,1),'ARR Bridge'!C4,E10)</f>
        <v>50610693.703768596</v>
      </c>
      <c r="G5" s="18">
        <f>IF(G$3=DATE(2026,1,1),'ARR Bridge'!C4,F10)</f>
        <v>51033607.194694102</v>
      </c>
      <c r="H5" s="18">
        <f>IF(H$3=DATE(2026,1,1),'ARR Bridge'!C4,G10)</f>
        <v>51365760.74792859</v>
      </c>
      <c r="I5" s="18">
        <f>IF(I$3=DATE(2026,1,1),'ARR Bridge'!C4,H10)</f>
        <v>51998343.303067058</v>
      </c>
      <c r="J5" s="18">
        <f>IF(J$3=DATE(2026,1,1),'ARR Bridge'!C4,I10)</f>
        <v>53044539.071597122</v>
      </c>
      <c r="K5" s="18">
        <f>IF(K$3=DATE(2026,1,1),'ARR Bridge'!C4,J10)</f>
        <v>53323306.567631736</v>
      </c>
      <c r="L5" s="18">
        <f>IF(L$3=DATE(2026,1,1),'ARR Bridge'!C4,K10)</f>
        <v>55132034.074942134</v>
      </c>
      <c r="M5" s="18">
        <f>IF(M$3=DATE(2026,1,1),'ARR Bridge'!C4,L10)</f>
        <v>55462875.353455015</v>
      </c>
      <c r="N5" s="18">
        <f>IF(N$3=DATE(2026,1,1),'ARR Bridge'!C4,M10)</f>
        <v>56218360.663657561</v>
      </c>
    </row>
    <row r="6" spans="1:14" ht="15" customHeight="1" x14ac:dyDescent="0.3">
      <c r="B6" t="s">
        <v>581</v>
      </c>
      <c r="C6" s="18">
        <f>SUMIFS($Y$39:$Y$458,$Z$39:$Z$458,C$3)*Assumptions!C8</f>
        <v>940676.00000000012</v>
      </c>
      <c r="D6" s="18">
        <f>SUMIFS($Y$39:$Y$458,$Z$39:$Z$458,D$3)*Assumptions!C8</f>
        <v>837177.00000000012</v>
      </c>
      <c r="E6" s="18">
        <f>SUMIFS($Y$39:$Y$458,$Z$39:$Z$458,E$3)*Assumptions!C8</f>
        <v>1394426</v>
      </c>
      <c r="F6" s="18">
        <f>SUMIFS($Y$39:$Y$458,$Z$39:$Z$458,F$3)*Assumptions!C8</f>
        <v>751883.00000000012</v>
      </c>
      <c r="G6" s="18">
        <f>SUMIFS($Y$39:$Y$458,$Z$39:$Z$458,G$3)*Assumptions!C8</f>
        <v>663872</v>
      </c>
      <c r="H6" s="18">
        <f>SUMIFS($Y$39:$Y$458,$Z$39:$Z$458,H$3)*Assumptions!C8</f>
        <v>966460.00000000012</v>
      </c>
      <c r="I6" s="18">
        <f>SUMIFS($Y$39:$Y$458,$Z$39:$Z$458,I$3)*Assumptions!C8</f>
        <v>1384185</v>
      </c>
      <c r="J6" s="18">
        <f>SUMIFS($Y$39:$Y$458,$Z$39:$Z$458,J$3)*Assumptions!C8</f>
        <v>623557</v>
      </c>
      <c r="K6" s="18">
        <f>SUMIFS($Y$39:$Y$458,$Z$39:$Z$458,K$3)*Assumptions!C8</f>
        <v>2155329</v>
      </c>
      <c r="L6" s="18">
        <f>SUMIFS($Y$39:$Y$458,$Z$39:$Z$458,L$3)*Assumptions!C8</f>
        <v>689199.5</v>
      </c>
      <c r="M6" s="18">
        <f>SUMIFS($Y$39:$Y$458,$Z$39:$Z$458,M$3)*Assumptions!C8</f>
        <v>1115994</v>
      </c>
      <c r="N6" s="18">
        <f>SUMIFS($Y$39:$Y$458,$Z$39:$Z$458,N$3)*Assumptions!C8</f>
        <v>2411310</v>
      </c>
    </row>
    <row r="7" spans="1:14" ht="15" customHeight="1" x14ac:dyDescent="0.3">
      <c r="B7" t="s">
        <v>574</v>
      </c>
      <c r="C7" s="18">
        <f>C5*Assumptions!C6</f>
        <v>314558.39999999997</v>
      </c>
      <c r="D7" s="18">
        <f>D5*Assumptions!C6</f>
        <v>318628.16440000001</v>
      </c>
      <c r="E7" s="18">
        <f>E5*Assumptions!C6</f>
        <v>321998.73183139996</v>
      </c>
      <c r="F7" s="18">
        <f>F5*Assumptions!C6</f>
        <v>328969.50907449587</v>
      </c>
      <c r="G7" s="18">
        <f>G5*Assumptions!C6</f>
        <v>331718.44676551165</v>
      </c>
      <c r="H7" s="18">
        <f>H5*Assumptions!C6</f>
        <v>333877.4448615358</v>
      </c>
      <c r="I7" s="18">
        <f>I5*Assumptions!C6</f>
        <v>337989.23146993585</v>
      </c>
      <c r="J7" s="18">
        <f>J5*Assumptions!C6</f>
        <v>344789.5039653813</v>
      </c>
      <c r="K7" s="18">
        <f>K5*Assumptions!C6</f>
        <v>346601.49268960627</v>
      </c>
      <c r="L7" s="18">
        <f>L5*Assumptions!C6</f>
        <v>358358.22148712387</v>
      </c>
      <c r="M7" s="18">
        <f>M5*Assumptions!C6</f>
        <v>360508.6897974576</v>
      </c>
      <c r="N7" s="18">
        <f>N5*Assumptions!C6</f>
        <v>365419.34431377414</v>
      </c>
    </row>
    <row r="8" spans="1:14" ht="15" customHeight="1" x14ac:dyDescent="0.3">
      <c r="B8" t="s">
        <v>575</v>
      </c>
      <c r="C8" s="18">
        <f>C5*Assumptions!C7</f>
        <v>96787.199999999997</v>
      </c>
      <c r="D8" s="18">
        <f>D5*Assumptions!C7</f>
        <v>98039.435200000007</v>
      </c>
      <c r="E8" s="18">
        <f>E5*Assumptions!C7</f>
        <v>99076.532871200005</v>
      </c>
      <c r="F8" s="18">
        <f>F5*Assumptions!C7</f>
        <v>101221.3874075372</v>
      </c>
      <c r="G8" s="18">
        <f>G5*Assumptions!C7</f>
        <v>102067.2143893882</v>
      </c>
      <c r="H8" s="18">
        <f>H5*Assumptions!C7</f>
        <v>102731.52149585717</v>
      </c>
      <c r="I8" s="18">
        <f>I5*Assumptions!C7</f>
        <v>103996.68660613411</v>
      </c>
      <c r="J8" s="18">
        <f>J5*Assumptions!C7</f>
        <v>106089.07814319425</v>
      </c>
      <c r="K8" s="18">
        <f>K5*Assumptions!C7</f>
        <v>106646.61313526347</v>
      </c>
      <c r="L8" s="18">
        <f>L5*Assumptions!C7</f>
        <v>110264.06814988428</v>
      </c>
      <c r="M8" s="18">
        <f>M5*Assumptions!C7</f>
        <v>110925.75070691002</v>
      </c>
      <c r="N8" s="18">
        <f>N5*Assumptions!C7</f>
        <v>112436.72132731513</v>
      </c>
    </row>
    <row r="9" spans="1:14" ht="15" customHeight="1" x14ac:dyDescent="0.3">
      <c r="B9" t="s">
        <v>576</v>
      </c>
      <c r="C9" s="18">
        <f>C5*Assumptions!C5</f>
        <v>532329.6</v>
      </c>
      <c r="D9" s="18">
        <f>D5*Assumptions!C5</f>
        <v>539216.89359999995</v>
      </c>
      <c r="E9" s="18">
        <f>E5*Assumptions!C5</f>
        <v>544920.93079159991</v>
      </c>
      <c r="F9" s="18">
        <f>F5*Assumptions!C5</f>
        <v>556717.63074145454</v>
      </c>
      <c r="G9" s="18">
        <f>G5*Assumptions!C5</f>
        <v>561369.67914163508</v>
      </c>
      <c r="H9" s="18">
        <f>H5*Assumptions!C5</f>
        <v>565023.36822721444</v>
      </c>
      <c r="I9" s="18">
        <f>I5*Assumptions!C5</f>
        <v>571981.77633373765</v>
      </c>
      <c r="J9" s="18">
        <f>J5*Assumptions!C5</f>
        <v>583489.92978756828</v>
      </c>
      <c r="K9" s="18">
        <f>K5*Assumptions!C5</f>
        <v>586556.3722439491</v>
      </c>
      <c r="L9" s="18">
        <f>L5*Assumptions!C5</f>
        <v>606452.37482436339</v>
      </c>
      <c r="M9" s="18">
        <f>M5*Assumptions!C5</f>
        <v>610091.62888800516</v>
      </c>
      <c r="N9" s="18">
        <f>N5*Assumptions!C5</f>
        <v>618401.96730023308</v>
      </c>
    </row>
    <row r="10" spans="1:14" ht="15" customHeight="1" x14ac:dyDescent="0.3">
      <c r="B10" t="s">
        <v>578</v>
      </c>
      <c r="C10" s="18">
        <f t="shared" ref="C10:N10" si="0">SUM(C5:C7)-SUM(C8:C9)</f>
        <v>49019717.600000001</v>
      </c>
      <c r="D10" s="18">
        <f t="shared" si="0"/>
        <v>49538266.435599998</v>
      </c>
      <c r="E10" s="18">
        <f t="shared" si="0"/>
        <v>50610693.703768596</v>
      </c>
      <c r="F10" s="18">
        <f t="shared" si="0"/>
        <v>51033607.194694102</v>
      </c>
      <c r="G10" s="18">
        <f t="shared" si="0"/>
        <v>51365760.74792859</v>
      </c>
      <c r="H10" s="18">
        <f t="shared" si="0"/>
        <v>51998343.303067058</v>
      </c>
      <c r="I10" s="18">
        <f t="shared" si="0"/>
        <v>53044539.071597122</v>
      </c>
      <c r="J10" s="18">
        <f t="shared" si="0"/>
        <v>53323306.567631736</v>
      </c>
      <c r="K10" s="18">
        <f t="shared" si="0"/>
        <v>55132034.074942134</v>
      </c>
      <c r="L10" s="18">
        <f t="shared" si="0"/>
        <v>55462875.353455015</v>
      </c>
      <c r="M10" s="18">
        <f t="shared" si="0"/>
        <v>56218360.663657561</v>
      </c>
      <c r="N10" s="18">
        <f t="shared" si="0"/>
        <v>58264251.319343783</v>
      </c>
    </row>
    <row r="11" spans="1:14" ht="15" customHeight="1" x14ac:dyDescent="0.3">
      <c r="B11" t="s">
        <v>582</v>
      </c>
      <c r="C11" s="18">
        <f t="shared" ref="C11:N11" si="1">AVERAGE(C5,C10)/12</f>
        <v>4058888.2333333329</v>
      </c>
      <c r="D11" s="18">
        <f t="shared" si="1"/>
        <v>4106582.6681500003</v>
      </c>
      <c r="E11" s="18">
        <f t="shared" si="1"/>
        <v>4172873.3391403579</v>
      </c>
      <c r="F11" s="18">
        <f t="shared" si="1"/>
        <v>4235179.2041026121</v>
      </c>
      <c r="G11" s="18">
        <f t="shared" si="1"/>
        <v>4266640.3309426121</v>
      </c>
      <c r="H11" s="18">
        <f t="shared" si="1"/>
        <v>4306837.668791485</v>
      </c>
      <c r="I11" s="18">
        <f t="shared" si="1"/>
        <v>4376786.7656110078</v>
      </c>
      <c r="J11" s="18">
        <f t="shared" si="1"/>
        <v>4431993.5683012018</v>
      </c>
      <c r="K11" s="18">
        <f t="shared" si="1"/>
        <v>4518972.526773911</v>
      </c>
      <c r="L11" s="18">
        <f t="shared" si="1"/>
        <v>4608121.2261832142</v>
      </c>
      <c r="M11" s="18">
        <f t="shared" si="1"/>
        <v>4653384.8340463573</v>
      </c>
      <c r="N11" s="18">
        <f t="shared" si="1"/>
        <v>4770108.8326250566</v>
      </c>
    </row>
    <row r="12" spans="1:14" ht="15" customHeight="1" x14ac:dyDescent="0.3"/>
    <row r="13" spans="1:14" ht="15" customHeight="1" x14ac:dyDescent="0.3">
      <c r="B13" s="30" t="s">
        <v>19</v>
      </c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</row>
    <row r="14" spans="1:14" ht="15" customHeight="1" x14ac:dyDescent="0.3">
      <c r="B14" t="s">
        <v>572</v>
      </c>
      <c r="C14" s="18">
        <f>IF(C$3=DATE(2026,1,1),'ARR Bridge'!C4,B19)</f>
        <v>48393600</v>
      </c>
      <c r="D14" s="18">
        <f>IF(D$3=DATE(2026,1,1),'ARR Bridge'!C4,C19)</f>
        <v>49547269.759999998</v>
      </c>
      <c r="E14" s="18">
        <f>IF(E$3=DATE(2026,1,1),'ARR Bridge'!C4,D19)</f>
        <v>50568175.217216</v>
      </c>
      <c r="F14" s="18">
        <f>IF(F$3=DATE(2026,1,1),'ARR Bridge'!C4,E19)</f>
        <v>52297387.859520502</v>
      </c>
      <c r="G14" s="18">
        <f>IF(G$3=DATE(2026,1,1),'ARR Bridge'!C4,F19)</f>
        <v>53207262.210446939</v>
      </c>
      <c r="H14" s="18">
        <f>IF(H$3=DATE(2026,1,1),'ARR Bridge'!C4,G19)</f>
        <v>54004303.674457535</v>
      </c>
      <c r="I14" s="18">
        <f>IF(I$3=DATE(2026,1,1),'ARR Bridge'!C4,H19)</f>
        <v>55185739.801150523</v>
      </c>
      <c r="J14" s="18">
        <f>IF(J$3=DATE(2026,1,1),'ARR Bridge'!C4,I19)</f>
        <v>56897762.635329492</v>
      </c>
      <c r="K14" s="18">
        <f>IF(K$3=DATE(2026,1,1),'ARR Bridge'!C4,J19)</f>
        <v>57640172.648957692</v>
      </c>
      <c r="L14" s="18">
        <f>IF(L$3=DATE(2026,1,1),'ARR Bridge'!C4,K19)</f>
        <v>60331442.493573628</v>
      </c>
      <c r="M14" s="18">
        <f>IF(M$3=DATE(2026,1,1),'ARR Bridge'!C4,L19)</f>
        <v>61154307.195329413</v>
      </c>
      <c r="N14" s="18">
        <f>IF(N$3=DATE(2026,1,1),'ARR Bridge'!C4,M19)</f>
        <v>62519624.318853617</v>
      </c>
    </row>
    <row r="15" spans="1:14" ht="15" customHeight="1" x14ac:dyDescent="0.3">
      <c r="B15" t="s">
        <v>581</v>
      </c>
      <c r="C15" s="18">
        <f>SUMIFS($Y$39:$Y$458,$Z$39:$Z$458,C$3)*Assumptions!D8</f>
        <v>1197224</v>
      </c>
      <c r="D15" s="18">
        <f>SUMIFS($Y$39:$Y$458,$Z$39:$Z$458,D$3)*Assumptions!D8</f>
        <v>1065498</v>
      </c>
      <c r="E15" s="18">
        <f>SUMIFS($Y$39:$Y$458,$Z$39:$Z$458,E$3)*Assumptions!D8</f>
        <v>1774724</v>
      </c>
      <c r="F15" s="18">
        <f>SUMIFS($Y$39:$Y$458,$Z$39:$Z$458,F$3)*Assumptions!D8</f>
        <v>956941.99999999988</v>
      </c>
      <c r="G15" s="18">
        <f>SUMIFS($Y$39:$Y$458,$Z$39:$Z$458,G$3)*Assumptions!D8</f>
        <v>844928</v>
      </c>
      <c r="H15" s="18">
        <f>SUMIFS($Y$39:$Y$458,$Z$39:$Z$458,H$3)*Assumptions!D8</f>
        <v>1230040</v>
      </c>
      <c r="I15" s="18">
        <f>SUMIFS($Y$39:$Y$458,$Z$39:$Z$458,I$3)*Assumptions!D8</f>
        <v>1761690</v>
      </c>
      <c r="J15" s="18">
        <f>SUMIFS($Y$39:$Y$458,$Z$39:$Z$458,J$3)*Assumptions!D8</f>
        <v>793618</v>
      </c>
      <c r="K15" s="18">
        <f>SUMIFS($Y$39:$Y$458,$Z$39:$Z$458,K$3)*Assumptions!D8</f>
        <v>2743146</v>
      </c>
      <c r="L15" s="18">
        <f>SUMIFS($Y$39:$Y$458,$Z$39:$Z$458,L$3)*Assumptions!D8</f>
        <v>877163</v>
      </c>
      <c r="M15" s="18">
        <f>SUMIFS($Y$39:$Y$458,$Z$39:$Z$458,M$3)*Assumptions!D8</f>
        <v>1420356</v>
      </c>
      <c r="N15" s="18">
        <f>SUMIFS($Y$39:$Y$458,$Z$39:$Z$458,N$3)*Assumptions!D8</f>
        <v>3068940</v>
      </c>
    </row>
    <row r="16" spans="1:14" ht="15" customHeight="1" x14ac:dyDescent="0.3">
      <c r="B16" t="s">
        <v>574</v>
      </c>
      <c r="C16" s="18">
        <f>C14*Assumptions!D6</f>
        <v>411345.60000000003</v>
      </c>
      <c r="D16" s="18">
        <f>D14*Assumptions!D6</f>
        <v>421151.79295999999</v>
      </c>
      <c r="E16" s="18">
        <f>E14*Assumptions!D6</f>
        <v>429829.48934633605</v>
      </c>
      <c r="F16" s="18">
        <f>F14*Assumptions!D6</f>
        <v>444527.79680592433</v>
      </c>
      <c r="G16" s="18">
        <f>G14*Assumptions!D6</f>
        <v>452261.72878879902</v>
      </c>
      <c r="H16" s="18">
        <f>H14*Assumptions!D6</f>
        <v>459036.58123288909</v>
      </c>
      <c r="I16" s="18">
        <f>I14*Assumptions!D6</f>
        <v>469078.78830977948</v>
      </c>
      <c r="J16" s="18">
        <f>J14*Assumptions!D6</f>
        <v>483630.98240030074</v>
      </c>
      <c r="K16" s="18">
        <f>K14*Assumptions!D6</f>
        <v>489941.46751614043</v>
      </c>
      <c r="L16" s="18">
        <f>L14*Assumptions!D6</f>
        <v>512817.26119537588</v>
      </c>
      <c r="M16" s="18">
        <f>M14*Assumptions!D6</f>
        <v>519811.61116030003</v>
      </c>
      <c r="N16" s="18">
        <f>N14*Assumptions!D6</f>
        <v>531416.8067102558</v>
      </c>
    </row>
    <row r="17" spans="2:14" ht="15" customHeight="1" x14ac:dyDescent="0.3">
      <c r="B17" t="s">
        <v>575</v>
      </c>
      <c r="C17" s="18">
        <f>C14*Assumptions!D7</f>
        <v>67751.039999999994</v>
      </c>
      <c r="D17" s="18">
        <f>D14*Assumptions!D7</f>
        <v>69366.177664000003</v>
      </c>
      <c r="E17" s="18">
        <f>E14*Assumptions!D7</f>
        <v>70795.445304102395</v>
      </c>
      <c r="F17" s="18">
        <f>F14*Assumptions!D7</f>
        <v>73216.3430033287</v>
      </c>
      <c r="G17" s="18">
        <f>G14*Assumptions!D7</f>
        <v>74490.167094625707</v>
      </c>
      <c r="H17" s="18">
        <f>H14*Assumptions!D7</f>
        <v>75606.025144240542</v>
      </c>
      <c r="I17" s="18">
        <f>I14*Assumptions!D7</f>
        <v>77260.035721610737</v>
      </c>
      <c r="J17" s="18">
        <f>J14*Assumptions!D7</f>
        <v>79656.867689461287</v>
      </c>
      <c r="K17" s="18">
        <f>K14*Assumptions!D7</f>
        <v>80696.241708540765</v>
      </c>
      <c r="L17" s="18">
        <f>L14*Assumptions!D7</f>
        <v>84464.019491003084</v>
      </c>
      <c r="M17" s="18">
        <f>M14*Assumptions!D7</f>
        <v>85616.030073461181</v>
      </c>
      <c r="N17" s="18">
        <f>N14*Assumptions!D7</f>
        <v>87527.474046395058</v>
      </c>
    </row>
    <row r="18" spans="2:14" ht="15" customHeight="1" x14ac:dyDescent="0.3">
      <c r="B18" t="s">
        <v>576</v>
      </c>
      <c r="C18" s="18">
        <f>C14*Assumptions!D5</f>
        <v>387148.79999999999</v>
      </c>
      <c r="D18" s="18">
        <f>D14*Assumptions!D5</f>
        <v>396378.15807999996</v>
      </c>
      <c r="E18" s="18">
        <f>E14*Assumptions!D5</f>
        <v>404545.40173772798</v>
      </c>
      <c r="F18" s="18">
        <f>F14*Assumptions!D5</f>
        <v>418379.10287616402</v>
      </c>
      <c r="G18" s="18">
        <f>G14*Assumptions!D5</f>
        <v>425658.09768357553</v>
      </c>
      <c r="H18" s="18">
        <f>H14*Assumptions!D5</f>
        <v>432034.42939566029</v>
      </c>
      <c r="I18" s="18">
        <f>I14*Assumptions!D5</f>
        <v>441485.91840920417</v>
      </c>
      <c r="J18" s="18">
        <f>J14*Assumptions!D5</f>
        <v>455182.10108263593</v>
      </c>
      <c r="K18" s="18">
        <f>K14*Assumptions!D5</f>
        <v>461121.38119166152</v>
      </c>
      <c r="L18" s="18">
        <f>L14*Assumptions!D5</f>
        <v>482651.53994858905</v>
      </c>
      <c r="M18" s="18">
        <f>M14*Assumptions!D5</f>
        <v>489234.4575626353</v>
      </c>
      <c r="N18" s="18">
        <f>N14*Assumptions!D5</f>
        <v>500156.99455082894</v>
      </c>
    </row>
    <row r="19" spans="2:14" ht="15" customHeight="1" x14ac:dyDescent="0.3">
      <c r="B19" t="s">
        <v>578</v>
      </c>
      <c r="C19" s="18">
        <f t="shared" ref="C19:N19" si="2">SUM(C14:C16)-SUM(C17:C18)</f>
        <v>49547269.759999998</v>
      </c>
      <c r="D19" s="18">
        <f t="shared" si="2"/>
        <v>50568175.217216</v>
      </c>
      <c r="E19" s="18">
        <f t="shared" si="2"/>
        <v>52297387.859520502</v>
      </c>
      <c r="F19" s="18">
        <f t="shared" si="2"/>
        <v>53207262.210446939</v>
      </c>
      <c r="G19" s="18">
        <f t="shared" si="2"/>
        <v>54004303.674457535</v>
      </c>
      <c r="H19" s="18">
        <f t="shared" si="2"/>
        <v>55185739.801150523</v>
      </c>
      <c r="I19" s="18">
        <f t="shared" si="2"/>
        <v>56897762.635329492</v>
      </c>
      <c r="J19" s="18">
        <f t="shared" si="2"/>
        <v>57640172.648957692</v>
      </c>
      <c r="K19" s="18">
        <f t="shared" si="2"/>
        <v>60331442.493573628</v>
      </c>
      <c r="L19" s="18">
        <f t="shared" si="2"/>
        <v>61154307.195329413</v>
      </c>
      <c r="M19" s="18">
        <f t="shared" si="2"/>
        <v>62519624.318853617</v>
      </c>
      <c r="N19" s="18">
        <f t="shared" si="2"/>
        <v>65532296.656966649</v>
      </c>
    </row>
    <row r="20" spans="2:14" ht="15" customHeight="1" x14ac:dyDescent="0.3">
      <c r="B20" t="s">
        <v>582</v>
      </c>
      <c r="C20" s="18">
        <f t="shared" ref="C20:N20" si="3">AVERAGE(C14,C19)/12</f>
        <v>4080869.5733333328</v>
      </c>
      <c r="D20" s="18">
        <f t="shared" si="3"/>
        <v>4171476.874050667</v>
      </c>
      <c r="E20" s="18">
        <f t="shared" si="3"/>
        <v>4286065.1281973543</v>
      </c>
      <c r="F20" s="18">
        <f t="shared" si="3"/>
        <v>4396027.0862486437</v>
      </c>
      <c r="G20" s="18">
        <f t="shared" si="3"/>
        <v>4467148.5785376867</v>
      </c>
      <c r="H20" s="18">
        <f t="shared" si="3"/>
        <v>4549585.1448170021</v>
      </c>
      <c r="I20" s="18">
        <f t="shared" si="3"/>
        <v>4670145.934853334</v>
      </c>
      <c r="J20" s="18">
        <f t="shared" si="3"/>
        <v>4772413.970178633</v>
      </c>
      <c r="K20" s="18">
        <f t="shared" si="3"/>
        <v>4915483.9642721387</v>
      </c>
      <c r="L20" s="18">
        <f t="shared" si="3"/>
        <v>5061906.2370376261</v>
      </c>
      <c r="M20" s="18">
        <f t="shared" si="3"/>
        <v>5153080.4797576265</v>
      </c>
      <c r="N20" s="18">
        <f t="shared" si="3"/>
        <v>5335496.707325845</v>
      </c>
    </row>
    <row r="21" spans="2:14" ht="15" customHeight="1" x14ac:dyDescent="0.3"/>
    <row r="22" spans="2:14" ht="15" customHeight="1" x14ac:dyDescent="0.3">
      <c r="B22" s="30" t="s">
        <v>20</v>
      </c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</row>
    <row r="23" spans="2:14" ht="15" customHeight="1" x14ac:dyDescent="0.3">
      <c r="B23" t="s">
        <v>572</v>
      </c>
      <c r="C23" s="18">
        <f>IF(C$3=DATE(2026,1,1),'ARR Bridge'!C4,B28)</f>
        <v>48393600</v>
      </c>
      <c r="D23" s="18">
        <f>IF(D$3=DATE(2026,1,1),'ARR Bridge'!C4,C28)</f>
        <v>48307938.880000003</v>
      </c>
      <c r="E23" s="18">
        <f>IF(E$3=DATE(2026,1,1),'ARR Bridge'!C4,D28)</f>
        <v>48152071.409024008</v>
      </c>
      <c r="F23" s="18">
        <f>IF(F$3=DATE(2026,1,1),'ARR Bridge'!C4,E28)</f>
        <v>48383581.523606844</v>
      </c>
      <c r="G23" s="18">
        <f>IF(G$3=DATE(2026,1,1),'ARR Bridge'!C4,F28)</f>
        <v>48167633.884448014</v>
      </c>
      <c r="H23" s="18">
        <f>IF(H$3=DATE(2026,1,1),'ARR Bridge'!C4,G28)</f>
        <v>47894161.049404413</v>
      </c>
      <c r="I23" s="18">
        <f>IF(I$3=DATE(2026,1,1),'ARR Bridge'!C4,H28)</f>
        <v>47833905.801453471</v>
      </c>
      <c r="J23" s="18">
        <f>IF(J$3=DATE(2026,1,1),'ARR Bridge'!C4,I28)</f>
        <v>48063176.433271378</v>
      </c>
      <c r="K23" s="18">
        <f>IF(K$3=DATE(2026,1,1),'ARR Bridge'!C4,J28)</f>
        <v>47763437.351485655</v>
      </c>
      <c r="L23" s="18">
        <f>IF(L$3=DATE(2026,1,1),'ARR Bridge'!C4,K28)</f>
        <v>48526569.503743075</v>
      </c>
      <c r="M23" s="18">
        <f>IF(M$3=DATE(2026,1,1),'ARR Bridge'!C4,L28)</f>
        <v>48265139.847286187</v>
      </c>
      <c r="N23" s="18">
        <f>IF(N$3=DATE(2026,1,1),'ARR Bridge'!C4,M28)</f>
        <v>48302560.121607438</v>
      </c>
    </row>
    <row r="24" spans="2:14" ht="15" customHeight="1" x14ac:dyDescent="0.3">
      <c r="B24" t="s">
        <v>581</v>
      </c>
      <c r="C24" s="18">
        <f>SUMIFS($Y$39:$Y$458,$Z$39:$Z$458,C$3)*Assumptions!E8</f>
        <v>649921.6</v>
      </c>
      <c r="D24" s="18">
        <f>SUMIFS($Y$39:$Y$458,$Z$39:$Z$458,D$3)*Assumptions!E8</f>
        <v>578413.19999999995</v>
      </c>
      <c r="E24" s="18">
        <f>SUMIFS($Y$39:$Y$458,$Z$39:$Z$458,E$3)*Assumptions!E8</f>
        <v>963421.6</v>
      </c>
      <c r="F24" s="18">
        <f>SUMIFS($Y$39:$Y$458,$Z$39:$Z$458,F$3)*Assumptions!E8</f>
        <v>519482.8</v>
      </c>
      <c r="G24" s="18">
        <f>SUMIFS($Y$39:$Y$458,$Z$39:$Z$458,G$3)*Assumptions!E8</f>
        <v>458675.20000000001</v>
      </c>
      <c r="H24" s="18">
        <f>SUMIFS($Y$39:$Y$458,$Z$39:$Z$458,H$3)*Assumptions!E8</f>
        <v>667736</v>
      </c>
      <c r="I24" s="18">
        <f>SUMIFS($Y$39:$Y$458,$Z$39:$Z$458,I$3)*Assumptions!E8</f>
        <v>956346</v>
      </c>
      <c r="J24" s="18">
        <f>SUMIFS($Y$39:$Y$458,$Z$39:$Z$458,J$3)*Assumptions!E8</f>
        <v>430821.2</v>
      </c>
      <c r="K24" s="18">
        <f>SUMIFS($Y$39:$Y$458,$Z$39:$Z$458,K$3)*Assumptions!E8</f>
        <v>1489136.4</v>
      </c>
      <c r="L24" s="18">
        <f>SUMIFS($Y$39:$Y$458,$Z$39:$Z$458,L$3)*Assumptions!E8</f>
        <v>476174.2</v>
      </c>
      <c r="M24" s="18">
        <f>SUMIFS($Y$39:$Y$458,$Z$39:$Z$458,M$3)*Assumptions!E8</f>
        <v>771050.4</v>
      </c>
      <c r="N24" s="18">
        <f>SUMIFS($Y$39:$Y$458,$Z$39:$Z$458,N$3)*Assumptions!E8</f>
        <v>1665996</v>
      </c>
    </row>
    <row r="25" spans="2:14" ht="15" customHeight="1" x14ac:dyDescent="0.3">
      <c r="B25" t="s">
        <v>574</v>
      </c>
      <c r="C25" s="18">
        <f>C23*Assumptions!E6</f>
        <v>193574.39999999999</v>
      </c>
      <c r="D25" s="18">
        <f>D23*Assumptions!E6</f>
        <v>193231.75552000001</v>
      </c>
      <c r="E25" s="18">
        <f>E23*Assumptions!E6</f>
        <v>192608.28563609603</v>
      </c>
      <c r="F25" s="18">
        <f>F23*Assumptions!E6</f>
        <v>193534.32609442738</v>
      </c>
      <c r="G25" s="18">
        <f>G23*Assumptions!E6</f>
        <v>192670.53553779205</v>
      </c>
      <c r="H25" s="18">
        <f>H23*Assumptions!E6</f>
        <v>191576.64419761766</v>
      </c>
      <c r="I25" s="18">
        <f>I23*Assumptions!E6</f>
        <v>191335.6232058139</v>
      </c>
      <c r="J25" s="18">
        <f>J23*Assumptions!E6</f>
        <v>192252.70573308552</v>
      </c>
      <c r="K25" s="18">
        <f>K23*Assumptions!E6</f>
        <v>191053.74940594262</v>
      </c>
      <c r="L25" s="18">
        <f>L23*Assumptions!E6</f>
        <v>194106.27801497231</v>
      </c>
      <c r="M25" s="18">
        <f>M23*Assumptions!E6</f>
        <v>193060.55938914476</v>
      </c>
      <c r="N25" s="18">
        <f>N23*Assumptions!E6</f>
        <v>193210.24048642974</v>
      </c>
    </row>
    <row r="26" spans="2:14" ht="15" customHeight="1" x14ac:dyDescent="0.3">
      <c r="B26" t="s">
        <v>575</v>
      </c>
      <c r="C26" s="18">
        <f>C23*Assumptions!E7</f>
        <v>154859.52000000002</v>
      </c>
      <c r="D26" s="18">
        <f>D23*Assumptions!E7</f>
        <v>154585.404416</v>
      </c>
      <c r="E26" s="18">
        <f>E23*Assumptions!E7</f>
        <v>154086.62850887683</v>
      </c>
      <c r="F26" s="18">
        <f>F23*Assumptions!E7</f>
        <v>154827.4608755419</v>
      </c>
      <c r="G26" s="18">
        <f>G23*Assumptions!E7</f>
        <v>154136.42843023365</v>
      </c>
      <c r="H26" s="18">
        <f>H23*Assumptions!E7</f>
        <v>153261.31535809411</v>
      </c>
      <c r="I26" s="18">
        <f>I23*Assumptions!E7</f>
        <v>153068.49856465112</v>
      </c>
      <c r="J26" s="18">
        <f>J23*Assumptions!E7</f>
        <v>153802.16458646843</v>
      </c>
      <c r="K26" s="18">
        <f>K23*Assumptions!E7</f>
        <v>152842.99952475409</v>
      </c>
      <c r="L26" s="18">
        <f>L23*Assumptions!E7</f>
        <v>155285.02241197784</v>
      </c>
      <c r="M26" s="18">
        <f>M23*Assumptions!E7</f>
        <v>154448.44751131581</v>
      </c>
      <c r="N26" s="18">
        <f>N23*Assumptions!E7</f>
        <v>154568.19238914381</v>
      </c>
    </row>
    <row r="27" spans="2:14" ht="15" customHeight="1" x14ac:dyDescent="0.3">
      <c r="B27" t="s">
        <v>576</v>
      </c>
      <c r="C27" s="18">
        <f>C23*Assumptions!E5</f>
        <v>774297.59999999998</v>
      </c>
      <c r="D27" s="18">
        <f>D23*Assumptions!E5</f>
        <v>772927.02208000002</v>
      </c>
      <c r="E27" s="18">
        <f>E23*Assumptions!E5</f>
        <v>770433.14254438411</v>
      </c>
      <c r="F27" s="18">
        <f>F23*Assumptions!E5</f>
        <v>774137.30437770952</v>
      </c>
      <c r="G27" s="18">
        <f>G23*Assumptions!E5</f>
        <v>770682.1421511682</v>
      </c>
      <c r="H27" s="18">
        <f>H23*Assumptions!E5</f>
        <v>766306.57679047063</v>
      </c>
      <c r="I27" s="18">
        <f>I23*Assumptions!E5</f>
        <v>765342.4928232556</v>
      </c>
      <c r="J27" s="18">
        <f>J23*Assumptions!E5</f>
        <v>769010.82293234207</v>
      </c>
      <c r="K27" s="18">
        <f>K23*Assumptions!E5</f>
        <v>764214.9976237705</v>
      </c>
      <c r="L27" s="18">
        <f>L23*Assumptions!E5</f>
        <v>776425.11205988924</v>
      </c>
      <c r="M27" s="18">
        <f>M23*Assumptions!E5</f>
        <v>772242.23755657906</v>
      </c>
      <c r="N27" s="18">
        <f>N23*Assumptions!E5</f>
        <v>772840.96194571897</v>
      </c>
    </row>
    <row r="28" spans="2:14" ht="15" customHeight="1" x14ac:dyDescent="0.3">
      <c r="B28" t="s">
        <v>578</v>
      </c>
      <c r="C28" s="18">
        <f t="shared" ref="C28:N28" si="4">SUM(C23:C25)-SUM(C26:C27)</f>
        <v>48307938.880000003</v>
      </c>
      <c r="D28" s="18">
        <f t="shared" si="4"/>
        <v>48152071.409024008</v>
      </c>
      <c r="E28" s="18">
        <f t="shared" si="4"/>
        <v>48383581.523606844</v>
      </c>
      <c r="F28" s="18">
        <f t="shared" si="4"/>
        <v>48167633.884448014</v>
      </c>
      <c r="G28" s="18">
        <f t="shared" si="4"/>
        <v>47894161.049404413</v>
      </c>
      <c r="H28" s="18">
        <f t="shared" si="4"/>
        <v>47833905.801453471</v>
      </c>
      <c r="I28" s="18">
        <f t="shared" si="4"/>
        <v>48063176.433271378</v>
      </c>
      <c r="J28" s="18">
        <f t="shared" si="4"/>
        <v>47763437.351485655</v>
      </c>
      <c r="K28" s="18">
        <f t="shared" si="4"/>
        <v>48526569.503743075</v>
      </c>
      <c r="L28" s="18">
        <f t="shared" si="4"/>
        <v>48265139.847286187</v>
      </c>
      <c r="M28" s="18">
        <f t="shared" si="4"/>
        <v>48302560.121607438</v>
      </c>
      <c r="N28" s="18">
        <f t="shared" si="4"/>
        <v>49234357.207759</v>
      </c>
    </row>
    <row r="29" spans="2:14" ht="15" customHeight="1" x14ac:dyDescent="0.3">
      <c r="B29" t="s">
        <v>582</v>
      </c>
      <c r="C29" s="18">
        <f t="shared" ref="C29:N29" si="5">AVERAGE(C23,C28)/12</f>
        <v>4029230.7866666666</v>
      </c>
      <c r="D29" s="18">
        <f t="shared" si="5"/>
        <v>4019167.0953760003</v>
      </c>
      <c r="E29" s="18">
        <f t="shared" si="5"/>
        <v>4022318.8721929523</v>
      </c>
      <c r="F29" s="18">
        <f t="shared" si="5"/>
        <v>4022967.3086689524</v>
      </c>
      <c r="G29" s="18">
        <f t="shared" si="5"/>
        <v>4002574.7889105179</v>
      </c>
      <c r="H29" s="18">
        <f t="shared" si="5"/>
        <v>3988669.4521190785</v>
      </c>
      <c r="I29" s="18">
        <f t="shared" si="5"/>
        <v>3995711.7597802021</v>
      </c>
      <c r="J29" s="18">
        <f t="shared" si="5"/>
        <v>3992775.5743648764</v>
      </c>
      <c r="K29" s="18">
        <f t="shared" si="5"/>
        <v>4012083.6189678633</v>
      </c>
      <c r="L29" s="18">
        <f t="shared" si="5"/>
        <v>4032987.8896262194</v>
      </c>
      <c r="M29" s="18">
        <f t="shared" si="5"/>
        <v>4023654.1653705672</v>
      </c>
      <c r="N29" s="18">
        <f t="shared" si="5"/>
        <v>4064038.2220569351</v>
      </c>
    </row>
    <row r="30" spans="2:14" ht="15" customHeight="1" x14ac:dyDescent="0.3"/>
    <row r="31" spans="2:14" ht="15" customHeight="1" x14ac:dyDescent="0.3"/>
    <row r="32" spans="2:14" ht="15" customHeight="1" x14ac:dyDescent="0.3">
      <c r="B32" s="30" t="s">
        <v>583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</row>
    <row r="33" spans="2:26" ht="15" customHeight="1" x14ac:dyDescent="0.3">
      <c r="B33" t="s">
        <v>584</v>
      </c>
      <c r="C33" s="18">
        <f t="shared" ref="C33:N33" si="6">CHOOSE(Scenario_Select,C11,C20,C29)</f>
        <v>4058888.2333333329</v>
      </c>
      <c r="D33" s="18">
        <f t="shared" si="6"/>
        <v>4106582.6681500003</v>
      </c>
      <c r="E33" s="18">
        <f t="shared" si="6"/>
        <v>4172873.3391403579</v>
      </c>
      <c r="F33" s="18">
        <f t="shared" si="6"/>
        <v>4235179.2041026121</v>
      </c>
      <c r="G33" s="18">
        <f t="shared" si="6"/>
        <v>4266640.3309426121</v>
      </c>
      <c r="H33" s="18">
        <f t="shared" si="6"/>
        <v>4306837.668791485</v>
      </c>
      <c r="I33" s="18">
        <f t="shared" si="6"/>
        <v>4376786.7656110078</v>
      </c>
      <c r="J33" s="18">
        <f t="shared" si="6"/>
        <v>4431993.5683012018</v>
      </c>
      <c r="K33" s="18">
        <f t="shared" si="6"/>
        <v>4518972.526773911</v>
      </c>
      <c r="L33" s="18">
        <f t="shared" si="6"/>
        <v>4608121.2261832142</v>
      </c>
      <c r="M33" s="18">
        <f t="shared" si="6"/>
        <v>4653384.8340463573</v>
      </c>
      <c r="N33" s="18">
        <f t="shared" si="6"/>
        <v>4770108.8326250566</v>
      </c>
    </row>
    <row r="34" spans="2:26" ht="15" customHeight="1" x14ac:dyDescent="0.3">
      <c r="B34" t="s">
        <v>585</v>
      </c>
      <c r="C34" s="18">
        <f t="shared" ref="C34:N34" si="7">CHOOSE(Scenario_Select,C10,C19,C28)</f>
        <v>49019717.600000001</v>
      </c>
      <c r="D34" s="18">
        <f t="shared" si="7"/>
        <v>49538266.435599998</v>
      </c>
      <c r="E34" s="18">
        <f t="shared" si="7"/>
        <v>50610693.703768596</v>
      </c>
      <c r="F34" s="18">
        <f t="shared" si="7"/>
        <v>51033607.194694102</v>
      </c>
      <c r="G34" s="18">
        <f t="shared" si="7"/>
        <v>51365760.74792859</v>
      </c>
      <c r="H34" s="18">
        <f t="shared" si="7"/>
        <v>51998343.303067058</v>
      </c>
      <c r="I34" s="18">
        <f t="shared" si="7"/>
        <v>53044539.071597122</v>
      </c>
      <c r="J34" s="18">
        <f t="shared" si="7"/>
        <v>53323306.567631736</v>
      </c>
      <c r="K34" s="18">
        <f t="shared" si="7"/>
        <v>55132034.074942134</v>
      </c>
      <c r="L34" s="18">
        <f t="shared" si="7"/>
        <v>55462875.353455015</v>
      </c>
      <c r="M34" s="18">
        <f t="shared" si="7"/>
        <v>56218360.663657561</v>
      </c>
      <c r="N34" s="18">
        <f t="shared" si="7"/>
        <v>58264251.319343783</v>
      </c>
    </row>
    <row r="35" spans="2:26" ht="15" customHeight="1" x14ac:dyDescent="0.3"/>
    <row r="36" spans="2:26" ht="15" customHeight="1" x14ac:dyDescent="0.3"/>
    <row r="37" spans="2:26" ht="15" customHeight="1" x14ac:dyDescent="0.3"/>
    <row r="38" spans="2:26" ht="15" customHeight="1" x14ac:dyDescent="0.3">
      <c r="P38" t="s">
        <v>586</v>
      </c>
      <c r="Q38" t="s">
        <v>587</v>
      </c>
      <c r="R38" t="s">
        <v>588</v>
      </c>
      <c r="S38" t="s">
        <v>589</v>
      </c>
      <c r="T38" t="s">
        <v>590</v>
      </c>
      <c r="U38" t="s">
        <v>74</v>
      </c>
      <c r="V38" t="s">
        <v>591</v>
      </c>
      <c r="W38" t="s">
        <v>73</v>
      </c>
      <c r="X38" t="s">
        <v>592</v>
      </c>
    </row>
    <row r="39" spans="2:26" ht="15" customHeight="1" x14ac:dyDescent="0.3">
      <c r="P39" t="s">
        <v>593</v>
      </c>
      <c r="Q39" t="s">
        <v>594</v>
      </c>
      <c r="R39">
        <v>0.8</v>
      </c>
      <c r="S39">
        <v>159000</v>
      </c>
      <c r="T39" s="15">
        <v>46327</v>
      </c>
      <c r="U39" t="s">
        <v>103</v>
      </c>
      <c r="V39" t="s">
        <v>91</v>
      </c>
      <c r="W39" t="s">
        <v>86</v>
      </c>
      <c r="X39">
        <v>83</v>
      </c>
      <c r="Y39" s="4">
        <f t="shared" ref="Y39:Y102" si="8">R39*S39</f>
        <v>127200</v>
      </c>
      <c r="Z39" s="4">
        <f t="shared" ref="Z39:Z102" si="9">DATE(YEAR(T39),MONTH(T39),1)</f>
        <v>46327</v>
      </c>
    </row>
    <row r="40" spans="2:26" ht="15" customHeight="1" x14ac:dyDescent="0.3">
      <c r="P40" t="s">
        <v>595</v>
      </c>
      <c r="Q40" t="s">
        <v>596</v>
      </c>
      <c r="R40">
        <v>0.3</v>
      </c>
      <c r="S40">
        <v>82000</v>
      </c>
      <c r="T40" s="15">
        <v>46327</v>
      </c>
      <c r="U40" t="s">
        <v>87</v>
      </c>
      <c r="V40" t="s">
        <v>91</v>
      </c>
      <c r="W40" t="s">
        <v>99</v>
      </c>
      <c r="X40">
        <v>85</v>
      </c>
      <c r="Y40" s="4">
        <f t="shared" si="8"/>
        <v>24600</v>
      </c>
      <c r="Z40" s="4">
        <f t="shared" si="9"/>
        <v>46327</v>
      </c>
    </row>
    <row r="41" spans="2:26" ht="15" customHeight="1" x14ac:dyDescent="0.3">
      <c r="P41" t="s">
        <v>597</v>
      </c>
      <c r="Q41" t="s">
        <v>598</v>
      </c>
      <c r="R41">
        <v>0.15</v>
      </c>
      <c r="S41">
        <v>44000</v>
      </c>
      <c r="T41" s="15">
        <v>46143</v>
      </c>
      <c r="U41" t="s">
        <v>92</v>
      </c>
      <c r="V41" t="s">
        <v>81</v>
      </c>
      <c r="W41" t="s">
        <v>86</v>
      </c>
      <c r="X41">
        <v>54</v>
      </c>
      <c r="Y41" s="4">
        <f t="shared" si="8"/>
        <v>6600</v>
      </c>
      <c r="Z41" s="4">
        <f t="shared" si="9"/>
        <v>46143</v>
      </c>
    </row>
    <row r="42" spans="2:26" ht="15" customHeight="1" x14ac:dyDescent="0.3">
      <c r="P42" t="s">
        <v>599</v>
      </c>
      <c r="Q42" t="s">
        <v>600</v>
      </c>
      <c r="R42">
        <v>0.65</v>
      </c>
      <c r="S42">
        <v>30000</v>
      </c>
      <c r="T42" s="15">
        <v>46357</v>
      </c>
      <c r="U42" t="s">
        <v>87</v>
      </c>
      <c r="V42" t="s">
        <v>81</v>
      </c>
      <c r="W42" t="s">
        <v>86</v>
      </c>
      <c r="X42">
        <v>81</v>
      </c>
      <c r="Y42" s="4">
        <f t="shared" si="8"/>
        <v>19500</v>
      </c>
      <c r="Z42" s="4">
        <f t="shared" si="9"/>
        <v>46357</v>
      </c>
    </row>
    <row r="43" spans="2:26" ht="15" customHeight="1" x14ac:dyDescent="0.3">
      <c r="P43" t="s">
        <v>601</v>
      </c>
      <c r="Q43" t="s">
        <v>602</v>
      </c>
      <c r="R43">
        <v>0.5</v>
      </c>
      <c r="S43">
        <v>120000</v>
      </c>
      <c r="T43" s="15">
        <v>46266</v>
      </c>
      <c r="U43" t="s">
        <v>89</v>
      </c>
      <c r="V43" t="s">
        <v>91</v>
      </c>
      <c r="W43" t="s">
        <v>82</v>
      </c>
      <c r="X43">
        <v>69</v>
      </c>
      <c r="Y43" s="4">
        <f t="shared" si="8"/>
        <v>60000</v>
      </c>
      <c r="Z43" s="4">
        <f t="shared" si="9"/>
        <v>46266</v>
      </c>
    </row>
    <row r="44" spans="2:26" ht="15" customHeight="1" x14ac:dyDescent="0.3">
      <c r="P44" t="s">
        <v>603</v>
      </c>
      <c r="Q44" t="s">
        <v>596</v>
      </c>
      <c r="R44">
        <v>0.3</v>
      </c>
      <c r="S44">
        <v>29000</v>
      </c>
      <c r="T44" s="15">
        <v>46296</v>
      </c>
      <c r="U44" t="s">
        <v>92</v>
      </c>
      <c r="V44" t="s">
        <v>81</v>
      </c>
      <c r="W44" t="s">
        <v>82</v>
      </c>
      <c r="X44">
        <v>42</v>
      </c>
      <c r="Y44" s="4">
        <f t="shared" si="8"/>
        <v>8700</v>
      </c>
      <c r="Z44" s="4">
        <f t="shared" si="9"/>
        <v>46296</v>
      </c>
    </row>
    <row r="45" spans="2:26" ht="15" customHeight="1" x14ac:dyDescent="0.3">
      <c r="P45" t="s">
        <v>604</v>
      </c>
      <c r="Q45" t="s">
        <v>596</v>
      </c>
      <c r="R45">
        <v>0.3</v>
      </c>
      <c r="S45">
        <v>451000</v>
      </c>
      <c r="T45" s="15">
        <v>46266</v>
      </c>
      <c r="U45" t="s">
        <v>87</v>
      </c>
      <c r="V45" t="s">
        <v>110</v>
      </c>
      <c r="W45" t="s">
        <v>86</v>
      </c>
      <c r="X45">
        <v>105</v>
      </c>
      <c r="Y45" s="4">
        <f t="shared" si="8"/>
        <v>135300</v>
      </c>
      <c r="Z45" s="4">
        <f t="shared" si="9"/>
        <v>46266</v>
      </c>
    </row>
    <row r="46" spans="2:26" ht="15" customHeight="1" x14ac:dyDescent="0.3">
      <c r="P46" t="s">
        <v>605</v>
      </c>
      <c r="Q46" t="s">
        <v>602</v>
      </c>
      <c r="R46">
        <v>0.5</v>
      </c>
      <c r="S46">
        <v>88000</v>
      </c>
      <c r="T46" s="15">
        <v>46174</v>
      </c>
      <c r="U46" t="s">
        <v>101</v>
      </c>
      <c r="V46" t="s">
        <v>91</v>
      </c>
      <c r="W46" t="s">
        <v>86</v>
      </c>
      <c r="X46">
        <v>78</v>
      </c>
      <c r="Y46" s="4">
        <f t="shared" si="8"/>
        <v>44000</v>
      </c>
      <c r="Z46" s="4">
        <f t="shared" si="9"/>
        <v>46174</v>
      </c>
    </row>
    <row r="47" spans="2:26" ht="15" customHeight="1" x14ac:dyDescent="0.3">
      <c r="P47" t="s">
        <v>606</v>
      </c>
      <c r="Q47" t="s">
        <v>598</v>
      </c>
      <c r="R47">
        <v>0.15</v>
      </c>
      <c r="S47">
        <v>259000</v>
      </c>
      <c r="T47" s="15">
        <v>46082</v>
      </c>
      <c r="U47" t="s">
        <v>87</v>
      </c>
      <c r="V47" t="s">
        <v>110</v>
      </c>
      <c r="W47" t="s">
        <v>86</v>
      </c>
      <c r="X47">
        <v>122</v>
      </c>
      <c r="Y47" s="4">
        <f t="shared" si="8"/>
        <v>38850</v>
      </c>
      <c r="Z47" s="4">
        <f t="shared" si="9"/>
        <v>46082</v>
      </c>
    </row>
    <row r="48" spans="2:26" ht="15" customHeight="1" x14ac:dyDescent="0.3">
      <c r="P48" t="s">
        <v>607</v>
      </c>
      <c r="Q48" t="s">
        <v>608</v>
      </c>
      <c r="R48">
        <v>0.92</v>
      </c>
      <c r="S48">
        <v>88000</v>
      </c>
      <c r="T48" s="15">
        <v>46174</v>
      </c>
      <c r="U48" t="s">
        <v>89</v>
      </c>
      <c r="V48" t="s">
        <v>91</v>
      </c>
      <c r="W48" t="s">
        <v>99</v>
      </c>
      <c r="X48">
        <v>73</v>
      </c>
      <c r="Y48" s="4">
        <f t="shared" si="8"/>
        <v>80960</v>
      </c>
      <c r="Z48" s="4">
        <f t="shared" si="9"/>
        <v>46174</v>
      </c>
    </row>
    <row r="49" spans="16:26" ht="15" customHeight="1" x14ac:dyDescent="0.3">
      <c r="P49" t="s">
        <v>609</v>
      </c>
      <c r="Q49" t="s">
        <v>602</v>
      </c>
      <c r="R49">
        <v>0.5</v>
      </c>
      <c r="S49">
        <v>105000</v>
      </c>
      <c r="T49" s="15">
        <v>46054</v>
      </c>
      <c r="U49" t="s">
        <v>92</v>
      </c>
      <c r="V49" t="s">
        <v>91</v>
      </c>
      <c r="W49" t="s">
        <v>96</v>
      </c>
      <c r="X49">
        <v>95</v>
      </c>
      <c r="Y49" s="4">
        <f t="shared" si="8"/>
        <v>52500</v>
      </c>
      <c r="Z49" s="4">
        <f t="shared" si="9"/>
        <v>46054</v>
      </c>
    </row>
    <row r="50" spans="16:26" ht="15" customHeight="1" x14ac:dyDescent="0.3">
      <c r="P50" t="s">
        <v>610</v>
      </c>
      <c r="Q50" t="s">
        <v>602</v>
      </c>
      <c r="R50">
        <v>0.5</v>
      </c>
      <c r="S50">
        <v>30000</v>
      </c>
      <c r="T50" s="15">
        <v>46023</v>
      </c>
      <c r="U50" t="s">
        <v>103</v>
      </c>
      <c r="V50" t="s">
        <v>81</v>
      </c>
      <c r="W50" t="s">
        <v>86</v>
      </c>
      <c r="X50">
        <v>37</v>
      </c>
      <c r="Y50" s="4">
        <f t="shared" si="8"/>
        <v>15000</v>
      </c>
      <c r="Z50" s="4">
        <f t="shared" si="9"/>
        <v>46023</v>
      </c>
    </row>
    <row r="51" spans="16:26" ht="15" customHeight="1" x14ac:dyDescent="0.3">
      <c r="P51" t="s">
        <v>611</v>
      </c>
      <c r="Q51" t="s">
        <v>598</v>
      </c>
      <c r="R51">
        <v>0.15</v>
      </c>
      <c r="S51">
        <v>32000</v>
      </c>
      <c r="T51" s="15">
        <v>46296</v>
      </c>
      <c r="U51" t="s">
        <v>89</v>
      </c>
      <c r="V51" t="s">
        <v>81</v>
      </c>
      <c r="W51" t="s">
        <v>82</v>
      </c>
      <c r="X51">
        <v>72</v>
      </c>
      <c r="Y51" s="4">
        <f t="shared" si="8"/>
        <v>4800</v>
      </c>
      <c r="Z51" s="4">
        <f t="shared" si="9"/>
        <v>46296</v>
      </c>
    </row>
    <row r="52" spans="16:26" ht="15" customHeight="1" x14ac:dyDescent="0.3">
      <c r="P52" t="s">
        <v>612</v>
      </c>
      <c r="Q52" t="s">
        <v>600</v>
      </c>
      <c r="R52">
        <v>0.65</v>
      </c>
      <c r="S52">
        <v>108000</v>
      </c>
      <c r="T52" s="15">
        <v>46082</v>
      </c>
      <c r="U52" t="s">
        <v>87</v>
      </c>
      <c r="V52" t="s">
        <v>91</v>
      </c>
      <c r="W52" t="s">
        <v>86</v>
      </c>
      <c r="X52">
        <v>65</v>
      </c>
      <c r="Y52" s="4">
        <f t="shared" si="8"/>
        <v>70200</v>
      </c>
      <c r="Z52" s="4">
        <f t="shared" si="9"/>
        <v>46082</v>
      </c>
    </row>
    <row r="53" spans="16:26" ht="15" customHeight="1" x14ac:dyDescent="0.3">
      <c r="P53" t="s">
        <v>613</v>
      </c>
      <c r="Q53" t="s">
        <v>594</v>
      </c>
      <c r="R53">
        <v>0.8</v>
      </c>
      <c r="S53">
        <v>33000</v>
      </c>
      <c r="T53" s="15">
        <v>46204</v>
      </c>
      <c r="U53" t="s">
        <v>101</v>
      </c>
      <c r="V53" t="s">
        <v>81</v>
      </c>
      <c r="W53" t="s">
        <v>99</v>
      </c>
      <c r="X53">
        <v>41</v>
      </c>
      <c r="Y53" s="4">
        <f t="shared" si="8"/>
        <v>26400</v>
      </c>
      <c r="Z53" s="4">
        <f t="shared" si="9"/>
        <v>46204</v>
      </c>
    </row>
    <row r="54" spans="16:26" ht="15" customHeight="1" x14ac:dyDescent="0.3">
      <c r="P54" t="s">
        <v>614</v>
      </c>
      <c r="Q54" t="s">
        <v>600</v>
      </c>
      <c r="R54">
        <v>0.65</v>
      </c>
      <c r="S54">
        <v>36000</v>
      </c>
      <c r="T54" s="15">
        <v>46357</v>
      </c>
      <c r="U54" t="s">
        <v>83</v>
      </c>
      <c r="V54" t="s">
        <v>81</v>
      </c>
      <c r="W54" t="s">
        <v>99</v>
      </c>
      <c r="X54">
        <v>34</v>
      </c>
      <c r="Y54" s="4">
        <f t="shared" si="8"/>
        <v>23400</v>
      </c>
      <c r="Z54" s="4">
        <f t="shared" si="9"/>
        <v>46357</v>
      </c>
    </row>
    <row r="55" spans="16:26" ht="15" customHeight="1" x14ac:dyDescent="0.3">
      <c r="P55" t="s">
        <v>615</v>
      </c>
      <c r="Q55" t="s">
        <v>600</v>
      </c>
      <c r="R55">
        <v>0.65</v>
      </c>
      <c r="S55">
        <v>41000</v>
      </c>
      <c r="T55" s="15">
        <v>46296</v>
      </c>
      <c r="U55" t="s">
        <v>103</v>
      </c>
      <c r="V55" t="s">
        <v>81</v>
      </c>
      <c r="W55" t="s">
        <v>99</v>
      </c>
      <c r="X55">
        <v>49</v>
      </c>
      <c r="Y55" s="4">
        <f t="shared" si="8"/>
        <v>26650</v>
      </c>
      <c r="Z55" s="4">
        <f t="shared" si="9"/>
        <v>46296</v>
      </c>
    </row>
    <row r="56" spans="16:26" x14ac:dyDescent="0.3">
      <c r="P56" t="s">
        <v>616</v>
      </c>
      <c r="Q56" t="s">
        <v>598</v>
      </c>
      <c r="R56">
        <v>0.15</v>
      </c>
      <c r="S56">
        <v>90000</v>
      </c>
      <c r="T56" s="15">
        <v>46235</v>
      </c>
      <c r="U56" t="s">
        <v>87</v>
      </c>
      <c r="V56" t="s">
        <v>91</v>
      </c>
      <c r="W56" t="s">
        <v>82</v>
      </c>
      <c r="X56">
        <v>86</v>
      </c>
      <c r="Y56" s="4">
        <f t="shared" si="8"/>
        <v>13500</v>
      </c>
      <c r="Z56" s="4">
        <f t="shared" si="9"/>
        <v>46235</v>
      </c>
    </row>
    <row r="57" spans="16:26" x14ac:dyDescent="0.3">
      <c r="P57" t="s">
        <v>617</v>
      </c>
      <c r="Q57" t="s">
        <v>600</v>
      </c>
      <c r="R57">
        <v>0.65</v>
      </c>
      <c r="S57">
        <v>29000</v>
      </c>
      <c r="T57" s="15">
        <v>46174</v>
      </c>
      <c r="U57" t="s">
        <v>101</v>
      </c>
      <c r="V57" t="s">
        <v>81</v>
      </c>
      <c r="W57" t="s">
        <v>99</v>
      </c>
      <c r="X57">
        <v>36</v>
      </c>
      <c r="Y57" s="4">
        <f t="shared" si="8"/>
        <v>18850</v>
      </c>
      <c r="Z57" s="4">
        <f t="shared" si="9"/>
        <v>46174</v>
      </c>
    </row>
    <row r="58" spans="16:26" x14ac:dyDescent="0.3">
      <c r="P58" t="s">
        <v>618</v>
      </c>
      <c r="Q58" t="s">
        <v>596</v>
      </c>
      <c r="R58">
        <v>0.3</v>
      </c>
      <c r="S58">
        <v>35000</v>
      </c>
      <c r="T58" s="15">
        <v>46266</v>
      </c>
      <c r="U58" t="s">
        <v>101</v>
      </c>
      <c r="V58" t="s">
        <v>81</v>
      </c>
      <c r="W58" t="s">
        <v>86</v>
      </c>
      <c r="X58">
        <v>56</v>
      </c>
      <c r="Y58" s="4">
        <f t="shared" si="8"/>
        <v>10500</v>
      </c>
      <c r="Z58" s="4">
        <f t="shared" si="9"/>
        <v>46266</v>
      </c>
    </row>
    <row r="59" spans="16:26" x14ac:dyDescent="0.3">
      <c r="P59" t="s">
        <v>619</v>
      </c>
      <c r="Q59" t="s">
        <v>598</v>
      </c>
      <c r="R59">
        <v>0.15</v>
      </c>
      <c r="S59">
        <v>123000</v>
      </c>
      <c r="T59" s="15">
        <v>46082</v>
      </c>
      <c r="U59" t="s">
        <v>92</v>
      </c>
      <c r="V59" t="s">
        <v>91</v>
      </c>
      <c r="W59" t="s">
        <v>82</v>
      </c>
      <c r="X59">
        <v>80</v>
      </c>
      <c r="Y59" s="4">
        <f t="shared" si="8"/>
        <v>18450</v>
      </c>
      <c r="Z59" s="4">
        <f t="shared" si="9"/>
        <v>46082</v>
      </c>
    </row>
    <row r="60" spans="16:26" x14ac:dyDescent="0.3">
      <c r="P60" t="s">
        <v>620</v>
      </c>
      <c r="Q60" t="s">
        <v>598</v>
      </c>
      <c r="R60">
        <v>0.15</v>
      </c>
      <c r="S60">
        <v>102000</v>
      </c>
      <c r="T60" s="15">
        <v>46054</v>
      </c>
      <c r="U60" t="s">
        <v>101</v>
      </c>
      <c r="V60" t="s">
        <v>91</v>
      </c>
      <c r="W60" t="s">
        <v>86</v>
      </c>
      <c r="X60">
        <v>88</v>
      </c>
      <c r="Y60" s="4">
        <f t="shared" si="8"/>
        <v>15300</v>
      </c>
      <c r="Z60" s="4">
        <f t="shared" si="9"/>
        <v>46054</v>
      </c>
    </row>
    <row r="61" spans="16:26" x14ac:dyDescent="0.3">
      <c r="P61" t="s">
        <v>621</v>
      </c>
      <c r="Q61" t="s">
        <v>600</v>
      </c>
      <c r="R61">
        <v>0.65</v>
      </c>
      <c r="S61">
        <v>150000</v>
      </c>
      <c r="T61" s="15">
        <v>46143</v>
      </c>
      <c r="U61" t="s">
        <v>101</v>
      </c>
      <c r="V61" t="s">
        <v>91</v>
      </c>
      <c r="W61" t="s">
        <v>82</v>
      </c>
      <c r="X61">
        <v>91</v>
      </c>
      <c r="Y61" s="4">
        <f t="shared" si="8"/>
        <v>97500</v>
      </c>
      <c r="Z61" s="4">
        <f t="shared" si="9"/>
        <v>46143</v>
      </c>
    </row>
    <row r="62" spans="16:26" x14ac:dyDescent="0.3">
      <c r="P62" t="s">
        <v>622</v>
      </c>
      <c r="Q62" t="s">
        <v>598</v>
      </c>
      <c r="R62">
        <v>0.15</v>
      </c>
      <c r="S62">
        <v>37000</v>
      </c>
      <c r="T62" s="15">
        <v>46082</v>
      </c>
      <c r="U62" t="s">
        <v>87</v>
      </c>
      <c r="V62" t="s">
        <v>81</v>
      </c>
      <c r="W62" t="s">
        <v>86</v>
      </c>
      <c r="X62">
        <v>54</v>
      </c>
      <c r="Y62" s="4">
        <f t="shared" si="8"/>
        <v>5550</v>
      </c>
      <c r="Z62" s="4">
        <f t="shared" si="9"/>
        <v>46082</v>
      </c>
    </row>
    <row r="63" spans="16:26" x14ac:dyDescent="0.3">
      <c r="P63" t="s">
        <v>623</v>
      </c>
      <c r="Q63" t="s">
        <v>602</v>
      </c>
      <c r="R63">
        <v>0.5</v>
      </c>
      <c r="S63">
        <v>103000</v>
      </c>
      <c r="T63" s="15">
        <v>46357</v>
      </c>
      <c r="U63" t="s">
        <v>87</v>
      </c>
      <c r="V63" t="s">
        <v>91</v>
      </c>
      <c r="W63" t="s">
        <v>82</v>
      </c>
      <c r="X63">
        <v>97</v>
      </c>
      <c r="Y63" s="4">
        <f t="shared" si="8"/>
        <v>51500</v>
      </c>
      <c r="Z63" s="4">
        <f t="shared" si="9"/>
        <v>46357</v>
      </c>
    </row>
    <row r="64" spans="16:26" x14ac:dyDescent="0.3">
      <c r="P64" t="s">
        <v>624</v>
      </c>
      <c r="Q64" t="s">
        <v>594</v>
      </c>
      <c r="R64">
        <v>0.8</v>
      </c>
      <c r="S64">
        <v>436000</v>
      </c>
      <c r="T64" s="15">
        <v>46266</v>
      </c>
      <c r="U64" t="s">
        <v>83</v>
      </c>
      <c r="V64" t="s">
        <v>110</v>
      </c>
      <c r="W64" t="s">
        <v>99</v>
      </c>
      <c r="X64">
        <v>131</v>
      </c>
      <c r="Y64" s="4">
        <f t="shared" si="8"/>
        <v>348800</v>
      </c>
      <c r="Z64" s="4">
        <f t="shared" si="9"/>
        <v>46266</v>
      </c>
    </row>
    <row r="65" spans="16:26" x14ac:dyDescent="0.3">
      <c r="P65" t="s">
        <v>625</v>
      </c>
      <c r="Q65" t="s">
        <v>600</v>
      </c>
      <c r="R65">
        <v>0.65</v>
      </c>
      <c r="S65">
        <v>42000</v>
      </c>
      <c r="T65" s="15">
        <v>46082</v>
      </c>
      <c r="U65" t="s">
        <v>103</v>
      </c>
      <c r="V65" t="s">
        <v>81</v>
      </c>
      <c r="W65" t="s">
        <v>86</v>
      </c>
      <c r="X65">
        <v>40</v>
      </c>
      <c r="Y65" s="4">
        <f t="shared" si="8"/>
        <v>27300</v>
      </c>
      <c r="Z65" s="4">
        <f t="shared" si="9"/>
        <v>46082</v>
      </c>
    </row>
    <row r="66" spans="16:26" x14ac:dyDescent="0.3">
      <c r="P66" t="s">
        <v>626</v>
      </c>
      <c r="Q66" t="s">
        <v>594</v>
      </c>
      <c r="R66">
        <v>0.8</v>
      </c>
      <c r="S66">
        <v>25000</v>
      </c>
      <c r="T66" s="15">
        <v>46174</v>
      </c>
      <c r="U66" t="s">
        <v>83</v>
      </c>
      <c r="V66" t="s">
        <v>81</v>
      </c>
      <c r="W66" t="s">
        <v>82</v>
      </c>
      <c r="X66">
        <v>13</v>
      </c>
      <c r="Y66" s="4">
        <f t="shared" si="8"/>
        <v>20000</v>
      </c>
      <c r="Z66" s="4">
        <f t="shared" si="9"/>
        <v>46174</v>
      </c>
    </row>
    <row r="67" spans="16:26" x14ac:dyDescent="0.3">
      <c r="P67" t="s">
        <v>627</v>
      </c>
      <c r="Q67" t="s">
        <v>594</v>
      </c>
      <c r="R67">
        <v>0.8</v>
      </c>
      <c r="S67">
        <v>112000</v>
      </c>
      <c r="T67" s="15">
        <v>46174</v>
      </c>
      <c r="U67" t="s">
        <v>101</v>
      </c>
      <c r="V67" t="s">
        <v>91</v>
      </c>
      <c r="W67" t="s">
        <v>86</v>
      </c>
      <c r="X67">
        <v>106</v>
      </c>
      <c r="Y67" s="4">
        <f t="shared" si="8"/>
        <v>89600</v>
      </c>
      <c r="Z67" s="4">
        <f t="shared" si="9"/>
        <v>46174</v>
      </c>
    </row>
    <row r="68" spans="16:26" x14ac:dyDescent="0.3">
      <c r="P68" t="s">
        <v>628</v>
      </c>
      <c r="Q68" t="s">
        <v>608</v>
      </c>
      <c r="R68">
        <v>0.92</v>
      </c>
      <c r="S68">
        <v>107000</v>
      </c>
      <c r="T68" s="15">
        <v>46023</v>
      </c>
      <c r="U68" t="s">
        <v>97</v>
      </c>
      <c r="V68" t="s">
        <v>91</v>
      </c>
      <c r="W68" t="s">
        <v>86</v>
      </c>
      <c r="X68">
        <v>92</v>
      </c>
      <c r="Y68" s="4">
        <f t="shared" si="8"/>
        <v>98440</v>
      </c>
      <c r="Z68" s="4">
        <f t="shared" si="9"/>
        <v>46023</v>
      </c>
    </row>
    <row r="69" spans="16:26" x14ac:dyDescent="0.3">
      <c r="P69" t="s">
        <v>629</v>
      </c>
      <c r="Q69" t="s">
        <v>596</v>
      </c>
      <c r="R69">
        <v>0.3</v>
      </c>
      <c r="S69">
        <v>36000</v>
      </c>
      <c r="T69" s="15">
        <v>46204</v>
      </c>
      <c r="U69" t="s">
        <v>103</v>
      </c>
      <c r="V69" t="s">
        <v>81</v>
      </c>
      <c r="W69" t="s">
        <v>86</v>
      </c>
      <c r="X69">
        <v>106</v>
      </c>
      <c r="Y69" s="4">
        <f t="shared" si="8"/>
        <v>10800</v>
      </c>
      <c r="Z69" s="4">
        <f t="shared" si="9"/>
        <v>46204</v>
      </c>
    </row>
    <row r="70" spans="16:26" x14ac:dyDescent="0.3">
      <c r="P70" t="s">
        <v>630</v>
      </c>
      <c r="Q70" t="s">
        <v>596</v>
      </c>
      <c r="R70">
        <v>0.3</v>
      </c>
      <c r="S70">
        <v>314000</v>
      </c>
      <c r="T70" s="15">
        <v>46174</v>
      </c>
      <c r="U70" t="s">
        <v>83</v>
      </c>
      <c r="V70" t="s">
        <v>110</v>
      </c>
      <c r="W70" t="s">
        <v>96</v>
      </c>
      <c r="X70">
        <v>139</v>
      </c>
      <c r="Y70" s="4">
        <f t="shared" si="8"/>
        <v>94200</v>
      </c>
      <c r="Z70" s="4">
        <f t="shared" si="9"/>
        <v>46174</v>
      </c>
    </row>
    <row r="71" spans="16:26" x14ac:dyDescent="0.3">
      <c r="P71" t="s">
        <v>631</v>
      </c>
      <c r="Q71" t="s">
        <v>594</v>
      </c>
      <c r="R71">
        <v>0.8</v>
      </c>
      <c r="S71">
        <v>89000</v>
      </c>
      <c r="T71" s="15">
        <v>46143</v>
      </c>
      <c r="U71" t="s">
        <v>97</v>
      </c>
      <c r="V71" t="s">
        <v>91</v>
      </c>
      <c r="W71" t="s">
        <v>82</v>
      </c>
      <c r="X71">
        <v>90</v>
      </c>
      <c r="Y71" s="4">
        <f t="shared" si="8"/>
        <v>71200</v>
      </c>
      <c r="Z71" s="4">
        <f t="shared" si="9"/>
        <v>46143</v>
      </c>
    </row>
    <row r="72" spans="16:26" x14ac:dyDescent="0.3">
      <c r="P72" t="s">
        <v>632</v>
      </c>
      <c r="Q72" t="s">
        <v>600</v>
      </c>
      <c r="R72">
        <v>0.65</v>
      </c>
      <c r="S72">
        <v>23000</v>
      </c>
      <c r="T72" s="15">
        <v>46204</v>
      </c>
      <c r="U72" t="s">
        <v>92</v>
      </c>
      <c r="V72" t="s">
        <v>81</v>
      </c>
      <c r="W72" t="s">
        <v>86</v>
      </c>
      <c r="X72">
        <v>61</v>
      </c>
      <c r="Y72" s="4">
        <f t="shared" si="8"/>
        <v>14950</v>
      </c>
      <c r="Z72" s="4">
        <f t="shared" si="9"/>
        <v>46204</v>
      </c>
    </row>
    <row r="73" spans="16:26" x14ac:dyDescent="0.3">
      <c r="P73" t="s">
        <v>633</v>
      </c>
      <c r="Q73" t="s">
        <v>602</v>
      </c>
      <c r="R73">
        <v>0.5</v>
      </c>
      <c r="S73">
        <v>98000</v>
      </c>
      <c r="T73" s="15">
        <v>46174</v>
      </c>
      <c r="U73" t="s">
        <v>89</v>
      </c>
      <c r="V73" t="s">
        <v>91</v>
      </c>
      <c r="W73" t="s">
        <v>86</v>
      </c>
      <c r="X73">
        <v>110</v>
      </c>
      <c r="Y73" s="4">
        <f t="shared" si="8"/>
        <v>49000</v>
      </c>
      <c r="Z73" s="4">
        <f t="shared" si="9"/>
        <v>46174</v>
      </c>
    </row>
    <row r="74" spans="16:26" x14ac:dyDescent="0.3">
      <c r="P74" t="s">
        <v>634</v>
      </c>
      <c r="Q74" t="s">
        <v>596</v>
      </c>
      <c r="R74">
        <v>0.3</v>
      </c>
      <c r="S74">
        <v>80000</v>
      </c>
      <c r="T74" s="15">
        <v>46143</v>
      </c>
      <c r="U74" t="s">
        <v>103</v>
      </c>
      <c r="V74" t="s">
        <v>91</v>
      </c>
      <c r="W74" t="s">
        <v>99</v>
      </c>
      <c r="X74">
        <v>68</v>
      </c>
      <c r="Y74" s="4">
        <f t="shared" si="8"/>
        <v>24000</v>
      </c>
      <c r="Z74" s="4">
        <f t="shared" si="9"/>
        <v>46143</v>
      </c>
    </row>
    <row r="75" spans="16:26" x14ac:dyDescent="0.3">
      <c r="P75" t="s">
        <v>635</v>
      </c>
      <c r="Q75" t="s">
        <v>598</v>
      </c>
      <c r="R75">
        <v>0.15</v>
      </c>
      <c r="S75">
        <v>385000</v>
      </c>
      <c r="T75" s="15">
        <v>46357</v>
      </c>
      <c r="U75" t="s">
        <v>97</v>
      </c>
      <c r="V75" t="s">
        <v>110</v>
      </c>
      <c r="W75" t="s">
        <v>99</v>
      </c>
      <c r="X75">
        <v>105</v>
      </c>
      <c r="Y75" s="4">
        <f t="shared" si="8"/>
        <v>57750</v>
      </c>
      <c r="Z75" s="4">
        <f t="shared" si="9"/>
        <v>46357</v>
      </c>
    </row>
    <row r="76" spans="16:26" x14ac:dyDescent="0.3">
      <c r="P76" t="s">
        <v>636</v>
      </c>
      <c r="Q76" t="s">
        <v>596</v>
      </c>
      <c r="R76">
        <v>0.3</v>
      </c>
      <c r="S76">
        <v>153000</v>
      </c>
      <c r="T76" s="15">
        <v>46023</v>
      </c>
      <c r="U76" t="s">
        <v>103</v>
      </c>
      <c r="V76" t="s">
        <v>91</v>
      </c>
      <c r="W76" t="s">
        <v>86</v>
      </c>
      <c r="X76">
        <v>49</v>
      </c>
      <c r="Y76" s="4">
        <f t="shared" si="8"/>
        <v>45900</v>
      </c>
      <c r="Z76" s="4">
        <f t="shared" si="9"/>
        <v>46023</v>
      </c>
    </row>
    <row r="77" spans="16:26" x14ac:dyDescent="0.3">
      <c r="P77" t="s">
        <v>637</v>
      </c>
      <c r="Q77" t="s">
        <v>598</v>
      </c>
      <c r="R77">
        <v>0.15</v>
      </c>
      <c r="S77">
        <v>103000</v>
      </c>
      <c r="T77" s="15">
        <v>46174</v>
      </c>
      <c r="U77" t="s">
        <v>101</v>
      </c>
      <c r="V77" t="s">
        <v>91</v>
      </c>
      <c r="W77" t="s">
        <v>82</v>
      </c>
      <c r="X77">
        <v>82</v>
      </c>
      <c r="Y77" s="4">
        <f t="shared" si="8"/>
        <v>15450</v>
      </c>
      <c r="Z77" s="4">
        <f t="shared" si="9"/>
        <v>46174</v>
      </c>
    </row>
    <row r="78" spans="16:26" x14ac:dyDescent="0.3">
      <c r="P78" t="s">
        <v>638</v>
      </c>
      <c r="Q78" t="s">
        <v>598</v>
      </c>
      <c r="R78">
        <v>0.15</v>
      </c>
      <c r="S78">
        <v>143000</v>
      </c>
      <c r="T78" s="15">
        <v>46023</v>
      </c>
      <c r="U78" t="s">
        <v>101</v>
      </c>
      <c r="V78" t="s">
        <v>91</v>
      </c>
      <c r="W78" t="s">
        <v>82</v>
      </c>
      <c r="X78">
        <v>94</v>
      </c>
      <c r="Y78" s="4">
        <f t="shared" si="8"/>
        <v>21450</v>
      </c>
      <c r="Z78" s="4">
        <f t="shared" si="9"/>
        <v>46023</v>
      </c>
    </row>
    <row r="79" spans="16:26" x14ac:dyDescent="0.3">
      <c r="P79" t="s">
        <v>639</v>
      </c>
      <c r="Q79" t="s">
        <v>602</v>
      </c>
      <c r="R79">
        <v>0.5</v>
      </c>
      <c r="S79">
        <v>45000</v>
      </c>
      <c r="T79" s="15">
        <v>46113</v>
      </c>
      <c r="U79" t="s">
        <v>101</v>
      </c>
      <c r="V79" t="s">
        <v>81</v>
      </c>
      <c r="W79" t="s">
        <v>96</v>
      </c>
      <c r="X79">
        <v>52</v>
      </c>
      <c r="Y79" s="4">
        <f t="shared" si="8"/>
        <v>22500</v>
      </c>
      <c r="Z79" s="4">
        <f t="shared" si="9"/>
        <v>46113</v>
      </c>
    </row>
    <row r="80" spans="16:26" x14ac:dyDescent="0.3">
      <c r="P80" t="s">
        <v>640</v>
      </c>
      <c r="Q80" t="s">
        <v>600</v>
      </c>
      <c r="R80">
        <v>0.65</v>
      </c>
      <c r="S80">
        <v>112000</v>
      </c>
      <c r="T80" s="15">
        <v>46204</v>
      </c>
      <c r="U80" t="s">
        <v>103</v>
      </c>
      <c r="V80" t="s">
        <v>91</v>
      </c>
      <c r="W80" t="s">
        <v>99</v>
      </c>
      <c r="X80">
        <v>80</v>
      </c>
      <c r="Y80" s="4">
        <f t="shared" si="8"/>
        <v>72800</v>
      </c>
      <c r="Z80" s="4">
        <f t="shared" si="9"/>
        <v>46204</v>
      </c>
    </row>
    <row r="81" spans="16:26" x14ac:dyDescent="0.3">
      <c r="P81" t="s">
        <v>641</v>
      </c>
      <c r="Q81" t="s">
        <v>602</v>
      </c>
      <c r="R81">
        <v>0.5</v>
      </c>
      <c r="S81">
        <v>175000</v>
      </c>
      <c r="T81" s="15">
        <v>46296</v>
      </c>
      <c r="U81" t="s">
        <v>97</v>
      </c>
      <c r="V81" t="s">
        <v>91</v>
      </c>
      <c r="W81" t="s">
        <v>82</v>
      </c>
      <c r="X81">
        <v>88</v>
      </c>
      <c r="Y81" s="4">
        <f t="shared" si="8"/>
        <v>87500</v>
      </c>
      <c r="Z81" s="4">
        <f t="shared" si="9"/>
        <v>46296</v>
      </c>
    </row>
    <row r="82" spans="16:26" x14ac:dyDescent="0.3">
      <c r="P82" t="s">
        <v>642</v>
      </c>
      <c r="Q82" t="s">
        <v>600</v>
      </c>
      <c r="R82">
        <v>0.65</v>
      </c>
      <c r="S82">
        <v>151000</v>
      </c>
      <c r="T82" s="15">
        <v>46082</v>
      </c>
      <c r="U82" t="s">
        <v>87</v>
      </c>
      <c r="V82" t="s">
        <v>91</v>
      </c>
      <c r="W82" t="s">
        <v>96</v>
      </c>
      <c r="X82">
        <v>69</v>
      </c>
      <c r="Y82" s="4">
        <f t="shared" si="8"/>
        <v>98150</v>
      </c>
      <c r="Z82" s="4">
        <f t="shared" si="9"/>
        <v>46082</v>
      </c>
    </row>
    <row r="83" spans="16:26" x14ac:dyDescent="0.3">
      <c r="P83" t="s">
        <v>643</v>
      </c>
      <c r="Q83" t="s">
        <v>602</v>
      </c>
      <c r="R83">
        <v>0.5</v>
      </c>
      <c r="S83">
        <v>52000</v>
      </c>
      <c r="T83" s="15">
        <v>46235</v>
      </c>
      <c r="U83" t="s">
        <v>92</v>
      </c>
      <c r="V83" t="s">
        <v>81</v>
      </c>
      <c r="W83" t="s">
        <v>99</v>
      </c>
      <c r="X83">
        <v>65</v>
      </c>
      <c r="Y83" s="4">
        <f t="shared" si="8"/>
        <v>26000</v>
      </c>
      <c r="Z83" s="4">
        <f t="shared" si="9"/>
        <v>46235</v>
      </c>
    </row>
    <row r="84" spans="16:26" x14ac:dyDescent="0.3">
      <c r="P84" t="s">
        <v>644</v>
      </c>
      <c r="Q84" t="s">
        <v>594</v>
      </c>
      <c r="R84">
        <v>0.8</v>
      </c>
      <c r="S84">
        <v>88000</v>
      </c>
      <c r="T84" s="15">
        <v>46054</v>
      </c>
      <c r="U84" t="s">
        <v>87</v>
      </c>
      <c r="V84" t="s">
        <v>91</v>
      </c>
      <c r="W84" t="s">
        <v>99</v>
      </c>
      <c r="X84">
        <v>67</v>
      </c>
      <c r="Y84" s="4">
        <f t="shared" si="8"/>
        <v>70400</v>
      </c>
      <c r="Z84" s="4">
        <f t="shared" si="9"/>
        <v>46054</v>
      </c>
    </row>
    <row r="85" spans="16:26" x14ac:dyDescent="0.3">
      <c r="P85" t="s">
        <v>645</v>
      </c>
      <c r="Q85" t="s">
        <v>598</v>
      </c>
      <c r="R85">
        <v>0.15</v>
      </c>
      <c r="S85">
        <v>101000</v>
      </c>
      <c r="T85" s="15">
        <v>46023</v>
      </c>
      <c r="U85" t="s">
        <v>89</v>
      </c>
      <c r="V85" t="s">
        <v>91</v>
      </c>
      <c r="W85" t="s">
        <v>86</v>
      </c>
      <c r="X85">
        <v>64</v>
      </c>
      <c r="Y85" s="4">
        <f t="shared" si="8"/>
        <v>15150</v>
      </c>
      <c r="Z85" s="4">
        <f t="shared" si="9"/>
        <v>46023</v>
      </c>
    </row>
    <row r="86" spans="16:26" x14ac:dyDescent="0.3">
      <c r="P86" t="s">
        <v>646</v>
      </c>
      <c r="Q86" t="s">
        <v>598</v>
      </c>
      <c r="R86">
        <v>0.15</v>
      </c>
      <c r="S86">
        <v>386000</v>
      </c>
      <c r="T86" s="15">
        <v>46266</v>
      </c>
      <c r="U86" t="s">
        <v>103</v>
      </c>
      <c r="V86" t="s">
        <v>110</v>
      </c>
      <c r="W86" t="s">
        <v>99</v>
      </c>
      <c r="X86">
        <v>125</v>
      </c>
      <c r="Y86" s="4">
        <f t="shared" si="8"/>
        <v>57900</v>
      </c>
      <c r="Z86" s="4">
        <f t="shared" si="9"/>
        <v>46266</v>
      </c>
    </row>
    <row r="87" spans="16:26" x14ac:dyDescent="0.3">
      <c r="P87" t="s">
        <v>647</v>
      </c>
      <c r="Q87" t="s">
        <v>608</v>
      </c>
      <c r="R87">
        <v>0.92</v>
      </c>
      <c r="S87">
        <v>22000</v>
      </c>
      <c r="T87" s="15">
        <v>46143</v>
      </c>
      <c r="U87" t="s">
        <v>101</v>
      </c>
      <c r="V87" t="s">
        <v>81</v>
      </c>
      <c r="W87" t="s">
        <v>86</v>
      </c>
      <c r="X87">
        <v>67</v>
      </c>
      <c r="Y87" s="4">
        <f t="shared" si="8"/>
        <v>20240</v>
      </c>
      <c r="Z87" s="4">
        <f t="shared" si="9"/>
        <v>46143</v>
      </c>
    </row>
    <row r="88" spans="16:26" x14ac:dyDescent="0.3">
      <c r="P88" t="s">
        <v>648</v>
      </c>
      <c r="Q88" t="s">
        <v>598</v>
      </c>
      <c r="R88">
        <v>0.15</v>
      </c>
      <c r="S88">
        <v>138000</v>
      </c>
      <c r="T88" s="15">
        <v>46357</v>
      </c>
      <c r="U88" t="s">
        <v>87</v>
      </c>
      <c r="V88" t="s">
        <v>91</v>
      </c>
      <c r="W88" t="s">
        <v>96</v>
      </c>
      <c r="X88">
        <v>50</v>
      </c>
      <c r="Y88" s="4">
        <f t="shared" si="8"/>
        <v>20700</v>
      </c>
      <c r="Z88" s="4">
        <f t="shared" si="9"/>
        <v>46357</v>
      </c>
    </row>
    <row r="89" spans="16:26" x14ac:dyDescent="0.3">
      <c r="P89" t="s">
        <v>649</v>
      </c>
      <c r="Q89" t="s">
        <v>596</v>
      </c>
      <c r="R89">
        <v>0.3</v>
      </c>
      <c r="S89">
        <v>38000</v>
      </c>
      <c r="T89" s="15">
        <v>46327</v>
      </c>
      <c r="U89" t="s">
        <v>103</v>
      </c>
      <c r="V89" t="s">
        <v>81</v>
      </c>
      <c r="W89" t="s">
        <v>99</v>
      </c>
      <c r="X89">
        <v>51</v>
      </c>
      <c r="Y89" s="4">
        <f t="shared" si="8"/>
        <v>11400</v>
      </c>
      <c r="Z89" s="4">
        <f t="shared" si="9"/>
        <v>46327</v>
      </c>
    </row>
    <row r="90" spans="16:26" x14ac:dyDescent="0.3">
      <c r="P90" t="s">
        <v>650</v>
      </c>
      <c r="Q90" t="s">
        <v>596</v>
      </c>
      <c r="R90">
        <v>0.3</v>
      </c>
      <c r="S90">
        <v>58000</v>
      </c>
      <c r="T90" s="15">
        <v>46327</v>
      </c>
      <c r="U90" t="s">
        <v>97</v>
      </c>
      <c r="V90" t="s">
        <v>81</v>
      </c>
      <c r="W90" t="s">
        <v>99</v>
      </c>
      <c r="X90">
        <v>47</v>
      </c>
      <c r="Y90" s="4">
        <f t="shared" si="8"/>
        <v>17400</v>
      </c>
      <c r="Z90" s="4">
        <f t="shared" si="9"/>
        <v>46327</v>
      </c>
    </row>
    <row r="91" spans="16:26" x14ac:dyDescent="0.3">
      <c r="P91" t="s">
        <v>651</v>
      </c>
      <c r="Q91" t="s">
        <v>594</v>
      </c>
      <c r="R91">
        <v>0.8</v>
      </c>
      <c r="S91">
        <v>112000</v>
      </c>
      <c r="T91" s="15">
        <v>46357</v>
      </c>
      <c r="U91" t="s">
        <v>89</v>
      </c>
      <c r="V91" t="s">
        <v>91</v>
      </c>
      <c r="W91" t="s">
        <v>82</v>
      </c>
      <c r="X91">
        <v>75</v>
      </c>
      <c r="Y91" s="4">
        <f t="shared" si="8"/>
        <v>89600</v>
      </c>
      <c r="Z91" s="4">
        <f t="shared" si="9"/>
        <v>46357</v>
      </c>
    </row>
    <row r="92" spans="16:26" x14ac:dyDescent="0.3">
      <c r="P92" t="s">
        <v>652</v>
      </c>
      <c r="Q92" t="s">
        <v>598</v>
      </c>
      <c r="R92">
        <v>0.15</v>
      </c>
      <c r="S92">
        <v>105000</v>
      </c>
      <c r="T92" s="15">
        <v>46357</v>
      </c>
      <c r="U92" t="s">
        <v>101</v>
      </c>
      <c r="V92" t="s">
        <v>91</v>
      </c>
      <c r="W92" t="s">
        <v>82</v>
      </c>
      <c r="X92">
        <v>84</v>
      </c>
      <c r="Y92" s="4">
        <f t="shared" si="8"/>
        <v>15750</v>
      </c>
      <c r="Z92" s="4">
        <f t="shared" si="9"/>
        <v>46357</v>
      </c>
    </row>
    <row r="93" spans="16:26" x14ac:dyDescent="0.3">
      <c r="P93" t="s">
        <v>653</v>
      </c>
      <c r="Q93" t="s">
        <v>608</v>
      </c>
      <c r="R93">
        <v>0.92</v>
      </c>
      <c r="S93">
        <v>31000</v>
      </c>
      <c r="T93" s="15">
        <v>46327</v>
      </c>
      <c r="U93" t="s">
        <v>92</v>
      </c>
      <c r="V93" t="s">
        <v>81</v>
      </c>
      <c r="W93" t="s">
        <v>82</v>
      </c>
      <c r="X93">
        <v>75</v>
      </c>
      <c r="Y93" s="4">
        <f t="shared" si="8"/>
        <v>28520</v>
      </c>
      <c r="Z93" s="4">
        <f t="shared" si="9"/>
        <v>46327</v>
      </c>
    </row>
    <row r="94" spans="16:26" x14ac:dyDescent="0.3">
      <c r="P94" t="s">
        <v>654</v>
      </c>
      <c r="Q94" t="s">
        <v>600</v>
      </c>
      <c r="R94">
        <v>0.65</v>
      </c>
      <c r="S94">
        <v>81000</v>
      </c>
      <c r="T94" s="15">
        <v>46327</v>
      </c>
      <c r="U94" t="s">
        <v>92</v>
      </c>
      <c r="V94" t="s">
        <v>91</v>
      </c>
      <c r="W94" t="s">
        <v>99</v>
      </c>
      <c r="X94">
        <v>83</v>
      </c>
      <c r="Y94" s="4">
        <f t="shared" si="8"/>
        <v>52650</v>
      </c>
      <c r="Z94" s="4">
        <f t="shared" si="9"/>
        <v>46327</v>
      </c>
    </row>
    <row r="95" spans="16:26" x14ac:dyDescent="0.3">
      <c r="P95" t="s">
        <v>655</v>
      </c>
      <c r="Q95" t="s">
        <v>600</v>
      </c>
      <c r="R95">
        <v>0.65</v>
      </c>
      <c r="S95">
        <v>32000</v>
      </c>
      <c r="T95" s="15">
        <v>46266</v>
      </c>
      <c r="U95" t="s">
        <v>103</v>
      </c>
      <c r="V95" t="s">
        <v>81</v>
      </c>
      <c r="W95" t="s">
        <v>82</v>
      </c>
      <c r="X95">
        <v>63</v>
      </c>
      <c r="Y95" s="4">
        <f t="shared" si="8"/>
        <v>20800</v>
      </c>
      <c r="Z95" s="4">
        <f t="shared" si="9"/>
        <v>46266</v>
      </c>
    </row>
    <row r="96" spans="16:26" x14ac:dyDescent="0.3">
      <c r="P96" t="s">
        <v>656</v>
      </c>
      <c r="Q96" t="s">
        <v>600</v>
      </c>
      <c r="R96">
        <v>0.65</v>
      </c>
      <c r="S96">
        <v>224000</v>
      </c>
      <c r="T96" s="15">
        <v>46023</v>
      </c>
      <c r="U96" t="s">
        <v>89</v>
      </c>
      <c r="V96" t="s">
        <v>110</v>
      </c>
      <c r="W96" t="s">
        <v>86</v>
      </c>
      <c r="X96">
        <v>123</v>
      </c>
      <c r="Y96" s="4">
        <f t="shared" si="8"/>
        <v>145600</v>
      </c>
      <c r="Z96" s="4">
        <f t="shared" si="9"/>
        <v>46023</v>
      </c>
    </row>
    <row r="97" spans="16:26" x14ac:dyDescent="0.3">
      <c r="P97" t="s">
        <v>657</v>
      </c>
      <c r="Q97" t="s">
        <v>598</v>
      </c>
      <c r="R97">
        <v>0.15</v>
      </c>
      <c r="S97">
        <v>128000</v>
      </c>
      <c r="T97" s="15">
        <v>46023</v>
      </c>
      <c r="U97" t="s">
        <v>101</v>
      </c>
      <c r="V97" t="s">
        <v>91</v>
      </c>
      <c r="W97" t="s">
        <v>82</v>
      </c>
      <c r="X97">
        <v>89</v>
      </c>
      <c r="Y97" s="4">
        <f t="shared" si="8"/>
        <v>19200</v>
      </c>
      <c r="Z97" s="4">
        <f t="shared" si="9"/>
        <v>46023</v>
      </c>
    </row>
    <row r="98" spans="16:26" x14ac:dyDescent="0.3">
      <c r="P98" t="s">
        <v>658</v>
      </c>
      <c r="Q98" t="s">
        <v>596</v>
      </c>
      <c r="R98">
        <v>0.3</v>
      </c>
      <c r="S98">
        <v>38000</v>
      </c>
      <c r="T98" s="15">
        <v>46296</v>
      </c>
      <c r="U98" t="s">
        <v>97</v>
      </c>
      <c r="V98" t="s">
        <v>81</v>
      </c>
      <c r="W98" t="s">
        <v>86</v>
      </c>
      <c r="X98">
        <v>42</v>
      </c>
      <c r="Y98" s="4">
        <f t="shared" si="8"/>
        <v>11400</v>
      </c>
      <c r="Z98" s="4">
        <f t="shared" si="9"/>
        <v>46296</v>
      </c>
    </row>
    <row r="99" spans="16:26" x14ac:dyDescent="0.3">
      <c r="P99" t="s">
        <v>659</v>
      </c>
      <c r="Q99" t="s">
        <v>598</v>
      </c>
      <c r="R99">
        <v>0.15</v>
      </c>
      <c r="S99">
        <v>38000</v>
      </c>
      <c r="T99" s="15">
        <v>46357</v>
      </c>
      <c r="U99" t="s">
        <v>92</v>
      </c>
      <c r="V99" t="s">
        <v>81</v>
      </c>
      <c r="W99" t="s">
        <v>82</v>
      </c>
      <c r="X99">
        <v>34</v>
      </c>
      <c r="Y99" s="4">
        <f t="shared" si="8"/>
        <v>5700</v>
      </c>
      <c r="Z99" s="4">
        <f t="shared" si="9"/>
        <v>46357</v>
      </c>
    </row>
    <row r="100" spans="16:26" x14ac:dyDescent="0.3">
      <c r="P100" t="s">
        <v>660</v>
      </c>
      <c r="Q100" t="s">
        <v>596</v>
      </c>
      <c r="R100">
        <v>0.3</v>
      </c>
      <c r="S100">
        <v>33000</v>
      </c>
      <c r="T100" s="15">
        <v>46174</v>
      </c>
      <c r="U100" t="s">
        <v>89</v>
      </c>
      <c r="V100" t="s">
        <v>81</v>
      </c>
      <c r="W100" t="s">
        <v>82</v>
      </c>
      <c r="X100">
        <v>54</v>
      </c>
      <c r="Y100" s="4">
        <f t="shared" si="8"/>
        <v>9900</v>
      </c>
      <c r="Z100" s="4">
        <f t="shared" si="9"/>
        <v>46174</v>
      </c>
    </row>
    <row r="101" spans="16:26" x14ac:dyDescent="0.3">
      <c r="P101" t="s">
        <v>661</v>
      </c>
      <c r="Q101" t="s">
        <v>600</v>
      </c>
      <c r="R101">
        <v>0.65</v>
      </c>
      <c r="S101">
        <v>80000</v>
      </c>
      <c r="T101" s="15">
        <v>46327</v>
      </c>
      <c r="U101" t="s">
        <v>103</v>
      </c>
      <c r="V101" t="s">
        <v>91</v>
      </c>
      <c r="W101" t="s">
        <v>96</v>
      </c>
      <c r="X101">
        <v>83</v>
      </c>
      <c r="Y101" s="4">
        <f t="shared" si="8"/>
        <v>52000</v>
      </c>
      <c r="Z101" s="4">
        <f t="shared" si="9"/>
        <v>46327</v>
      </c>
    </row>
    <row r="102" spans="16:26" x14ac:dyDescent="0.3">
      <c r="P102" t="s">
        <v>662</v>
      </c>
      <c r="Q102" t="s">
        <v>594</v>
      </c>
      <c r="R102">
        <v>0.8</v>
      </c>
      <c r="S102">
        <v>31000</v>
      </c>
      <c r="T102" s="15">
        <v>46023</v>
      </c>
      <c r="U102" t="s">
        <v>92</v>
      </c>
      <c r="V102" t="s">
        <v>81</v>
      </c>
      <c r="W102" t="s">
        <v>99</v>
      </c>
      <c r="X102">
        <v>41</v>
      </c>
      <c r="Y102" s="4">
        <f t="shared" si="8"/>
        <v>24800</v>
      </c>
      <c r="Z102" s="4">
        <f t="shared" si="9"/>
        <v>46023</v>
      </c>
    </row>
    <row r="103" spans="16:26" x14ac:dyDescent="0.3">
      <c r="P103" t="s">
        <v>663</v>
      </c>
      <c r="Q103" t="s">
        <v>596</v>
      </c>
      <c r="R103">
        <v>0.3</v>
      </c>
      <c r="S103">
        <v>27000</v>
      </c>
      <c r="T103" s="15">
        <v>46174</v>
      </c>
      <c r="U103" t="s">
        <v>103</v>
      </c>
      <c r="V103" t="s">
        <v>81</v>
      </c>
      <c r="W103" t="s">
        <v>99</v>
      </c>
      <c r="X103">
        <v>48</v>
      </c>
      <c r="Y103" s="4">
        <f t="shared" ref="Y103:Y166" si="10">R103*S103</f>
        <v>8100</v>
      </c>
      <c r="Z103" s="4">
        <f t="shared" ref="Z103:Z166" si="11">DATE(YEAR(T103),MONTH(T103),1)</f>
        <v>46174</v>
      </c>
    </row>
    <row r="104" spans="16:26" x14ac:dyDescent="0.3">
      <c r="P104" t="s">
        <v>664</v>
      </c>
      <c r="Q104" t="s">
        <v>598</v>
      </c>
      <c r="R104">
        <v>0.15</v>
      </c>
      <c r="S104">
        <v>27000</v>
      </c>
      <c r="T104" s="15">
        <v>46204</v>
      </c>
      <c r="U104" t="s">
        <v>103</v>
      </c>
      <c r="V104" t="s">
        <v>81</v>
      </c>
      <c r="W104" t="s">
        <v>82</v>
      </c>
      <c r="X104">
        <v>53</v>
      </c>
      <c r="Y104" s="4">
        <f t="shared" si="10"/>
        <v>4050</v>
      </c>
      <c r="Z104" s="4">
        <f t="shared" si="11"/>
        <v>46204</v>
      </c>
    </row>
    <row r="105" spans="16:26" x14ac:dyDescent="0.3">
      <c r="P105" t="s">
        <v>665</v>
      </c>
      <c r="Q105" t="s">
        <v>598</v>
      </c>
      <c r="R105">
        <v>0.15</v>
      </c>
      <c r="S105">
        <v>34000</v>
      </c>
      <c r="T105" s="15">
        <v>46357</v>
      </c>
      <c r="U105" t="s">
        <v>83</v>
      </c>
      <c r="V105" t="s">
        <v>81</v>
      </c>
      <c r="W105" t="s">
        <v>86</v>
      </c>
      <c r="X105">
        <v>55</v>
      </c>
      <c r="Y105" s="4">
        <f t="shared" si="10"/>
        <v>5100</v>
      </c>
      <c r="Z105" s="4">
        <f t="shared" si="11"/>
        <v>46357</v>
      </c>
    </row>
    <row r="106" spans="16:26" x14ac:dyDescent="0.3">
      <c r="P106" t="s">
        <v>666</v>
      </c>
      <c r="Q106" t="s">
        <v>596</v>
      </c>
      <c r="R106">
        <v>0.3</v>
      </c>
      <c r="S106">
        <v>24000</v>
      </c>
      <c r="T106" s="15">
        <v>46143</v>
      </c>
      <c r="U106" t="s">
        <v>103</v>
      </c>
      <c r="V106" t="s">
        <v>81</v>
      </c>
      <c r="W106" t="s">
        <v>82</v>
      </c>
      <c r="X106">
        <v>61</v>
      </c>
      <c r="Y106" s="4">
        <f t="shared" si="10"/>
        <v>7200</v>
      </c>
      <c r="Z106" s="4">
        <f t="shared" si="11"/>
        <v>46143</v>
      </c>
    </row>
    <row r="107" spans="16:26" x14ac:dyDescent="0.3">
      <c r="P107" t="s">
        <v>667</v>
      </c>
      <c r="Q107" t="s">
        <v>598</v>
      </c>
      <c r="R107">
        <v>0.15</v>
      </c>
      <c r="S107">
        <v>83000</v>
      </c>
      <c r="T107" s="15">
        <v>46327</v>
      </c>
      <c r="U107" t="s">
        <v>101</v>
      </c>
      <c r="V107" t="s">
        <v>91</v>
      </c>
      <c r="W107" t="s">
        <v>86</v>
      </c>
      <c r="X107">
        <v>81</v>
      </c>
      <c r="Y107" s="4">
        <f t="shared" si="10"/>
        <v>12450</v>
      </c>
      <c r="Z107" s="4">
        <f t="shared" si="11"/>
        <v>46327</v>
      </c>
    </row>
    <row r="108" spans="16:26" x14ac:dyDescent="0.3">
      <c r="P108" t="s">
        <v>668</v>
      </c>
      <c r="Q108" t="s">
        <v>598</v>
      </c>
      <c r="R108">
        <v>0.15</v>
      </c>
      <c r="S108">
        <v>99000</v>
      </c>
      <c r="T108" s="15">
        <v>46266</v>
      </c>
      <c r="U108" t="s">
        <v>101</v>
      </c>
      <c r="V108" t="s">
        <v>91</v>
      </c>
      <c r="W108" t="s">
        <v>82</v>
      </c>
      <c r="X108">
        <v>79</v>
      </c>
      <c r="Y108" s="4">
        <f t="shared" si="10"/>
        <v>14850</v>
      </c>
      <c r="Z108" s="4">
        <f t="shared" si="11"/>
        <v>46266</v>
      </c>
    </row>
    <row r="109" spans="16:26" x14ac:dyDescent="0.3">
      <c r="P109" t="s">
        <v>669</v>
      </c>
      <c r="Q109" t="s">
        <v>600</v>
      </c>
      <c r="R109">
        <v>0.65</v>
      </c>
      <c r="S109">
        <v>69000</v>
      </c>
      <c r="T109" s="15">
        <v>46174</v>
      </c>
      <c r="U109" t="s">
        <v>87</v>
      </c>
      <c r="V109" t="s">
        <v>91</v>
      </c>
      <c r="W109" t="s">
        <v>86</v>
      </c>
      <c r="X109">
        <v>77</v>
      </c>
      <c r="Y109" s="4">
        <f t="shared" si="10"/>
        <v>44850</v>
      </c>
      <c r="Z109" s="4">
        <f t="shared" si="11"/>
        <v>46174</v>
      </c>
    </row>
    <row r="110" spans="16:26" x14ac:dyDescent="0.3">
      <c r="P110" t="s">
        <v>670</v>
      </c>
      <c r="Q110" t="s">
        <v>600</v>
      </c>
      <c r="R110">
        <v>0.65</v>
      </c>
      <c r="S110">
        <v>229000</v>
      </c>
      <c r="T110" s="15">
        <v>46082</v>
      </c>
      <c r="U110" t="s">
        <v>83</v>
      </c>
      <c r="V110" t="s">
        <v>110</v>
      </c>
      <c r="W110" t="s">
        <v>99</v>
      </c>
      <c r="X110">
        <v>149</v>
      </c>
      <c r="Y110" s="4">
        <f t="shared" si="10"/>
        <v>148850</v>
      </c>
      <c r="Z110" s="4">
        <f t="shared" si="11"/>
        <v>46082</v>
      </c>
    </row>
    <row r="111" spans="16:26" x14ac:dyDescent="0.3">
      <c r="P111" t="s">
        <v>671</v>
      </c>
      <c r="Q111" t="s">
        <v>598</v>
      </c>
      <c r="R111">
        <v>0.15</v>
      </c>
      <c r="S111">
        <v>134000</v>
      </c>
      <c r="T111" s="15">
        <v>46113</v>
      </c>
      <c r="U111" t="s">
        <v>103</v>
      </c>
      <c r="V111" t="s">
        <v>91</v>
      </c>
      <c r="W111" t="s">
        <v>82</v>
      </c>
      <c r="X111">
        <v>130</v>
      </c>
      <c r="Y111" s="4">
        <f t="shared" si="10"/>
        <v>20100</v>
      </c>
      <c r="Z111" s="4">
        <f t="shared" si="11"/>
        <v>46113</v>
      </c>
    </row>
    <row r="112" spans="16:26" x14ac:dyDescent="0.3">
      <c r="P112" t="s">
        <v>672</v>
      </c>
      <c r="Q112" t="s">
        <v>598</v>
      </c>
      <c r="R112">
        <v>0.15</v>
      </c>
      <c r="S112">
        <v>137000</v>
      </c>
      <c r="T112" s="15">
        <v>46266</v>
      </c>
      <c r="U112" t="s">
        <v>97</v>
      </c>
      <c r="V112" t="s">
        <v>91</v>
      </c>
      <c r="W112" t="s">
        <v>86</v>
      </c>
      <c r="X112">
        <v>98</v>
      </c>
      <c r="Y112" s="4">
        <f t="shared" si="10"/>
        <v>20550</v>
      </c>
      <c r="Z112" s="4">
        <f t="shared" si="11"/>
        <v>46266</v>
      </c>
    </row>
    <row r="113" spans="16:26" x14ac:dyDescent="0.3">
      <c r="P113" t="s">
        <v>673</v>
      </c>
      <c r="Q113" t="s">
        <v>598</v>
      </c>
      <c r="R113">
        <v>0.15</v>
      </c>
      <c r="S113">
        <v>393000</v>
      </c>
      <c r="T113" s="15">
        <v>46054</v>
      </c>
      <c r="U113" t="s">
        <v>87</v>
      </c>
      <c r="V113" t="s">
        <v>110</v>
      </c>
      <c r="W113" t="s">
        <v>82</v>
      </c>
      <c r="X113">
        <v>125</v>
      </c>
      <c r="Y113" s="4">
        <f t="shared" si="10"/>
        <v>58950</v>
      </c>
      <c r="Z113" s="4">
        <f t="shared" si="11"/>
        <v>46054</v>
      </c>
    </row>
    <row r="114" spans="16:26" x14ac:dyDescent="0.3">
      <c r="P114" t="s">
        <v>674</v>
      </c>
      <c r="Q114" t="s">
        <v>608</v>
      </c>
      <c r="R114">
        <v>0.92</v>
      </c>
      <c r="S114">
        <v>170000</v>
      </c>
      <c r="T114" s="15">
        <v>46082</v>
      </c>
      <c r="U114" t="s">
        <v>87</v>
      </c>
      <c r="V114" t="s">
        <v>91</v>
      </c>
      <c r="W114" t="s">
        <v>96</v>
      </c>
      <c r="X114">
        <v>107</v>
      </c>
      <c r="Y114" s="4">
        <f t="shared" si="10"/>
        <v>156400</v>
      </c>
      <c r="Z114" s="4">
        <f t="shared" si="11"/>
        <v>46082</v>
      </c>
    </row>
    <row r="115" spans="16:26" x14ac:dyDescent="0.3">
      <c r="P115" t="s">
        <v>675</v>
      </c>
      <c r="Q115" t="s">
        <v>594</v>
      </c>
      <c r="R115">
        <v>0.8</v>
      </c>
      <c r="S115">
        <v>166000</v>
      </c>
      <c r="T115" s="15">
        <v>46082</v>
      </c>
      <c r="U115" t="s">
        <v>87</v>
      </c>
      <c r="V115" t="s">
        <v>91</v>
      </c>
      <c r="W115" t="s">
        <v>82</v>
      </c>
      <c r="X115">
        <v>112</v>
      </c>
      <c r="Y115" s="4">
        <f t="shared" si="10"/>
        <v>132800</v>
      </c>
      <c r="Z115" s="4">
        <f t="shared" si="11"/>
        <v>46082</v>
      </c>
    </row>
    <row r="116" spans="16:26" x14ac:dyDescent="0.3">
      <c r="P116" t="s">
        <v>676</v>
      </c>
      <c r="Q116" t="s">
        <v>600</v>
      </c>
      <c r="R116">
        <v>0.65</v>
      </c>
      <c r="S116">
        <v>117000</v>
      </c>
      <c r="T116" s="15">
        <v>46204</v>
      </c>
      <c r="U116" t="s">
        <v>89</v>
      </c>
      <c r="V116" t="s">
        <v>91</v>
      </c>
      <c r="W116" t="s">
        <v>86</v>
      </c>
      <c r="X116">
        <v>68</v>
      </c>
      <c r="Y116" s="4">
        <f t="shared" si="10"/>
        <v>76050</v>
      </c>
      <c r="Z116" s="4">
        <f t="shared" si="11"/>
        <v>46204</v>
      </c>
    </row>
    <row r="117" spans="16:26" x14ac:dyDescent="0.3">
      <c r="P117" t="s">
        <v>677</v>
      </c>
      <c r="Q117" t="s">
        <v>598</v>
      </c>
      <c r="R117">
        <v>0.15</v>
      </c>
      <c r="S117">
        <v>35000</v>
      </c>
      <c r="T117" s="15">
        <v>46204</v>
      </c>
      <c r="U117" t="s">
        <v>83</v>
      </c>
      <c r="V117" t="s">
        <v>81</v>
      </c>
      <c r="W117" t="s">
        <v>99</v>
      </c>
      <c r="X117">
        <v>18</v>
      </c>
      <c r="Y117" s="4">
        <f t="shared" si="10"/>
        <v>5250</v>
      </c>
      <c r="Z117" s="4">
        <f t="shared" si="11"/>
        <v>46204</v>
      </c>
    </row>
    <row r="118" spans="16:26" x14ac:dyDescent="0.3">
      <c r="P118" t="s">
        <v>678</v>
      </c>
      <c r="Q118" t="s">
        <v>608</v>
      </c>
      <c r="R118">
        <v>0.92</v>
      </c>
      <c r="S118">
        <v>27000</v>
      </c>
      <c r="T118" s="15">
        <v>46266</v>
      </c>
      <c r="U118" t="s">
        <v>83</v>
      </c>
      <c r="V118" t="s">
        <v>81</v>
      </c>
      <c r="W118" t="s">
        <v>82</v>
      </c>
      <c r="X118">
        <v>53</v>
      </c>
      <c r="Y118" s="4">
        <f t="shared" si="10"/>
        <v>24840</v>
      </c>
      <c r="Z118" s="4">
        <f t="shared" si="11"/>
        <v>46266</v>
      </c>
    </row>
    <row r="119" spans="16:26" x14ac:dyDescent="0.3">
      <c r="P119" t="s">
        <v>679</v>
      </c>
      <c r="Q119" t="s">
        <v>598</v>
      </c>
      <c r="R119">
        <v>0.15</v>
      </c>
      <c r="S119">
        <v>26000</v>
      </c>
      <c r="T119" s="15">
        <v>46296</v>
      </c>
      <c r="U119" t="s">
        <v>103</v>
      </c>
      <c r="V119" t="s">
        <v>81</v>
      </c>
      <c r="W119" t="s">
        <v>86</v>
      </c>
      <c r="X119">
        <v>70</v>
      </c>
      <c r="Y119" s="4">
        <f t="shared" si="10"/>
        <v>3900</v>
      </c>
      <c r="Z119" s="4">
        <f t="shared" si="11"/>
        <v>46296</v>
      </c>
    </row>
    <row r="120" spans="16:26" x14ac:dyDescent="0.3">
      <c r="P120" t="s">
        <v>680</v>
      </c>
      <c r="Q120" t="s">
        <v>598</v>
      </c>
      <c r="R120">
        <v>0.15</v>
      </c>
      <c r="S120">
        <v>123000</v>
      </c>
      <c r="T120" s="15">
        <v>46357</v>
      </c>
      <c r="U120" t="s">
        <v>97</v>
      </c>
      <c r="V120" t="s">
        <v>91</v>
      </c>
      <c r="W120" t="s">
        <v>99</v>
      </c>
      <c r="X120">
        <v>87</v>
      </c>
      <c r="Y120" s="4">
        <f t="shared" si="10"/>
        <v>18450</v>
      </c>
      <c r="Z120" s="4">
        <f t="shared" si="11"/>
        <v>46357</v>
      </c>
    </row>
    <row r="121" spans="16:26" x14ac:dyDescent="0.3">
      <c r="P121" t="s">
        <v>681</v>
      </c>
      <c r="Q121" t="s">
        <v>596</v>
      </c>
      <c r="R121">
        <v>0.3</v>
      </c>
      <c r="S121">
        <v>21000</v>
      </c>
      <c r="T121" s="15">
        <v>46327</v>
      </c>
      <c r="U121" t="s">
        <v>92</v>
      </c>
      <c r="V121" t="s">
        <v>81</v>
      </c>
      <c r="W121" t="s">
        <v>99</v>
      </c>
      <c r="X121">
        <v>62</v>
      </c>
      <c r="Y121" s="4">
        <f t="shared" si="10"/>
        <v>6300</v>
      </c>
      <c r="Z121" s="4">
        <f t="shared" si="11"/>
        <v>46327</v>
      </c>
    </row>
    <row r="122" spans="16:26" x14ac:dyDescent="0.3">
      <c r="P122" t="s">
        <v>682</v>
      </c>
      <c r="Q122" t="s">
        <v>594</v>
      </c>
      <c r="R122">
        <v>0.8</v>
      </c>
      <c r="S122">
        <v>91000</v>
      </c>
      <c r="T122" s="15">
        <v>46357</v>
      </c>
      <c r="U122" t="s">
        <v>83</v>
      </c>
      <c r="V122" t="s">
        <v>91</v>
      </c>
      <c r="W122" t="s">
        <v>82</v>
      </c>
      <c r="X122">
        <v>73</v>
      </c>
      <c r="Y122" s="4">
        <f t="shared" si="10"/>
        <v>72800</v>
      </c>
      <c r="Z122" s="4">
        <f t="shared" si="11"/>
        <v>46357</v>
      </c>
    </row>
    <row r="123" spans="16:26" x14ac:dyDescent="0.3">
      <c r="P123" t="s">
        <v>683</v>
      </c>
      <c r="Q123" t="s">
        <v>600</v>
      </c>
      <c r="R123">
        <v>0.65</v>
      </c>
      <c r="S123">
        <v>36000</v>
      </c>
      <c r="T123" s="15">
        <v>46327</v>
      </c>
      <c r="U123" t="s">
        <v>103</v>
      </c>
      <c r="V123" t="s">
        <v>81</v>
      </c>
      <c r="W123" t="s">
        <v>82</v>
      </c>
      <c r="X123">
        <v>46</v>
      </c>
      <c r="Y123" s="4">
        <f t="shared" si="10"/>
        <v>23400</v>
      </c>
      <c r="Z123" s="4">
        <f t="shared" si="11"/>
        <v>46327</v>
      </c>
    </row>
    <row r="124" spans="16:26" x14ac:dyDescent="0.3">
      <c r="P124" t="s">
        <v>684</v>
      </c>
      <c r="Q124" t="s">
        <v>602</v>
      </c>
      <c r="R124">
        <v>0.5</v>
      </c>
      <c r="S124">
        <v>96000</v>
      </c>
      <c r="T124" s="15">
        <v>46023</v>
      </c>
      <c r="U124" t="s">
        <v>97</v>
      </c>
      <c r="V124" t="s">
        <v>91</v>
      </c>
      <c r="W124" t="s">
        <v>86</v>
      </c>
      <c r="X124">
        <v>78</v>
      </c>
      <c r="Y124" s="4">
        <f t="shared" si="10"/>
        <v>48000</v>
      </c>
      <c r="Z124" s="4">
        <f t="shared" si="11"/>
        <v>46023</v>
      </c>
    </row>
    <row r="125" spans="16:26" x14ac:dyDescent="0.3">
      <c r="P125" t="s">
        <v>685</v>
      </c>
      <c r="Q125" t="s">
        <v>598</v>
      </c>
      <c r="R125">
        <v>0.15</v>
      </c>
      <c r="S125">
        <v>88000</v>
      </c>
      <c r="T125" s="15">
        <v>46082</v>
      </c>
      <c r="U125" t="s">
        <v>97</v>
      </c>
      <c r="V125" t="s">
        <v>91</v>
      </c>
      <c r="W125" t="s">
        <v>82</v>
      </c>
      <c r="X125">
        <v>74</v>
      </c>
      <c r="Y125" s="4">
        <f t="shared" si="10"/>
        <v>13200</v>
      </c>
      <c r="Z125" s="4">
        <f t="shared" si="11"/>
        <v>46082</v>
      </c>
    </row>
    <row r="126" spans="16:26" x14ac:dyDescent="0.3">
      <c r="P126" t="s">
        <v>686</v>
      </c>
      <c r="Q126" t="s">
        <v>594</v>
      </c>
      <c r="R126">
        <v>0.8</v>
      </c>
      <c r="S126">
        <v>27000</v>
      </c>
      <c r="T126" s="15">
        <v>46357</v>
      </c>
      <c r="U126" t="s">
        <v>97</v>
      </c>
      <c r="V126" t="s">
        <v>81</v>
      </c>
      <c r="W126" t="s">
        <v>86</v>
      </c>
      <c r="X126">
        <v>49</v>
      </c>
      <c r="Y126" s="4">
        <f t="shared" si="10"/>
        <v>21600</v>
      </c>
      <c r="Z126" s="4">
        <f t="shared" si="11"/>
        <v>46357</v>
      </c>
    </row>
    <row r="127" spans="16:26" x14ac:dyDescent="0.3">
      <c r="P127" t="s">
        <v>687</v>
      </c>
      <c r="Q127" t="s">
        <v>602</v>
      </c>
      <c r="R127">
        <v>0.5</v>
      </c>
      <c r="S127">
        <v>29000</v>
      </c>
      <c r="T127" s="15">
        <v>46113</v>
      </c>
      <c r="U127" t="s">
        <v>97</v>
      </c>
      <c r="V127" t="s">
        <v>81</v>
      </c>
      <c r="W127" t="s">
        <v>99</v>
      </c>
      <c r="X127">
        <v>48</v>
      </c>
      <c r="Y127" s="4">
        <f t="shared" si="10"/>
        <v>14500</v>
      </c>
      <c r="Z127" s="4">
        <f t="shared" si="11"/>
        <v>46113</v>
      </c>
    </row>
    <row r="128" spans="16:26" x14ac:dyDescent="0.3">
      <c r="P128" t="s">
        <v>688</v>
      </c>
      <c r="Q128" t="s">
        <v>602</v>
      </c>
      <c r="R128">
        <v>0.5</v>
      </c>
      <c r="S128">
        <v>32000</v>
      </c>
      <c r="T128" s="15">
        <v>46296</v>
      </c>
      <c r="U128" t="s">
        <v>97</v>
      </c>
      <c r="V128" t="s">
        <v>81</v>
      </c>
      <c r="W128" t="s">
        <v>99</v>
      </c>
      <c r="X128">
        <v>63</v>
      </c>
      <c r="Y128" s="4">
        <f t="shared" si="10"/>
        <v>16000</v>
      </c>
      <c r="Z128" s="4">
        <f t="shared" si="11"/>
        <v>46296</v>
      </c>
    </row>
    <row r="129" spans="16:26" x14ac:dyDescent="0.3">
      <c r="P129" t="s">
        <v>689</v>
      </c>
      <c r="Q129" t="s">
        <v>600</v>
      </c>
      <c r="R129">
        <v>0.65</v>
      </c>
      <c r="S129">
        <v>117000</v>
      </c>
      <c r="T129" s="15">
        <v>46357</v>
      </c>
      <c r="U129" t="s">
        <v>92</v>
      </c>
      <c r="V129" t="s">
        <v>91</v>
      </c>
      <c r="W129" t="s">
        <v>86</v>
      </c>
      <c r="X129">
        <v>88</v>
      </c>
      <c r="Y129" s="4">
        <f t="shared" si="10"/>
        <v>76050</v>
      </c>
      <c r="Z129" s="4">
        <f t="shared" si="11"/>
        <v>46357</v>
      </c>
    </row>
    <row r="130" spans="16:26" x14ac:dyDescent="0.3">
      <c r="P130" t="s">
        <v>690</v>
      </c>
      <c r="Q130" t="s">
        <v>602</v>
      </c>
      <c r="R130">
        <v>0.5</v>
      </c>
      <c r="S130">
        <v>42000</v>
      </c>
      <c r="T130" s="15">
        <v>46054</v>
      </c>
      <c r="U130" t="s">
        <v>87</v>
      </c>
      <c r="V130" t="s">
        <v>81</v>
      </c>
      <c r="W130" t="s">
        <v>99</v>
      </c>
      <c r="X130">
        <v>81</v>
      </c>
      <c r="Y130" s="4">
        <f t="shared" si="10"/>
        <v>21000</v>
      </c>
      <c r="Z130" s="4">
        <f t="shared" si="11"/>
        <v>46054</v>
      </c>
    </row>
    <row r="131" spans="16:26" x14ac:dyDescent="0.3">
      <c r="P131" t="s">
        <v>691</v>
      </c>
      <c r="Q131" t="s">
        <v>600</v>
      </c>
      <c r="R131">
        <v>0.65</v>
      </c>
      <c r="S131">
        <v>81000</v>
      </c>
      <c r="T131" s="15">
        <v>46082</v>
      </c>
      <c r="U131" t="s">
        <v>87</v>
      </c>
      <c r="V131" t="s">
        <v>91</v>
      </c>
      <c r="W131" t="s">
        <v>82</v>
      </c>
      <c r="X131">
        <v>87</v>
      </c>
      <c r="Y131" s="4">
        <f t="shared" si="10"/>
        <v>52650</v>
      </c>
      <c r="Z131" s="4">
        <f t="shared" si="11"/>
        <v>46082</v>
      </c>
    </row>
    <row r="132" spans="16:26" x14ac:dyDescent="0.3">
      <c r="P132" t="s">
        <v>692</v>
      </c>
      <c r="Q132" t="s">
        <v>600</v>
      </c>
      <c r="R132">
        <v>0.65</v>
      </c>
      <c r="S132">
        <v>104000</v>
      </c>
      <c r="T132" s="15">
        <v>46327</v>
      </c>
      <c r="U132" t="s">
        <v>101</v>
      </c>
      <c r="V132" t="s">
        <v>91</v>
      </c>
      <c r="W132" t="s">
        <v>82</v>
      </c>
      <c r="X132">
        <v>63</v>
      </c>
      <c r="Y132" s="4">
        <f t="shared" si="10"/>
        <v>67600</v>
      </c>
      <c r="Z132" s="4">
        <f t="shared" si="11"/>
        <v>46327</v>
      </c>
    </row>
    <row r="133" spans="16:26" x14ac:dyDescent="0.3">
      <c r="P133" t="s">
        <v>693</v>
      </c>
      <c r="Q133" t="s">
        <v>594</v>
      </c>
      <c r="R133">
        <v>0.8</v>
      </c>
      <c r="S133">
        <v>82000</v>
      </c>
      <c r="T133" s="15">
        <v>46327</v>
      </c>
      <c r="U133" t="s">
        <v>101</v>
      </c>
      <c r="V133" t="s">
        <v>91</v>
      </c>
      <c r="W133" t="s">
        <v>82</v>
      </c>
      <c r="X133">
        <v>102</v>
      </c>
      <c r="Y133" s="4">
        <f t="shared" si="10"/>
        <v>65600</v>
      </c>
      <c r="Z133" s="4">
        <f t="shared" si="11"/>
        <v>46327</v>
      </c>
    </row>
    <row r="134" spans="16:26" x14ac:dyDescent="0.3">
      <c r="P134" t="s">
        <v>694</v>
      </c>
      <c r="Q134" t="s">
        <v>602</v>
      </c>
      <c r="R134">
        <v>0.5</v>
      </c>
      <c r="S134">
        <v>144000</v>
      </c>
      <c r="T134" s="15">
        <v>46235</v>
      </c>
      <c r="U134" t="s">
        <v>89</v>
      </c>
      <c r="V134" t="s">
        <v>91</v>
      </c>
      <c r="W134" t="s">
        <v>86</v>
      </c>
      <c r="X134">
        <v>99</v>
      </c>
      <c r="Y134" s="4">
        <f t="shared" si="10"/>
        <v>72000</v>
      </c>
      <c r="Z134" s="4">
        <f t="shared" si="11"/>
        <v>46235</v>
      </c>
    </row>
    <row r="135" spans="16:26" x14ac:dyDescent="0.3">
      <c r="P135" t="s">
        <v>695</v>
      </c>
      <c r="Q135" t="s">
        <v>602</v>
      </c>
      <c r="R135">
        <v>0.5</v>
      </c>
      <c r="S135">
        <v>112000</v>
      </c>
      <c r="T135" s="15">
        <v>46296</v>
      </c>
      <c r="U135" t="s">
        <v>87</v>
      </c>
      <c r="V135" t="s">
        <v>91</v>
      </c>
      <c r="W135" t="s">
        <v>86</v>
      </c>
      <c r="X135">
        <v>86</v>
      </c>
      <c r="Y135" s="4">
        <f t="shared" si="10"/>
        <v>56000</v>
      </c>
      <c r="Z135" s="4">
        <f t="shared" si="11"/>
        <v>46296</v>
      </c>
    </row>
    <row r="136" spans="16:26" x14ac:dyDescent="0.3">
      <c r="P136" t="s">
        <v>696</v>
      </c>
      <c r="Q136" t="s">
        <v>602</v>
      </c>
      <c r="R136">
        <v>0.5</v>
      </c>
      <c r="S136">
        <v>149000</v>
      </c>
      <c r="T136" s="15">
        <v>46174</v>
      </c>
      <c r="U136" t="s">
        <v>97</v>
      </c>
      <c r="V136" t="s">
        <v>91</v>
      </c>
      <c r="W136" t="s">
        <v>99</v>
      </c>
      <c r="X136">
        <v>80</v>
      </c>
      <c r="Y136" s="4">
        <f t="shared" si="10"/>
        <v>74500</v>
      </c>
      <c r="Z136" s="4">
        <f t="shared" si="11"/>
        <v>46174</v>
      </c>
    </row>
    <row r="137" spans="16:26" x14ac:dyDescent="0.3">
      <c r="P137" t="s">
        <v>697</v>
      </c>
      <c r="Q137" t="s">
        <v>598</v>
      </c>
      <c r="R137">
        <v>0.15</v>
      </c>
      <c r="S137">
        <v>87000</v>
      </c>
      <c r="T137" s="15">
        <v>46357</v>
      </c>
      <c r="U137" t="s">
        <v>83</v>
      </c>
      <c r="V137" t="s">
        <v>91</v>
      </c>
      <c r="W137" t="s">
        <v>99</v>
      </c>
      <c r="X137">
        <v>91</v>
      </c>
      <c r="Y137" s="4">
        <f t="shared" si="10"/>
        <v>13050</v>
      </c>
      <c r="Z137" s="4">
        <f t="shared" si="11"/>
        <v>46357</v>
      </c>
    </row>
    <row r="138" spans="16:26" x14ac:dyDescent="0.3">
      <c r="P138" t="s">
        <v>698</v>
      </c>
      <c r="Q138" t="s">
        <v>600</v>
      </c>
      <c r="R138">
        <v>0.65</v>
      </c>
      <c r="S138">
        <v>127000</v>
      </c>
      <c r="T138" s="15">
        <v>46082</v>
      </c>
      <c r="U138" t="s">
        <v>83</v>
      </c>
      <c r="V138" t="s">
        <v>91</v>
      </c>
      <c r="W138" t="s">
        <v>82</v>
      </c>
      <c r="X138">
        <v>87</v>
      </c>
      <c r="Y138" s="4">
        <f t="shared" si="10"/>
        <v>82550</v>
      </c>
      <c r="Z138" s="4">
        <f t="shared" si="11"/>
        <v>46082</v>
      </c>
    </row>
    <row r="139" spans="16:26" x14ac:dyDescent="0.3">
      <c r="P139" t="s">
        <v>699</v>
      </c>
      <c r="Q139" t="s">
        <v>594</v>
      </c>
      <c r="R139">
        <v>0.8</v>
      </c>
      <c r="S139">
        <v>98000</v>
      </c>
      <c r="T139" s="15">
        <v>46082</v>
      </c>
      <c r="U139" t="s">
        <v>83</v>
      </c>
      <c r="V139" t="s">
        <v>91</v>
      </c>
      <c r="W139" t="s">
        <v>99</v>
      </c>
      <c r="X139">
        <v>78</v>
      </c>
      <c r="Y139" s="4">
        <f t="shared" si="10"/>
        <v>78400</v>
      </c>
      <c r="Z139" s="4">
        <f t="shared" si="11"/>
        <v>46082</v>
      </c>
    </row>
    <row r="140" spans="16:26" x14ac:dyDescent="0.3">
      <c r="P140" t="s">
        <v>700</v>
      </c>
      <c r="Q140" t="s">
        <v>596</v>
      </c>
      <c r="R140">
        <v>0.3</v>
      </c>
      <c r="S140">
        <v>115000</v>
      </c>
      <c r="T140" s="15">
        <v>46296</v>
      </c>
      <c r="U140" t="s">
        <v>89</v>
      </c>
      <c r="V140" t="s">
        <v>91</v>
      </c>
      <c r="W140" t="s">
        <v>86</v>
      </c>
      <c r="X140">
        <v>117</v>
      </c>
      <c r="Y140" s="4">
        <f t="shared" si="10"/>
        <v>34500</v>
      </c>
      <c r="Z140" s="4">
        <f t="shared" si="11"/>
        <v>46296</v>
      </c>
    </row>
    <row r="141" spans="16:26" x14ac:dyDescent="0.3">
      <c r="P141" t="s">
        <v>701</v>
      </c>
      <c r="Q141" t="s">
        <v>598</v>
      </c>
      <c r="R141">
        <v>0.15</v>
      </c>
      <c r="S141">
        <v>102000</v>
      </c>
      <c r="T141" s="15">
        <v>46357</v>
      </c>
      <c r="U141" t="s">
        <v>89</v>
      </c>
      <c r="V141" t="s">
        <v>91</v>
      </c>
      <c r="W141" t="s">
        <v>82</v>
      </c>
      <c r="X141">
        <v>86</v>
      </c>
      <c r="Y141" s="4">
        <f t="shared" si="10"/>
        <v>15300</v>
      </c>
      <c r="Z141" s="4">
        <f t="shared" si="11"/>
        <v>46357</v>
      </c>
    </row>
    <row r="142" spans="16:26" x14ac:dyDescent="0.3">
      <c r="P142" t="s">
        <v>702</v>
      </c>
      <c r="Q142" t="s">
        <v>594</v>
      </c>
      <c r="R142">
        <v>0.8</v>
      </c>
      <c r="S142">
        <v>53000</v>
      </c>
      <c r="T142" s="15">
        <v>46174</v>
      </c>
      <c r="U142" t="s">
        <v>87</v>
      </c>
      <c r="V142" t="s">
        <v>81</v>
      </c>
      <c r="W142" t="s">
        <v>86</v>
      </c>
      <c r="X142">
        <v>51</v>
      </c>
      <c r="Y142" s="4">
        <f t="shared" si="10"/>
        <v>42400</v>
      </c>
      <c r="Z142" s="4">
        <f t="shared" si="11"/>
        <v>46174</v>
      </c>
    </row>
    <row r="143" spans="16:26" x14ac:dyDescent="0.3">
      <c r="P143" t="s">
        <v>703</v>
      </c>
      <c r="Q143" t="s">
        <v>596</v>
      </c>
      <c r="R143">
        <v>0.3</v>
      </c>
      <c r="S143">
        <v>184000</v>
      </c>
      <c r="T143" s="15">
        <v>46054</v>
      </c>
      <c r="U143" t="s">
        <v>101</v>
      </c>
      <c r="V143" t="s">
        <v>91</v>
      </c>
      <c r="W143" t="s">
        <v>86</v>
      </c>
      <c r="X143">
        <v>57</v>
      </c>
      <c r="Y143" s="4">
        <f t="shared" si="10"/>
        <v>55200</v>
      </c>
      <c r="Z143" s="4">
        <f t="shared" si="11"/>
        <v>46054</v>
      </c>
    </row>
    <row r="144" spans="16:26" x14ac:dyDescent="0.3">
      <c r="P144" t="s">
        <v>704</v>
      </c>
      <c r="Q144" t="s">
        <v>608</v>
      </c>
      <c r="R144">
        <v>0.92</v>
      </c>
      <c r="S144">
        <v>42000</v>
      </c>
      <c r="T144" s="15">
        <v>46235</v>
      </c>
      <c r="U144" t="s">
        <v>92</v>
      </c>
      <c r="V144" t="s">
        <v>81</v>
      </c>
      <c r="W144" t="s">
        <v>86</v>
      </c>
      <c r="X144">
        <v>63</v>
      </c>
      <c r="Y144" s="4">
        <f t="shared" si="10"/>
        <v>38640</v>
      </c>
      <c r="Z144" s="4">
        <f t="shared" si="11"/>
        <v>46235</v>
      </c>
    </row>
    <row r="145" spans="16:26" x14ac:dyDescent="0.3">
      <c r="P145" t="s">
        <v>705</v>
      </c>
      <c r="Q145" t="s">
        <v>594</v>
      </c>
      <c r="R145">
        <v>0.8</v>
      </c>
      <c r="S145">
        <v>101000</v>
      </c>
      <c r="T145" s="15">
        <v>46327</v>
      </c>
      <c r="U145" t="s">
        <v>87</v>
      </c>
      <c r="V145" t="s">
        <v>91</v>
      </c>
      <c r="W145" t="s">
        <v>86</v>
      </c>
      <c r="X145">
        <v>86</v>
      </c>
      <c r="Y145" s="4">
        <f t="shared" si="10"/>
        <v>80800</v>
      </c>
      <c r="Z145" s="4">
        <f t="shared" si="11"/>
        <v>46327</v>
      </c>
    </row>
    <row r="146" spans="16:26" x14ac:dyDescent="0.3">
      <c r="P146" t="s">
        <v>706</v>
      </c>
      <c r="Q146" t="s">
        <v>608</v>
      </c>
      <c r="R146">
        <v>0.92</v>
      </c>
      <c r="S146">
        <v>30000</v>
      </c>
      <c r="T146" s="15">
        <v>46174</v>
      </c>
      <c r="U146" t="s">
        <v>103</v>
      </c>
      <c r="V146" t="s">
        <v>81</v>
      </c>
      <c r="W146" t="s">
        <v>96</v>
      </c>
      <c r="X146">
        <v>71</v>
      </c>
      <c r="Y146" s="4">
        <f t="shared" si="10"/>
        <v>27600</v>
      </c>
      <c r="Z146" s="4">
        <f t="shared" si="11"/>
        <v>46174</v>
      </c>
    </row>
    <row r="147" spans="16:26" x14ac:dyDescent="0.3">
      <c r="P147" t="s">
        <v>707</v>
      </c>
      <c r="Q147" t="s">
        <v>594</v>
      </c>
      <c r="R147">
        <v>0.8</v>
      </c>
      <c r="S147">
        <v>148000</v>
      </c>
      <c r="T147" s="15">
        <v>46082</v>
      </c>
      <c r="U147" t="s">
        <v>87</v>
      </c>
      <c r="V147" t="s">
        <v>91</v>
      </c>
      <c r="W147" t="s">
        <v>86</v>
      </c>
      <c r="X147">
        <v>82</v>
      </c>
      <c r="Y147" s="4">
        <f t="shared" si="10"/>
        <v>118400</v>
      </c>
      <c r="Z147" s="4">
        <f t="shared" si="11"/>
        <v>46082</v>
      </c>
    </row>
    <row r="148" spans="16:26" x14ac:dyDescent="0.3">
      <c r="P148" t="s">
        <v>708</v>
      </c>
      <c r="Q148" t="s">
        <v>596</v>
      </c>
      <c r="R148">
        <v>0.3</v>
      </c>
      <c r="S148">
        <v>144000</v>
      </c>
      <c r="T148" s="15">
        <v>46357</v>
      </c>
      <c r="U148" t="s">
        <v>97</v>
      </c>
      <c r="V148" t="s">
        <v>91</v>
      </c>
      <c r="W148" t="s">
        <v>82</v>
      </c>
      <c r="X148">
        <v>102</v>
      </c>
      <c r="Y148" s="4">
        <f t="shared" si="10"/>
        <v>43200</v>
      </c>
      <c r="Z148" s="4">
        <f t="shared" si="11"/>
        <v>46357</v>
      </c>
    </row>
    <row r="149" spans="16:26" x14ac:dyDescent="0.3">
      <c r="P149" t="s">
        <v>709</v>
      </c>
      <c r="Q149" t="s">
        <v>602</v>
      </c>
      <c r="R149">
        <v>0.5</v>
      </c>
      <c r="S149">
        <v>148000</v>
      </c>
      <c r="T149" s="15">
        <v>46357</v>
      </c>
      <c r="U149" t="s">
        <v>103</v>
      </c>
      <c r="V149" t="s">
        <v>91</v>
      </c>
      <c r="W149" t="s">
        <v>86</v>
      </c>
      <c r="X149">
        <v>46</v>
      </c>
      <c r="Y149" s="4">
        <f t="shared" si="10"/>
        <v>74000</v>
      </c>
      <c r="Z149" s="4">
        <f t="shared" si="11"/>
        <v>46357</v>
      </c>
    </row>
    <row r="150" spans="16:26" x14ac:dyDescent="0.3">
      <c r="P150" t="s">
        <v>710</v>
      </c>
      <c r="Q150" t="s">
        <v>598</v>
      </c>
      <c r="R150">
        <v>0.15</v>
      </c>
      <c r="S150">
        <v>300000</v>
      </c>
      <c r="T150" s="15">
        <v>46357</v>
      </c>
      <c r="U150" t="s">
        <v>97</v>
      </c>
      <c r="V150" t="s">
        <v>110</v>
      </c>
      <c r="W150" t="s">
        <v>86</v>
      </c>
      <c r="X150">
        <v>127</v>
      </c>
      <c r="Y150" s="4">
        <f t="shared" si="10"/>
        <v>45000</v>
      </c>
      <c r="Z150" s="4">
        <f t="shared" si="11"/>
        <v>46357</v>
      </c>
    </row>
    <row r="151" spans="16:26" x14ac:dyDescent="0.3">
      <c r="P151" t="s">
        <v>711</v>
      </c>
      <c r="Q151" t="s">
        <v>596</v>
      </c>
      <c r="R151">
        <v>0.3</v>
      </c>
      <c r="S151">
        <v>247000</v>
      </c>
      <c r="T151" s="15">
        <v>46357</v>
      </c>
      <c r="U151" t="s">
        <v>92</v>
      </c>
      <c r="V151" t="s">
        <v>110</v>
      </c>
      <c r="W151" t="s">
        <v>86</v>
      </c>
      <c r="X151">
        <v>101</v>
      </c>
      <c r="Y151" s="4">
        <f t="shared" si="10"/>
        <v>74100</v>
      </c>
      <c r="Z151" s="4">
        <f t="shared" si="11"/>
        <v>46357</v>
      </c>
    </row>
    <row r="152" spans="16:26" x14ac:dyDescent="0.3">
      <c r="P152" t="s">
        <v>712</v>
      </c>
      <c r="Q152" t="s">
        <v>602</v>
      </c>
      <c r="R152">
        <v>0.5</v>
      </c>
      <c r="S152">
        <v>223000</v>
      </c>
      <c r="T152" s="15">
        <v>46082</v>
      </c>
      <c r="U152" t="s">
        <v>101</v>
      </c>
      <c r="V152" t="s">
        <v>110</v>
      </c>
      <c r="W152" t="s">
        <v>86</v>
      </c>
      <c r="X152">
        <v>121</v>
      </c>
      <c r="Y152" s="4">
        <f t="shared" si="10"/>
        <v>111500</v>
      </c>
      <c r="Z152" s="4">
        <f t="shared" si="11"/>
        <v>46082</v>
      </c>
    </row>
    <row r="153" spans="16:26" x14ac:dyDescent="0.3">
      <c r="P153" t="s">
        <v>713</v>
      </c>
      <c r="Q153" t="s">
        <v>598</v>
      </c>
      <c r="R153">
        <v>0.15</v>
      </c>
      <c r="S153">
        <v>109000</v>
      </c>
      <c r="T153" s="15">
        <v>46143</v>
      </c>
      <c r="U153" t="s">
        <v>87</v>
      </c>
      <c r="V153" t="s">
        <v>91</v>
      </c>
      <c r="W153" t="s">
        <v>82</v>
      </c>
      <c r="X153">
        <v>87</v>
      </c>
      <c r="Y153" s="4">
        <f t="shared" si="10"/>
        <v>16350</v>
      </c>
      <c r="Z153" s="4">
        <f t="shared" si="11"/>
        <v>46143</v>
      </c>
    </row>
    <row r="154" spans="16:26" x14ac:dyDescent="0.3">
      <c r="P154" t="s">
        <v>714</v>
      </c>
      <c r="Q154" t="s">
        <v>602</v>
      </c>
      <c r="R154">
        <v>0.5</v>
      </c>
      <c r="S154">
        <v>350000</v>
      </c>
      <c r="T154" s="15">
        <v>46327</v>
      </c>
      <c r="U154" t="s">
        <v>103</v>
      </c>
      <c r="V154" t="s">
        <v>110</v>
      </c>
      <c r="W154" t="s">
        <v>82</v>
      </c>
      <c r="X154">
        <v>129</v>
      </c>
      <c r="Y154" s="4">
        <f t="shared" si="10"/>
        <v>175000</v>
      </c>
      <c r="Z154" s="4">
        <f t="shared" si="11"/>
        <v>46327</v>
      </c>
    </row>
    <row r="155" spans="16:26" x14ac:dyDescent="0.3">
      <c r="P155" t="s">
        <v>715</v>
      </c>
      <c r="Q155" t="s">
        <v>602</v>
      </c>
      <c r="R155">
        <v>0.5</v>
      </c>
      <c r="S155">
        <v>66000</v>
      </c>
      <c r="T155" s="15">
        <v>46296</v>
      </c>
      <c r="U155" t="s">
        <v>87</v>
      </c>
      <c r="V155" t="s">
        <v>91</v>
      </c>
      <c r="W155" t="s">
        <v>82</v>
      </c>
      <c r="X155">
        <v>82</v>
      </c>
      <c r="Y155" s="4">
        <f t="shared" si="10"/>
        <v>33000</v>
      </c>
      <c r="Z155" s="4">
        <f t="shared" si="11"/>
        <v>46296</v>
      </c>
    </row>
    <row r="156" spans="16:26" x14ac:dyDescent="0.3">
      <c r="P156" t="s">
        <v>716</v>
      </c>
      <c r="Q156" t="s">
        <v>594</v>
      </c>
      <c r="R156">
        <v>0.8</v>
      </c>
      <c r="S156">
        <v>121000</v>
      </c>
      <c r="T156" s="15">
        <v>46113</v>
      </c>
      <c r="U156" t="s">
        <v>87</v>
      </c>
      <c r="V156" t="s">
        <v>91</v>
      </c>
      <c r="W156" t="s">
        <v>86</v>
      </c>
      <c r="X156">
        <v>56</v>
      </c>
      <c r="Y156" s="4">
        <f t="shared" si="10"/>
        <v>96800</v>
      </c>
      <c r="Z156" s="4">
        <f t="shared" si="11"/>
        <v>46113</v>
      </c>
    </row>
    <row r="157" spans="16:26" x14ac:dyDescent="0.3">
      <c r="P157" t="s">
        <v>717</v>
      </c>
      <c r="Q157" t="s">
        <v>596</v>
      </c>
      <c r="R157">
        <v>0.3</v>
      </c>
      <c r="S157">
        <v>41000</v>
      </c>
      <c r="T157" s="15">
        <v>46357</v>
      </c>
      <c r="U157" t="s">
        <v>89</v>
      </c>
      <c r="V157" t="s">
        <v>81</v>
      </c>
      <c r="W157" t="s">
        <v>82</v>
      </c>
      <c r="X157">
        <v>54</v>
      </c>
      <c r="Y157" s="4">
        <f t="shared" si="10"/>
        <v>12300</v>
      </c>
      <c r="Z157" s="4">
        <f t="shared" si="11"/>
        <v>46357</v>
      </c>
    </row>
    <row r="158" spans="16:26" x14ac:dyDescent="0.3">
      <c r="P158" t="s">
        <v>718</v>
      </c>
      <c r="Q158" t="s">
        <v>596</v>
      </c>
      <c r="R158">
        <v>0.3</v>
      </c>
      <c r="S158">
        <v>443000</v>
      </c>
      <c r="T158" s="15">
        <v>46082</v>
      </c>
      <c r="U158" t="s">
        <v>101</v>
      </c>
      <c r="V158" t="s">
        <v>110</v>
      </c>
      <c r="W158" t="s">
        <v>86</v>
      </c>
      <c r="X158">
        <v>146</v>
      </c>
      <c r="Y158" s="4">
        <f t="shared" si="10"/>
        <v>132900</v>
      </c>
      <c r="Z158" s="4">
        <f t="shared" si="11"/>
        <v>46082</v>
      </c>
    </row>
    <row r="159" spans="16:26" x14ac:dyDescent="0.3">
      <c r="P159" t="s">
        <v>719</v>
      </c>
      <c r="Q159" t="s">
        <v>598</v>
      </c>
      <c r="R159">
        <v>0.15</v>
      </c>
      <c r="S159">
        <v>93000</v>
      </c>
      <c r="T159" s="15">
        <v>46357</v>
      </c>
      <c r="U159" t="s">
        <v>103</v>
      </c>
      <c r="V159" t="s">
        <v>91</v>
      </c>
      <c r="W159" t="s">
        <v>86</v>
      </c>
      <c r="X159">
        <v>74</v>
      </c>
      <c r="Y159" s="4">
        <f t="shared" si="10"/>
        <v>13950</v>
      </c>
      <c r="Z159" s="4">
        <f t="shared" si="11"/>
        <v>46357</v>
      </c>
    </row>
    <row r="160" spans="16:26" x14ac:dyDescent="0.3">
      <c r="P160" t="s">
        <v>720</v>
      </c>
      <c r="Q160" t="s">
        <v>594</v>
      </c>
      <c r="R160">
        <v>0.8</v>
      </c>
      <c r="S160">
        <v>138000</v>
      </c>
      <c r="T160" s="15">
        <v>46143</v>
      </c>
      <c r="U160" t="s">
        <v>87</v>
      </c>
      <c r="V160" t="s">
        <v>91</v>
      </c>
      <c r="W160" t="s">
        <v>82</v>
      </c>
      <c r="X160">
        <v>81</v>
      </c>
      <c r="Y160" s="4">
        <f t="shared" si="10"/>
        <v>110400</v>
      </c>
      <c r="Z160" s="4">
        <f t="shared" si="11"/>
        <v>46143</v>
      </c>
    </row>
    <row r="161" spans="16:26" x14ac:dyDescent="0.3">
      <c r="P161" t="s">
        <v>721</v>
      </c>
      <c r="Q161" t="s">
        <v>602</v>
      </c>
      <c r="R161">
        <v>0.5</v>
      </c>
      <c r="S161">
        <v>38000</v>
      </c>
      <c r="T161" s="15">
        <v>46054</v>
      </c>
      <c r="U161" t="s">
        <v>101</v>
      </c>
      <c r="V161" t="s">
        <v>81</v>
      </c>
      <c r="W161" t="s">
        <v>86</v>
      </c>
      <c r="X161">
        <v>45</v>
      </c>
      <c r="Y161" s="4">
        <f t="shared" si="10"/>
        <v>19000</v>
      </c>
      <c r="Z161" s="4">
        <f t="shared" si="11"/>
        <v>46054</v>
      </c>
    </row>
    <row r="162" spans="16:26" x14ac:dyDescent="0.3">
      <c r="P162" t="s">
        <v>722</v>
      </c>
      <c r="Q162" t="s">
        <v>608</v>
      </c>
      <c r="R162">
        <v>0.92</v>
      </c>
      <c r="S162">
        <v>129000</v>
      </c>
      <c r="T162" s="15">
        <v>46054</v>
      </c>
      <c r="U162" t="s">
        <v>101</v>
      </c>
      <c r="V162" t="s">
        <v>91</v>
      </c>
      <c r="W162" t="s">
        <v>86</v>
      </c>
      <c r="X162">
        <v>86</v>
      </c>
      <c r="Y162" s="4">
        <f t="shared" si="10"/>
        <v>118680</v>
      </c>
      <c r="Z162" s="4">
        <f t="shared" si="11"/>
        <v>46054</v>
      </c>
    </row>
    <row r="163" spans="16:26" x14ac:dyDescent="0.3">
      <c r="P163" t="s">
        <v>723</v>
      </c>
      <c r="Q163" t="s">
        <v>602</v>
      </c>
      <c r="R163">
        <v>0.5</v>
      </c>
      <c r="S163">
        <v>89000</v>
      </c>
      <c r="T163" s="15">
        <v>46174</v>
      </c>
      <c r="U163" t="s">
        <v>92</v>
      </c>
      <c r="V163" t="s">
        <v>91</v>
      </c>
      <c r="W163" t="s">
        <v>86</v>
      </c>
      <c r="X163">
        <v>70</v>
      </c>
      <c r="Y163" s="4">
        <f t="shared" si="10"/>
        <v>44500</v>
      </c>
      <c r="Z163" s="4">
        <f t="shared" si="11"/>
        <v>46174</v>
      </c>
    </row>
    <row r="164" spans="16:26" x14ac:dyDescent="0.3">
      <c r="P164" t="s">
        <v>724</v>
      </c>
      <c r="Q164" t="s">
        <v>600</v>
      </c>
      <c r="R164">
        <v>0.65</v>
      </c>
      <c r="S164">
        <v>26000</v>
      </c>
      <c r="T164" s="15">
        <v>46266</v>
      </c>
      <c r="U164" t="s">
        <v>89</v>
      </c>
      <c r="V164" t="s">
        <v>81</v>
      </c>
      <c r="W164" t="s">
        <v>86</v>
      </c>
      <c r="X164">
        <v>64</v>
      </c>
      <c r="Y164" s="4">
        <f t="shared" si="10"/>
        <v>16900</v>
      </c>
      <c r="Z164" s="4">
        <f t="shared" si="11"/>
        <v>46266</v>
      </c>
    </row>
    <row r="165" spans="16:26" x14ac:dyDescent="0.3">
      <c r="P165" t="s">
        <v>725</v>
      </c>
      <c r="Q165" t="s">
        <v>598</v>
      </c>
      <c r="R165">
        <v>0.15</v>
      </c>
      <c r="S165">
        <v>22000</v>
      </c>
      <c r="T165" s="15">
        <v>46054</v>
      </c>
      <c r="U165" t="s">
        <v>101</v>
      </c>
      <c r="V165" t="s">
        <v>81</v>
      </c>
      <c r="W165" t="s">
        <v>82</v>
      </c>
      <c r="X165">
        <v>47</v>
      </c>
      <c r="Y165" s="4">
        <f t="shared" si="10"/>
        <v>3300</v>
      </c>
      <c r="Z165" s="4">
        <f t="shared" si="11"/>
        <v>46054</v>
      </c>
    </row>
    <row r="166" spans="16:26" x14ac:dyDescent="0.3">
      <c r="P166" t="s">
        <v>726</v>
      </c>
      <c r="Q166" t="s">
        <v>596</v>
      </c>
      <c r="R166">
        <v>0.3</v>
      </c>
      <c r="S166">
        <v>89000</v>
      </c>
      <c r="T166" s="15">
        <v>46357</v>
      </c>
      <c r="U166" t="s">
        <v>101</v>
      </c>
      <c r="V166" t="s">
        <v>91</v>
      </c>
      <c r="W166" t="s">
        <v>86</v>
      </c>
      <c r="X166">
        <v>95</v>
      </c>
      <c r="Y166" s="4">
        <f t="shared" si="10"/>
        <v>26700</v>
      </c>
      <c r="Z166" s="4">
        <f t="shared" si="11"/>
        <v>46357</v>
      </c>
    </row>
    <row r="167" spans="16:26" x14ac:dyDescent="0.3">
      <c r="P167" t="s">
        <v>727</v>
      </c>
      <c r="Q167" t="s">
        <v>594</v>
      </c>
      <c r="R167">
        <v>0.8</v>
      </c>
      <c r="S167">
        <v>26000</v>
      </c>
      <c r="T167" s="15">
        <v>46357</v>
      </c>
      <c r="U167" t="s">
        <v>87</v>
      </c>
      <c r="V167" t="s">
        <v>81</v>
      </c>
      <c r="W167" t="s">
        <v>82</v>
      </c>
      <c r="X167">
        <v>25</v>
      </c>
      <c r="Y167" s="4">
        <f t="shared" ref="Y167:Y230" si="12">R167*S167</f>
        <v>20800</v>
      </c>
      <c r="Z167" s="4">
        <f t="shared" ref="Z167:Z230" si="13">DATE(YEAR(T167),MONTH(T167),1)</f>
        <v>46357</v>
      </c>
    </row>
    <row r="168" spans="16:26" x14ac:dyDescent="0.3">
      <c r="P168" t="s">
        <v>728</v>
      </c>
      <c r="Q168" t="s">
        <v>594</v>
      </c>
      <c r="R168">
        <v>0.8</v>
      </c>
      <c r="S168">
        <v>137000</v>
      </c>
      <c r="T168" s="15">
        <v>46204</v>
      </c>
      <c r="U168" t="s">
        <v>92</v>
      </c>
      <c r="V168" t="s">
        <v>91</v>
      </c>
      <c r="W168" t="s">
        <v>82</v>
      </c>
      <c r="X168">
        <v>64</v>
      </c>
      <c r="Y168" s="4">
        <f t="shared" si="12"/>
        <v>109600</v>
      </c>
      <c r="Z168" s="4">
        <f t="shared" si="13"/>
        <v>46204</v>
      </c>
    </row>
    <row r="169" spans="16:26" x14ac:dyDescent="0.3">
      <c r="P169" t="s">
        <v>729</v>
      </c>
      <c r="Q169" t="s">
        <v>602</v>
      </c>
      <c r="R169">
        <v>0.5</v>
      </c>
      <c r="S169">
        <v>108000</v>
      </c>
      <c r="T169" s="15">
        <v>46082</v>
      </c>
      <c r="U169" t="s">
        <v>97</v>
      </c>
      <c r="V169" t="s">
        <v>91</v>
      </c>
      <c r="W169" t="s">
        <v>86</v>
      </c>
      <c r="X169">
        <v>76</v>
      </c>
      <c r="Y169" s="4">
        <f t="shared" si="12"/>
        <v>54000</v>
      </c>
      <c r="Z169" s="4">
        <f t="shared" si="13"/>
        <v>46082</v>
      </c>
    </row>
    <row r="170" spans="16:26" x14ac:dyDescent="0.3">
      <c r="P170" t="s">
        <v>730</v>
      </c>
      <c r="Q170" t="s">
        <v>594</v>
      </c>
      <c r="R170">
        <v>0.8</v>
      </c>
      <c r="S170">
        <v>43000</v>
      </c>
      <c r="T170" s="15">
        <v>46174</v>
      </c>
      <c r="U170" t="s">
        <v>87</v>
      </c>
      <c r="V170" t="s">
        <v>81</v>
      </c>
      <c r="W170" t="s">
        <v>86</v>
      </c>
      <c r="X170">
        <v>57</v>
      </c>
      <c r="Y170" s="4">
        <f t="shared" si="12"/>
        <v>34400</v>
      </c>
      <c r="Z170" s="4">
        <f t="shared" si="13"/>
        <v>46174</v>
      </c>
    </row>
    <row r="171" spans="16:26" x14ac:dyDescent="0.3">
      <c r="P171" t="s">
        <v>731</v>
      </c>
      <c r="Q171" t="s">
        <v>598</v>
      </c>
      <c r="R171">
        <v>0.15</v>
      </c>
      <c r="S171">
        <v>46000</v>
      </c>
      <c r="T171" s="15">
        <v>46235</v>
      </c>
      <c r="U171" t="s">
        <v>92</v>
      </c>
      <c r="V171" t="s">
        <v>81</v>
      </c>
      <c r="W171" t="s">
        <v>86</v>
      </c>
      <c r="X171">
        <v>53</v>
      </c>
      <c r="Y171" s="4">
        <f t="shared" si="12"/>
        <v>6900</v>
      </c>
      <c r="Z171" s="4">
        <f t="shared" si="13"/>
        <v>46235</v>
      </c>
    </row>
    <row r="172" spans="16:26" x14ac:dyDescent="0.3">
      <c r="P172" t="s">
        <v>732</v>
      </c>
      <c r="Q172" t="s">
        <v>608</v>
      </c>
      <c r="R172">
        <v>0.92</v>
      </c>
      <c r="S172">
        <v>26000</v>
      </c>
      <c r="T172" s="15">
        <v>46296</v>
      </c>
      <c r="U172" t="s">
        <v>87</v>
      </c>
      <c r="V172" t="s">
        <v>81</v>
      </c>
      <c r="W172" t="s">
        <v>82</v>
      </c>
      <c r="X172">
        <v>35</v>
      </c>
      <c r="Y172" s="4">
        <f t="shared" si="12"/>
        <v>23920</v>
      </c>
      <c r="Z172" s="4">
        <f t="shared" si="13"/>
        <v>46296</v>
      </c>
    </row>
    <row r="173" spans="16:26" x14ac:dyDescent="0.3">
      <c r="P173" t="s">
        <v>733</v>
      </c>
      <c r="Q173" t="s">
        <v>596</v>
      </c>
      <c r="R173">
        <v>0.3</v>
      </c>
      <c r="S173">
        <v>81000</v>
      </c>
      <c r="T173" s="15">
        <v>46143</v>
      </c>
      <c r="U173" t="s">
        <v>83</v>
      </c>
      <c r="V173" t="s">
        <v>91</v>
      </c>
      <c r="W173" t="s">
        <v>82</v>
      </c>
      <c r="X173">
        <v>100</v>
      </c>
      <c r="Y173" s="4">
        <f t="shared" si="12"/>
        <v>24300</v>
      </c>
      <c r="Z173" s="4">
        <f t="shared" si="13"/>
        <v>46143</v>
      </c>
    </row>
    <row r="174" spans="16:26" x14ac:dyDescent="0.3">
      <c r="P174" t="s">
        <v>734</v>
      </c>
      <c r="Q174" t="s">
        <v>596</v>
      </c>
      <c r="R174">
        <v>0.3</v>
      </c>
      <c r="S174">
        <v>46000</v>
      </c>
      <c r="T174" s="15">
        <v>46023</v>
      </c>
      <c r="U174" t="s">
        <v>89</v>
      </c>
      <c r="V174" t="s">
        <v>81</v>
      </c>
      <c r="W174" t="s">
        <v>86</v>
      </c>
      <c r="X174">
        <v>12</v>
      </c>
      <c r="Y174" s="4">
        <f t="shared" si="12"/>
        <v>13800</v>
      </c>
      <c r="Z174" s="4">
        <f t="shared" si="13"/>
        <v>46023</v>
      </c>
    </row>
    <row r="175" spans="16:26" x14ac:dyDescent="0.3">
      <c r="P175" t="s">
        <v>735</v>
      </c>
      <c r="Q175" t="s">
        <v>594</v>
      </c>
      <c r="R175">
        <v>0.8</v>
      </c>
      <c r="S175">
        <v>22000</v>
      </c>
      <c r="T175" s="15">
        <v>46204</v>
      </c>
      <c r="U175" t="s">
        <v>89</v>
      </c>
      <c r="V175" t="s">
        <v>81</v>
      </c>
      <c r="W175" t="s">
        <v>86</v>
      </c>
      <c r="X175">
        <v>70</v>
      </c>
      <c r="Y175" s="4">
        <f t="shared" si="12"/>
        <v>17600</v>
      </c>
      <c r="Z175" s="4">
        <f t="shared" si="13"/>
        <v>46204</v>
      </c>
    </row>
    <row r="176" spans="16:26" x14ac:dyDescent="0.3">
      <c r="P176" t="s">
        <v>736</v>
      </c>
      <c r="Q176" t="s">
        <v>600</v>
      </c>
      <c r="R176">
        <v>0.65</v>
      </c>
      <c r="S176">
        <v>40000</v>
      </c>
      <c r="T176" s="15">
        <v>46296</v>
      </c>
      <c r="U176" t="s">
        <v>101</v>
      </c>
      <c r="V176" t="s">
        <v>81</v>
      </c>
      <c r="W176" t="s">
        <v>86</v>
      </c>
      <c r="X176">
        <v>28</v>
      </c>
      <c r="Y176" s="4">
        <f t="shared" si="12"/>
        <v>26000</v>
      </c>
      <c r="Z176" s="4">
        <f t="shared" si="13"/>
        <v>46296</v>
      </c>
    </row>
    <row r="177" spans="16:26" x14ac:dyDescent="0.3">
      <c r="P177" t="s">
        <v>737</v>
      </c>
      <c r="Q177" t="s">
        <v>598</v>
      </c>
      <c r="R177">
        <v>0.15</v>
      </c>
      <c r="S177">
        <v>88000</v>
      </c>
      <c r="T177" s="15">
        <v>46174</v>
      </c>
      <c r="U177" t="s">
        <v>92</v>
      </c>
      <c r="V177" t="s">
        <v>91</v>
      </c>
      <c r="W177" t="s">
        <v>99</v>
      </c>
      <c r="X177">
        <v>77</v>
      </c>
      <c r="Y177" s="4">
        <f t="shared" si="12"/>
        <v>13200</v>
      </c>
      <c r="Z177" s="4">
        <f t="shared" si="13"/>
        <v>46174</v>
      </c>
    </row>
    <row r="178" spans="16:26" x14ac:dyDescent="0.3">
      <c r="P178" t="s">
        <v>738</v>
      </c>
      <c r="Q178" t="s">
        <v>594</v>
      </c>
      <c r="R178">
        <v>0.8</v>
      </c>
      <c r="S178">
        <v>83000</v>
      </c>
      <c r="T178" s="15">
        <v>46054</v>
      </c>
      <c r="U178" t="s">
        <v>89</v>
      </c>
      <c r="V178" t="s">
        <v>91</v>
      </c>
      <c r="W178" t="s">
        <v>96</v>
      </c>
      <c r="X178">
        <v>111</v>
      </c>
      <c r="Y178" s="4">
        <f t="shared" si="12"/>
        <v>66400</v>
      </c>
      <c r="Z178" s="4">
        <f t="shared" si="13"/>
        <v>46054</v>
      </c>
    </row>
    <row r="179" spans="16:26" x14ac:dyDescent="0.3">
      <c r="P179" t="s">
        <v>739</v>
      </c>
      <c r="Q179" t="s">
        <v>600</v>
      </c>
      <c r="R179">
        <v>0.65</v>
      </c>
      <c r="S179">
        <v>93000</v>
      </c>
      <c r="T179" s="15">
        <v>46357</v>
      </c>
      <c r="U179" t="s">
        <v>89</v>
      </c>
      <c r="V179" t="s">
        <v>91</v>
      </c>
      <c r="W179" t="s">
        <v>82</v>
      </c>
      <c r="X179">
        <v>84</v>
      </c>
      <c r="Y179" s="4">
        <f t="shared" si="12"/>
        <v>60450</v>
      </c>
      <c r="Z179" s="4">
        <f t="shared" si="13"/>
        <v>46357</v>
      </c>
    </row>
    <row r="180" spans="16:26" x14ac:dyDescent="0.3">
      <c r="P180" t="s">
        <v>740</v>
      </c>
      <c r="Q180" t="s">
        <v>596</v>
      </c>
      <c r="R180">
        <v>0.3</v>
      </c>
      <c r="S180">
        <v>30000</v>
      </c>
      <c r="T180" s="15">
        <v>46113</v>
      </c>
      <c r="U180" t="s">
        <v>92</v>
      </c>
      <c r="V180" t="s">
        <v>81</v>
      </c>
      <c r="W180" t="s">
        <v>82</v>
      </c>
      <c r="X180">
        <v>27</v>
      </c>
      <c r="Y180" s="4">
        <f t="shared" si="12"/>
        <v>9000</v>
      </c>
      <c r="Z180" s="4">
        <f t="shared" si="13"/>
        <v>46113</v>
      </c>
    </row>
    <row r="181" spans="16:26" x14ac:dyDescent="0.3">
      <c r="P181" t="s">
        <v>741</v>
      </c>
      <c r="Q181" t="s">
        <v>602</v>
      </c>
      <c r="R181">
        <v>0.5</v>
      </c>
      <c r="S181">
        <v>109000</v>
      </c>
      <c r="T181" s="15">
        <v>46174</v>
      </c>
      <c r="U181" t="s">
        <v>103</v>
      </c>
      <c r="V181" t="s">
        <v>91</v>
      </c>
      <c r="W181" t="s">
        <v>82</v>
      </c>
      <c r="X181">
        <v>60</v>
      </c>
      <c r="Y181" s="4">
        <f t="shared" si="12"/>
        <v>54500</v>
      </c>
      <c r="Z181" s="4">
        <f t="shared" si="13"/>
        <v>46174</v>
      </c>
    </row>
    <row r="182" spans="16:26" x14ac:dyDescent="0.3">
      <c r="P182" t="s">
        <v>742</v>
      </c>
      <c r="Q182" t="s">
        <v>602</v>
      </c>
      <c r="R182">
        <v>0.5</v>
      </c>
      <c r="S182">
        <v>95000</v>
      </c>
      <c r="T182" s="15">
        <v>46054</v>
      </c>
      <c r="U182" t="s">
        <v>87</v>
      </c>
      <c r="V182" t="s">
        <v>91</v>
      </c>
      <c r="W182" t="s">
        <v>86</v>
      </c>
      <c r="X182">
        <v>94</v>
      </c>
      <c r="Y182" s="4">
        <f t="shared" si="12"/>
        <v>47500</v>
      </c>
      <c r="Z182" s="4">
        <f t="shared" si="13"/>
        <v>46054</v>
      </c>
    </row>
    <row r="183" spans="16:26" x14ac:dyDescent="0.3">
      <c r="P183" t="s">
        <v>743</v>
      </c>
      <c r="Q183" t="s">
        <v>598</v>
      </c>
      <c r="R183">
        <v>0.15</v>
      </c>
      <c r="S183">
        <v>134000</v>
      </c>
      <c r="T183" s="15">
        <v>46266</v>
      </c>
      <c r="U183" t="s">
        <v>92</v>
      </c>
      <c r="V183" t="s">
        <v>91</v>
      </c>
      <c r="W183" t="s">
        <v>86</v>
      </c>
      <c r="X183">
        <v>87</v>
      </c>
      <c r="Y183" s="4">
        <f t="shared" si="12"/>
        <v>20100</v>
      </c>
      <c r="Z183" s="4">
        <f t="shared" si="13"/>
        <v>46266</v>
      </c>
    </row>
    <row r="184" spans="16:26" x14ac:dyDescent="0.3">
      <c r="P184" t="s">
        <v>744</v>
      </c>
      <c r="Q184" t="s">
        <v>598</v>
      </c>
      <c r="R184">
        <v>0.15</v>
      </c>
      <c r="S184">
        <v>130000</v>
      </c>
      <c r="T184" s="15">
        <v>46235</v>
      </c>
      <c r="U184" t="s">
        <v>83</v>
      </c>
      <c r="V184" t="s">
        <v>91</v>
      </c>
      <c r="W184" t="s">
        <v>86</v>
      </c>
      <c r="X184">
        <v>76</v>
      </c>
      <c r="Y184" s="4">
        <f t="shared" si="12"/>
        <v>19500</v>
      </c>
      <c r="Z184" s="4">
        <f t="shared" si="13"/>
        <v>46235</v>
      </c>
    </row>
    <row r="185" spans="16:26" x14ac:dyDescent="0.3">
      <c r="P185" t="s">
        <v>745</v>
      </c>
      <c r="Q185" t="s">
        <v>594</v>
      </c>
      <c r="R185">
        <v>0.8</v>
      </c>
      <c r="S185">
        <v>105000</v>
      </c>
      <c r="T185" s="15">
        <v>46204</v>
      </c>
      <c r="U185" t="s">
        <v>83</v>
      </c>
      <c r="V185" t="s">
        <v>91</v>
      </c>
      <c r="W185" t="s">
        <v>82</v>
      </c>
      <c r="X185">
        <v>71</v>
      </c>
      <c r="Y185" s="4">
        <f t="shared" si="12"/>
        <v>84000</v>
      </c>
      <c r="Z185" s="4">
        <f t="shared" si="13"/>
        <v>46204</v>
      </c>
    </row>
    <row r="186" spans="16:26" x14ac:dyDescent="0.3">
      <c r="P186" t="s">
        <v>746</v>
      </c>
      <c r="Q186" t="s">
        <v>596</v>
      </c>
      <c r="R186">
        <v>0.3</v>
      </c>
      <c r="S186">
        <v>256000</v>
      </c>
      <c r="T186" s="15">
        <v>46357</v>
      </c>
      <c r="U186" t="s">
        <v>89</v>
      </c>
      <c r="V186" t="s">
        <v>110</v>
      </c>
      <c r="W186" t="s">
        <v>86</v>
      </c>
      <c r="X186">
        <v>111</v>
      </c>
      <c r="Y186" s="4">
        <f t="shared" si="12"/>
        <v>76800</v>
      </c>
      <c r="Z186" s="4">
        <f t="shared" si="13"/>
        <v>46357</v>
      </c>
    </row>
    <row r="187" spans="16:26" x14ac:dyDescent="0.3">
      <c r="P187" t="s">
        <v>747</v>
      </c>
      <c r="Q187" t="s">
        <v>594</v>
      </c>
      <c r="R187">
        <v>0.8</v>
      </c>
      <c r="S187">
        <v>99000</v>
      </c>
      <c r="T187" s="15">
        <v>46054</v>
      </c>
      <c r="U187" t="s">
        <v>87</v>
      </c>
      <c r="V187" t="s">
        <v>91</v>
      </c>
      <c r="W187" t="s">
        <v>86</v>
      </c>
      <c r="X187">
        <v>75</v>
      </c>
      <c r="Y187" s="4">
        <f t="shared" si="12"/>
        <v>79200</v>
      </c>
      <c r="Z187" s="4">
        <f t="shared" si="13"/>
        <v>46054</v>
      </c>
    </row>
    <row r="188" spans="16:26" x14ac:dyDescent="0.3">
      <c r="P188" t="s">
        <v>748</v>
      </c>
      <c r="Q188" t="s">
        <v>596</v>
      </c>
      <c r="R188">
        <v>0.3</v>
      </c>
      <c r="S188">
        <v>94000</v>
      </c>
      <c r="T188" s="15">
        <v>46296</v>
      </c>
      <c r="U188" t="s">
        <v>87</v>
      </c>
      <c r="V188" t="s">
        <v>91</v>
      </c>
      <c r="W188" t="s">
        <v>82</v>
      </c>
      <c r="X188">
        <v>70</v>
      </c>
      <c r="Y188" s="4">
        <f t="shared" si="12"/>
        <v>28200</v>
      </c>
      <c r="Z188" s="4">
        <f t="shared" si="13"/>
        <v>46296</v>
      </c>
    </row>
    <row r="189" spans="16:26" x14ac:dyDescent="0.3">
      <c r="P189" t="s">
        <v>749</v>
      </c>
      <c r="Q189" t="s">
        <v>596</v>
      </c>
      <c r="R189">
        <v>0.3</v>
      </c>
      <c r="S189">
        <v>94000</v>
      </c>
      <c r="T189" s="15">
        <v>46266</v>
      </c>
      <c r="U189" t="s">
        <v>101</v>
      </c>
      <c r="V189" t="s">
        <v>91</v>
      </c>
      <c r="W189" t="s">
        <v>86</v>
      </c>
      <c r="X189">
        <v>83</v>
      </c>
      <c r="Y189" s="4">
        <f t="shared" si="12"/>
        <v>28200</v>
      </c>
      <c r="Z189" s="4">
        <f t="shared" si="13"/>
        <v>46266</v>
      </c>
    </row>
    <row r="190" spans="16:26" x14ac:dyDescent="0.3">
      <c r="P190" t="s">
        <v>750</v>
      </c>
      <c r="Q190" t="s">
        <v>594</v>
      </c>
      <c r="R190">
        <v>0.8</v>
      </c>
      <c r="S190">
        <v>490000</v>
      </c>
      <c r="T190" s="15">
        <v>46357</v>
      </c>
      <c r="U190" t="s">
        <v>89</v>
      </c>
      <c r="V190" t="s">
        <v>110</v>
      </c>
      <c r="W190" t="s">
        <v>82</v>
      </c>
      <c r="X190">
        <v>128</v>
      </c>
      <c r="Y190" s="4">
        <f t="shared" si="12"/>
        <v>392000</v>
      </c>
      <c r="Z190" s="4">
        <f t="shared" si="13"/>
        <v>46357</v>
      </c>
    </row>
    <row r="191" spans="16:26" x14ac:dyDescent="0.3">
      <c r="P191" t="s">
        <v>751</v>
      </c>
      <c r="Q191" t="s">
        <v>594</v>
      </c>
      <c r="R191">
        <v>0.8</v>
      </c>
      <c r="S191">
        <v>91000</v>
      </c>
      <c r="T191" s="15">
        <v>46296</v>
      </c>
      <c r="U191" t="s">
        <v>83</v>
      </c>
      <c r="V191" t="s">
        <v>91</v>
      </c>
      <c r="W191" t="s">
        <v>86</v>
      </c>
      <c r="X191">
        <v>87</v>
      </c>
      <c r="Y191" s="4">
        <f t="shared" si="12"/>
        <v>72800</v>
      </c>
      <c r="Z191" s="4">
        <f t="shared" si="13"/>
        <v>46296</v>
      </c>
    </row>
    <row r="192" spans="16:26" x14ac:dyDescent="0.3">
      <c r="P192" t="s">
        <v>752</v>
      </c>
      <c r="Q192" t="s">
        <v>598</v>
      </c>
      <c r="R192">
        <v>0.15</v>
      </c>
      <c r="S192">
        <v>27000</v>
      </c>
      <c r="T192" s="15">
        <v>46296</v>
      </c>
      <c r="U192" t="s">
        <v>103</v>
      </c>
      <c r="V192" t="s">
        <v>81</v>
      </c>
      <c r="W192" t="s">
        <v>82</v>
      </c>
      <c r="X192">
        <v>40</v>
      </c>
      <c r="Y192" s="4">
        <f t="shared" si="12"/>
        <v>4050</v>
      </c>
      <c r="Z192" s="4">
        <f t="shared" si="13"/>
        <v>46296</v>
      </c>
    </row>
    <row r="193" spans="16:26" x14ac:dyDescent="0.3">
      <c r="P193" t="s">
        <v>753</v>
      </c>
      <c r="Q193" t="s">
        <v>598</v>
      </c>
      <c r="R193">
        <v>0.15</v>
      </c>
      <c r="S193">
        <v>29000</v>
      </c>
      <c r="T193" s="15">
        <v>46174</v>
      </c>
      <c r="U193" t="s">
        <v>103</v>
      </c>
      <c r="V193" t="s">
        <v>81</v>
      </c>
      <c r="W193" t="s">
        <v>86</v>
      </c>
      <c r="X193">
        <v>58</v>
      </c>
      <c r="Y193" s="4">
        <f t="shared" si="12"/>
        <v>4350</v>
      </c>
      <c r="Z193" s="4">
        <f t="shared" si="13"/>
        <v>46174</v>
      </c>
    </row>
    <row r="194" spans="16:26" x14ac:dyDescent="0.3">
      <c r="P194" t="s">
        <v>754</v>
      </c>
      <c r="Q194" t="s">
        <v>600</v>
      </c>
      <c r="R194">
        <v>0.65</v>
      </c>
      <c r="S194">
        <v>74000</v>
      </c>
      <c r="T194" s="15">
        <v>46023</v>
      </c>
      <c r="U194" t="s">
        <v>92</v>
      </c>
      <c r="V194" t="s">
        <v>91</v>
      </c>
      <c r="W194" t="s">
        <v>99</v>
      </c>
      <c r="X194">
        <v>79</v>
      </c>
      <c r="Y194" s="4">
        <f t="shared" si="12"/>
        <v>48100</v>
      </c>
      <c r="Z194" s="4">
        <f t="shared" si="13"/>
        <v>46023</v>
      </c>
    </row>
    <row r="195" spans="16:26" x14ac:dyDescent="0.3">
      <c r="P195" t="s">
        <v>755</v>
      </c>
      <c r="Q195" t="s">
        <v>600</v>
      </c>
      <c r="R195">
        <v>0.65</v>
      </c>
      <c r="S195">
        <v>29000</v>
      </c>
      <c r="T195" s="15">
        <v>46296</v>
      </c>
      <c r="U195" t="s">
        <v>97</v>
      </c>
      <c r="V195" t="s">
        <v>81</v>
      </c>
      <c r="W195" t="s">
        <v>86</v>
      </c>
      <c r="X195">
        <v>38</v>
      </c>
      <c r="Y195" s="4">
        <f t="shared" si="12"/>
        <v>18850</v>
      </c>
      <c r="Z195" s="4">
        <f t="shared" si="13"/>
        <v>46296</v>
      </c>
    </row>
    <row r="196" spans="16:26" x14ac:dyDescent="0.3">
      <c r="P196" t="s">
        <v>756</v>
      </c>
      <c r="Q196" t="s">
        <v>598</v>
      </c>
      <c r="R196">
        <v>0.15</v>
      </c>
      <c r="S196">
        <v>88000</v>
      </c>
      <c r="T196" s="15">
        <v>46266</v>
      </c>
      <c r="U196" t="s">
        <v>87</v>
      </c>
      <c r="V196" t="s">
        <v>91</v>
      </c>
      <c r="W196" t="s">
        <v>86</v>
      </c>
      <c r="X196">
        <v>74</v>
      </c>
      <c r="Y196" s="4">
        <f t="shared" si="12"/>
        <v>13200</v>
      </c>
      <c r="Z196" s="4">
        <f t="shared" si="13"/>
        <v>46266</v>
      </c>
    </row>
    <row r="197" spans="16:26" x14ac:dyDescent="0.3">
      <c r="P197" t="s">
        <v>757</v>
      </c>
      <c r="Q197" t="s">
        <v>602</v>
      </c>
      <c r="R197">
        <v>0.5</v>
      </c>
      <c r="S197">
        <v>94000</v>
      </c>
      <c r="T197" s="15">
        <v>46082</v>
      </c>
      <c r="U197" t="s">
        <v>101</v>
      </c>
      <c r="V197" t="s">
        <v>91</v>
      </c>
      <c r="W197" t="s">
        <v>82</v>
      </c>
      <c r="X197">
        <v>65</v>
      </c>
      <c r="Y197" s="4">
        <f t="shared" si="12"/>
        <v>47000</v>
      </c>
      <c r="Z197" s="4">
        <f t="shared" si="13"/>
        <v>46082</v>
      </c>
    </row>
    <row r="198" spans="16:26" x14ac:dyDescent="0.3">
      <c r="P198" t="s">
        <v>758</v>
      </c>
      <c r="Q198" t="s">
        <v>596</v>
      </c>
      <c r="R198">
        <v>0.3</v>
      </c>
      <c r="S198">
        <v>32000</v>
      </c>
      <c r="T198" s="15">
        <v>46266</v>
      </c>
      <c r="U198" t="s">
        <v>83</v>
      </c>
      <c r="V198" t="s">
        <v>81</v>
      </c>
      <c r="W198" t="s">
        <v>99</v>
      </c>
      <c r="X198">
        <v>51</v>
      </c>
      <c r="Y198" s="4">
        <f t="shared" si="12"/>
        <v>9600</v>
      </c>
      <c r="Z198" s="4">
        <f t="shared" si="13"/>
        <v>46266</v>
      </c>
    </row>
    <row r="199" spans="16:26" x14ac:dyDescent="0.3">
      <c r="P199" t="s">
        <v>759</v>
      </c>
      <c r="Q199" t="s">
        <v>596</v>
      </c>
      <c r="R199">
        <v>0.3</v>
      </c>
      <c r="S199">
        <v>134000</v>
      </c>
      <c r="T199" s="15">
        <v>46174</v>
      </c>
      <c r="U199" t="s">
        <v>97</v>
      </c>
      <c r="V199" t="s">
        <v>91</v>
      </c>
      <c r="W199" t="s">
        <v>86</v>
      </c>
      <c r="X199">
        <v>88</v>
      </c>
      <c r="Y199" s="4">
        <f t="shared" si="12"/>
        <v>40200</v>
      </c>
      <c r="Z199" s="4">
        <f t="shared" si="13"/>
        <v>46174</v>
      </c>
    </row>
    <row r="200" spans="16:26" x14ac:dyDescent="0.3">
      <c r="P200" t="s">
        <v>760</v>
      </c>
      <c r="Q200" t="s">
        <v>602</v>
      </c>
      <c r="R200">
        <v>0.5</v>
      </c>
      <c r="S200">
        <v>23000</v>
      </c>
      <c r="T200" s="15">
        <v>46357</v>
      </c>
      <c r="U200" t="s">
        <v>89</v>
      </c>
      <c r="V200" t="s">
        <v>81</v>
      </c>
      <c r="W200" t="s">
        <v>86</v>
      </c>
      <c r="X200">
        <v>85</v>
      </c>
      <c r="Y200" s="4">
        <f t="shared" si="12"/>
        <v>11500</v>
      </c>
      <c r="Z200" s="4">
        <f t="shared" si="13"/>
        <v>46357</v>
      </c>
    </row>
    <row r="201" spans="16:26" x14ac:dyDescent="0.3">
      <c r="P201" t="s">
        <v>761</v>
      </c>
      <c r="Q201" t="s">
        <v>596</v>
      </c>
      <c r="R201">
        <v>0.3</v>
      </c>
      <c r="S201">
        <v>130000</v>
      </c>
      <c r="T201" s="15">
        <v>46082</v>
      </c>
      <c r="U201" t="s">
        <v>92</v>
      </c>
      <c r="V201" t="s">
        <v>91</v>
      </c>
      <c r="W201" t="s">
        <v>86</v>
      </c>
      <c r="X201">
        <v>65</v>
      </c>
      <c r="Y201" s="4">
        <f t="shared" si="12"/>
        <v>39000</v>
      </c>
      <c r="Z201" s="4">
        <f t="shared" si="13"/>
        <v>46082</v>
      </c>
    </row>
    <row r="202" spans="16:26" x14ac:dyDescent="0.3">
      <c r="P202" t="s">
        <v>762</v>
      </c>
      <c r="Q202" t="s">
        <v>608</v>
      </c>
      <c r="R202">
        <v>0.92</v>
      </c>
      <c r="S202">
        <v>117000</v>
      </c>
      <c r="T202" s="15">
        <v>46296</v>
      </c>
      <c r="U202" t="s">
        <v>89</v>
      </c>
      <c r="V202" t="s">
        <v>91</v>
      </c>
      <c r="W202" t="s">
        <v>86</v>
      </c>
      <c r="X202">
        <v>92</v>
      </c>
      <c r="Y202" s="4">
        <f t="shared" si="12"/>
        <v>107640</v>
      </c>
      <c r="Z202" s="4">
        <f t="shared" si="13"/>
        <v>46296</v>
      </c>
    </row>
    <row r="203" spans="16:26" x14ac:dyDescent="0.3">
      <c r="P203" t="s">
        <v>763</v>
      </c>
      <c r="Q203" t="s">
        <v>600</v>
      </c>
      <c r="R203">
        <v>0.65</v>
      </c>
      <c r="S203">
        <v>50000</v>
      </c>
      <c r="T203" s="15">
        <v>46357</v>
      </c>
      <c r="U203" t="s">
        <v>89</v>
      </c>
      <c r="V203" t="s">
        <v>81</v>
      </c>
      <c r="W203" t="s">
        <v>86</v>
      </c>
      <c r="X203">
        <v>89</v>
      </c>
      <c r="Y203" s="4">
        <f t="shared" si="12"/>
        <v>32500</v>
      </c>
      <c r="Z203" s="4">
        <f t="shared" si="13"/>
        <v>46357</v>
      </c>
    </row>
    <row r="204" spans="16:26" x14ac:dyDescent="0.3">
      <c r="P204" t="s">
        <v>764</v>
      </c>
      <c r="Q204" t="s">
        <v>594</v>
      </c>
      <c r="R204">
        <v>0.8</v>
      </c>
      <c r="S204">
        <v>88000</v>
      </c>
      <c r="T204" s="15">
        <v>46327</v>
      </c>
      <c r="U204" t="s">
        <v>92</v>
      </c>
      <c r="V204" t="s">
        <v>91</v>
      </c>
      <c r="W204" t="s">
        <v>82</v>
      </c>
      <c r="X204">
        <v>110</v>
      </c>
      <c r="Y204" s="4">
        <f t="shared" si="12"/>
        <v>70400</v>
      </c>
      <c r="Z204" s="4">
        <f t="shared" si="13"/>
        <v>46327</v>
      </c>
    </row>
    <row r="205" spans="16:26" x14ac:dyDescent="0.3">
      <c r="P205" t="s">
        <v>765</v>
      </c>
      <c r="Q205" t="s">
        <v>594</v>
      </c>
      <c r="R205">
        <v>0.8</v>
      </c>
      <c r="S205">
        <v>46000</v>
      </c>
      <c r="T205" s="15">
        <v>46327</v>
      </c>
      <c r="U205" t="s">
        <v>101</v>
      </c>
      <c r="V205" t="s">
        <v>81</v>
      </c>
      <c r="W205" t="s">
        <v>82</v>
      </c>
      <c r="X205">
        <v>69</v>
      </c>
      <c r="Y205" s="4">
        <f t="shared" si="12"/>
        <v>36800</v>
      </c>
      <c r="Z205" s="4">
        <f t="shared" si="13"/>
        <v>46327</v>
      </c>
    </row>
    <row r="206" spans="16:26" x14ac:dyDescent="0.3">
      <c r="P206" t="s">
        <v>766</v>
      </c>
      <c r="Q206" t="s">
        <v>602</v>
      </c>
      <c r="R206">
        <v>0.5</v>
      </c>
      <c r="S206">
        <v>143000</v>
      </c>
      <c r="T206" s="15">
        <v>46113</v>
      </c>
      <c r="U206" t="s">
        <v>87</v>
      </c>
      <c r="V206" t="s">
        <v>91</v>
      </c>
      <c r="W206" t="s">
        <v>86</v>
      </c>
      <c r="X206">
        <v>111</v>
      </c>
      <c r="Y206" s="4">
        <f t="shared" si="12"/>
        <v>71500</v>
      </c>
      <c r="Z206" s="4">
        <f t="shared" si="13"/>
        <v>46113</v>
      </c>
    </row>
    <row r="207" spans="16:26" x14ac:dyDescent="0.3">
      <c r="P207" t="s">
        <v>767</v>
      </c>
      <c r="Q207" t="s">
        <v>600</v>
      </c>
      <c r="R207">
        <v>0.65</v>
      </c>
      <c r="S207">
        <v>145000</v>
      </c>
      <c r="T207" s="15">
        <v>46204</v>
      </c>
      <c r="U207" t="s">
        <v>97</v>
      </c>
      <c r="V207" t="s">
        <v>91</v>
      </c>
      <c r="W207" t="s">
        <v>82</v>
      </c>
      <c r="X207">
        <v>99</v>
      </c>
      <c r="Y207" s="4">
        <f t="shared" si="12"/>
        <v>94250</v>
      </c>
      <c r="Z207" s="4">
        <f t="shared" si="13"/>
        <v>46204</v>
      </c>
    </row>
    <row r="208" spans="16:26" x14ac:dyDescent="0.3">
      <c r="P208" t="s">
        <v>768</v>
      </c>
      <c r="Q208" t="s">
        <v>594</v>
      </c>
      <c r="R208">
        <v>0.8</v>
      </c>
      <c r="S208">
        <v>83000</v>
      </c>
      <c r="T208" s="15">
        <v>46266</v>
      </c>
      <c r="U208" t="s">
        <v>89</v>
      </c>
      <c r="V208" t="s">
        <v>91</v>
      </c>
      <c r="W208" t="s">
        <v>86</v>
      </c>
      <c r="X208">
        <v>87</v>
      </c>
      <c r="Y208" s="4">
        <f t="shared" si="12"/>
        <v>66400</v>
      </c>
      <c r="Z208" s="4">
        <f t="shared" si="13"/>
        <v>46266</v>
      </c>
    </row>
    <row r="209" spans="16:26" x14ac:dyDescent="0.3">
      <c r="P209" t="s">
        <v>769</v>
      </c>
      <c r="Q209" t="s">
        <v>594</v>
      </c>
      <c r="R209">
        <v>0.8</v>
      </c>
      <c r="S209">
        <v>138000</v>
      </c>
      <c r="T209" s="15">
        <v>46357</v>
      </c>
      <c r="U209" t="s">
        <v>101</v>
      </c>
      <c r="V209" t="s">
        <v>91</v>
      </c>
      <c r="W209" t="s">
        <v>86</v>
      </c>
      <c r="X209">
        <v>75</v>
      </c>
      <c r="Y209" s="4">
        <f t="shared" si="12"/>
        <v>110400</v>
      </c>
      <c r="Z209" s="4">
        <f t="shared" si="13"/>
        <v>46357</v>
      </c>
    </row>
    <row r="210" spans="16:26" x14ac:dyDescent="0.3">
      <c r="P210" t="s">
        <v>770</v>
      </c>
      <c r="Q210" t="s">
        <v>600</v>
      </c>
      <c r="R210">
        <v>0.65</v>
      </c>
      <c r="S210">
        <v>24000</v>
      </c>
      <c r="T210" s="15">
        <v>46357</v>
      </c>
      <c r="U210" t="s">
        <v>87</v>
      </c>
      <c r="V210" t="s">
        <v>81</v>
      </c>
      <c r="W210" t="s">
        <v>82</v>
      </c>
      <c r="X210">
        <v>69</v>
      </c>
      <c r="Y210" s="4">
        <f t="shared" si="12"/>
        <v>15600</v>
      </c>
      <c r="Z210" s="4">
        <f t="shared" si="13"/>
        <v>46357</v>
      </c>
    </row>
    <row r="211" spans="16:26" x14ac:dyDescent="0.3">
      <c r="P211" t="s">
        <v>771</v>
      </c>
      <c r="Q211" t="s">
        <v>602</v>
      </c>
      <c r="R211">
        <v>0.5</v>
      </c>
      <c r="S211">
        <v>49000</v>
      </c>
      <c r="T211" s="15">
        <v>46113</v>
      </c>
      <c r="U211" t="s">
        <v>89</v>
      </c>
      <c r="V211" t="s">
        <v>81</v>
      </c>
      <c r="W211" t="s">
        <v>82</v>
      </c>
      <c r="X211">
        <v>59</v>
      </c>
      <c r="Y211" s="4">
        <f t="shared" si="12"/>
        <v>24500</v>
      </c>
      <c r="Z211" s="4">
        <f t="shared" si="13"/>
        <v>46113</v>
      </c>
    </row>
    <row r="212" spans="16:26" x14ac:dyDescent="0.3">
      <c r="P212" t="s">
        <v>772</v>
      </c>
      <c r="Q212" t="s">
        <v>598</v>
      </c>
      <c r="R212">
        <v>0.15</v>
      </c>
      <c r="S212">
        <v>105000</v>
      </c>
      <c r="T212" s="15">
        <v>46357</v>
      </c>
      <c r="U212" t="s">
        <v>101</v>
      </c>
      <c r="V212" t="s">
        <v>91</v>
      </c>
      <c r="W212" t="s">
        <v>86</v>
      </c>
      <c r="X212">
        <v>86</v>
      </c>
      <c r="Y212" s="4">
        <f t="shared" si="12"/>
        <v>15750</v>
      </c>
      <c r="Z212" s="4">
        <f t="shared" si="13"/>
        <v>46357</v>
      </c>
    </row>
    <row r="213" spans="16:26" x14ac:dyDescent="0.3">
      <c r="P213" t="s">
        <v>773</v>
      </c>
      <c r="Q213" t="s">
        <v>596</v>
      </c>
      <c r="R213">
        <v>0.3</v>
      </c>
      <c r="S213">
        <v>140000</v>
      </c>
      <c r="T213" s="15">
        <v>46327</v>
      </c>
      <c r="U213" t="s">
        <v>101</v>
      </c>
      <c r="V213" t="s">
        <v>91</v>
      </c>
      <c r="W213" t="s">
        <v>96</v>
      </c>
      <c r="X213">
        <v>107</v>
      </c>
      <c r="Y213" s="4">
        <f t="shared" si="12"/>
        <v>42000</v>
      </c>
      <c r="Z213" s="4">
        <f t="shared" si="13"/>
        <v>46327</v>
      </c>
    </row>
    <row r="214" spans="16:26" x14ac:dyDescent="0.3">
      <c r="P214" t="s">
        <v>774</v>
      </c>
      <c r="Q214" t="s">
        <v>596</v>
      </c>
      <c r="R214">
        <v>0.3</v>
      </c>
      <c r="S214">
        <v>39000</v>
      </c>
      <c r="T214" s="15">
        <v>46266</v>
      </c>
      <c r="U214" t="s">
        <v>101</v>
      </c>
      <c r="V214" t="s">
        <v>81</v>
      </c>
      <c r="W214" t="s">
        <v>86</v>
      </c>
      <c r="X214">
        <v>59</v>
      </c>
      <c r="Y214" s="4">
        <f t="shared" si="12"/>
        <v>11700</v>
      </c>
      <c r="Z214" s="4">
        <f t="shared" si="13"/>
        <v>46266</v>
      </c>
    </row>
    <row r="215" spans="16:26" x14ac:dyDescent="0.3">
      <c r="P215" t="s">
        <v>775</v>
      </c>
      <c r="Q215" t="s">
        <v>598</v>
      </c>
      <c r="R215">
        <v>0.15</v>
      </c>
      <c r="S215">
        <v>53000</v>
      </c>
      <c r="T215" s="15">
        <v>46082</v>
      </c>
      <c r="U215" t="s">
        <v>83</v>
      </c>
      <c r="V215" t="s">
        <v>81</v>
      </c>
      <c r="W215" t="s">
        <v>82</v>
      </c>
      <c r="X215">
        <v>59</v>
      </c>
      <c r="Y215" s="4">
        <f t="shared" si="12"/>
        <v>7950</v>
      </c>
      <c r="Z215" s="4">
        <f t="shared" si="13"/>
        <v>46082</v>
      </c>
    </row>
    <row r="216" spans="16:26" x14ac:dyDescent="0.3">
      <c r="P216" t="s">
        <v>776</v>
      </c>
      <c r="Q216" t="s">
        <v>602</v>
      </c>
      <c r="R216">
        <v>0.5</v>
      </c>
      <c r="S216">
        <v>171000</v>
      </c>
      <c r="T216" s="15">
        <v>46204</v>
      </c>
      <c r="U216" t="s">
        <v>87</v>
      </c>
      <c r="V216" t="s">
        <v>91</v>
      </c>
      <c r="W216" t="s">
        <v>96</v>
      </c>
      <c r="X216">
        <v>86</v>
      </c>
      <c r="Y216" s="4">
        <f t="shared" si="12"/>
        <v>85500</v>
      </c>
      <c r="Z216" s="4">
        <f t="shared" si="13"/>
        <v>46204</v>
      </c>
    </row>
    <row r="217" spans="16:26" x14ac:dyDescent="0.3">
      <c r="P217" t="s">
        <v>777</v>
      </c>
      <c r="Q217" t="s">
        <v>602</v>
      </c>
      <c r="R217">
        <v>0.5</v>
      </c>
      <c r="S217">
        <v>115000</v>
      </c>
      <c r="T217" s="15">
        <v>46357</v>
      </c>
      <c r="U217" t="s">
        <v>87</v>
      </c>
      <c r="V217" t="s">
        <v>91</v>
      </c>
      <c r="W217" t="s">
        <v>99</v>
      </c>
      <c r="X217">
        <v>77</v>
      </c>
      <c r="Y217" s="4">
        <f t="shared" si="12"/>
        <v>57500</v>
      </c>
      <c r="Z217" s="4">
        <f t="shared" si="13"/>
        <v>46357</v>
      </c>
    </row>
    <row r="218" spans="16:26" x14ac:dyDescent="0.3">
      <c r="P218" t="s">
        <v>778</v>
      </c>
      <c r="Q218" t="s">
        <v>602</v>
      </c>
      <c r="R218">
        <v>0.5</v>
      </c>
      <c r="S218">
        <v>31000</v>
      </c>
      <c r="T218" s="15">
        <v>46113</v>
      </c>
      <c r="U218" t="s">
        <v>92</v>
      </c>
      <c r="V218" t="s">
        <v>81</v>
      </c>
      <c r="W218" t="s">
        <v>82</v>
      </c>
      <c r="X218">
        <v>46</v>
      </c>
      <c r="Y218" s="4">
        <f t="shared" si="12"/>
        <v>15500</v>
      </c>
      <c r="Z218" s="4">
        <f t="shared" si="13"/>
        <v>46113</v>
      </c>
    </row>
    <row r="219" spans="16:26" x14ac:dyDescent="0.3">
      <c r="P219" t="s">
        <v>779</v>
      </c>
      <c r="Q219" t="s">
        <v>602</v>
      </c>
      <c r="R219">
        <v>0.5</v>
      </c>
      <c r="S219">
        <v>104000</v>
      </c>
      <c r="T219" s="15">
        <v>46266</v>
      </c>
      <c r="U219" t="s">
        <v>103</v>
      </c>
      <c r="V219" t="s">
        <v>91</v>
      </c>
      <c r="W219" t="s">
        <v>99</v>
      </c>
      <c r="X219">
        <v>67</v>
      </c>
      <c r="Y219" s="4">
        <f t="shared" si="12"/>
        <v>52000</v>
      </c>
      <c r="Z219" s="4">
        <f t="shared" si="13"/>
        <v>46266</v>
      </c>
    </row>
    <row r="220" spans="16:26" x14ac:dyDescent="0.3">
      <c r="P220" t="s">
        <v>780</v>
      </c>
      <c r="Q220" t="s">
        <v>598</v>
      </c>
      <c r="R220">
        <v>0.15</v>
      </c>
      <c r="S220">
        <v>131000</v>
      </c>
      <c r="T220" s="15">
        <v>46174</v>
      </c>
      <c r="U220" t="s">
        <v>89</v>
      </c>
      <c r="V220" t="s">
        <v>91</v>
      </c>
      <c r="W220" t="s">
        <v>82</v>
      </c>
      <c r="X220">
        <v>64</v>
      </c>
      <c r="Y220" s="4">
        <f t="shared" si="12"/>
        <v>19650</v>
      </c>
      <c r="Z220" s="4">
        <f t="shared" si="13"/>
        <v>46174</v>
      </c>
    </row>
    <row r="221" spans="16:26" x14ac:dyDescent="0.3">
      <c r="P221" t="s">
        <v>781</v>
      </c>
      <c r="Q221" t="s">
        <v>602</v>
      </c>
      <c r="R221">
        <v>0.5</v>
      </c>
      <c r="S221">
        <v>32000</v>
      </c>
      <c r="T221" s="15">
        <v>46143</v>
      </c>
      <c r="U221" t="s">
        <v>101</v>
      </c>
      <c r="V221" t="s">
        <v>81</v>
      </c>
      <c r="W221" t="s">
        <v>86</v>
      </c>
      <c r="X221">
        <v>64</v>
      </c>
      <c r="Y221" s="4">
        <f t="shared" si="12"/>
        <v>16000</v>
      </c>
      <c r="Z221" s="4">
        <f t="shared" si="13"/>
        <v>46143</v>
      </c>
    </row>
    <row r="222" spans="16:26" x14ac:dyDescent="0.3">
      <c r="P222" t="s">
        <v>782</v>
      </c>
      <c r="Q222" t="s">
        <v>594</v>
      </c>
      <c r="R222">
        <v>0.8</v>
      </c>
      <c r="S222">
        <v>138000</v>
      </c>
      <c r="T222" s="15">
        <v>46296</v>
      </c>
      <c r="U222" t="s">
        <v>101</v>
      </c>
      <c r="V222" t="s">
        <v>91</v>
      </c>
      <c r="W222" t="s">
        <v>82</v>
      </c>
      <c r="X222">
        <v>79</v>
      </c>
      <c r="Y222" s="4">
        <f t="shared" si="12"/>
        <v>110400</v>
      </c>
      <c r="Z222" s="4">
        <f t="shared" si="13"/>
        <v>46296</v>
      </c>
    </row>
    <row r="223" spans="16:26" x14ac:dyDescent="0.3">
      <c r="P223" t="s">
        <v>783</v>
      </c>
      <c r="Q223" t="s">
        <v>600</v>
      </c>
      <c r="R223">
        <v>0.65</v>
      </c>
      <c r="S223">
        <v>361000</v>
      </c>
      <c r="T223" s="15">
        <v>46143</v>
      </c>
      <c r="U223" t="s">
        <v>103</v>
      </c>
      <c r="V223" t="s">
        <v>110</v>
      </c>
      <c r="W223" t="s">
        <v>99</v>
      </c>
      <c r="X223">
        <v>89</v>
      </c>
      <c r="Y223" s="4">
        <f t="shared" si="12"/>
        <v>234650</v>
      </c>
      <c r="Z223" s="4">
        <f t="shared" si="13"/>
        <v>46143</v>
      </c>
    </row>
    <row r="224" spans="16:26" x14ac:dyDescent="0.3">
      <c r="P224" t="s">
        <v>784</v>
      </c>
      <c r="Q224" t="s">
        <v>598</v>
      </c>
      <c r="R224">
        <v>0.15</v>
      </c>
      <c r="S224">
        <v>383000</v>
      </c>
      <c r="T224" s="15">
        <v>46296</v>
      </c>
      <c r="U224" t="s">
        <v>87</v>
      </c>
      <c r="V224" t="s">
        <v>110</v>
      </c>
      <c r="W224" t="s">
        <v>82</v>
      </c>
      <c r="X224">
        <v>155</v>
      </c>
      <c r="Y224" s="4">
        <f t="shared" si="12"/>
        <v>57450</v>
      </c>
      <c r="Z224" s="4">
        <f t="shared" si="13"/>
        <v>46296</v>
      </c>
    </row>
    <row r="225" spans="16:26" x14ac:dyDescent="0.3">
      <c r="P225" t="s">
        <v>785</v>
      </c>
      <c r="Q225" t="s">
        <v>596</v>
      </c>
      <c r="R225">
        <v>0.3</v>
      </c>
      <c r="S225">
        <v>36000</v>
      </c>
      <c r="T225" s="15">
        <v>46235</v>
      </c>
      <c r="U225" t="s">
        <v>83</v>
      </c>
      <c r="V225" t="s">
        <v>81</v>
      </c>
      <c r="W225" t="s">
        <v>82</v>
      </c>
      <c r="X225">
        <v>63</v>
      </c>
      <c r="Y225" s="4">
        <f t="shared" si="12"/>
        <v>10800</v>
      </c>
      <c r="Z225" s="4">
        <f t="shared" si="13"/>
        <v>46235</v>
      </c>
    </row>
    <row r="226" spans="16:26" x14ac:dyDescent="0.3">
      <c r="P226" t="s">
        <v>786</v>
      </c>
      <c r="Q226" t="s">
        <v>600</v>
      </c>
      <c r="R226">
        <v>0.65</v>
      </c>
      <c r="S226">
        <v>94000</v>
      </c>
      <c r="T226" s="15">
        <v>46266</v>
      </c>
      <c r="U226" t="s">
        <v>83</v>
      </c>
      <c r="V226" t="s">
        <v>91</v>
      </c>
      <c r="W226" t="s">
        <v>86</v>
      </c>
      <c r="X226">
        <v>65</v>
      </c>
      <c r="Y226" s="4">
        <f t="shared" si="12"/>
        <v>61100</v>
      </c>
      <c r="Z226" s="4">
        <f t="shared" si="13"/>
        <v>46266</v>
      </c>
    </row>
    <row r="227" spans="16:26" x14ac:dyDescent="0.3">
      <c r="P227" t="s">
        <v>787</v>
      </c>
      <c r="Q227" t="s">
        <v>594</v>
      </c>
      <c r="R227">
        <v>0.8</v>
      </c>
      <c r="S227">
        <v>177000</v>
      </c>
      <c r="T227" s="15">
        <v>46357</v>
      </c>
      <c r="U227" t="s">
        <v>101</v>
      </c>
      <c r="V227" t="s">
        <v>91</v>
      </c>
      <c r="W227" t="s">
        <v>86</v>
      </c>
      <c r="X227">
        <v>88</v>
      </c>
      <c r="Y227" s="4">
        <f t="shared" si="12"/>
        <v>141600</v>
      </c>
      <c r="Z227" s="4">
        <f t="shared" si="13"/>
        <v>46357</v>
      </c>
    </row>
    <row r="228" spans="16:26" x14ac:dyDescent="0.3">
      <c r="P228" t="s">
        <v>788</v>
      </c>
      <c r="Q228" t="s">
        <v>602</v>
      </c>
      <c r="R228">
        <v>0.5</v>
      </c>
      <c r="S228">
        <v>384000</v>
      </c>
      <c r="T228" s="15">
        <v>46204</v>
      </c>
      <c r="U228" t="s">
        <v>101</v>
      </c>
      <c r="V228" t="s">
        <v>110</v>
      </c>
      <c r="W228" t="s">
        <v>82</v>
      </c>
      <c r="X228">
        <v>144</v>
      </c>
      <c r="Y228" s="4">
        <f t="shared" si="12"/>
        <v>192000</v>
      </c>
      <c r="Z228" s="4">
        <f t="shared" si="13"/>
        <v>46204</v>
      </c>
    </row>
    <row r="229" spans="16:26" x14ac:dyDescent="0.3">
      <c r="P229" t="s">
        <v>789</v>
      </c>
      <c r="Q229" t="s">
        <v>596</v>
      </c>
      <c r="R229">
        <v>0.3</v>
      </c>
      <c r="S229">
        <v>38000</v>
      </c>
      <c r="T229" s="15">
        <v>46143</v>
      </c>
      <c r="U229" t="s">
        <v>103</v>
      </c>
      <c r="V229" t="s">
        <v>81</v>
      </c>
      <c r="W229" t="s">
        <v>82</v>
      </c>
      <c r="X229">
        <v>53</v>
      </c>
      <c r="Y229" s="4">
        <f t="shared" si="12"/>
        <v>11400</v>
      </c>
      <c r="Z229" s="4">
        <f t="shared" si="13"/>
        <v>46143</v>
      </c>
    </row>
    <row r="230" spans="16:26" x14ac:dyDescent="0.3">
      <c r="P230" t="s">
        <v>790</v>
      </c>
      <c r="Q230" t="s">
        <v>598</v>
      </c>
      <c r="R230">
        <v>0.15</v>
      </c>
      <c r="S230">
        <v>169000</v>
      </c>
      <c r="T230" s="15">
        <v>46174</v>
      </c>
      <c r="U230" t="s">
        <v>92</v>
      </c>
      <c r="V230" t="s">
        <v>91</v>
      </c>
      <c r="W230" t="s">
        <v>82</v>
      </c>
      <c r="X230">
        <v>90</v>
      </c>
      <c r="Y230" s="4">
        <f t="shared" si="12"/>
        <v>25350</v>
      </c>
      <c r="Z230" s="4">
        <f t="shared" si="13"/>
        <v>46174</v>
      </c>
    </row>
    <row r="231" spans="16:26" x14ac:dyDescent="0.3">
      <c r="P231" t="s">
        <v>791</v>
      </c>
      <c r="Q231" t="s">
        <v>594</v>
      </c>
      <c r="R231">
        <v>0.8</v>
      </c>
      <c r="S231">
        <v>36000</v>
      </c>
      <c r="T231" s="15">
        <v>46266</v>
      </c>
      <c r="U231" t="s">
        <v>101</v>
      </c>
      <c r="V231" t="s">
        <v>81</v>
      </c>
      <c r="W231" t="s">
        <v>86</v>
      </c>
      <c r="X231">
        <v>42</v>
      </c>
      <c r="Y231" s="4">
        <f t="shared" ref="Y231:Y294" si="14">R231*S231</f>
        <v>28800</v>
      </c>
      <c r="Z231" s="4">
        <f t="shared" ref="Z231:Z294" si="15">DATE(YEAR(T231),MONTH(T231),1)</f>
        <v>46266</v>
      </c>
    </row>
    <row r="232" spans="16:26" x14ac:dyDescent="0.3">
      <c r="P232" t="s">
        <v>792</v>
      </c>
      <c r="Q232" t="s">
        <v>598</v>
      </c>
      <c r="R232">
        <v>0.15</v>
      </c>
      <c r="S232">
        <v>97000</v>
      </c>
      <c r="T232" s="15">
        <v>46082</v>
      </c>
      <c r="U232" t="s">
        <v>101</v>
      </c>
      <c r="V232" t="s">
        <v>91</v>
      </c>
      <c r="W232" t="s">
        <v>99</v>
      </c>
      <c r="X232">
        <v>93</v>
      </c>
      <c r="Y232" s="4">
        <f t="shared" si="14"/>
        <v>14550</v>
      </c>
      <c r="Z232" s="4">
        <f t="shared" si="15"/>
        <v>46082</v>
      </c>
    </row>
    <row r="233" spans="16:26" x14ac:dyDescent="0.3">
      <c r="P233" t="s">
        <v>793</v>
      </c>
      <c r="Q233" t="s">
        <v>596</v>
      </c>
      <c r="R233">
        <v>0.3</v>
      </c>
      <c r="S233">
        <v>114000</v>
      </c>
      <c r="T233" s="15">
        <v>46143</v>
      </c>
      <c r="U233" t="s">
        <v>97</v>
      </c>
      <c r="V233" t="s">
        <v>91</v>
      </c>
      <c r="W233" t="s">
        <v>99</v>
      </c>
      <c r="X233">
        <v>97</v>
      </c>
      <c r="Y233" s="4">
        <f t="shared" si="14"/>
        <v>34200</v>
      </c>
      <c r="Z233" s="4">
        <f t="shared" si="15"/>
        <v>46143</v>
      </c>
    </row>
    <row r="234" spans="16:26" x14ac:dyDescent="0.3">
      <c r="P234" t="s">
        <v>794</v>
      </c>
      <c r="Q234" t="s">
        <v>602</v>
      </c>
      <c r="R234">
        <v>0.5</v>
      </c>
      <c r="S234">
        <v>33000</v>
      </c>
      <c r="T234" s="15">
        <v>46023</v>
      </c>
      <c r="U234" t="s">
        <v>103</v>
      </c>
      <c r="V234" t="s">
        <v>81</v>
      </c>
      <c r="W234" t="s">
        <v>86</v>
      </c>
      <c r="X234">
        <v>78</v>
      </c>
      <c r="Y234" s="4">
        <f t="shared" si="14"/>
        <v>16500</v>
      </c>
      <c r="Z234" s="4">
        <f t="shared" si="15"/>
        <v>46023</v>
      </c>
    </row>
    <row r="235" spans="16:26" x14ac:dyDescent="0.3">
      <c r="P235" t="s">
        <v>795</v>
      </c>
      <c r="Q235" t="s">
        <v>602</v>
      </c>
      <c r="R235">
        <v>0.5</v>
      </c>
      <c r="S235">
        <v>114000</v>
      </c>
      <c r="T235" s="15">
        <v>46327</v>
      </c>
      <c r="U235" t="s">
        <v>92</v>
      </c>
      <c r="V235" t="s">
        <v>91</v>
      </c>
      <c r="W235" t="s">
        <v>82</v>
      </c>
      <c r="X235">
        <v>73</v>
      </c>
      <c r="Y235" s="4">
        <f t="shared" si="14"/>
        <v>57000</v>
      </c>
      <c r="Z235" s="4">
        <f t="shared" si="15"/>
        <v>46327</v>
      </c>
    </row>
    <row r="236" spans="16:26" x14ac:dyDescent="0.3">
      <c r="P236" t="s">
        <v>796</v>
      </c>
      <c r="Q236" t="s">
        <v>608</v>
      </c>
      <c r="R236">
        <v>0.92</v>
      </c>
      <c r="S236">
        <v>30000</v>
      </c>
      <c r="T236" s="15">
        <v>46235</v>
      </c>
      <c r="U236" t="s">
        <v>83</v>
      </c>
      <c r="V236" t="s">
        <v>81</v>
      </c>
      <c r="W236" t="s">
        <v>82</v>
      </c>
      <c r="X236">
        <v>39</v>
      </c>
      <c r="Y236" s="4">
        <f t="shared" si="14"/>
        <v>27600</v>
      </c>
      <c r="Z236" s="4">
        <f t="shared" si="15"/>
        <v>46235</v>
      </c>
    </row>
    <row r="237" spans="16:26" x14ac:dyDescent="0.3">
      <c r="P237" t="s">
        <v>797</v>
      </c>
      <c r="Q237" t="s">
        <v>594</v>
      </c>
      <c r="R237">
        <v>0.8</v>
      </c>
      <c r="S237">
        <v>35000</v>
      </c>
      <c r="T237" s="15">
        <v>46174</v>
      </c>
      <c r="U237" t="s">
        <v>97</v>
      </c>
      <c r="V237" t="s">
        <v>81</v>
      </c>
      <c r="W237" t="s">
        <v>99</v>
      </c>
      <c r="X237">
        <v>46</v>
      </c>
      <c r="Y237" s="4">
        <f t="shared" si="14"/>
        <v>28000</v>
      </c>
      <c r="Z237" s="4">
        <f t="shared" si="15"/>
        <v>46174</v>
      </c>
    </row>
    <row r="238" spans="16:26" x14ac:dyDescent="0.3">
      <c r="P238" t="s">
        <v>798</v>
      </c>
      <c r="Q238" t="s">
        <v>598</v>
      </c>
      <c r="R238">
        <v>0.15</v>
      </c>
      <c r="S238">
        <v>40000</v>
      </c>
      <c r="T238" s="15">
        <v>46113</v>
      </c>
      <c r="U238" t="s">
        <v>89</v>
      </c>
      <c r="V238" t="s">
        <v>81</v>
      </c>
      <c r="W238" t="s">
        <v>82</v>
      </c>
      <c r="X238">
        <v>79</v>
      </c>
      <c r="Y238" s="4">
        <f t="shared" si="14"/>
        <v>6000</v>
      </c>
      <c r="Z238" s="4">
        <f t="shared" si="15"/>
        <v>46113</v>
      </c>
    </row>
    <row r="239" spans="16:26" x14ac:dyDescent="0.3">
      <c r="P239" t="s">
        <v>799</v>
      </c>
      <c r="Q239" t="s">
        <v>600</v>
      </c>
      <c r="R239">
        <v>0.65</v>
      </c>
      <c r="S239">
        <v>28000</v>
      </c>
      <c r="T239" s="15">
        <v>46174</v>
      </c>
      <c r="U239" t="s">
        <v>83</v>
      </c>
      <c r="V239" t="s">
        <v>81</v>
      </c>
      <c r="W239" t="s">
        <v>99</v>
      </c>
      <c r="X239">
        <v>85</v>
      </c>
      <c r="Y239" s="4">
        <f t="shared" si="14"/>
        <v>18200</v>
      </c>
      <c r="Z239" s="4">
        <f t="shared" si="15"/>
        <v>46174</v>
      </c>
    </row>
    <row r="240" spans="16:26" x14ac:dyDescent="0.3">
      <c r="P240" t="s">
        <v>800</v>
      </c>
      <c r="Q240" t="s">
        <v>602</v>
      </c>
      <c r="R240">
        <v>0.5</v>
      </c>
      <c r="S240">
        <v>176000</v>
      </c>
      <c r="T240" s="15">
        <v>46113</v>
      </c>
      <c r="U240" t="s">
        <v>101</v>
      </c>
      <c r="V240" t="s">
        <v>91</v>
      </c>
      <c r="W240" t="s">
        <v>99</v>
      </c>
      <c r="X240">
        <v>76</v>
      </c>
      <c r="Y240" s="4">
        <f t="shared" si="14"/>
        <v>88000</v>
      </c>
      <c r="Z240" s="4">
        <f t="shared" si="15"/>
        <v>46113</v>
      </c>
    </row>
    <row r="241" spans="16:26" x14ac:dyDescent="0.3">
      <c r="P241" t="s">
        <v>801</v>
      </c>
      <c r="Q241" t="s">
        <v>602</v>
      </c>
      <c r="R241">
        <v>0.5</v>
      </c>
      <c r="S241">
        <v>37000</v>
      </c>
      <c r="T241" s="15">
        <v>46023</v>
      </c>
      <c r="U241" t="s">
        <v>97</v>
      </c>
      <c r="V241" t="s">
        <v>81</v>
      </c>
      <c r="W241" t="s">
        <v>86</v>
      </c>
      <c r="X241">
        <v>48</v>
      </c>
      <c r="Y241" s="4">
        <f t="shared" si="14"/>
        <v>18500</v>
      </c>
      <c r="Z241" s="4">
        <f t="shared" si="15"/>
        <v>46023</v>
      </c>
    </row>
    <row r="242" spans="16:26" x14ac:dyDescent="0.3">
      <c r="P242" t="s">
        <v>802</v>
      </c>
      <c r="Q242" t="s">
        <v>598</v>
      </c>
      <c r="R242">
        <v>0.15</v>
      </c>
      <c r="S242">
        <v>124000</v>
      </c>
      <c r="T242" s="15">
        <v>46357</v>
      </c>
      <c r="U242" t="s">
        <v>83</v>
      </c>
      <c r="V242" t="s">
        <v>91</v>
      </c>
      <c r="W242" t="s">
        <v>86</v>
      </c>
      <c r="X242">
        <v>108</v>
      </c>
      <c r="Y242" s="4">
        <f t="shared" si="14"/>
        <v>18600</v>
      </c>
      <c r="Z242" s="4">
        <f t="shared" si="15"/>
        <v>46357</v>
      </c>
    </row>
    <row r="243" spans="16:26" x14ac:dyDescent="0.3">
      <c r="P243" t="s">
        <v>803</v>
      </c>
      <c r="Q243" t="s">
        <v>598</v>
      </c>
      <c r="R243">
        <v>0.15</v>
      </c>
      <c r="S243">
        <v>100000</v>
      </c>
      <c r="T243" s="15">
        <v>46143</v>
      </c>
      <c r="U243" t="s">
        <v>87</v>
      </c>
      <c r="V243" t="s">
        <v>91</v>
      </c>
      <c r="W243" t="s">
        <v>82</v>
      </c>
      <c r="X243">
        <v>117</v>
      </c>
      <c r="Y243" s="4">
        <f t="shared" si="14"/>
        <v>15000</v>
      </c>
      <c r="Z243" s="4">
        <f t="shared" si="15"/>
        <v>46143</v>
      </c>
    </row>
    <row r="244" spans="16:26" x14ac:dyDescent="0.3">
      <c r="P244" t="s">
        <v>804</v>
      </c>
      <c r="Q244" t="s">
        <v>600</v>
      </c>
      <c r="R244">
        <v>0.65</v>
      </c>
      <c r="S244">
        <v>105000</v>
      </c>
      <c r="T244" s="15">
        <v>46082</v>
      </c>
      <c r="U244" t="s">
        <v>89</v>
      </c>
      <c r="V244" t="s">
        <v>91</v>
      </c>
      <c r="W244" t="s">
        <v>86</v>
      </c>
      <c r="X244">
        <v>103</v>
      </c>
      <c r="Y244" s="4">
        <f t="shared" si="14"/>
        <v>68250</v>
      </c>
      <c r="Z244" s="4">
        <f t="shared" si="15"/>
        <v>46082</v>
      </c>
    </row>
    <row r="245" spans="16:26" x14ac:dyDescent="0.3">
      <c r="P245" t="s">
        <v>805</v>
      </c>
      <c r="Q245" t="s">
        <v>600</v>
      </c>
      <c r="R245">
        <v>0.65</v>
      </c>
      <c r="S245">
        <v>126000</v>
      </c>
      <c r="T245" s="15">
        <v>46204</v>
      </c>
      <c r="U245" t="s">
        <v>87</v>
      </c>
      <c r="V245" t="s">
        <v>91</v>
      </c>
      <c r="W245" t="s">
        <v>96</v>
      </c>
      <c r="X245">
        <v>93</v>
      </c>
      <c r="Y245" s="4">
        <f t="shared" si="14"/>
        <v>81900</v>
      </c>
      <c r="Z245" s="4">
        <f t="shared" si="15"/>
        <v>46204</v>
      </c>
    </row>
    <row r="246" spans="16:26" x14ac:dyDescent="0.3">
      <c r="P246" t="s">
        <v>806</v>
      </c>
      <c r="Q246" t="s">
        <v>608</v>
      </c>
      <c r="R246">
        <v>0.92</v>
      </c>
      <c r="S246">
        <v>25000</v>
      </c>
      <c r="T246" s="15">
        <v>46357</v>
      </c>
      <c r="U246" t="s">
        <v>92</v>
      </c>
      <c r="V246" t="s">
        <v>81</v>
      </c>
      <c r="W246" t="s">
        <v>99</v>
      </c>
      <c r="X246">
        <v>69</v>
      </c>
      <c r="Y246" s="4">
        <f t="shared" si="14"/>
        <v>23000</v>
      </c>
      <c r="Z246" s="4">
        <f t="shared" si="15"/>
        <v>46357</v>
      </c>
    </row>
    <row r="247" spans="16:26" x14ac:dyDescent="0.3">
      <c r="P247" t="s">
        <v>807</v>
      </c>
      <c r="Q247" t="s">
        <v>598</v>
      </c>
      <c r="R247">
        <v>0.15</v>
      </c>
      <c r="S247">
        <v>28000</v>
      </c>
      <c r="T247" s="15">
        <v>46174</v>
      </c>
      <c r="U247" t="s">
        <v>101</v>
      </c>
      <c r="V247" t="s">
        <v>81</v>
      </c>
      <c r="W247" t="s">
        <v>96</v>
      </c>
      <c r="X247">
        <v>61</v>
      </c>
      <c r="Y247" s="4">
        <f t="shared" si="14"/>
        <v>4200</v>
      </c>
      <c r="Z247" s="4">
        <f t="shared" si="15"/>
        <v>46174</v>
      </c>
    </row>
    <row r="248" spans="16:26" x14ac:dyDescent="0.3">
      <c r="P248" t="s">
        <v>808</v>
      </c>
      <c r="Q248" t="s">
        <v>598</v>
      </c>
      <c r="R248">
        <v>0.15</v>
      </c>
      <c r="S248">
        <v>107000</v>
      </c>
      <c r="T248" s="15">
        <v>46143</v>
      </c>
      <c r="U248" t="s">
        <v>101</v>
      </c>
      <c r="V248" t="s">
        <v>91</v>
      </c>
      <c r="W248" t="s">
        <v>86</v>
      </c>
      <c r="X248">
        <v>73</v>
      </c>
      <c r="Y248" s="4">
        <f t="shared" si="14"/>
        <v>16050</v>
      </c>
      <c r="Z248" s="4">
        <f t="shared" si="15"/>
        <v>46143</v>
      </c>
    </row>
    <row r="249" spans="16:26" x14ac:dyDescent="0.3">
      <c r="P249" t="s">
        <v>809</v>
      </c>
      <c r="Q249" t="s">
        <v>596</v>
      </c>
      <c r="R249">
        <v>0.3</v>
      </c>
      <c r="S249">
        <v>38000</v>
      </c>
      <c r="T249" s="15">
        <v>46054</v>
      </c>
      <c r="U249" t="s">
        <v>97</v>
      </c>
      <c r="V249" t="s">
        <v>81</v>
      </c>
      <c r="W249" t="s">
        <v>99</v>
      </c>
      <c r="X249">
        <v>55</v>
      </c>
      <c r="Y249" s="4">
        <f t="shared" si="14"/>
        <v>11400</v>
      </c>
      <c r="Z249" s="4">
        <f t="shared" si="15"/>
        <v>46054</v>
      </c>
    </row>
    <row r="250" spans="16:26" x14ac:dyDescent="0.3">
      <c r="P250" t="s">
        <v>810</v>
      </c>
      <c r="Q250" t="s">
        <v>600</v>
      </c>
      <c r="R250">
        <v>0.65</v>
      </c>
      <c r="S250">
        <v>262000</v>
      </c>
      <c r="T250" s="15">
        <v>46357</v>
      </c>
      <c r="U250" t="s">
        <v>101</v>
      </c>
      <c r="V250" t="s">
        <v>110</v>
      </c>
      <c r="W250" t="s">
        <v>99</v>
      </c>
      <c r="X250">
        <v>149</v>
      </c>
      <c r="Y250" s="4">
        <f t="shared" si="14"/>
        <v>170300</v>
      </c>
      <c r="Z250" s="4">
        <f t="shared" si="15"/>
        <v>46357</v>
      </c>
    </row>
    <row r="251" spans="16:26" x14ac:dyDescent="0.3">
      <c r="P251" t="s">
        <v>811</v>
      </c>
      <c r="Q251" t="s">
        <v>602</v>
      </c>
      <c r="R251">
        <v>0.5</v>
      </c>
      <c r="S251">
        <v>151000</v>
      </c>
      <c r="T251" s="15">
        <v>46204</v>
      </c>
      <c r="U251" t="s">
        <v>92</v>
      </c>
      <c r="V251" t="s">
        <v>91</v>
      </c>
      <c r="W251" t="s">
        <v>82</v>
      </c>
      <c r="X251">
        <v>116</v>
      </c>
      <c r="Y251" s="4">
        <f t="shared" si="14"/>
        <v>75500</v>
      </c>
      <c r="Z251" s="4">
        <f t="shared" si="15"/>
        <v>46204</v>
      </c>
    </row>
    <row r="252" spans="16:26" x14ac:dyDescent="0.3">
      <c r="P252" t="s">
        <v>812</v>
      </c>
      <c r="Q252" t="s">
        <v>598</v>
      </c>
      <c r="R252">
        <v>0.15</v>
      </c>
      <c r="S252">
        <v>38000</v>
      </c>
      <c r="T252" s="15">
        <v>46054</v>
      </c>
      <c r="U252" t="s">
        <v>92</v>
      </c>
      <c r="V252" t="s">
        <v>81</v>
      </c>
      <c r="W252" t="s">
        <v>82</v>
      </c>
      <c r="X252">
        <v>54</v>
      </c>
      <c r="Y252" s="4">
        <f t="shared" si="14"/>
        <v>5700</v>
      </c>
      <c r="Z252" s="4">
        <f t="shared" si="15"/>
        <v>46054</v>
      </c>
    </row>
    <row r="253" spans="16:26" x14ac:dyDescent="0.3">
      <c r="P253" t="s">
        <v>813</v>
      </c>
      <c r="Q253" t="s">
        <v>596</v>
      </c>
      <c r="R253">
        <v>0.3</v>
      </c>
      <c r="S253">
        <v>82000</v>
      </c>
      <c r="T253" s="15">
        <v>46266</v>
      </c>
      <c r="U253" t="s">
        <v>87</v>
      </c>
      <c r="V253" t="s">
        <v>91</v>
      </c>
      <c r="W253" t="s">
        <v>86</v>
      </c>
      <c r="X253">
        <v>83</v>
      </c>
      <c r="Y253" s="4">
        <f t="shared" si="14"/>
        <v>24600</v>
      </c>
      <c r="Z253" s="4">
        <f t="shared" si="15"/>
        <v>46266</v>
      </c>
    </row>
    <row r="254" spans="16:26" x14ac:dyDescent="0.3">
      <c r="P254" t="s">
        <v>814</v>
      </c>
      <c r="Q254" t="s">
        <v>596</v>
      </c>
      <c r="R254">
        <v>0.3</v>
      </c>
      <c r="S254">
        <v>521000</v>
      </c>
      <c r="T254" s="15">
        <v>46082</v>
      </c>
      <c r="U254" t="s">
        <v>92</v>
      </c>
      <c r="V254" t="s">
        <v>110</v>
      </c>
      <c r="W254" t="s">
        <v>86</v>
      </c>
      <c r="X254">
        <v>134</v>
      </c>
      <c r="Y254" s="4">
        <f t="shared" si="14"/>
        <v>156300</v>
      </c>
      <c r="Z254" s="4">
        <f t="shared" si="15"/>
        <v>46082</v>
      </c>
    </row>
    <row r="255" spans="16:26" x14ac:dyDescent="0.3">
      <c r="P255" t="s">
        <v>815</v>
      </c>
      <c r="Q255" t="s">
        <v>596</v>
      </c>
      <c r="R255">
        <v>0.3</v>
      </c>
      <c r="S255">
        <v>27000</v>
      </c>
      <c r="T255" s="15">
        <v>46266</v>
      </c>
      <c r="U255" t="s">
        <v>103</v>
      </c>
      <c r="V255" t="s">
        <v>81</v>
      </c>
      <c r="W255" t="s">
        <v>86</v>
      </c>
      <c r="X255">
        <v>21</v>
      </c>
      <c r="Y255" s="4">
        <f t="shared" si="14"/>
        <v>8100</v>
      </c>
      <c r="Z255" s="4">
        <f t="shared" si="15"/>
        <v>46266</v>
      </c>
    </row>
    <row r="256" spans="16:26" x14ac:dyDescent="0.3">
      <c r="P256" t="s">
        <v>816</v>
      </c>
      <c r="Q256" t="s">
        <v>602</v>
      </c>
      <c r="R256">
        <v>0.5</v>
      </c>
      <c r="S256">
        <v>158000</v>
      </c>
      <c r="T256" s="15">
        <v>46327</v>
      </c>
      <c r="U256" t="s">
        <v>103</v>
      </c>
      <c r="V256" t="s">
        <v>91</v>
      </c>
      <c r="W256" t="s">
        <v>86</v>
      </c>
      <c r="X256">
        <v>94</v>
      </c>
      <c r="Y256" s="4">
        <f t="shared" si="14"/>
        <v>79000</v>
      </c>
      <c r="Z256" s="4">
        <f t="shared" si="15"/>
        <v>46327</v>
      </c>
    </row>
    <row r="257" spans="16:26" x14ac:dyDescent="0.3">
      <c r="P257" t="s">
        <v>817</v>
      </c>
      <c r="Q257" t="s">
        <v>596</v>
      </c>
      <c r="R257">
        <v>0.3</v>
      </c>
      <c r="S257">
        <v>275000</v>
      </c>
      <c r="T257" s="15">
        <v>46357</v>
      </c>
      <c r="U257" t="s">
        <v>103</v>
      </c>
      <c r="V257" t="s">
        <v>110</v>
      </c>
      <c r="W257" t="s">
        <v>82</v>
      </c>
      <c r="X257">
        <v>138</v>
      </c>
      <c r="Y257" s="4">
        <f t="shared" si="14"/>
        <v>82500</v>
      </c>
      <c r="Z257" s="4">
        <f t="shared" si="15"/>
        <v>46357</v>
      </c>
    </row>
    <row r="258" spans="16:26" x14ac:dyDescent="0.3">
      <c r="P258" t="s">
        <v>818</v>
      </c>
      <c r="Q258" t="s">
        <v>596</v>
      </c>
      <c r="R258">
        <v>0.3</v>
      </c>
      <c r="S258">
        <v>270000</v>
      </c>
      <c r="T258" s="15">
        <v>46235</v>
      </c>
      <c r="U258" t="s">
        <v>103</v>
      </c>
      <c r="V258" t="s">
        <v>110</v>
      </c>
      <c r="W258" t="s">
        <v>82</v>
      </c>
      <c r="X258">
        <v>131</v>
      </c>
      <c r="Y258" s="4">
        <f t="shared" si="14"/>
        <v>81000</v>
      </c>
      <c r="Z258" s="4">
        <f t="shared" si="15"/>
        <v>46235</v>
      </c>
    </row>
    <row r="259" spans="16:26" x14ac:dyDescent="0.3">
      <c r="P259" t="s">
        <v>819</v>
      </c>
      <c r="Q259" t="s">
        <v>596</v>
      </c>
      <c r="R259">
        <v>0.3</v>
      </c>
      <c r="S259">
        <v>166000</v>
      </c>
      <c r="T259" s="15">
        <v>46023</v>
      </c>
      <c r="U259" t="s">
        <v>101</v>
      </c>
      <c r="V259" t="s">
        <v>91</v>
      </c>
      <c r="W259" t="s">
        <v>82</v>
      </c>
      <c r="X259">
        <v>106</v>
      </c>
      <c r="Y259" s="4">
        <f t="shared" si="14"/>
        <v>49800</v>
      </c>
      <c r="Z259" s="4">
        <f t="shared" si="15"/>
        <v>46023</v>
      </c>
    </row>
    <row r="260" spans="16:26" x14ac:dyDescent="0.3">
      <c r="P260" t="s">
        <v>820</v>
      </c>
      <c r="Q260" t="s">
        <v>608</v>
      </c>
      <c r="R260">
        <v>0.92</v>
      </c>
      <c r="S260">
        <v>127000</v>
      </c>
      <c r="T260" s="15">
        <v>46266</v>
      </c>
      <c r="U260" t="s">
        <v>83</v>
      </c>
      <c r="V260" t="s">
        <v>91</v>
      </c>
      <c r="W260" t="s">
        <v>96</v>
      </c>
      <c r="X260">
        <v>104</v>
      </c>
      <c r="Y260" s="4">
        <f t="shared" si="14"/>
        <v>116840</v>
      </c>
      <c r="Z260" s="4">
        <f t="shared" si="15"/>
        <v>46266</v>
      </c>
    </row>
    <row r="261" spans="16:26" x14ac:dyDescent="0.3">
      <c r="P261" t="s">
        <v>821</v>
      </c>
      <c r="Q261" t="s">
        <v>594</v>
      </c>
      <c r="R261">
        <v>0.8</v>
      </c>
      <c r="S261">
        <v>450000</v>
      </c>
      <c r="T261" s="15">
        <v>46023</v>
      </c>
      <c r="U261" t="s">
        <v>92</v>
      </c>
      <c r="V261" t="s">
        <v>110</v>
      </c>
      <c r="W261" t="s">
        <v>86</v>
      </c>
      <c r="X261">
        <v>131</v>
      </c>
      <c r="Y261" s="4">
        <f t="shared" si="14"/>
        <v>360000</v>
      </c>
      <c r="Z261" s="4">
        <f t="shared" si="15"/>
        <v>46023</v>
      </c>
    </row>
    <row r="262" spans="16:26" x14ac:dyDescent="0.3">
      <c r="P262" t="s">
        <v>822</v>
      </c>
      <c r="Q262" t="s">
        <v>596</v>
      </c>
      <c r="R262">
        <v>0.3</v>
      </c>
      <c r="S262">
        <v>41000</v>
      </c>
      <c r="T262" s="15">
        <v>46143</v>
      </c>
      <c r="U262" t="s">
        <v>87</v>
      </c>
      <c r="V262" t="s">
        <v>81</v>
      </c>
      <c r="W262" t="s">
        <v>99</v>
      </c>
      <c r="X262">
        <v>36</v>
      </c>
      <c r="Y262" s="4">
        <f t="shared" si="14"/>
        <v>12300</v>
      </c>
      <c r="Z262" s="4">
        <f t="shared" si="15"/>
        <v>46143</v>
      </c>
    </row>
    <row r="263" spans="16:26" x14ac:dyDescent="0.3">
      <c r="P263" t="s">
        <v>823</v>
      </c>
      <c r="Q263" t="s">
        <v>600</v>
      </c>
      <c r="R263">
        <v>0.65</v>
      </c>
      <c r="S263">
        <v>40000</v>
      </c>
      <c r="T263" s="15">
        <v>46327</v>
      </c>
      <c r="U263" t="s">
        <v>101</v>
      </c>
      <c r="V263" t="s">
        <v>81</v>
      </c>
      <c r="W263" t="s">
        <v>82</v>
      </c>
      <c r="X263">
        <v>44</v>
      </c>
      <c r="Y263" s="4">
        <f t="shared" si="14"/>
        <v>26000</v>
      </c>
      <c r="Z263" s="4">
        <f t="shared" si="15"/>
        <v>46327</v>
      </c>
    </row>
    <row r="264" spans="16:26" x14ac:dyDescent="0.3">
      <c r="P264" t="s">
        <v>824</v>
      </c>
      <c r="Q264" t="s">
        <v>598</v>
      </c>
      <c r="R264">
        <v>0.15</v>
      </c>
      <c r="S264">
        <v>36000</v>
      </c>
      <c r="T264" s="15">
        <v>46357</v>
      </c>
      <c r="U264" t="s">
        <v>83</v>
      </c>
      <c r="V264" t="s">
        <v>81</v>
      </c>
      <c r="W264" t="s">
        <v>99</v>
      </c>
      <c r="X264">
        <v>25</v>
      </c>
      <c r="Y264" s="4">
        <f t="shared" si="14"/>
        <v>5400</v>
      </c>
      <c r="Z264" s="4">
        <f t="shared" si="15"/>
        <v>46357</v>
      </c>
    </row>
    <row r="265" spans="16:26" x14ac:dyDescent="0.3">
      <c r="P265" t="s">
        <v>825</v>
      </c>
      <c r="Q265" t="s">
        <v>594</v>
      </c>
      <c r="R265">
        <v>0.8</v>
      </c>
      <c r="S265">
        <v>247000</v>
      </c>
      <c r="T265" s="15">
        <v>46023</v>
      </c>
      <c r="U265" t="s">
        <v>92</v>
      </c>
      <c r="V265" t="s">
        <v>110</v>
      </c>
      <c r="W265" t="s">
        <v>99</v>
      </c>
      <c r="X265">
        <v>102</v>
      </c>
      <c r="Y265" s="4">
        <f t="shared" si="14"/>
        <v>197600</v>
      </c>
      <c r="Z265" s="4">
        <f t="shared" si="15"/>
        <v>46023</v>
      </c>
    </row>
    <row r="266" spans="16:26" x14ac:dyDescent="0.3">
      <c r="P266" t="s">
        <v>826</v>
      </c>
      <c r="Q266" t="s">
        <v>608</v>
      </c>
      <c r="R266">
        <v>0.92</v>
      </c>
      <c r="S266">
        <v>355000</v>
      </c>
      <c r="T266" s="15">
        <v>46204</v>
      </c>
      <c r="U266" t="s">
        <v>83</v>
      </c>
      <c r="V266" t="s">
        <v>110</v>
      </c>
      <c r="W266" t="s">
        <v>82</v>
      </c>
      <c r="X266">
        <v>128</v>
      </c>
      <c r="Y266" s="4">
        <f t="shared" si="14"/>
        <v>326600</v>
      </c>
      <c r="Z266" s="4">
        <f t="shared" si="15"/>
        <v>46204</v>
      </c>
    </row>
    <row r="267" spans="16:26" x14ac:dyDescent="0.3">
      <c r="P267" t="s">
        <v>827</v>
      </c>
      <c r="Q267" t="s">
        <v>598</v>
      </c>
      <c r="R267">
        <v>0.15</v>
      </c>
      <c r="S267">
        <v>251000</v>
      </c>
      <c r="T267" s="15">
        <v>46327</v>
      </c>
      <c r="U267" t="s">
        <v>87</v>
      </c>
      <c r="V267" t="s">
        <v>110</v>
      </c>
      <c r="W267" t="s">
        <v>99</v>
      </c>
      <c r="X267">
        <v>127</v>
      </c>
      <c r="Y267" s="4">
        <f t="shared" si="14"/>
        <v>37650</v>
      </c>
      <c r="Z267" s="4">
        <f t="shared" si="15"/>
        <v>46327</v>
      </c>
    </row>
    <row r="268" spans="16:26" x14ac:dyDescent="0.3">
      <c r="P268" t="s">
        <v>828</v>
      </c>
      <c r="Q268" t="s">
        <v>600</v>
      </c>
      <c r="R268">
        <v>0.65</v>
      </c>
      <c r="S268">
        <v>141000</v>
      </c>
      <c r="T268" s="15">
        <v>46357</v>
      </c>
      <c r="U268" t="s">
        <v>83</v>
      </c>
      <c r="V268" t="s">
        <v>91</v>
      </c>
      <c r="W268" t="s">
        <v>99</v>
      </c>
      <c r="X268">
        <v>90</v>
      </c>
      <c r="Y268" s="4">
        <f t="shared" si="14"/>
        <v>91650</v>
      </c>
      <c r="Z268" s="4">
        <f t="shared" si="15"/>
        <v>46357</v>
      </c>
    </row>
    <row r="269" spans="16:26" x14ac:dyDescent="0.3">
      <c r="P269" t="s">
        <v>829</v>
      </c>
      <c r="Q269" t="s">
        <v>608</v>
      </c>
      <c r="R269">
        <v>0.92</v>
      </c>
      <c r="S269">
        <v>23000</v>
      </c>
      <c r="T269" s="15">
        <v>46357</v>
      </c>
      <c r="U269" t="s">
        <v>103</v>
      </c>
      <c r="V269" t="s">
        <v>81</v>
      </c>
      <c r="W269" t="s">
        <v>82</v>
      </c>
      <c r="X269">
        <v>40</v>
      </c>
      <c r="Y269" s="4">
        <f t="shared" si="14"/>
        <v>21160</v>
      </c>
      <c r="Z269" s="4">
        <f t="shared" si="15"/>
        <v>46357</v>
      </c>
    </row>
    <row r="270" spans="16:26" x14ac:dyDescent="0.3">
      <c r="P270" t="s">
        <v>830</v>
      </c>
      <c r="Q270" t="s">
        <v>596</v>
      </c>
      <c r="R270">
        <v>0.3</v>
      </c>
      <c r="S270">
        <v>77000</v>
      </c>
      <c r="T270" s="15">
        <v>46054</v>
      </c>
      <c r="U270" t="s">
        <v>89</v>
      </c>
      <c r="V270" t="s">
        <v>91</v>
      </c>
      <c r="W270" t="s">
        <v>86</v>
      </c>
      <c r="X270">
        <v>54</v>
      </c>
      <c r="Y270" s="4">
        <f t="shared" si="14"/>
        <v>23100</v>
      </c>
      <c r="Z270" s="4">
        <f t="shared" si="15"/>
        <v>46054</v>
      </c>
    </row>
    <row r="271" spans="16:26" x14ac:dyDescent="0.3">
      <c r="P271" t="s">
        <v>831</v>
      </c>
      <c r="Q271" t="s">
        <v>602</v>
      </c>
      <c r="R271">
        <v>0.5</v>
      </c>
      <c r="S271">
        <v>358000</v>
      </c>
      <c r="T271" s="15">
        <v>46204</v>
      </c>
      <c r="U271" t="s">
        <v>103</v>
      </c>
      <c r="V271" t="s">
        <v>110</v>
      </c>
      <c r="W271" t="s">
        <v>82</v>
      </c>
      <c r="X271">
        <v>103</v>
      </c>
      <c r="Y271" s="4">
        <f t="shared" si="14"/>
        <v>179000</v>
      </c>
      <c r="Z271" s="4">
        <f t="shared" si="15"/>
        <v>46204</v>
      </c>
    </row>
    <row r="272" spans="16:26" x14ac:dyDescent="0.3">
      <c r="P272" t="s">
        <v>832</v>
      </c>
      <c r="Q272" t="s">
        <v>598</v>
      </c>
      <c r="R272">
        <v>0.15</v>
      </c>
      <c r="S272">
        <v>121000</v>
      </c>
      <c r="T272" s="15">
        <v>46357</v>
      </c>
      <c r="U272" t="s">
        <v>92</v>
      </c>
      <c r="V272" t="s">
        <v>91</v>
      </c>
      <c r="W272" t="s">
        <v>86</v>
      </c>
      <c r="X272">
        <v>94</v>
      </c>
      <c r="Y272" s="4">
        <f t="shared" si="14"/>
        <v>18150</v>
      </c>
      <c r="Z272" s="4">
        <f t="shared" si="15"/>
        <v>46357</v>
      </c>
    </row>
    <row r="273" spans="16:26" x14ac:dyDescent="0.3">
      <c r="P273" t="s">
        <v>833</v>
      </c>
      <c r="Q273" t="s">
        <v>598</v>
      </c>
      <c r="R273">
        <v>0.15</v>
      </c>
      <c r="S273">
        <v>372000</v>
      </c>
      <c r="T273" s="15">
        <v>46266</v>
      </c>
      <c r="U273" t="s">
        <v>83</v>
      </c>
      <c r="V273" t="s">
        <v>110</v>
      </c>
      <c r="W273" t="s">
        <v>99</v>
      </c>
      <c r="X273">
        <v>135</v>
      </c>
      <c r="Y273" s="4">
        <f t="shared" si="14"/>
        <v>55800</v>
      </c>
      <c r="Z273" s="4">
        <f t="shared" si="15"/>
        <v>46266</v>
      </c>
    </row>
    <row r="274" spans="16:26" x14ac:dyDescent="0.3">
      <c r="P274" t="s">
        <v>834</v>
      </c>
      <c r="Q274" t="s">
        <v>596</v>
      </c>
      <c r="R274">
        <v>0.3</v>
      </c>
      <c r="S274">
        <v>340000</v>
      </c>
      <c r="T274" s="15">
        <v>46054</v>
      </c>
      <c r="U274" t="s">
        <v>83</v>
      </c>
      <c r="V274" t="s">
        <v>110</v>
      </c>
      <c r="W274" t="s">
        <v>96</v>
      </c>
      <c r="X274">
        <v>133</v>
      </c>
      <c r="Y274" s="4">
        <f t="shared" si="14"/>
        <v>102000</v>
      </c>
      <c r="Z274" s="4">
        <f t="shared" si="15"/>
        <v>46054</v>
      </c>
    </row>
    <row r="275" spans="16:26" x14ac:dyDescent="0.3">
      <c r="P275" t="s">
        <v>835</v>
      </c>
      <c r="Q275" t="s">
        <v>608</v>
      </c>
      <c r="R275">
        <v>0.92</v>
      </c>
      <c r="S275">
        <v>52000</v>
      </c>
      <c r="T275" s="15">
        <v>46357</v>
      </c>
      <c r="U275" t="s">
        <v>89</v>
      </c>
      <c r="V275" t="s">
        <v>81</v>
      </c>
      <c r="W275" t="s">
        <v>82</v>
      </c>
      <c r="X275">
        <v>53</v>
      </c>
      <c r="Y275" s="4">
        <f t="shared" si="14"/>
        <v>47840</v>
      </c>
      <c r="Z275" s="4">
        <f t="shared" si="15"/>
        <v>46357</v>
      </c>
    </row>
    <row r="276" spans="16:26" x14ac:dyDescent="0.3">
      <c r="P276" t="s">
        <v>836</v>
      </c>
      <c r="Q276" t="s">
        <v>598</v>
      </c>
      <c r="R276">
        <v>0.15</v>
      </c>
      <c r="S276">
        <v>94000</v>
      </c>
      <c r="T276" s="15">
        <v>46174</v>
      </c>
      <c r="U276" t="s">
        <v>101</v>
      </c>
      <c r="V276" t="s">
        <v>91</v>
      </c>
      <c r="W276" t="s">
        <v>86</v>
      </c>
      <c r="X276">
        <v>76</v>
      </c>
      <c r="Y276" s="4">
        <f t="shared" si="14"/>
        <v>14100</v>
      </c>
      <c r="Z276" s="4">
        <f t="shared" si="15"/>
        <v>46174</v>
      </c>
    </row>
    <row r="277" spans="16:26" x14ac:dyDescent="0.3">
      <c r="P277" t="s">
        <v>837</v>
      </c>
      <c r="Q277" t="s">
        <v>596</v>
      </c>
      <c r="R277">
        <v>0.3</v>
      </c>
      <c r="S277">
        <v>22000</v>
      </c>
      <c r="T277" s="15">
        <v>46327</v>
      </c>
      <c r="U277" t="s">
        <v>89</v>
      </c>
      <c r="V277" t="s">
        <v>81</v>
      </c>
      <c r="W277" t="s">
        <v>86</v>
      </c>
      <c r="X277">
        <v>78</v>
      </c>
      <c r="Y277" s="4">
        <f t="shared" si="14"/>
        <v>6600</v>
      </c>
      <c r="Z277" s="4">
        <f t="shared" si="15"/>
        <v>46327</v>
      </c>
    </row>
    <row r="278" spans="16:26" x14ac:dyDescent="0.3">
      <c r="P278" t="s">
        <v>838</v>
      </c>
      <c r="Q278" t="s">
        <v>602</v>
      </c>
      <c r="R278">
        <v>0.5</v>
      </c>
      <c r="S278">
        <v>85000</v>
      </c>
      <c r="T278" s="15">
        <v>46327</v>
      </c>
      <c r="U278" t="s">
        <v>92</v>
      </c>
      <c r="V278" t="s">
        <v>91</v>
      </c>
      <c r="W278" t="s">
        <v>99</v>
      </c>
      <c r="X278">
        <v>98</v>
      </c>
      <c r="Y278" s="4">
        <f t="shared" si="14"/>
        <v>42500</v>
      </c>
      <c r="Z278" s="4">
        <f t="shared" si="15"/>
        <v>46327</v>
      </c>
    </row>
    <row r="279" spans="16:26" x14ac:dyDescent="0.3">
      <c r="P279" t="s">
        <v>839</v>
      </c>
      <c r="Q279" t="s">
        <v>596</v>
      </c>
      <c r="R279">
        <v>0.3</v>
      </c>
      <c r="S279">
        <v>42000</v>
      </c>
      <c r="T279" s="15">
        <v>46174</v>
      </c>
      <c r="U279" t="s">
        <v>97</v>
      </c>
      <c r="V279" t="s">
        <v>81</v>
      </c>
      <c r="W279" t="s">
        <v>82</v>
      </c>
      <c r="X279">
        <v>47</v>
      </c>
      <c r="Y279" s="4">
        <f t="shared" si="14"/>
        <v>12600</v>
      </c>
      <c r="Z279" s="4">
        <f t="shared" si="15"/>
        <v>46174</v>
      </c>
    </row>
    <row r="280" spans="16:26" x14ac:dyDescent="0.3">
      <c r="P280" t="s">
        <v>840</v>
      </c>
      <c r="Q280" t="s">
        <v>602</v>
      </c>
      <c r="R280">
        <v>0.5</v>
      </c>
      <c r="S280">
        <v>35000</v>
      </c>
      <c r="T280" s="15">
        <v>46023</v>
      </c>
      <c r="U280" t="s">
        <v>89</v>
      </c>
      <c r="V280" t="s">
        <v>81</v>
      </c>
      <c r="W280" t="s">
        <v>86</v>
      </c>
      <c r="X280">
        <v>64</v>
      </c>
      <c r="Y280" s="4">
        <f t="shared" si="14"/>
        <v>17500</v>
      </c>
      <c r="Z280" s="4">
        <f t="shared" si="15"/>
        <v>46023</v>
      </c>
    </row>
    <row r="281" spans="16:26" x14ac:dyDescent="0.3">
      <c r="P281" t="s">
        <v>841</v>
      </c>
      <c r="Q281" t="s">
        <v>600</v>
      </c>
      <c r="R281">
        <v>0.65</v>
      </c>
      <c r="S281">
        <v>80000</v>
      </c>
      <c r="T281" s="15">
        <v>46266</v>
      </c>
      <c r="U281" t="s">
        <v>103</v>
      </c>
      <c r="V281" t="s">
        <v>91</v>
      </c>
      <c r="W281" t="s">
        <v>86</v>
      </c>
      <c r="X281">
        <v>96</v>
      </c>
      <c r="Y281" s="4">
        <f t="shared" si="14"/>
        <v>52000</v>
      </c>
      <c r="Z281" s="4">
        <f t="shared" si="15"/>
        <v>46266</v>
      </c>
    </row>
    <row r="282" spans="16:26" x14ac:dyDescent="0.3">
      <c r="P282" t="s">
        <v>842</v>
      </c>
      <c r="Q282" t="s">
        <v>602</v>
      </c>
      <c r="R282">
        <v>0.5</v>
      </c>
      <c r="S282">
        <v>95000</v>
      </c>
      <c r="T282" s="15">
        <v>46174</v>
      </c>
      <c r="U282" t="s">
        <v>83</v>
      </c>
      <c r="V282" t="s">
        <v>91</v>
      </c>
      <c r="W282" t="s">
        <v>86</v>
      </c>
      <c r="X282">
        <v>81</v>
      </c>
      <c r="Y282" s="4">
        <f t="shared" si="14"/>
        <v>47500</v>
      </c>
      <c r="Z282" s="4">
        <f t="shared" si="15"/>
        <v>46174</v>
      </c>
    </row>
    <row r="283" spans="16:26" x14ac:dyDescent="0.3">
      <c r="P283" t="s">
        <v>843</v>
      </c>
      <c r="Q283" t="s">
        <v>602</v>
      </c>
      <c r="R283">
        <v>0.5</v>
      </c>
      <c r="S283">
        <v>25000</v>
      </c>
      <c r="T283" s="15">
        <v>46023</v>
      </c>
      <c r="U283" t="s">
        <v>89</v>
      </c>
      <c r="V283" t="s">
        <v>81</v>
      </c>
      <c r="W283" t="s">
        <v>82</v>
      </c>
      <c r="X283">
        <v>30</v>
      </c>
      <c r="Y283" s="4">
        <f t="shared" si="14"/>
        <v>12500</v>
      </c>
      <c r="Z283" s="4">
        <f t="shared" si="15"/>
        <v>46023</v>
      </c>
    </row>
    <row r="284" spans="16:26" x14ac:dyDescent="0.3">
      <c r="P284" t="s">
        <v>844</v>
      </c>
      <c r="Q284" t="s">
        <v>596</v>
      </c>
      <c r="R284">
        <v>0.3</v>
      </c>
      <c r="S284">
        <v>36000</v>
      </c>
      <c r="T284" s="15">
        <v>46266</v>
      </c>
      <c r="U284" t="s">
        <v>101</v>
      </c>
      <c r="V284" t="s">
        <v>81</v>
      </c>
      <c r="W284" t="s">
        <v>86</v>
      </c>
      <c r="X284">
        <v>49</v>
      </c>
      <c r="Y284" s="4">
        <f t="shared" si="14"/>
        <v>10800</v>
      </c>
      <c r="Z284" s="4">
        <f t="shared" si="15"/>
        <v>46266</v>
      </c>
    </row>
    <row r="285" spans="16:26" x14ac:dyDescent="0.3">
      <c r="P285" t="s">
        <v>845</v>
      </c>
      <c r="Q285" t="s">
        <v>594</v>
      </c>
      <c r="R285">
        <v>0.8</v>
      </c>
      <c r="S285">
        <v>40000</v>
      </c>
      <c r="T285" s="15">
        <v>46054</v>
      </c>
      <c r="U285" t="s">
        <v>92</v>
      </c>
      <c r="V285" t="s">
        <v>81</v>
      </c>
      <c r="W285" t="s">
        <v>96</v>
      </c>
      <c r="X285">
        <v>55</v>
      </c>
      <c r="Y285" s="4">
        <f t="shared" si="14"/>
        <v>32000</v>
      </c>
      <c r="Z285" s="4">
        <f t="shared" si="15"/>
        <v>46054</v>
      </c>
    </row>
    <row r="286" spans="16:26" x14ac:dyDescent="0.3">
      <c r="P286" t="s">
        <v>846</v>
      </c>
      <c r="Q286" t="s">
        <v>600</v>
      </c>
      <c r="R286">
        <v>0.65</v>
      </c>
      <c r="S286">
        <v>40000</v>
      </c>
      <c r="T286" s="15">
        <v>46174</v>
      </c>
      <c r="U286" t="s">
        <v>89</v>
      </c>
      <c r="V286" t="s">
        <v>81</v>
      </c>
      <c r="W286" t="s">
        <v>86</v>
      </c>
      <c r="X286">
        <v>77</v>
      </c>
      <c r="Y286" s="4">
        <f t="shared" si="14"/>
        <v>26000</v>
      </c>
      <c r="Z286" s="4">
        <f t="shared" si="15"/>
        <v>46174</v>
      </c>
    </row>
    <row r="287" spans="16:26" x14ac:dyDescent="0.3">
      <c r="P287" t="s">
        <v>847</v>
      </c>
      <c r="Q287" t="s">
        <v>608</v>
      </c>
      <c r="R287">
        <v>0.92</v>
      </c>
      <c r="S287">
        <v>429000</v>
      </c>
      <c r="T287" s="15">
        <v>46357</v>
      </c>
      <c r="U287" t="s">
        <v>89</v>
      </c>
      <c r="V287" t="s">
        <v>110</v>
      </c>
      <c r="W287" t="s">
        <v>82</v>
      </c>
      <c r="X287">
        <v>116</v>
      </c>
      <c r="Y287" s="4">
        <f t="shared" si="14"/>
        <v>394680</v>
      </c>
      <c r="Z287" s="4">
        <f t="shared" si="15"/>
        <v>46357</v>
      </c>
    </row>
    <row r="288" spans="16:26" x14ac:dyDescent="0.3">
      <c r="P288" t="s">
        <v>848</v>
      </c>
      <c r="Q288" t="s">
        <v>596</v>
      </c>
      <c r="R288">
        <v>0.3</v>
      </c>
      <c r="S288">
        <v>24000</v>
      </c>
      <c r="T288" s="15">
        <v>46054</v>
      </c>
      <c r="U288" t="s">
        <v>83</v>
      </c>
      <c r="V288" t="s">
        <v>81</v>
      </c>
      <c r="W288" t="s">
        <v>82</v>
      </c>
      <c r="X288">
        <v>55</v>
      </c>
      <c r="Y288" s="4">
        <f t="shared" si="14"/>
        <v>7200</v>
      </c>
      <c r="Z288" s="4">
        <f t="shared" si="15"/>
        <v>46054</v>
      </c>
    </row>
    <row r="289" spans="16:26" x14ac:dyDescent="0.3">
      <c r="P289" t="s">
        <v>849</v>
      </c>
      <c r="Q289" t="s">
        <v>608</v>
      </c>
      <c r="R289">
        <v>0.92</v>
      </c>
      <c r="S289">
        <v>88000</v>
      </c>
      <c r="T289" s="15">
        <v>46235</v>
      </c>
      <c r="U289" t="s">
        <v>89</v>
      </c>
      <c r="V289" t="s">
        <v>91</v>
      </c>
      <c r="W289" t="s">
        <v>82</v>
      </c>
      <c r="X289">
        <v>88</v>
      </c>
      <c r="Y289" s="4">
        <f t="shared" si="14"/>
        <v>80960</v>
      </c>
      <c r="Z289" s="4">
        <f t="shared" si="15"/>
        <v>46235</v>
      </c>
    </row>
    <row r="290" spans="16:26" x14ac:dyDescent="0.3">
      <c r="P290" t="s">
        <v>850</v>
      </c>
      <c r="Q290" t="s">
        <v>594</v>
      </c>
      <c r="R290">
        <v>0.8</v>
      </c>
      <c r="S290">
        <v>104000</v>
      </c>
      <c r="T290" s="15">
        <v>46296</v>
      </c>
      <c r="U290" t="s">
        <v>89</v>
      </c>
      <c r="V290" t="s">
        <v>91</v>
      </c>
      <c r="W290" t="s">
        <v>86</v>
      </c>
      <c r="X290">
        <v>91</v>
      </c>
      <c r="Y290" s="4">
        <f t="shared" si="14"/>
        <v>83200</v>
      </c>
      <c r="Z290" s="4">
        <f t="shared" si="15"/>
        <v>46296</v>
      </c>
    </row>
    <row r="291" spans="16:26" x14ac:dyDescent="0.3">
      <c r="P291" t="s">
        <v>851</v>
      </c>
      <c r="Q291" t="s">
        <v>596</v>
      </c>
      <c r="R291">
        <v>0.3</v>
      </c>
      <c r="S291">
        <v>123000</v>
      </c>
      <c r="T291" s="15">
        <v>46266</v>
      </c>
      <c r="U291" t="s">
        <v>89</v>
      </c>
      <c r="V291" t="s">
        <v>91</v>
      </c>
      <c r="W291" t="s">
        <v>86</v>
      </c>
      <c r="X291">
        <v>67</v>
      </c>
      <c r="Y291" s="4">
        <f t="shared" si="14"/>
        <v>36900</v>
      </c>
      <c r="Z291" s="4">
        <f t="shared" si="15"/>
        <v>46266</v>
      </c>
    </row>
    <row r="292" spans="16:26" x14ac:dyDescent="0.3">
      <c r="P292" t="s">
        <v>852</v>
      </c>
      <c r="Q292" t="s">
        <v>594</v>
      </c>
      <c r="R292">
        <v>0.8</v>
      </c>
      <c r="S292">
        <v>44000</v>
      </c>
      <c r="T292" s="15">
        <v>46113</v>
      </c>
      <c r="U292" t="s">
        <v>103</v>
      </c>
      <c r="V292" t="s">
        <v>81</v>
      </c>
      <c r="W292" t="s">
        <v>86</v>
      </c>
      <c r="X292">
        <v>57</v>
      </c>
      <c r="Y292" s="4">
        <f t="shared" si="14"/>
        <v>35200</v>
      </c>
      <c r="Z292" s="4">
        <f t="shared" si="15"/>
        <v>46113</v>
      </c>
    </row>
    <row r="293" spans="16:26" x14ac:dyDescent="0.3">
      <c r="P293" t="s">
        <v>853</v>
      </c>
      <c r="Q293" t="s">
        <v>602</v>
      </c>
      <c r="R293">
        <v>0.5</v>
      </c>
      <c r="S293">
        <v>83000</v>
      </c>
      <c r="T293" s="15">
        <v>46113</v>
      </c>
      <c r="U293" t="s">
        <v>89</v>
      </c>
      <c r="V293" t="s">
        <v>91</v>
      </c>
      <c r="W293" t="s">
        <v>99</v>
      </c>
      <c r="X293">
        <v>58</v>
      </c>
      <c r="Y293" s="4">
        <f t="shared" si="14"/>
        <v>41500</v>
      </c>
      <c r="Z293" s="4">
        <f t="shared" si="15"/>
        <v>46113</v>
      </c>
    </row>
    <row r="294" spans="16:26" x14ac:dyDescent="0.3">
      <c r="P294" t="s">
        <v>854</v>
      </c>
      <c r="Q294" t="s">
        <v>602</v>
      </c>
      <c r="R294">
        <v>0.5</v>
      </c>
      <c r="S294">
        <v>536000</v>
      </c>
      <c r="T294" s="15">
        <v>46266</v>
      </c>
      <c r="U294" t="s">
        <v>97</v>
      </c>
      <c r="V294" t="s">
        <v>110</v>
      </c>
      <c r="W294" t="s">
        <v>96</v>
      </c>
      <c r="X294">
        <v>108</v>
      </c>
      <c r="Y294" s="4">
        <f t="shared" si="14"/>
        <v>268000</v>
      </c>
      <c r="Z294" s="4">
        <f t="shared" si="15"/>
        <v>46266</v>
      </c>
    </row>
    <row r="295" spans="16:26" x14ac:dyDescent="0.3">
      <c r="P295" t="s">
        <v>855</v>
      </c>
      <c r="Q295" t="s">
        <v>598</v>
      </c>
      <c r="R295">
        <v>0.15</v>
      </c>
      <c r="S295">
        <v>47000</v>
      </c>
      <c r="T295" s="15">
        <v>46266</v>
      </c>
      <c r="U295" t="s">
        <v>92</v>
      </c>
      <c r="V295" t="s">
        <v>81</v>
      </c>
      <c r="W295" t="s">
        <v>86</v>
      </c>
      <c r="X295">
        <v>55</v>
      </c>
      <c r="Y295" s="4">
        <f t="shared" ref="Y295:Y358" si="16">R295*S295</f>
        <v>7050</v>
      </c>
      <c r="Z295" s="4">
        <f t="shared" ref="Z295:Z358" si="17">DATE(YEAR(T295),MONTH(T295),1)</f>
        <v>46266</v>
      </c>
    </row>
    <row r="296" spans="16:26" x14ac:dyDescent="0.3">
      <c r="P296" t="s">
        <v>856</v>
      </c>
      <c r="Q296" t="s">
        <v>594</v>
      </c>
      <c r="R296">
        <v>0.8</v>
      </c>
      <c r="S296">
        <v>23000</v>
      </c>
      <c r="T296" s="15">
        <v>46023</v>
      </c>
      <c r="U296" t="s">
        <v>103</v>
      </c>
      <c r="V296" t="s">
        <v>81</v>
      </c>
      <c r="W296" t="s">
        <v>99</v>
      </c>
      <c r="X296">
        <v>26</v>
      </c>
      <c r="Y296" s="4">
        <f t="shared" si="16"/>
        <v>18400</v>
      </c>
      <c r="Z296" s="4">
        <f t="shared" si="17"/>
        <v>46023</v>
      </c>
    </row>
    <row r="297" spans="16:26" x14ac:dyDescent="0.3">
      <c r="P297" t="s">
        <v>857</v>
      </c>
      <c r="Q297" t="s">
        <v>598</v>
      </c>
      <c r="R297">
        <v>0.15</v>
      </c>
      <c r="S297">
        <v>39000</v>
      </c>
      <c r="T297" s="15">
        <v>46113</v>
      </c>
      <c r="U297" t="s">
        <v>97</v>
      </c>
      <c r="V297" t="s">
        <v>81</v>
      </c>
      <c r="W297" t="s">
        <v>86</v>
      </c>
      <c r="X297">
        <v>65</v>
      </c>
      <c r="Y297" s="4">
        <f t="shared" si="16"/>
        <v>5850</v>
      </c>
      <c r="Z297" s="4">
        <f t="shared" si="17"/>
        <v>46113</v>
      </c>
    </row>
    <row r="298" spans="16:26" x14ac:dyDescent="0.3">
      <c r="P298" t="s">
        <v>858</v>
      </c>
      <c r="Q298" t="s">
        <v>596</v>
      </c>
      <c r="R298">
        <v>0.3</v>
      </c>
      <c r="S298">
        <v>86000</v>
      </c>
      <c r="T298" s="15">
        <v>46054</v>
      </c>
      <c r="U298" t="s">
        <v>89</v>
      </c>
      <c r="V298" t="s">
        <v>91</v>
      </c>
      <c r="W298" t="s">
        <v>82</v>
      </c>
      <c r="X298">
        <v>111</v>
      </c>
      <c r="Y298" s="4">
        <f t="shared" si="16"/>
        <v>25800</v>
      </c>
      <c r="Z298" s="4">
        <f t="shared" si="17"/>
        <v>46054</v>
      </c>
    </row>
    <row r="299" spans="16:26" x14ac:dyDescent="0.3">
      <c r="P299" t="s">
        <v>859</v>
      </c>
      <c r="Q299" t="s">
        <v>602</v>
      </c>
      <c r="R299">
        <v>0.5</v>
      </c>
      <c r="S299">
        <v>272000</v>
      </c>
      <c r="T299" s="15">
        <v>46113</v>
      </c>
      <c r="U299" t="s">
        <v>83</v>
      </c>
      <c r="V299" t="s">
        <v>110</v>
      </c>
      <c r="W299" t="s">
        <v>99</v>
      </c>
      <c r="X299">
        <v>147</v>
      </c>
      <c r="Y299" s="4">
        <f t="shared" si="16"/>
        <v>136000</v>
      </c>
      <c r="Z299" s="4">
        <f t="shared" si="17"/>
        <v>46113</v>
      </c>
    </row>
    <row r="300" spans="16:26" x14ac:dyDescent="0.3">
      <c r="P300" t="s">
        <v>860</v>
      </c>
      <c r="Q300" t="s">
        <v>594</v>
      </c>
      <c r="R300">
        <v>0.8</v>
      </c>
      <c r="S300">
        <v>35000</v>
      </c>
      <c r="T300" s="15">
        <v>46143</v>
      </c>
      <c r="U300" t="s">
        <v>87</v>
      </c>
      <c r="V300" t="s">
        <v>81</v>
      </c>
      <c r="W300" t="s">
        <v>99</v>
      </c>
      <c r="X300">
        <v>68</v>
      </c>
      <c r="Y300" s="4">
        <f t="shared" si="16"/>
        <v>28000</v>
      </c>
      <c r="Z300" s="4">
        <f t="shared" si="17"/>
        <v>46143</v>
      </c>
    </row>
    <row r="301" spans="16:26" x14ac:dyDescent="0.3">
      <c r="P301" t="s">
        <v>861</v>
      </c>
      <c r="Q301" t="s">
        <v>608</v>
      </c>
      <c r="R301">
        <v>0.92</v>
      </c>
      <c r="S301">
        <v>53000</v>
      </c>
      <c r="T301" s="15">
        <v>46266</v>
      </c>
      <c r="U301" t="s">
        <v>83</v>
      </c>
      <c r="V301" t="s">
        <v>81</v>
      </c>
      <c r="W301" t="s">
        <v>99</v>
      </c>
      <c r="X301">
        <v>66</v>
      </c>
      <c r="Y301" s="4">
        <f t="shared" si="16"/>
        <v>48760</v>
      </c>
      <c r="Z301" s="4">
        <f t="shared" si="17"/>
        <v>46266</v>
      </c>
    </row>
    <row r="302" spans="16:26" x14ac:dyDescent="0.3">
      <c r="P302" t="s">
        <v>862</v>
      </c>
      <c r="Q302" t="s">
        <v>596</v>
      </c>
      <c r="R302">
        <v>0.3</v>
      </c>
      <c r="S302">
        <v>42000</v>
      </c>
      <c r="T302" s="15">
        <v>46357</v>
      </c>
      <c r="U302" t="s">
        <v>97</v>
      </c>
      <c r="V302" t="s">
        <v>81</v>
      </c>
      <c r="W302" t="s">
        <v>82</v>
      </c>
      <c r="X302">
        <v>70</v>
      </c>
      <c r="Y302" s="4">
        <f t="shared" si="16"/>
        <v>12600</v>
      </c>
      <c r="Z302" s="4">
        <f t="shared" si="17"/>
        <v>46357</v>
      </c>
    </row>
    <row r="303" spans="16:26" x14ac:dyDescent="0.3">
      <c r="P303" t="s">
        <v>863</v>
      </c>
      <c r="Q303" t="s">
        <v>594</v>
      </c>
      <c r="R303">
        <v>0.8</v>
      </c>
      <c r="S303">
        <v>55000</v>
      </c>
      <c r="T303" s="15">
        <v>46204</v>
      </c>
      <c r="U303" t="s">
        <v>103</v>
      </c>
      <c r="V303" t="s">
        <v>81</v>
      </c>
      <c r="W303" t="s">
        <v>82</v>
      </c>
      <c r="X303">
        <v>59</v>
      </c>
      <c r="Y303" s="4">
        <f t="shared" si="16"/>
        <v>44000</v>
      </c>
      <c r="Z303" s="4">
        <f t="shared" si="17"/>
        <v>46204</v>
      </c>
    </row>
    <row r="304" spans="16:26" x14ac:dyDescent="0.3">
      <c r="P304" t="s">
        <v>864</v>
      </c>
      <c r="Q304" t="s">
        <v>594</v>
      </c>
      <c r="R304">
        <v>0.8</v>
      </c>
      <c r="S304">
        <v>20000</v>
      </c>
      <c r="T304" s="15">
        <v>46113</v>
      </c>
      <c r="U304" t="s">
        <v>101</v>
      </c>
      <c r="V304" t="s">
        <v>81</v>
      </c>
      <c r="W304" t="s">
        <v>86</v>
      </c>
      <c r="X304">
        <v>58</v>
      </c>
      <c r="Y304" s="4">
        <f t="shared" si="16"/>
        <v>16000</v>
      </c>
      <c r="Z304" s="4">
        <f t="shared" si="17"/>
        <v>46113</v>
      </c>
    </row>
    <row r="305" spans="16:26" x14ac:dyDescent="0.3">
      <c r="P305" t="s">
        <v>865</v>
      </c>
      <c r="Q305" t="s">
        <v>602</v>
      </c>
      <c r="R305">
        <v>0.5</v>
      </c>
      <c r="S305">
        <v>252000</v>
      </c>
      <c r="T305" s="15">
        <v>46082</v>
      </c>
      <c r="U305" t="s">
        <v>103</v>
      </c>
      <c r="V305" t="s">
        <v>110</v>
      </c>
      <c r="W305" t="s">
        <v>86</v>
      </c>
      <c r="X305">
        <v>144</v>
      </c>
      <c r="Y305" s="4">
        <f t="shared" si="16"/>
        <v>126000</v>
      </c>
      <c r="Z305" s="4">
        <f t="shared" si="17"/>
        <v>46082</v>
      </c>
    </row>
    <row r="306" spans="16:26" x14ac:dyDescent="0.3">
      <c r="P306" t="s">
        <v>866</v>
      </c>
      <c r="Q306" t="s">
        <v>596</v>
      </c>
      <c r="R306">
        <v>0.3</v>
      </c>
      <c r="S306">
        <v>298000</v>
      </c>
      <c r="T306" s="15">
        <v>46296</v>
      </c>
      <c r="U306" t="s">
        <v>89</v>
      </c>
      <c r="V306" t="s">
        <v>110</v>
      </c>
      <c r="W306" t="s">
        <v>86</v>
      </c>
      <c r="X306">
        <v>112</v>
      </c>
      <c r="Y306" s="4">
        <f t="shared" si="16"/>
        <v>89400</v>
      </c>
      <c r="Z306" s="4">
        <f t="shared" si="17"/>
        <v>46296</v>
      </c>
    </row>
    <row r="307" spans="16:26" x14ac:dyDescent="0.3">
      <c r="P307" t="s">
        <v>867</v>
      </c>
      <c r="Q307" t="s">
        <v>596</v>
      </c>
      <c r="R307">
        <v>0.3</v>
      </c>
      <c r="S307">
        <v>145000</v>
      </c>
      <c r="T307" s="15">
        <v>46296</v>
      </c>
      <c r="U307" t="s">
        <v>97</v>
      </c>
      <c r="V307" t="s">
        <v>91</v>
      </c>
      <c r="W307" t="s">
        <v>86</v>
      </c>
      <c r="X307">
        <v>79</v>
      </c>
      <c r="Y307" s="4">
        <f t="shared" si="16"/>
        <v>43500</v>
      </c>
      <c r="Z307" s="4">
        <f t="shared" si="17"/>
        <v>46296</v>
      </c>
    </row>
    <row r="308" spans="16:26" x14ac:dyDescent="0.3">
      <c r="P308" t="s">
        <v>868</v>
      </c>
      <c r="Q308" t="s">
        <v>602</v>
      </c>
      <c r="R308">
        <v>0.5</v>
      </c>
      <c r="S308">
        <v>90000</v>
      </c>
      <c r="T308" s="15">
        <v>46327</v>
      </c>
      <c r="U308" t="s">
        <v>101</v>
      </c>
      <c r="V308" t="s">
        <v>91</v>
      </c>
      <c r="W308" t="s">
        <v>82</v>
      </c>
      <c r="X308">
        <v>67</v>
      </c>
      <c r="Y308" s="4">
        <f t="shared" si="16"/>
        <v>45000</v>
      </c>
      <c r="Z308" s="4">
        <f t="shared" si="17"/>
        <v>46327</v>
      </c>
    </row>
    <row r="309" spans="16:26" x14ac:dyDescent="0.3">
      <c r="P309" t="s">
        <v>869</v>
      </c>
      <c r="Q309" t="s">
        <v>596</v>
      </c>
      <c r="R309">
        <v>0.3</v>
      </c>
      <c r="S309">
        <v>23000</v>
      </c>
      <c r="T309" s="15">
        <v>46204</v>
      </c>
      <c r="U309" t="s">
        <v>89</v>
      </c>
      <c r="V309" t="s">
        <v>81</v>
      </c>
      <c r="W309" t="s">
        <v>86</v>
      </c>
      <c r="X309">
        <v>30</v>
      </c>
      <c r="Y309" s="4">
        <f t="shared" si="16"/>
        <v>6900</v>
      </c>
      <c r="Z309" s="4">
        <f t="shared" si="17"/>
        <v>46204</v>
      </c>
    </row>
    <row r="310" spans="16:26" x14ac:dyDescent="0.3">
      <c r="P310" t="s">
        <v>870</v>
      </c>
      <c r="Q310" t="s">
        <v>600</v>
      </c>
      <c r="R310">
        <v>0.65</v>
      </c>
      <c r="S310">
        <v>42000</v>
      </c>
      <c r="T310" s="15">
        <v>46023</v>
      </c>
      <c r="U310" t="s">
        <v>89</v>
      </c>
      <c r="V310" t="s">
        <v>81</v>
      </c>
      <c r="W310" t="s">
        <v>99</v>
      </c>
      <c r="X310">
        <v>40</v>
      </c>
      <c r="Y310" s="4">
        <f t="shared" si="16"/>
        <v>27300</v>
      </c>
      <c r="Z310" s="4">
        <f t="shared" si="17"/>
        <v>46023</v>
      </c>
    </row>
    <row r="311" spans="16:26" x14ac:dyDescent="0.3">
      <c r="P311" t="s">
        <v>871</v>
      </c>
      <c r="Q311" t="s">
        <v>594</v>
      </c>
      <c r="R311">
        <v>0.8</v>
      </c>
      <c r="S311">
        <v>25000</v>
      </c>
      <c r="T311" s="15">
        <v>46054</v>
      </c>
      <c r="U311" t="s">
        <v>89</v>
      </c>
      <c r="V311" t="s">
        <v>81</v>
      </c>
      <c r="W311" t="s">
        <v>82</v>
      </c>
      <c r="X311">
        <v>74</v>
      </c>
      <c r="Y311" s="4">
        <f t="shared" si="16"/>
        <v>20000</v>
      </c>
      <c r="Z311" s="4">
        <f t="shared" si="17"/>
        <v>46054</v>
      </c>
    </row>
    <row r="312" spans="16:26" x14ac:dyDescent="0.3">
      <c r="P312" t="s">
        <v>872</v>
      </c>
      <c r="Q312" t="s">
        <v>596</v>
      </c>
      <c r="R312">
        <v>0.3</v>
      </c>
      <c r="S312">
        <v>28000</v>
      </c>
      <c r="T312" s="15">
        <v>46235</v>
      </c>
      <c r="U312" t="s">
        <v>83</v>
      </c>
      <c r="V312" t="s">
        <v>81</v>
      </c>
      <c r="W312" t="s">
        <v>96</v>
      </c>
      <c r="X312">
        <v>71</v>
      </c>
      <c r="Y312" s="4">
        <f t="shared" si="16"/>
        <v>8400</v>
      </c>
      <c r="Z312" s="4">
        <f t="shared" si="17"/>
        <v>46235</v>
      </c>
    </row>
    <row r="313" spans="16:26" x14ac:dyDescent="0.3">
      <c r="P313" t="s">
        <v>873</v>
      </c>
      <c r="Q313" t="s">
        <v>594</v>
      </c>
      <c r="R313">
        <v>0.8</v>
      </c>
      <c r="S313">
        <v>88000</v>
      </c>
      <c r="T313" s="15">
        <v>46174</v>
      </c>
      <c r="U313" t="s">
        <v>83</v>
      </c>
      <c r="V313" t="s">
        <v>91</v>
      </c>
      <c r="W313" t="s">
        <v>99</v>
      </c>
      <c r="X313">
        <v>83</v>
      </c>
      <c r="Y313" s="4">
        <f t="shared" si="16"/>
        <v>70400</v>
      </c>
      <c r="Z313" s="4">
        <f t="shared" si="17"/>
        <v>46174</v>
      </c>
    </row>
    <row r="314" spans="16:26" x14ac:dyDescent="0.3">
      <c r="P314" t="s">
        <v>874</v>
      </c>
      <c r="Q314" t="s">
        <v>598</v>
      </c>
      <c r="R314">
        <v>0.15</v>
      </c>
      <c r="S314">
        <v>88000</v>
      </c>
      <c r="T314" s="15">
        <v>46082</v>
      </c>
      <c r="U314" t="s">
        <v>87</v>
      </c>
      <c r="V314" t="s">
        <v>91</v>
      </c>
      <c r="W314" t="s">
        <v>82</v>
      </c>
      <c r="X314">
        <v>91</v>
      </c>
      <c r="Y314" s="4">
        <f t="shared" si="16"/>
        <v>13200</v>
      </c>
      <c r="Z314" s="4">
        <f t="shared" si="17"/>
        <v>46082</v>
      </c>
    </row>
    <row r="315" spans="16:26" x14ac:dyDescent="0.3">
      <c r="P315" t="s">
        <v>875</v>
      </c>
      <c r="Q315" t="s">
        <v>608</v>
      </c>
      <c r="R315">
        <v>0.92</v>
      </c>
      <c r="S315">
        <v>360000</v>
      </c>
      <c r="T315" s="15">
        <v>46266</v>
      </c>
      <c r="U315" t="s">
        <v>89</v>
      </c>
      <c r="V315" t="s">
        <v>110</v>
      </c>
      <c r="W315" t="s">
        <v>82</v>
      </c>
      <c r="X315">
        <v>102</v>
      </c>
      <c r="Y315" s="4">
        <f t="shared" si="16"/>
        <v>331200</v>
      </c>
      <c r="Z315" s="4">
        <f t="shared" si="17"/>
        <v>46266</v>
      </c>
    </row>
    <row r="316" spans="16:26" x14ac:dyDescent="0.3">
      <c r="P316" t="s">
        <v>876</v>
      </c>
      <c r="Q316" t="s">
        <v>594</v>
      </c>
      <c r="R316">
        <v>0.8</v>
      </c>
      <c r="S316">
        <v>94000</v>
      </c>
      <c r="T316" s="15">
        <v>46357</v>
      </c>
      <c r="U316" t="s">
        <v>92</v>
      </c>
      <c r="V316" t="s">
        <v>91</v>
      </c>
      <c r="W316" t="s">
        <v>82</v>
      </c>
      <c r="X316">
        <v>100</v>
      </c>
      <c r="Y316" s="4">
        <f t="shared" si="16"/>
        <v>75200</v>
      </c>
      <c r="Z316" s="4">
        <f t="shared" si="17"/>
        <v>46357</v>
      </c>
    </row>
    <row r="317" spans="16:26" x14ac:dyDescent="0.3">
      <c r="P317" t="s">
        <v>877</v>
      </c>
      <c r="Q317" t="s">
        <v>608</v>
      </c>
      <c r="R317">
        <v>0.92</v>
      </c>
      <c r="S317">
        <v>109000</v>
      </c>
      <c r="T317" s="15">
        <v>46296</v>
      </c>
      <c r="U317" t="s">
        <v>92</v>
      </c>
      <c r="V317" t="s">
        <v>91</v>
      </c>
      <c r="W317" t="s">
        <v>86</v>
      </c>
      <c r="X317">
        <v>76</v>
      </c>
      <c r="Y317" s="4">
        <f t="shared" si="16"/>
        <v>100280</v>
      </c>
      <c r="Z317" s="4">
        <f t="shared" si="17"/>
        <v>46296</v>
      </c>
    </row>
    <row r="318" spans="16:26" x14ac:dyDescent="0.3">
      <c r="P318" t="s">
        <v>878</v>
      </c>
      <c r="Q318" t="s">
        <v>602</v>
      </c>
      <c r="R318">
        <v>0.5</v>
      </c>
      <c r="S318">
        <v>42000</v>
      </c>
      <c r="T318" s="15">
        <v>46266</v>
      </c>
      <c r="U318" t="s">
        <v>92</v>
      </c>
      <c r="V318" t="s">
        <v>81</v>
      </c>
      <c r="W318" t="s">
        <v>96</v>
      </c>
      <c r="X318">
        <v>48</v>
      </c>
      <c r="Y318" s="4">
        <f t="shared" si="16"/>
        <v>21000</v>
      </c>
      <c r="Z318" s="4">
        <f t="shared" si="17"/>
        <v>46266</v>
      </c>
    </row>
    <row r="319" spans="16:26" x14ac:dyDescent="0.3">
      <c r="P319" t="s">
        <v>879</v>
      </c>
      <c r="Q319" t="s">
        <v>594</v>
      </c>
      <c r="R319">
        <v>0.8</v>
      </c>
      <c r="S319">
        <v>25000</v>
      </c>
      <c r="T319" s="15">
        <v>46357</v>
      </c>
      <c r="U319" t="s">
        <v>87</v>
      </c>
      <c r="V319" t="s">
        <v>81</v>
      </c>
      <c r="W319" t="s">
        <v>82</v>
      </c>
      <c r="X319">
        <v>72</v>
      </c>
      <c r="Y319" s="4">
        <f t="shared" si="16"/>
        <v>20000</v>
      </c>
      <c r="Z319" s="4">
        <f t="shared" si="17"/>
        <v>46357</v>
      </c>
    </row>
    <row r="320" spans="16:26" x14ac:dyDescent="0.3">
      <c r="P320" t="s">
        <v>880</v>
      </c>
      <c r="Q320" t="s">
        <v>598</v>
      </c>
      <c r="R320">
        <v>0.15</v>
      </c>
      <c r="S320">
        <v>457000</v>
      </c>
      <c r="T320" s="15">
        <v>46113</v>
      </c>
      <c r="U320" t="s">
        <v>92</v>
      </c>
      <c r="V320" t="s">
        <v>110</v>
      </c>
      <c r="W320" t="s">
        <v>96</v>
      </c>
      <c r="X320">
        <v>131</v>
      </c>
      <c r="Y320" s="4">
        <f t="shared" si="16"/>
        <v>68550</v>
      </c>
      <c r="Z320" s="4">
        <f t="shared" si="17"/>
        <v>46113</v>
      </c>
    </row>
    <row r="321" spans="16:26" x14ac:dyDescent="0.3">
      <c r="P321" t="s">
        <v>881</v>
      </c>
      <c r="Q321" t="s">
        <v>594</v>
      </c>
      <c r="R321">
        <v>0.8</v>
      </c>
      <c r="S321">
        <v>429000</v>
      </c>
      <c r="T321" s="15">
        <v>46204</v>
      </c>
      <c r="U321" t="s">
        <v>92</v>
      </c>
      <c r="V321" t="s">
        <v>110</v>
      </c>
      <c r="W321" t="s">
        <v>86</v>
      </c>
      <c r="X321">
        <v>138</v>
      </c>
      <c r="Y321" s="4">
        <f t="shared" si="16"/>
        <v>343200</v>
      </c>
      <c r="Z321" s="4">
        <f t="shared" si="17"/>
        <v>46204</v>
      </c>
    </row>
    <row r="322" spans="16:26" x14ac:dyDescent="0.3">
      <c r="P322" t="s">
        <v>882</v>
      </c>
      <c r="Q322" t="s">
        <v>608</v>
      </c>
      <c r="R322">
        <v>0.92</v>
      </c>
      <c r="S322">
        <v>25000</v>
      </c>
      <c r="T322" s="15">
        <v>46357</v>
      </c>
      <c r="U322" t="s">
        <v>89</v>
      </c>
      <c r="V322" t="s">
        <v>81</v>
      </c>
      <c r="W322" t="s">
        <v>82</v>
      </c>
      <c r="X322">
        <v>57</v>
      </c>
      <c r="Y322" s="4">
        <f t="shared" si="16"/>
        <v>23000</v>
      </c>
      <c r="Z322" s="4">
        <f t="shared" si="17"/>
        <v>46357</v>
      </c>
    </row>
    <row r="323" spans="16:26" x14ac:dyDescent="0.3">
      <c r="P323" t="s">
        <v>883</v>
      </c>
      <c r="Q323" t="s">
        <v>602</v>
      </c>
      <c r="R323">
        <v>0.5</v>
      </c>
      <c r="S323">
        <v>137000</v>
      </c>
      <c r="T323" s="15">
        <v>46023</v>
      </c>
      <c r="U323" t="s">
        <v>103</v>
      </c>
      <c r="V323" t="s">
        <v>91</v>
      </c>
      <c r="W323" t="s">
        <v>99</v>
      </c>
      <c r="X323">
        <v>108</v>
      </c>
      <c r="Y323" s="4">
        <f t="shared" si="16"/>
        <v>68500</v>
      </c>
      <c r="Z323" s="4">
        <f t="shared" si="17"/>
        <v>46023</v>
      </c>
    </row>
    <row r="324" spans="16:26" x14ac:dyDescent="0.3">
      <c r="P324" t="s">
        <v>884</v>
      </c>
      <c r="Q324" t="s">
        <v>596</v>
      </c>
      <c r="R324">
        <v>0.3</v>
      </c>
      <c r="S324">
        <v>31000</v>
      </c>
      <c r="T324" s="15">
        <v>46082</v>
      </c>
      <c r="U324" t="s">
        <v>101</v>
      </c>
      <c r="V324" t="s">
        <v>81</v>
      </c>
      <c r="W324" t="s">
        <v>99</v>
      </c>
      <c r="X324">
        <v>42</v>
      </c>
      <c r="Y324" s="4">
        <f t="shared" si="16"/>
        <v>9300</v>
      </c>
      <c r="Z324" s="4">
        <f t="shared" si="17"/>
        <v>46082</v>
      </c>
    </row>
    <row r="325" spans="16:26" x14ac:dyDescent="0.3">
      <c r="P325" t="s">
        <v>885</v>
      </c>
      <c r="Q325" t="s">
        <v>594</v>
      </c>
      <c r="R325">
        <v>0.8</v>
      </c>
      <c r="S325">
        <v>28000</v>
      </c>
      <c r="T325" s="15">
        <v>46327</v>
      </c>
      <c r="U325" t="s">
        <v>92</v>
      </c>
      <c r="V325" t="s">
        <v>81</v>
      </c>
      <c r="W325" t="s">
        <v>82</v>
      </c>
      <c r="X325">
        <v>56</v>
      </c>
      <c r="Y325" s="4">
        <f t="shared" si="16"/>
        <v>22400</v>
      </c>
      <c r="Z325" s="4">
        <f t="shared" si="17"/>
        <v>46327</v>
      </c>
    </row>
    <row r="326" spans="16:26" x14ac:dyDescent="0.3">
      <c r="P326" t="s">
        <v>886</v>
      </c>
      <c r="Q326" t="s">
        <v>602</v>
      </c>
      <c r="R326">
        <v>0.5</v>
      </c>
      <c r="S326">
        <v>44000</v>
      </c>
      <c r="T326" s="15">
        <v>46174</v>
      </c>
      <c r="U326" t="s">
        <v>103</v>
      </c>
      <c r="V326" t="s">
        <v>81</v>
      </c>
      <c r="W326" t="s">
        <v>96</v>
      </c>
      <c r="X326">
        <v>61</v>
      </c>
      <c r="Y326" s="4">
        <f t="shared" si="16"/>
        <v>22000</v>
      </c>
      <c r="Z326" s="4">
        <f t="shared" si="17"/>
        <v>46174</v>
      </c>
    </row>
    <row r="327" spans="16:26" x14ac:dyDescent="0.3">
      <c r="P327" t="s">
        <v>887</v>
      </c>
      <c r="Q327" t="s">
        <v>594</v>
      </c>
      <c r="R327">
        <v>0.8</v>
      </c>
      <c r="S327">
        <v>38000</v>
      </c>
      <c r="T327" s="15">
        <v>46143</v>
      </c>
      <c r="U327" t="s">
        <v>89</v>
      </c>
      <c r="V327" t="s">
        <v>81</v>
      </c>
      <c r="W327" t="s">
        <v>99</v>
      </c>
      <c r="X327">
        <v>46</v>
      </c>
      <c r="Y327" s="4">
        <f t="shared" si="16"/>
        <v>30400</v>
      </c>
      <c r="Z327" s="4">
        <f t="shared" si="17"/>
        <v>46143</v>
      </c>
    </row>
    <row r="328" spans="16:26" x14ac:dyDescent="0.3">
      <c r="P328" t="s">
        <v>888</v>
      </c>
      <c r="Q328" t="s">
        <v>602</v>
      </c>
      <c r="R328">
        <v>0.5</v>
      </c>
      <c r="S328">
        <v>33000</v>
      </c>
      <c r="T328" s="15">
        <v>46357</v>
      </c>
      <c r="U328" t="s">
        <v>92</v>
      </c>
      <c r="V328" t="s">
        <v>81</v>
      </c>
      <c r="W328" t="s">
        <v>99</v>
      </c>
      <c r="X328">
        <v>44</v>
      </c>
      <c r="Y328" s="4">
        <f t="shared" si="16"/>
        <v>16500</v>
      </c>
      <c r="Z328" s="4">
        <f t="shared" si="17"/>
        <v>46357</v>
      </c>
    </row>
    <row r="329" spans="16:26" x14ac:dyDescent="0.3">
      <c r="P329" t="s">
        <v>889</v>
      </c>
      <c r="Q329" t="s">
        <v>594</v>
      </c>
      <c r="R329">
        <v>0.8</v>
      </c>
      <c r="S329">
        <v>283000</v>
      </c>
      <c r="T329" s="15">
        <v>46266</v>
      </c>
      <c r="U329" t="s">
        <v>92</v>
      </c>
      <c r="V329" t="s">
        <v>110</v>
      </c>
      <c r="W329" t="s">
        <v>99</v>
      </c>
      <c r="X329">
        <v>143</v>
      </c>
      <c r="Y329" s="4">
        <f t="shared" si="16"/>
        <v>226400</v>
      </c>
      <c r="Z329" s="4">
        <f t="shared" si="17"/>
        <v>46266</v>
      </c>
    </row>
    <row r="330" spans="16:26" x14ac:dyDescent="0.3">
      <c r="P330" t="s">
        <v>890</v>
      </c>
      <c r="Q330" t="s">
        <v>594</v>
      </c>
      <c r="R330">
        <v>0.8</v>
      </c>
      <c r="S330">
        <v>30000</v>
      </c>
      <c r="T330" s="15">
        <v>46357</v>
      </c>
      <c r="U330" t="s">
        <v>87</v>
      </c>
      <c r="V330" t="s">
        <v>81</v>
      </c>
      <c r="W330" t="s">
        <v>86</v>
      </c>
      <c r="X330">
        <v>51</v>
      </c>
      <c r="Y330" s="4">
        <f t="shared" si="16"/>
        <v>24000</v>
      </c>
      <c r="Z330" s="4">
        <f t="shared" si="17"/>
        <v>46357</v>
      </c>
    </row>
    <row r="331" spans="16:26" x14ac:dyDescent="0.3">
      <c r="P331" t="s">
        <v>891</v>
      </c>
      <c r="Q331" t="s">
        <v>600</v>
      </c>
      <c r="R331">
        <v>0.65</v>
      </c>
      <c r="S331">
        <v>25000</v>
      </c>
      <c r="T331" s="15">
        <v>46174</v>
      </c>
      <c r="U331" t="s">
        <v>101</v>
      </c>
      <c r="V331" t="s">
        <v>81</v>
      </c>
      <c r="W331" t="s">
        <v>82</v>
      </c>
      <c r="X331">
        <v>37</v>
      </c>
      <c r="Y331" s="4">
        <f t="shared" si="16"/>
        <v>16250</v>
      </c>
      <c r="Z331" s="4">
        <f t="shared" si="17"/>
        <v>46174</v>
      </c>
    </row>
    <row r="332" spans="16:26" x14ac:dyDescent="0.3">
      <c r="P332" t="s">
        <v>892</v>
      </c>
      <c r="Q332" t="s">
        <v>608</v>
      </c>
      <c r="R332">
        <v>0.92</v>
      </c>
      <c r="S332">
        <v>143000</v>
      </c>
      <c r="T332" s="15">
        <v>46023</v>
      </c>
      <c r="U332" t="s">
        <v>103</v>
      </c>
      <c r="V332" t="s">
        <v>91</v>
      </c>
      <c r="W332" t="s">
        <v>96</v>
      </c>
      <c r="X332">
        <v>65</v>
      </c>
      <c r="Y332" s="4">
        <f t="shared" si="16"/>
        <v>131560</v>
      </c>
      <c r="Z332" s="4">
        <f t="shared" si="17"/>
        <v>46023</v>
      </c>
    </row>
    <row r="333" spans="16:26" x14ac:dyDescent="0.3">
      <c r="P333" t="s">
        <v>893</v>
      </c>
      <c r="Q333" t="s">
        <v>602</v>
      </c>
      <c r="R333">
        <v>0.5</v>
      </c>
      <c r="S333">
        <v>23000</v>
      </c>
      <c r="T333" s="15">
        <v>46235</v>
      </c>
      <c r="U333" t="s">
        <v>83</v>
      </c>
      <c r="V333" t="s">
        <v>81</v>
      </c>
      <c r="W333" t="s">
        <v>96</v>
      </c>
      <c r="X333">
        <v>60</v>
      </c>
      <c r="Y333" s="4">
        <f t="shared" si="16"/>
        <v>11500</v>
      </c>
      <c r="Z333" s="4">
        <f t="shared" si="17"/>
        <v>46235</v>
      </c>
    </row>
    <row r="334" spans="16:26" x14ac:dyDescent="0.3">
      <c r="P334" t="s">
        <v>894</v>
      </c>
      <c r="Q334" t="s">
        <v>600</v>
      </c>
      <c r="R334">
        <v>0.65</v>
      </c>
      <c r="S334">
        <v>120000</v>
      </c>
      <c r="T334" s="15">
        <v>46204</v>
      </c>
      <c r="U334" t="s">
        <v>83</v>
      </c>
      <c r="V334" t="s">
        <v>91</v>
      </c>
      <c r="W334" t="s">
        <v>82</v>
      </c>
      <c r="X334">
        <v>85</v>
      </c>
      <c r="Y334" s="4">
        <f t="shared" si="16"/>
        <v>78000</v>
      </c>
      <c r="Z334" s="4">
        <f t="shared" si="17"/>
        <v>46204</v>
      </c>
    </row>
    <row r="335" spans="16:26" x14ac:dyDescent="0.3">
      <c r="P335" t="s">
        <v>895</v>
      </c>
      <c r="Q335" t="s">
        <v>598</v>
      </c>
      <c r="R335">
        <v>0.15</v>
      </c>
      <c r="S335">
        <v>29000</v>
      </c>
      <c r="T335" s="15">
        <v>46266</v>
      </c>
      <c r="U335" t="s">
        <v>89</v>
      </c>
      <c r="V335" t="s">
        <v>81</v>
      </c>
      <c r="W335" t="s">
        <v>86</v>
      </c>
      <c r="X335">
        <v>67</v>
      </c>
      <c r="Y335" s="4">
        <f t="shared" si="16"/>
        <v>4350</v>
      </c>
      <c r="Z335" s="4">
        <f t="shared" si="17"/>
        <v>46266</v>
      </c>
    </row>
    <row r="336" spans="16:26" x14ac:dyDescent="0.3">
      <c r="P336" t="s">
        <v>896</v>
      </c>
      <c r="Q336" t="s">
        <v>594</v>
      </c>
      <c r="R336">
        <v>0.8</v>
      </c>
      <c r="S336">
        <v>166000</v>
      </c>
      <c r="T336" s="15">
        <v>46174</v>
      </c>
      <c r="U336" t="s">
        <v>89</v>
      </c>
      <c r="V336" t="s">
        <v>91</v>
      </c>
      <c r="W336" t="s">
        <v>86</v>
      </c>
      <c r="X336">
        <v>104</v>
      </c>
      <c r="Y336" s="4">
        <f t="shared" si="16"/>
        <v>132800</v>
      </c>
      <c r="Z336" s="4">
        <f t="shared" si="17"/>
        <v>46174</v>
      </c>
    </row>
    <row r="337" spans="16:26" x14ac:dyDescent="0.3">
      <c r="P337" t="s">
        <v>897</v>
      </c>
      <c r="Q337" t="s">
        <v>598</v>
      </c>
      <c r="R337">
        <v>0.15</v>
      </c>
      <c r="S337">
        <v>228000</v>
      </c>
      <c r="T337" s="15">
        <v>46204</v>
      </c>
      <c r="U337" t="s">
        <v>97</v>
      </c>
      <c r="V337" t="s">
        <v>110</v>
      </c>
      <c r="W337" t="s">
        <v>86</v>
      </c>
      <c r="X337">
        <v>127</v>
      </c>
      <c r="Y337" s="4">
        <f t="shared" si="16"/>
        <v>34200</v>
      </c>
      <c r="Z337" s="4">
        <f t="shared" si="17"/>
        <v>46204</v>
      </c>
    </row>
    <row r="338" spans="16:26" x14ac:dyDescent="0.3">
      <c r="P338" t="s">
        <v>898</v>
      </c>
      <c r="Q338" t="s">
        <v>608</v>
      </c>
      <c r="R338">
        <v>0.92</v>
      </c>
      <c r="S338">
        <v>81000</v>
      </c>
      <c r="T338" s="15">
        <v>46054</v>
      </c>
      <c r="U338" t="s">
        <v>89</v>
      </c>
      <c r="V338" t="s">
        <v>91</v>
      </c>
      <c r="W338" t="s">
        <v>82</v>
      </c>
      <c r="X338">
        <v>113</v>
      </c>
      <c r="Y338" s="4">
        <f t="shared" si="16"/>
        <v>74520</v>
      </c>
      <c r="Z338" s="4">
        <f t="shared" si="17"/>
        <v>46054</v>
      </c>
    </row>
    <row r="339" spans="16:26" x14ac:dyDescent="0.3">
      <c r="P339" t="s">
        <v>899</v>
      </c>
      <c r="Q339" t="s">
        <v>600</v>
      </c>
      <c r="R339">
        <v>0.65</v>
      </c>
      <c r="S339">
        <v>92000</v>
      </c>
      <c r="T339" s="15">
        <v>46266</v>
      </c>
      <c r="U339" t="s">
        <v>101</v>
      </c>
      <c r="V339" t="s">
        <v>91</v>
      </c>
      <c r="W339" t="s">
        <v>86</v>
      </c>
      <c r="X339">
        <v>75</v>
      </c>
      <c r="Y339" s="4">
        <f t="shared" si="16"/>
        <v>59800</v>
      </c>
      <c r="Z339" s="4">
        <f t="shared" si="17"/>
        <v>46266</v>
      </c>
    </row>
    <row r="340" spans="16:26" x14ac:dyDescent="0.3">
      <c r="P340" t="s">
        <v>900</v>
      </c>
      <c r="Q340" t="s">
        <v>608</v>
      </c>
      <c r="R340">
        <v>0.92</v>
      </c>
      <c r="S340">
        <v>303000</v>
      </c>
      <c r="T340" s="15">
        <v>46054</v>
      </c>
      <c r="U340" t="s">
        <v>97</v>
      </c>
      <c r="V340" t="s">
        <v>110</v>
      </c>
      <c r="W340" t="s">
        <v>82</v>
      </c>
      <c r="X340">
        <v>143</v>
      </c>
      <c r="Y340" s="4">
        <f t="shared" si="16"/>
        <v>278760</v>
      </c>
      <c r="Z340" s="4">
        <f t="shared" si="17"/>
        <v>46054</v>
      </c>
    </row>
    <row r="341" spans="16:26" x14ac:dyDescent="0.3">
      <c r="P341" t="s">
        <v>901</v>
      </c>
      <c r="Q341" t="s">
        <v>608</v>
      </c>
      <c r="R341">
        <v>0.92</v>
      </c>
      <c r="S341">
        <v>46000</v>
      </c>
      <c r="T341" s="15">
        <v>46266</v>
      </c>
      <c r="U341" t="s">
        <v>103</v>
      </c>
      <c r="V341" t="s">
        <v>81</v>
      </c>
      <c r="W341" t="s">
        <v>99</v>
      </c>
      <c r="X341">
        <v>49</v>
      </c>
      <c r="Y341" s="4">
        <f t="shared" si="16"/>
        <v>42320</v>
      </c>
      <c r="Z341" s="4">
        <f t="shared" si="17"/>
        <v>46266</v>
      </c>
    </row>
    <row r="342" spans="16:26" x14ac:dyDescent="0.3">
      <c r="P342" t="s">
        <v>902</v>
      </c>
      <c r="Q342" t="s">
        <v>600</v>
      </c>
      <c r="R342">
        <v>0.65</v>
      </c>
      <c r="S342">
        <v>88000</v>
      </c>
      <c r="T342" s="15">
        <v>46082</v>
      </c>
      <c r="U342" t="s">
        <v>92</v>
      </c>
      <c r="V342" t="s">
        <v>91</v>
      </c>
      <c r="W342" t="s">
        <v>82</v>
      </c>
      <c r="X342">
        <v>97</v>
      </c>
      <c r="Y342" s="4">
        <f t="shared" si="16"/>
        <v>57200</v>
      </c>
      <c r="Z342" s="4">
        <f t="shared" si="17"/>
        <v>46082</v>
      </c>
    </row>
    <row r="343" spans="16:26" x14ac:dyDescent="0.3">
      <c r="P343" t="s">
        <v>903</v>
      </c>
      <c r="Q343" t="s">
        <v>600</v>
      </c>
      <c r="R343">
        <v>0.65</v>
      </c>
      <c r="S343">
        <v>40000</v>
      </c>
      <c r="T343" s="15">
        <v>46357</v>
      </c>
      <c r="U343" t="s">
        <v>87</v>
      </c>
      <c r="V343" t="s">
        <v>81</v>
      </c>
      <c r="W343" t="s">
        <v>99</v>
      </c>
      <c r="X343">
        <v>61</v>
      </c>
      <c r="Y343" s="4">
        <f t="shared" si="16"/>
        <v>26000</v>
      </c>
      <c r="Z343" s="4">
        <f t="shared" si="17"/>
        <v>46357</v>
      </c>
    </row>
    <row r="344" spans="16:26" x14ac:dyDescent="0.3">
      <c r="P344" t="s">
        <v>904</v>
      </c>
      <c r="Q344" t="s">
        <v>594</v>
      </c>
      <c r="R344">
        <v>0.8</v>
      </c>
      <c r="S344">
        <v>391000</v>
      </c>
      <c r="T344" s="15">
        <v>46327</v>
      </c>
      <c r="U344" t="s">
        <v>103</v>
      </c>
      <c r="V344" t="s">
        <v>110</v>
      </c>
      <c r="W344" t="s">
        <v>82</v>
      </c>
      <c r="X344">
        <v>111</v>
      </c>
      <c r="Y344" s="4">
        <f t="shared" si="16"/>
        <v>312800</v>
      </c>
      <c r="Z344" s="4">
        <f t="shared" si="17"/>
        <v>46327</v>
      </c>
    </row>
    <row r="345" spans="16:26" x14ac:dyDescent="0.3">
      <c r="P345" t="s">
        <v>905</v>
      </c>
      <c r="Q345" t="s">
        <v>594</v>
      </c>
      <c r="R345">
        <v>0.8</v>
      </c>
      <c r="S345">
        <v>138000</v>
      </c>
      <c r="T345" s="15">
        <v>46357</v>
      </c>
      <c r="U345" t="s">
        <v>87</v>
      </c>
      <c r="V345" t="s">
        <v>91</v>
      </c>
      <c r="W345" t="s">
        <v>86</v>
      </c>
      <c r="X345">
        <v>86</v>
      </c>
      <c r="Y345" s="4">
        <f t="shared" si="16"/>
        <v>110400</v>
      </c>
      <c r="Z345" s="4">
        <f t="shared" si="17"/>
        <v>46357</v>
      </c>
    </row>
    <row r="346" spans="16:26" x14ac:dyDescent="0.3">
      <c r="P346" t="s">
        <v>906</v>
      </c>
      <c r="Q346" t="s">
        <v>602</v>
      </c>
      <c r="R346">
        <v>0.5</v>
      </c>
      <c r="S346">
        <v>32000</v>
      </c>
      <c r="T346" s="15">
        <v>46204</v>
      </c>
      <c r="U346" t="s">
        <v>83</v>
      </c>
      <c r="V346" t="s">
        <v>81</v>
      </c>
      <c r="W346" t="s">
        <v>96</v>
      </c>
      <c r="X346">
        <v>54</v>
      </c>
      <c r="Y346" s="4">
        <f t="shared" si="16"/>
        <v>16000</v>
      </c>
      <c r="Z346" s="4">
        <f t="shared" si="17"/>
        <v>46204</v>
      </c>
    </row>
    <row r="347" spans="16:26" x14ac:dyDescent="0.3">
      <c r="P347" t="s">
        <v>907</v>
      </c>
      <c r="Q347" t="s">
        <v>608</v>
      </c>
      <c r="R347">
        <v>0.92</v>
      </c>
      <c r="S347">
        <v>162000</v>
      </c>
      <c r="T347" s="15">
        <v>46174</v>
      </c>
      <c r="U347" t="s">
        <v>101</v>
      </c>
      <c r="V347" t="s">
        <v>91</v>
      </c>
      <c r="W347" t="s">
        <v>82</v>
      </c>
      <c r="X347">
        <v>69</v>
      </c>
      <c r="Y347" s="4">
        <f t="shared" si="16"/>
        <v>149040</v>
      </c>
      <c r="Z347" s="4">
        <f t="shared" si="17"/>
        <v>46174</v>
      </c>
    </row>
    <row r="348" spans="16:26" x14ac:dyDescent="0.3">
      <c r="P348" t="s">
        <v>908</v>
      </c>
      <c r="Q348" t="s">
        <v>602</v>
      </c>
      <c r="R348">
        <v>0.5</v>
      </c>
      <c r="S348">
        <v>56000</v>
      </c>
      <c r="T348" s="15">
        <v>46204</v>
      </c>
      <c r="U348" t="s">
        <v>89</v>
      </c>
      <c r="V348" t="s">
        <v>81</v>
      </c>
      <c r="W348" t="s">
        <v>82</v>
      </c>
      <c r="X348">
        <v>46</v>
      </c>
      <c r="Y348" s="4">
        <f t="shared" si="16"/>
        <v>28000</v>
      </c>
      <c r="Z348" s="4">
        <f t="shared" si="17"/>
        <v>46204</v>
      </c>
    </row>
    <row r="349" spans="16:26" x14ac:dyDescent="0.3">
      <c r="P349" t="s">
        <v>909</v>
      </c>
      <c r="Q349" t="s">
        <v>598</v>
      </c>
      <c r="R349">
        <v>0.15</v>
      </c>
      <c r="S349">
        <v>30000</v>
      </c>
      <c r="T349" s="15">
        <v>46235</v>
      </c>
      <c r="U349" t="s">
        <v>83</v>
      </c>
      <c r="V349" t="s">
        <v>81</v>
      </c>
      <c r="W349" t="s">
        <v>86</v>
      </c>
      <c r="X349">
        <v>62</v>
      </c>
      <c r="Y349" s="4">
        <f t="shared" si="16"/>
        <v>4500</v>
      </c>
      <c r="Z349" s="4">
        <f t="shared" si="17"/>
        <v>46235</v>
      </c>
    </row>
    <row r="350" spans="16:26" x14ac:dyDescent="0.3">
      <c r="P350" t="s">
        <v>910</v>
      </c>
      <c r="Q350" t="s">
        <v>594</v>
      </c>
      <c r="R350">
        <v>0.8</v>
      </c>
      <c r="S350">
        <v>151000</v>
      </c>
      <c r="T350" s="15">
        <v>46266</v>
      </c>
      <c r="U350" t="s">
        <v>92</v>
      </c>
      <c r="V350" t="s">
        <v>91</v>
      </c>
      <c r="W350" t="s">
        <v>86</v>
      </c>
      <c r="X350">
        <v>84</v>
      </c>
      <c r="Y350" s="4">
        <f t="shared" si="16"/>
        <v>120800</v>
      </c>
      <c r="Z350" s="4">
        <f t="shared" si="17"/>
        <v>46266</v>
      </c>
    </row>
    <row r="351" spans="16:26" x14ac:dyDescent="0.3">
      <c r="P351" t="s">
        <v>911</v>
      </c>
      <c r="Q351" t="s">
        <v>602</v>
      </c>
      <c r="R351">
        <v>0.5</v>
      </c>
      <c r="S351">
        <v>336000</v>
      </c>
      <c r="T351" s="15">
        <v>46266</v>
      </c>
      <c r="U351" t="s">
        <v>87</v>
      </c>
      <c r="V351" t="s">
        <v>110</v>
      </c>
      <c r="W351" t="s">
        <v>99</v>
      </c>
      <c r="X351">
        <v>111</v>
      </c>
      <c r="Y351" s="4">
        <f t="shared" si="16"/>
        <v>168000</v>
      </c>
      <c r="Z351" s="4">
        <f t="shared" si="17"/>
        <v>46266</v>
      </c>
    </row>
    <row r="352" spans="16:26" x14ac:dyDescent="0.3">
      <c r="P352" t="s">
        <v>912</v>
      </c>
      <c r="Q352" t="s">
        <v>602</v>
      </c>
      <c r="R352">
        <v>0.5</v>
      </c>
      <c r="S352">
        <v>31000</v>
      </c>
      <c r="T352" s="15">
        <v>46204</v>
      </c>
      <c r="U352" t="s">
        <v>103</v>
      </c>
      <c r="V352" t="s">
        <v>81</v>
      </c>
      <c r="W352" t="s">
        <v>82</v>
      </c>
      <c r="X352">
        <v>55</v>
      </c>
      <c r="Y352" s="4">
        <f t="shared" si="16"/>
        <v>15500</v>
      </c>
      <c r="Z352" s="4">
        <f t="shared" si="17"/>
        <v>46204</v>
      </c>
    </row>
    <row r="353" spans="16:26" x14ac:dyDescent="0.3">
      <c r="P353" t="s">
        <v>913</v>
      </c>
      <c r="Q353" t="s">
        <v>598</v>
      </c>
      <c r="R353">
        <v>0.15</v>
      </c>
      <c r="S353">
        <v>35000</v>
      </c>
      <c r="T353" s="15">
        <v>46054</v>
      </c>
      <c r="U353" t="s">
        <v>97</v>
      </c>
      <c r="V353" t="s">
        <v>81</v>
      </c>
      <c r="W353" t="s">
        <v>82</v>
      </c>
      <c r="X353">
        <v>68</v>
      </c>
      <c r="Y353" s="4">
        <f t="shared" si="16"/>
        <v>5250</v>
      </c>
      <c r="Z353" s="4">
        <f t="shared" si="17"/>
        <v>46054</v>
      </c>
    </row>
    <row r="354" spans="16:26" x14ac:dyDescent="0.3">
      <c r="P354" t="s">
        <v>914</v>
      </c>
      <c r="Q354" t="s">
        <v>596</v>
      </c>
      <c r="R354">
        <v>0.3</v>
      </c>
      <c r="S354">
        <v>25000</v>
      </c>
      <c r="T354" s="15">
        <v>46082</v>
      </c>
      <c r="U354" t="s">
        <v>92</v>
      </c>
      <c r="V354" t="s">
        <v>81</v>
      </c>
      <c r="W354" t="s">
        <v>96</v>
      </c>
      <c r="X354">
        <v>71</v>
      </c>
      <c r="Y354" s="4">
        <f t="shared" si="16"/>
        <v>7500</v>
      </c>
      <c r="Z354" s="4">
        <f t="shared" si="17"/>
        <v>46082</v>
      </c>
    </row>
    <row r="355" spans="16:26" x14ac:dyDescent="0.3">
      <c r="P355" t="s">
        <v>915</v>
      </c>
      <c r="Q355" t="s">
        <v>602</v>
      </c>
      <c r="R355">
        <v>0.5</v>
      </c>
      <c r="S355">
        <v>117000</v>
      </c>
      <c r="T355" s="15">
        <v>46266</v>
      </c>
      <c r="U355" t="s">
        <v>83</v>
      </c>
      <c r="V355" t="s">
        <v>91</v>
      </c>
      <c r="W355" t="s">
        <v>86</v>
      </c>
      <c r="X355">
        <v>92</v>
      </c>
      <c r="Y355" s="4">
        <f t="shared" si="16"/>
        <v>58500</v>
      </c>
      <c r="Z355" s="4">
        <f t="shared" si="17"/>
        <v>46266</v>
      </c>
    </row>
    <row r="356" spans="16:26" x14ac:dyDescent="0.3">
      <c r="P356" t="s">
        <v>916</v>
      </c>
      <c r="Q356" t="s">
        <v>602</v>
      </c>
      <c r="R356">
        <v>0.5</v>
      </c>
      <c r="S356">
        <v>259000</v>
      </c>
      <c r="T356" s="15">
        <v>46082</v>
      </c>
      <c r="U356" t="s">
        <v>87</v>
      </c>
      <c r="V356" t="s">
        <v>110</v>
      </c>
      <c r="W356" t="s">
        <v>86</v>
      </c>
      <c r="X356">
        <v>142</v>
      </c>
      <c r="Y356" s="4">
        <f t="shared" si="16"/>
        <v>129500</v>
      </c>
      <c r="Z356" s="4">
        <f t="shared" si="17"/>
        <v>46082</v>
      </c>
    </row>
    <row r="357" spans="16:26" x14ac:dyDescent="0.3">
      <c r="P357" t="s">
        <v>917</v>
      </c>
      <c r="Q357" t="s">
        <v>598</v>
      </c>
      <c r="R357">
        <v>0.15</v>
      </c>
      <c r="S357">
        <v>24000</v>
      </c>
      <c r="T357" s="15">
        <v>46082</v>
      </c>
      <c r="U357" t="s">
        <v>97</v>
      </c>
      <c r="V357" t="s">
        <v>81</v>
      </c>
      <c r="W357" t="s">
        <v>82</v>
      </c>
      <c r="X357">
        <v>45</v>
      </c>
      <c r="Y357" s="4">
        <f t="shared" si="16"/>
        <v>3600</v>
      </c>
      <c r="Z357" s="4">
        <f t="shared" si="17"/>
        <v>46082</v>
      </c>
    </row>
    <row r="358" spans="16:26" x14ac:dyDescent="0.3">
      <c r="P358" t="s">
        <v>918</v>
      </c>
      <c r="Q358" t="s">
        <v>596</v>
      </c>
      <c r="R358">
        <v>0.3</v>
      </c>
      <c r="S358">
        <v>25000</v>
      </c>
      <c r="T358" s="15">
        <v>46357</v>
      </c>
      <c r="U358" t="s">
        <v>87</v>
      </c>
      <c r="V358" t="s">
        <v>81</v>
      </c>
      <c r="W358" t="s">
        <v>82</v>
      </c>
      <c r="X358">
        <v>53</v>
      </c>
      <c r="Y358" s="4">
        <f t="shared" si="16"/>
        <v>7500</v>
      </c>
      <c r="Z358" s="4">
        <f t="shared" si="17"/>
        <v>46357</v>
      </c>
    </row>
    <row r="359" spans="16:26" x14ac:dyDescent="0.3">
      <c r="P359" t="s">
        <v>919</v>
      </c>
      <c r="Q359" t="s">
        <v>596</v>
      </c>
      <c r="R359">
        <v>0.3</v>
      </c>
      <c r="S359">
        <v>27000</v>
      </c>
      <c r="T359" s="15">
        <v>46357</v>
      </c>
      <c r="U359" t="s">
        <v>83</v>
      </c>
      <c r="V359" t="s">
        <v>81</v>
      </c>
      <c r="W359" t="s">
        <v>99</v>
      </c>
      <c r="X359">
        <v>89</v>
      </c>
      <c r="Y359" s="4">
        <f t="shared" ref="Y359:Y422" si="18">R359*S359</f>
        <v>8100</v>
      </c>
      <c r="Z359" s="4">
        <f t="shared" ref="Z359:Z422" si="19">DATE(YEAR(T359),MONTH(T359),1)</f>
        <v>46357</v>
      </c>
    </row>
    <row r="360" spans="16:26" x14ac:dyDescent="0.3">
      <c r="P360" t="s">
        <v>920</v>
      </c>
      <c r="Q360" t="s">
        <v>596</v>
      </c>
      <c r="R360">
        <v>0.3</v>
      </c>
      <c r="S360">
        <v>140000</v>
      </c>
      <c r="T360" s="15">
        <v>46023</v>
      </c>
      <c r="U360" t="s">
        <v>89</v>
      </c>
      <c r="V360" t="s">
        <v>91</v>
      </c>
      <c r="W360" t="s">
        <v>82</v>
      </c>
      <c r="X360">
        <v>74</v>
      </c>
      <c r="Y360" s="4">
        <f t="shared" si="18"/>
        <v>42000</v>
      </c>
      <c r="Z360" s="4">
        <f t="shared" si="19"/>
        <v>46023</v>
      </c>
    </row>
    <row r="361" spans="16:26" x14ac:dyDescent="0.3">
      <c r="P361" t="s">
        <v>921</v>
      </c>
      <c r="Q361" t="s">
        <v>602</v>
      </c>
      <c r="R361">
        <v>0.5</v>
      </c>
      <c r="S361">
        <v>51000</v>
      </c>
      <c r="T361" s="15">
        <v>46296</v>
      </c>
      <c r="U361" t="s">
        <v>97</v>
      </c>
      <c r="V361" t="s">
        <v>81</v>
      </c>
      <c r="W361" t="s">
        <v>86</v>
      </c>
      <c r="X361">
        <v>33</v>
      </c>
      <c r="Y361" s="4">
        <f t="shared" si="18"/>
        <v>25500</v>
      </c>
      <c r="Z361" s="4">
        <f t="shared" si="19"/>
        <v>46296</v>
      </c>
    </row>
    <row r="362" spans="16:26" x14ac:dyDescent="0.3">
      <c r="P362" t="s">
        <v>922</v>
      </c>
      <c r="Q362" t="s">
        <v>598</v>
      </c>
      <c r="R362">
        <v>0.15</v>
      </c>
      <c r="S362">
        <v>178000</v>
      </c>
      <c r="T362" s="15">
        <v>46357</v>
      </c>
      <c r="U362" t="s">
        <v>103</v>
      </c>
      <c r="V362" t="s">
        <v>91</v>
      </c>
      <c r="W362" t="s">
        <v>86</v>
      </c>
      <c r="X362">
        <v>103</v>
      </c>
      <c r="Y362" s="4">
        <f t="shared" si="18"/>
        <v>26700</v>
      </c>
      <c r="Z362" s="4">
        <f t="shared" si="19"/>
        <v>46357</v>
      </c>
    </row>
    <row r="363" spans="16:26" x14ac:dyDescent="0.3">
      <c r="P363" t="s">
        <v>923</v>
      </c>
      <c r="Q363" t="s">
        <v>598</v>
      </c>
      <c r="R363">
        <v>0.15</v>
      </c>
      <c r="S363">
        <v>403000</v>
      </c>
      <c r="T363" s="15">
        <v>46143</v>
      </c>
      <c r="U363" t="s">
        <v>92</v>
      </c>
      <c r="V363" t="s">
        <v>110</v>
      </c>
      <c r="W363" t="s">
        <v>82</v>
      </c>
      <c r="X363">
        <v>153</v>
      </c>
      <c r="Y363" s="4">
        <f t="shared" si="18"/>
        <v>60450</v>
      </c>
      <c r="Z363" s="4">
        <f t="shared" si="19"/>
        <v>46143</v>
      </c>
    </row>
    <row r="364" spans="16:26" x14ac:dyDescent="0.3">
      <c r="P364" t="s">
        <v>924</v>
      </c>
      <c r="Q364" t="s">
        <v>598</v>
      </c>
      <c r="R364">
        <v>0.15</v>
      </c>
      <c r="S364">
        <v>268000</v>
      </c>
      <c r="T364" s="15">
        <v>46327</v>
      </c>
      <c r="U364" t="s">
        <v>89</v>
      </c>
      <c r="V364" t="s">
        <v>110</v>
      </c>
      <c r="W364" t="s">
        <v>99</v>
      </c>
      <c r="X364">
        <v>138</v>
      </c>
      <c r="Y364" s="4">
        <f t="shared" si="18"/>
        <v>40200</v>
      </c>
      <c r="Z364" s="4">
        <f t="shared" si="19"/>
        <v>46327</v>
      </c>
    </row>
    <row r="365" spans="16:26" x14ac:dyDescent="0.3">
      <c r="P365" t="s">
        <v>925</v>
      </c>
      <c r="Q365" t="s">
        <v>602</v>
      </c>
      <c r="R365">
        <v>0.5</v>
      </c>
      <c r="S365">
        <v>317000</v>
      </c>
      <c r="T365" s="15">
        <v>46357</v>
      </c>
      <c r="U365" t="s">
        <v>83</v>
      </c>
      <c r="V365" t="s">
        <v>110</v>
      </c>
      <c r="W365" t="s">
        <v>86</v>
      </c>
      <c r="X365">
        <v>126</v>
      </c>
      <c r="Y365" s="4">
        <f t="shared" si="18"/>
        <v>158500</v>
      </c>
      <c r="Z365" s="4">
        <f t="shared" si="19"/>
        <v>46357</v>
      </c>
    </row>
    <row r="366" spans="16:26" x14ac:dyDescent="0.3">
      <c r="P366" t="s">
        <v>926</v>
      </c>
      <c r="Q366" t="s">
        <v>598</v>
      </c>
      <c r="R366">
        <v>0.15</v>
      </c>
      <c r="S366">
        <v>105000</v>
      </c>
      <c r="T366" s="15">
        <v>46023</v>
      </c>
      <c r="U366" t="s">
        <v>92</v>
      </c>
      <c r="V366" t="s">
        <v>91</v>
      </c>
      <c r="W366" t="s">
        <v>86</v>
      </c>
      <c r="X366">
        <v>91</v>
      </c>
      <c r="Y366" s="4">
        <f t="shared" si="18"/>
        <v>15750</v>
      </c>
      <c r="Z366" s="4">
        <f t="shared" si="19"/>
        <v>46023</v>
      </c>
    </row>
    <row r="367" spans="16:26" x14ac:dyDescent="0.3">
      <c r="P367" t="s">
        <v>927</v>
      </c>
      <c r="Q367" t="s">
        <v>598</v>
      </c>
      <c r="R367">
        <v>0.15</v>
      </c>
      <c r="S367">
        <v>31000</v>
      </c>
      <c r="T367" s="15">
        <v>46266</v>
      </c>
      <c r="U367" t="s">
        <v>97</v>
      </c>
      <c r="V367" t="s">
        <v>81</v>
      </c>
      <c r="W367" t="s">
        <v>86</v>
      </c>
      <c r="X367">
        <v>46</v>
      </c>
      <c r="Y367" s="4">
        <f t="shared" si="18"/>
        <v>4650</v>
      </c>
      <c r="Z367" s="4">
        <f t="shared" si="19"/>
        <v>46266</v>
      </c>
    </row>
    <row r="368" spans="16:26" x14ac:dyDescent="0.3">
      <c r="P368" t="s">
        <v>928</v>
      </c>
      <c r="Q368" t="s">
        <v>600</v>
      </c>
      <c r="R368">
        <v>0.65</v>
      </c>
      <c r="S368">
        <v>26000</v>
      </c>
      <c r="T368" s="15">
        <v>46266</v>
      </c>
      <c r="U368" t="s">
        <v>101</v>
      </c>
      <c r="V368" t="s">
        <v>81</v>
      </c>
      <c r="W368" t="s">
        <v>99</v>
      </c>
      <c r="X368">
        <v>50</v>
      </c>
      <c r="Y368" s="4">
        <f t="shared" si="18"/>
        <v>16900</v>
      </c>
      <c r="Z368" s="4">
        <f t="shared" si="19"/>
        <v>46266</v>
      </c>
    </row>
    <row r="369" spans="16:26" x14ac:dyDescent="0.3">
      <c r="P369" t="s">
        <v>929</v>
      </c>
      <c r="Q369" t="s">
        <v>594</v>
      </c>
      <c r="R369">
        <v>0.8</v>
      </c>
      <c r="S369">
        <v>102000</v>
      </c>
      <c r="T369" s="15">
        <v>46357</v>
      </c>
      <c r="U369" t="s">
        <v>97</v>
      </c>
      <c r="V369" t="s">
        <v>91</v>
      </c>
      <c r="W369" t="s">
        <v>99</v>
      </c>
      <c r="X369">
        <v>57</v>
      </c>
      <c r="Y369" s="4">
        <f t="shared" si="18"/>
        <v>81600</v>
      </c>
      <c r="Z369" s="4">
        <f t="shared" si="19"/>
        <v>46357</v>
      </c>
    </row>
    <row r="370" spans="16:26" x14ac:dyDescent="0.3">
      <c r="P370" t="s">
        <v>930</v>
      </c>
      <c r="Q370" t="s">
        <v>602</v>
      </c>
      <c r="R370">
        <v>0.5</v>
      </c>
      <c r="S370">
        <v>28000</v>
      </c>
      <c r="T370" s="15">
        <v>46357</v>
      </c>
      <c r="U370" t="s">
        <v>89</v>
      </c>
      <c r="V370" t="s">
        <v>81</v>
      </c>
      <c r="W370" t="s">
        <v>82</v>
      </c>
      <c r="X370">
        <v>68</v>
      </c>
      <c r="Y370" s="4">
        <f t="shared" si="18"/>
        <v>14000</v>
      </c>
      <c r="Z370" s="4">
        <f t="shared" si="19"/>
        <v>46357</v>
      </c>
    </row>
    <row r="371" spans="16:26" x14ac:dyDescent="0.3">
      <c r="P371" t="s">
        <v>931</v>
      </c>
      <c r="Q371" t="s">
        <v>600</v>
      </c>
      <c r="R371">
        <v>0.65</v>
      </c>
      <c r="S371">
        <v>143000</v>
      </c>
      <c r="T371" s="15">
        <v>46357</v>
      </c>
      <c r="U371" t="s">
        <v>97</v>
      </c>
      <c r="V371" t="s">
        <v>91</v>
      </c>
      <c r="W371" t="s">
        <v>82</v>
      </c>
      <c r="X371">
        <v>82</v>
      </c>
      <c r="Y371" s="4">
        <f t="shared" si="18"/>
        <v>92950</v>
      </c>
      <c r="Z371" s="4">
        <f t="shared" si="19"/>
        <v>46357</v>
      </c>
    </row>
    <row r="372" spans="16:26" x14ac:dyDescent="0.3">
      <c r="P372" t="s">
        <v>932</v>
      </c>
      <c r="Q372" t="s">
        <v>598</v>
      </c>
      <c r="R372">
        <v>0.15</v>
      </c>
      <c r="S372">
        <v>44000</v>
      </c>
      <c r="T372" s="15">
        <v>46082</v>
      </c>
      <c r="U372" t="s">
        <v>97</v>
      </c>
      <c r="V372" t="s">
        <v>81</v>
      </c>
      <c r="W372" t="s">
        <v>82</v>
      </c>
      <c r="X372">
        <v>61</v>
      </c>
      <c r="Y372" s="4">
        <f t="shared" si="18"/>
        <v>6600</v>
      </c>
      <c r="Z372" s="4">
        <f t="shared" si="19"/>
        <v>46082</v>
      </c>
    </row>
    <row r="373" spans="16:26" x14ac:dyDescent="0.3">
      <c r="P373" t="s">
        <v>933</v>
      </c>
      <c r="Q373" t="s">
        <v>608</v>
      </c>
      <c r="R373">
        <v>0.92</v>
      </c>
      <c r="S373">
        <v>120000</v>
      </c>
      <c r="T373" s="15">
        <v>46023</v>
      </c>
      <c r="U373" t="s">
        <v>103</v>
      </c>
      <c r="V373" t="s">
        <v>91</v>
      </c>
      <c r="W373" t="s">
        <v>82</v>
      </c>
      <c r="X373">
        <v>84</v>
      </c>
      <c r="Y373" s="4">
        <f t="shared" si="18"/>
        <v>110400</v>
      </c>
      <c r="Z373" s="4">
        <f t="shared" si="19"/>
        <v>46023</v>
      </c>
    </row>
    <row r="374" spans="16:26" x14ac:dyDescent="0.3">
      <c r="P374" t="s">
        <v>934</v>
      </c>
      <c r="Q374" t="s">
        <v>608</v>
      </c>
      <c r="R374">
        <v>0.92</v>
      </c>
      <c r="S374">
        <v>171000</v>
      </c>
      <c r="T374" s="15">
        <v>46357</v>
      </c>
      <c r="U374" t="s">
        <v>103</v>
      </c>
      <c r="V374" t="s">
        <v>91</v>
      </c>
      <c r="W374" t="s">
        <v>99</v>
      </c>
      <c r="X374">
        <v>94</v>
      </c>
      <c r="Y374" s="4">
        <f t="shared" si="18"/>
        <v>157320</v>
      </c>
      <c r="Z374" s="4">
        <f t="shared" si="19"/>
        <v>46357</v>
      </c>
    </row>
    <row r="375" spans="16:26" x14ac:dyDescent="0.3">
      <c r="P375" t="s">
        <v>935</v>
      </c>
      <c r="Q375" t="s">
        <v>598</v>
      </c>
      <c r="R375">
        <v>0.15</v>
      </c>
      <c r="S375">
        <v>32000</v>
      </c>
      <c r="T375" s="15">
        <v>46082</v>
      </c>
      <c r="U375" t="s">
        <v>103</v>
      </c>
      <c r="V375" t="s">
        <v>81</v>
      </c>
      <c r="W375" t="s">
        <v>82</v>
      </c>
      <c r="X375">
        <v>68</v>
      </c>
      <c r="Y375" s="4">
        <f t="shared" si="18"/>
        <v>4800</v>
      </c>
      <c r="Z375" s="4">
        <f t="shared" si="19"/>
        <v>46082</v>
      </c>
    </row>
    <row r="376" spans="16:26" x14ac:dyDescent="0.3">
      <c r="P376" t="s">
        <v>936</v>
      </c>
      <c r="Q376" t="s">
        <v>600</v>
      </c>
      <c r="R376">
        <v>0.65</v>
      </c>
      <c r="S376">
        <v>400000</v>
      </c>
      <c r="T376" s="15">
        <v>46054</v>
      </c>
      <c r="U376" t="s">
        <v>101</v>
      </c>
      <c r="V376" t="s">
        <v>110</v>
      </c>
      <c r="W376" t="s">
        <v>82</v>
      </c>
      <c r="X376">
        <v>107</v>
      </c>
      <c r="Y376" s="4">
        <f t="shared" si="18"/>
        <v>260000</v>
      </c>
      <c r="Z376" s="4">
        <f t="shared" si="19"/>
        <v>46054</v>
      </c>
    </row>
    <row r="377" spans="16:26" x14ac:dyDescent="0.3">
      <c r="P377" t="s">
        <v>937</v>
      </c>
      <c r="Q377" t="s">
        <v>608</v>
      </c>
      <c r="R377">
        <v>0.92</v>
      </c>
      <c r="S377">
        <v>450000</v>
      </c>
      <c r="T377" s="15">
        <v>46266</v>
      </c>
      <c r="U377" t="s">
        <v>97</v>
      </c>
      <c r="V377" t="s">
        <v>110</v>
      </c>
      <c r="W377" t="s">
        <v>86</v>
      </c>
      <c r="X377">
        <v>130</v>
      </c>
      <c r="Y377" s="4">
        <f t="shared" si="18"/>
        <v>414000</v>
      </c>
      <c r="Z377" s="4">
        <f t="shared" si="19"/>
        <v>46266</v>
      </c>
    </row>
    <row r="378" spans="16:26" x14ac:dyDescent="0.3">
      <c r="P378" t="s">
        <v>938</v>
      </c>
      <c r="Q378" t="s">
        <v>594</v>
      </c>
      <c r="R378">
        <v>0.8</v>
      </c>
      <c r="S378">
        <v>44000</v>
      </c>
      <c r="T378" s="15">
        <v>46266</v>
      </c>
      <c r="U378" t="s">
        <v>101</v>
      </c>
      <c r="V378" t="s">
        <v>81</v>
      </c>
      <c r="W378" t="s">
        <v>82</v>
      </c>
      <c r="X378">
        <v>49</v>
      </c>
      <c r="Y378" s="4">
        <f t="shared" si="18"/>
        <v>35200</v>
      </c>
      <c r="Z378" s="4">
        <f t="shared" si="19"/>
        <v>46266</v>
      </c>
    </row>
    <row r="379" spans="16:26" x14ac:dyDescent="0.3">
      <c r="P379" t="s">
        <v>939</v>
      </c>
      <c r="Q379" t="s">
        <v>598</v>
      </c>
      <c r="R379">
        <v>0.15</v>
      </c>
      <c r="S379">
        <v>34000</v>
      </c>
      <c r="T379" s="15">
        <v>46357</v>
      </c>
      <c r="U379" t="s">
        <v>89</v>
      </c>
      <c r="V379" t="s">
        <v>81</v>
      </c>
      <c r="W379" t="s">
        <v>82</v>
      </c>
      <c r="X379">
        <v>37</v>
      </c>
      <c r="Y379" s="4">
        <f t="shared" si="18"/>
        <v>5100</v>
      </c>
      <c r="Z379" s="4">
        <f t="shared" si="19"/>
        <v>46357</v>
      </c>
    </row>
    <row r="380" spans="16:26" x14ac:dyDescent="0.3">
      <c r="P380" t="s">
        <v>940</v>
      </c>
      <c r="Q380" t="s">
        <v>602</v>
      </c>
      <c r="R380">
        <v>0.5</v>
      </c>
      <c r="S380">
        <v>148000</v>
      </c>
      <c r="T380" s="15">
        <v>46357</v>
      </c>
      <c r="U380" t="s">
        <v>87</v>
      </c>
      <c r="V380" t="s">
        <v>91</v>
      </c>
      <c r="W380" t="s">
        <v>99</v>
      </c>
      <c r="X380">
        <v>95</v>
      </c>
      <c r="Y380" s="4">
        <f t="shared" si="18"/>
        <v>74000</v>
      </c>
      <c r="Z380" s="4">
        <f t="shared" si="19"/>
        <v>46357</v>
      </c>
    </row>
    <row r="381" spans="16:26" x14ac:dyDescent="0.3">
      <c r="P381" t="s">
        <v>941</v>
      </c>
      <c r="Q381" t="s">
        <v>596</v>
      </c>
      <c r="R381">
        <v>0.3</v>
      </c>
      <c r="S381">
        <v>299000</v>
      </c>
      <c r="T381" s="15">
        <v>46327</v>
      </c>
      <c r="U381" t="s">
        <v>97</v>
      </c>
      <c r="V381" t="s">
        <v>110</v>
      </c>
      <c r="W381" t="s">
        <v>86</v>
      </c>
      <c r="X381">
        <v>108</v>
      </c>
      <c r="Y381" s="4">
        <f t="shared" si="18"/>
        <v>89700</v>
      </c>
      <c r="Z381" s="4">
        <f t="shared" si="19"/>
        <v>46327</v>
      </c>
    </row>
    <row r="382" spans="16:26" x14ac:dyDescent="0.3">
      <c r="P382" t="s">
        <v>942</v>
      </c>
      <c r="Q382" t="s">
        <v>596</v>
      </c>
      <c r="R382">
        <v>0.3</v>
      </c>
      <c r="S382">
        <v>504000</v>
      </c>
      <c r="T382" s="15">
        <v>46357</v>
      </c>
      <c r="U382" t="s">
        <v>87</v>
      </c>
      <c r="V382" t="s">
        <v>110</v>
      </c>
      <c r="W382" t="s">
        <v>82</v>
      </c>
      <c r="X382">
        <v>122</v>
      </c>
      <c r="Y382" s="4">
        <f t="shared" si="18"/>
        <v>151200</v>
      </c>
      <c r="Z382" s="4">
        <f t="shared" si="19"/>
        <v>46357</v>
      </c>
    </row>
    <row r="383" spans="16:26" x14ac:dyDescent="0.3">
      <c r="P383" t="s">
        <v>943</v>
      </c>
      <c r="Q383" t="s">
        <v>598</v>
      </c>
      <c r="R383">
        <v>0.15</v>
      </c>
      <c r="S383">
        <v>98000</v>
      </c>
      <c r="T383" s="15">
        <v>46266</v>
      </c>
      <c r="U383" t="s">
        <v>87</v>
      </c>
      <c r="V383" t="s">
        <v>91</v>
      </c>
      <c r="W383" t="s">
        <v>86</v>
      </c>
      <c r="X383">
        <v>76</v>
      </c>
      <c r="Y383" s="4">
        <f t="shared" si="18"/>
        <v>14700</v>
      </c>
      <c r="Z383" s="4">
        <f t="shared" si="19"/>
        <v>46266</v>
      </c>
    </row>
    <row r="384" spans="16:26" x14ac:dyDescent="0.3">
      <c r="P384" t="s">
        <v>944</v>
      </c>
      <c r="Q384" t="s">
        <v>598</v>
      </c>
      <c r="R384">
        <v>0.15</v>
      </c>
      <c r="S384">
        <v>99000</v>
      </c>
      <c r="T384" s="15">
        <v>46113</v>
      </c>
      <c r="U384" t="s">
        <v>101</v>
      </c>
      <c r="V384" t="s">
        <v>91</v>
      </c>
      <c r="W384" t="s">
        <v>82</v>
      </c>
      <c r="X384">
        <v>88</v>
      </c>
      <c r="Y384" s="4">
        <f t="shared" si="18"/>
        <v>14850</v>
      </c>
      <c r="Z384" s="4">
        <f t="shared" si="19"/>
        <v>46113</v>
      </c>
    </row>
    <row r="385" spans="16:26" x14ac:dyDescent="0.3">
      <c r="P385" t="s">
        <v>945</v>
      </c>
      <c r="Q385" t="s">
        <v>598</v>
      </c>
      <c r="R385">
        <v>0.15</v>
      </c>
      <c r="S385">
        <v>35000</v>
      </c>
      <c r="T385" s="15">
        <v>46327</v>
      </c>
      <c r="U385" t="s">
        <v>92</v>
      </c>
      <c r="V385" t="s">
        <v>81</v>
      </c>
      <c r="W385" t="s">
        <v>86</v>
      </c>
      <c r="X385">
        <v>50</v>
      </c>
      <c r="Y385" s="4">
        <f t="shared" si="18"/>
        <v>5250</v>
      </c>
      <c r="Z385" s="4">
        <f t="shared" si="19"/>
        <v>46327</v>
      </c>
    </row>
    <row r="386" spans="16:26" x14ac:dyDescent="0.3">
      <c r="P386" t="s">
        <v>946</v>
      </c>
      <c r="Q386" t="s">
        <v>594</v>
      </c>
      <c r="R386">
        <v>0.8</v>
      </c>
      <c r="S386">
        <v>113000</v>
      </c>
      <c r="T386" s="15">
        <v>46113</v>
      </c>
      <c r="U386" t="s">
        <v>92</v>
      </c>
      <c r="V386" t="s">
        <v>91</v>
      </c>
      <c r="W386" t="s">
        <v>86</v>
      </c>
      <c r="X386">
        <v>80</v>
      </c>
      <c r="Y386" s="4">
        <f t="shared" si="18"/>
        <v>90400</v>
      </c>
      <c r="Z386" s="4">
        <f t="shared" si="19"/>
        <v>46113</v>
      </c>
    </row>
    <row r="387" spans="16:26" x14ac:dyDescent="0.3">
      <c r="P387" t="s">
        <v>947</v>
      </c>
      <c r="Q387" t="s">
        <v>608</v>
      </c>
      <c r="R387">
        <v>0.92</v>
      </c>
      <c r="S387">
        <v>26000</v>
      </c>
      <c r="T387" s="15">
        <v>46023</v>
      </c>
      <c r="U387" t="s">
        <v>103</v>
      </c>
      <c r="V387" t="s">
        <v>81</v>
      </c>
      <c r="W387" t="s">
        <v>82</v>
      </c>
      <c r="X387">
        <v>23</v>
      </c>
      <c r="Y387" s="4">
        <f t="shared" si="18"/>
        <v>23920</v>
      </c>
      <c r="Z387" s="4">
        <f t="shared" si="19"/>
        <v>46023</v>
      </c>
    </row>
    <row r="388" spans="16:26" x14ac:dyDescent="0.3">
      <c r="P388" t="s">
        <v>948</v>
      </c>
      <c r="Q388" t="s">
        <v>608</v>
      </c>
      <c r="R388">
        <v>0.92</v>
      </c>
      <c r="S388">
        <v>109000</v>
      </c>
      <c r="T388" s="15">
        <v>46113</v>
      </c>
      <c r="U388" t="s">
        <v>89</v>
      </c>
      <c r="V388" t="s">
        <v>91</v>
      </c>
      <c r="W388" t="s">
        <v>99</v>
      </c>
      <c r="X388">
        <v>82</v>
      </c>
      <c r="Y388" s="4">
        <f t="shared" si="18"/>
        <v>100280</v>
      </c>
      <c r="Z388" s="4">
        <f t="shared" si="19"/>
        <v>46113</v>
      </c>
    </row>
    <row r="389" spans="16:26" x14ac:dyDescent="0.3">
      <c r="P389" t="s">
        <v>949</v>
      </c>
      <c r="Q389" t="s">
        <v>602</v>
      </c>
      <c r="R389">
        <v>0.5</v>
      </c>
      <c r="S389">
        <v>113000</v>
      </c>
      <c r="T389" s="15">
        <v>46357</v>
      </c>
      <c r="U389" t="s">
        <v>101</v>
      </c>
      <c r="V389" t="s">
        <v>91</v>
      </c>
      <c r="W389" t="s">
        <v>82</v>
      </c>
      <c r="X389">
        <v>89</v>
      </c>
      <c r="Y389" s="4">
        <f t="shared" si="18"/>
        <v>56500</v>
      </c>
      <c r="Z389" s="4">
        <f t="shared" si="19"/>
        <v>46357</v>
      </c>
    </row>
    <row r="390" spans="16:26" x14ac:dyDescent="0.3">
      <c r="P390" t="s">
        <v>950</v>
      </c>
      <c r="Q390" t="s">
        <v>598</v>
      </c>
      <c r="R390">
        <v>0.15</v>
      </c>
      <c r="S390">
        <v>99000</v>
      </c>
      <c r="T390" s="15">
        <v>46296</v>
      </c>
      <c r="U390" t="s">
        <v>89</v>
      </c>
      <c r="V390" t="s">
        <v>91</v>
      </c>
      <c r="W390" t="s">
        <v>82</v>
      </c>
      <c r="X390">
        <v>62</v>
      </c>
      <c r="Y390" s="4">
        <f t="shared" si="18"/>
        <v>14850</v>
      </c>
      <c r="Z390" s="4">
        <f t="shared" si="19"/>
        <v>46296</v>
      </c>
    </row>
    <row r="391" spans="16:26" x14ac:dyDescent="0.3">
      <c r="P391" t="s">
        <v>951</v>
      </c>
      <c r="Q391" t="s">
        <v>602</v>
      </c>
      <c r="R391">
        <v>0.5</v>
      </c>
      <c r="S391">
        <v>30000</v>
      </c>
      <c r="T391" s="15">
        <v>46357</v>
      </c>
      <c r="U391" t="s">
        <v>83</v>
      </c>
      <c r="V391" t="s">
        <v>81</v>
      </c>
      <c r="W391" t="s">
        <v>82</v>
      </c>
      <c r="X391">
        <v>59</v>
      </c>
      <c r="Y391" s="4">
        <f t="shared" si="18"/>
        <v>15000</v>
      </c>
      <c r="Z391" s="4">
        <f t="shared" si="19"/>
        <v>46357</v>
      </c>
    </row>
    <row r="392" spans="16:26" x14ac:dyDescent="0.3">
      <c r="P392" t="s">
        <v>952</v>
      </c>
      <c r="Q392" t="s">
        <v>596</v>
      </c>
      <c r="R392">
        <v>0.3</v>
      </c>
      <c r="S392">
        <v>406000</v>
      </c>
      <c r="T392" s="15">
        <v>46357</v>
      </c>
      <c r="U392" t="s">
        <v>87</v>
      </c>
      <c r="V392" t="s">
        <v>110</v>
      </c>
      <c r="W392" t="s">
        <v>82</v>
      </c>
      <c r="X392">
        <v>133</v>
      </c>
      <c r="Y392" s="4">
        <f t="shared" si="18"/>
        <v>121800</v>
      </c>
      <c r="Z392" s="4">
        <f t="shared" si="19"/>
        <v>46357</v>
      </c>
    </row>
    <row r="393" spans="16:26" x14ac:dyDescent="0.3">
      <c r="P393" t="s">
        <v>953</v>
      </c>
      <c r="Q393" t="s">
        <v>600</v>
      </c>
      <c r="R393">
        <v>0.65</v>
      </c>
      <c r="S393">
        <v>220000</v>
      </c>
      <c r="T393" s="15">
        <v>46204</v>
      </c>
      <c r="U393" t="s">
        <v>83</v>
      </c>
      <c r="V393" t="s">
        <v>110</v>
      </c>
      <c r="W393" t="s">
        <v>86</v>
      </c>
      <c r="X393">
        <v>130</v>
      </c>
      <c r="Y393" s="4">
        <f t="shared" si="18"/>
        <v>143000</v>
      </c>
      <c r="Z393" s="4">
        <f t="shared" si="19"/>
        <v>46204</v>
      </c>
    </row>
    <row r="394" spans="16:26" x14ac:dyDescent="0.3">
      <c r="P394" t="s">
        <v>954</v>
      </c>
      <c r="Q394" t="s">
        <v>602</v>
      </c>
      <c r="R394">
        <v>0.5</v>
      </c>
      <c r="S394">
        <v>141000</v>
      </c>
      <c r="T394" s="15">
        <v>46327</v>
      </c>
      <c r="U394" t="s">
        <v>103</v>
      </c>
      <c r="V394" t="s">
        <v>91</v>
      </c>
      <c r="W394" t="s">
        <v>82</v>
      </c>
      <c r="X394">
        <v>72</v>
      </c>
      <c r="Y394" s="4">
        <f t="shared" si="18"/>
        <v>70500</v>
      </c>
      <c r="Z394" s="4">
        <f t="shared" si="19"/>
        <v>46327</v>
      </c>
    </row>
    <row r="395" spans="16:26" x14ac:dyDescent="0.3">
      <c r="P395" t="s">
        <v>955</v>
      </c>
      <c r="Q395" t="s">
        <v>602</v>
      </c>
      <c r="R395">
        <v>0.5</v>
      </c>
      <c r="S395">
        <v>251000</v>
      </c>
      <c r="T395" s="15">
        <v>46357</v>
      </c>
      <c r="U395" t="s">
        <v>101</v>
      </c>
      <c r="V395" t="s">
        <v>110</v>
      </c>
      <c r="W395" t="s">
        <v>99</v>
      </c>
      <c r="X395">
        <v>133</v>
      </c>
      <c r="Y395" s="4">
        <f t="shared" si="18"/>
        <v>125500</v>
      </c>
      <c r="Z395" s="4">
        <f t="shared" si="19"/>
        <v>46357</v>
      </c>
    </row>
    <row r="396" spans="16:26" x14ac:dyDescent="0.3">
      <c r="P396" t="s">
        <v>956</v>
      </c>
      <c r="Q396" t="s">
        <v>600</v>
      </c>
      <c r="R396">
        <v>0.65</v>
      </c>
      <c r="S396">
        <v>36000</v>
      </c>
      <c r="T396" s="15">
        <v>46296</v>
      </c>
      <c r="U396" t="s">
        <v>87</v>
      </c>
      <c r="V396" t="s">
        <v>81</v>
      </c>
      <c r="W396" t="s">
        <v>82</v>
      </c>
      <c r="X396">
        <v>43</v>
      </c>
      <c r="Y396" s="4">
        <f t="shared" si="18"/>
        <v>23400</v>
      </c>
      <c r="Z396" s="4">
        <f t="shared" si="19"/>
        <v>46296</v>
      </c>
    </row>
    <row r="397" spans="16:26" x14ac:dyDescent="0.3">
      <c r="P397" t="s">
        <v>957</v>
      </c>
      <c r="Q397" t="s">
        <v>594</v>
      </c>
      <c r="R397">
        <v>0.8</v>
      </c>
      <c r="S397">
        <v>76000</v>
      </c>
      <c r="T397" s="15">
        <v>46357</v>
      </c>
      <c r="U397" t="s">
        <v>101</v>
      </c>
      <c r="V397" t="s">
        <v>91</v>
      </c>
      <c r="W397" t="s">
        <v>86</v>
      </c>
      <c r="X397">
        <v>79</v>
      </c>
      <c r="Y397" s="4">
        <f t="shared" si="18"/>
        <v>60800</v>
      </c>
      <c r="Z397" s="4">
        <f t="shared" si="19"/>
        <v>46357</v>
      </c>
    </row>
    <row r="398" spans="16:26" x14ac:dyDescent="0.3">
      <c r="P398" t="s">
        <v>958</v>
      </c>
      <c r="Q398" t="s">
        <v>596</v>
      </c>
      <c r="R398">
        <v>0.3</v>
      </c>
      <c r="S398">
        <v>109000</v>
      </c>
      <c r="T398" s="15">
        <v>46174</v>
      </c>
      <c r="U398" t="s">
        <v>92</v>
      </c>
      <c r="V398" t="s">
        <v>91</v>
      </c>
      <c r="W398" t="s">
        <v>86</v>
      </c>
      <c r="X398">
        <v>77</v>
      </c>
      <c r="Y398" s="4">
        <f t="shared" si="18"/>
        <v>32700</v>
      </c>
      <c r="Z398" s="4">
        <f t="shared" si="19"/>
        <v>46174</v>
      </c>
    </row>
    <row r="399" spans="16:26" x14ac:dyDescent="0.3">
      <c r="P399" t="s">
        <v>959</v>
      </c>
      <c r="Q399" t="s">
        <v>608</v>
      </c>
      <c r="R399">
        <v>0.92</v>
      </c>
      <c r="S399">
        <v>140000</v>
      </c>
      <c r="T399" s="15">
        <v>46204</v>
      </c>
      <c r="U399" t="s">
        <v>83</v>
      </c>
      <c r="V399" t="s">
        <v>91</v>
      </c>
      <c r="W399" t="s">
        <v>82</v>
      </c>
      <c r="X399">
        <v>111</v>
      </c>
      <c r="Y399" s="4">
        <f t="shared" si="18"/>
        <v>128800</v>
      </c>
      <c r="Z399" s="4">
        <f t="shared" si="19"/>
        <v>46204</v>
      </c>
    </row>
    <row r="400" spans="16:26" x14ac:dyDescent="0.3">
      <c r="P400" t="s">
        <v>960</v>
      </c>
      <c r="Q400" t="s">
        <v>594</v>
      </c>
      <c r="R400">
        <v>0.8</v>
      </c>
      <c r="S400">
        <v>31000</v>
      </c>
      <c r="T400" s="15">
        <v>46113</v>
      </c>
      <c r="U400" t="s">
        <v>97</v>
      </c>
      <c r="V400" t="s">
        <v>81</v>
      </c>
      <c r="W400" t="s">
        <v>86</v>
      </c>
      <c r="X400">
        <v>71</v>
      </c>
      <c r="Y400" s="4">
        <f t="shared" si="18"/>
        <v>24800</v>
      </c>
      <c r="Z400" s="4">
        <f t="shared" si="19"/>
        <v>46113</v>
      </c>
    </row>
    <row r="401" spans="16:26" x14ac:dyDescent="0.3">
      <c r="P401" t="s">
        <v>961</v>
      </c>
      <c r="Q401" t="s">
        <v>608</v>
      </c>
      <c r="R401">
        <v>0.92</v>
      </c>
      <c r="S401">
        <v>281000</v>
      </c>
      <c r="T401" s="15">
        <v>46266</v>
      </c>
      <c r="U401" t="s">
        <v>92</v>
      </c>
      <c r="V401" t="s">
        <v>110</v>
      </c>
      <c r="W401" t="s">
        <v>86</v>
      </c>
      <c r="X401">
        <v>138</v>
      </c>
      <c r="Y401" s="4">
        <f t="shared" si="18"/>
        <v>258520</v>
      </c>
      <c r="Z401" s="4">
        <f t="shared" si="19"/>
        <v>46266</v>
      </c>
    </row>
    <row r="402" spans="16:26" x14ac:dyDescent="0.3">
      <c r="P402" t="s">
        <v>962</v>
      </c>
      <c r="Q402" t="s">
        <v>600</v>
      </c>
      <c r="R402">
        <v>0.65</v>
      </c>
      <c r="S402">
        <v>31000</v>
      </c>
      <c r="T402" s="15">
        <v>46143</v>
      </c>
      <c r="U402" t="s">
        <v>87</v>
      </c>
      <c r="V402" t="s">
        <v>81</v>
      </c>
      <c r="W402" t="s">
        <v>96</v>
      </c>
      <c r="X402">
        <v>47</v>
      </c>
      <c r="Y402" s="4">
        <f t="shared" si="18"/>
        <v>20150</v>
      </c>
      <c r="Z402" s="4">
        <f t="shared" si="19"/>
        <v>46143</v>
      </c>
    </row>
    <row r="403" spans="16:26" x14ac:dyDescent="0.3">
      <c r="P403" t="s">
        <v>963</v>
      </c>
      <c r="Q403" t="s">
        <v>600</v>
      </c>
      <c r="R403">
        <v>0.65</v>
      </c>
      <c r="S403">
        <v>71000</v>
      </c>
      <c r="T403" s="15">
        <v>46204</v>
      </c>
      <c r="U403" t="s">
        <v>87</v>
      </c>
      <c r="V403" t="s">
        <v>91</v>
      </c>
      <c r="W403" t="s">
        <v>82</v>
      </c>
      <c r="X403">
        <v>113</v>
      </c>
      <c r="Y403" s="4">
        <f t="shared" si="18"/>
        <v>46150</v>
      </c>
      <c r="Z403" s="4">
        <f t="shared" si="19"/>
        <v>46204</v>
      </c>
    </row>
    <row r="404" spans="16:26" x14ac:dyDescent="0.3">
      <c r="P404" t="s">
        <v>964</v>
      </c>
      <c r="Q404" t="s">
        <v>602</v>
      </c>
      <c r="R404">
        <v>0.5</v>
      </c>
      <c r="S404">
        <v>121000</v>
      </c>
      <c r="T404" s="15">
        <v>46174</v>
      </c>
      <c r="U404" t="s">
        <v>89</v>
      </c>
      <c r="V404" t="s">
        <v>91</v>
      </c>
      <c r="W404" t="s">
        <v>86</v>
      </c>
      <c r="X404">
        <v>74</v>
      </c>
      <c r="Y404" s="4">
        <f t="shared" si="18"/>
        <v>60500</v>
      </c>
      <c r="Z404" s="4">
        <f t="shared" si="19"/>
        <v>46174</v>
      </c>
    </row>
    <row r="405" spans="16:26" x14ac:dyDescent="0.3">
      <c r="P405" t="s">
        <v>965</v>
      </c>
      <c r="Q405" t="s">
        <v>608</v>
      </c>
      <c r="R405">
        <v>0.92</v>
      </c>
      <c r="S405">
        <v>90000</v>
      </c>
      <c r="T405" s="15">
        <v>46357</v>
      </c>
      <c r="U405" t="s">
        <v>87</v>
      </c>
      <c r="V405" t="s">
        <v>91</v>
      </c>
      <c r="W405" t="s">
        <v>82</v>
      </c>
      <c r="X405">
        <v>85</v>
      </c>
      <c r="Y405" s="4">
        <f t="shared" si="18"/>
        <v>82800</v>
      </c>
      <c r="Z405" s="4">
        <f t="shared" si="19"/>
        <v>46357</v>
      </c>
    </row>
    <row r="406" spans="16:26" x14ac:dyDescent="0.3">
      <c r="P406" t="s">
        <v>966</v>
      </c>
      <c r="Q406" t="s">
        <v>602</v>
      </c>
      <c r="R406">
        <v>0.5</v>
      </c>
      <c r="S406">
        <v>560000</v>
      </c>
      <c r="T406" s="15">
        <v>46143</v>
      </c>
      <c r="U406" t="s">
        <v>83</v>
      </c>
      <c r="V406" t="s">
        <v>110</v>
      </c>
      <c r="W406" t="s">
        <v>86</v>
      </c>
      <c r="X406">
        <v>138</v>
      </c>
      <c r="Y406" s="4">
        <f t="shared" si="18"/>
        <v>280000</v>
      </c>
      <c r="Z406" s="4">
        <f t="shared" si="19"/>
        <v>46143</v>
      </c>
    </row>
    <row r="407" spans="16:26" x14ac:dyDescent="0.3">
      <c r="P407" t="s">
        <v>967</v>
      </c>
      <c r="Q407" t="s">
        <v>594</v>
      </c>
      <c r="R407">
        <v>0.8</v>
      </c>
      <c r="S407">
        <v>173000</v>
      </c>
      <c r="T407" s="15">
        <v>46266</v>
      </c>
      <c r="U407" t="s">
        <v>103</v>
      </c>
      <c r="V407" t="s">
        <v>91</v>
      </c>
      <c r="W407" t="s">
        <v>82</v>
      </c>
      <c r="X407">
        <v>78</v>
      </c>
      <c r="Y407" s="4">
        <f t="shared" si="18"/>
        <v>138400</v>
      </c>
      <c r="Z407" s="4">
        <f t="shared" si="19"/>
        <v>46266</v>
      </c>
    </row>
    <row r="408" spans="16:26" x14ac:dyDescent="0.3">
      <c r="P408" t="s">
        <v>968</v>
      </c>
      <c r="Q408" t="s">
        <v>596</v>
      </c>
      <c r="R408">
        <v>0.3</v>
      </c>
      <c r="S408">
        <v>87000</v>
      </c>
      <c r="T408" s="15">
        <v>46266</v>
      </c>
      <c r="U408" t="s">
        <v>101</v>
      </c>
      <c r="V408" t="s">
        <v>91</v>
      </c>
      <c r="W408" t="s">
        <v>86</v>
      </c>
      <c r="X408">
        <v>76</v>
      </c>
      <c r="Y408" s="4">
        <f t="shared" si="18"/>
        <v>26100</v>
      </c>
      <c r="Z408" s="4">
        <f t="shared" si="19"/>
        <v>46266</v>
      </c>
    </row>
    <row r="409" spans="16:26" x14ac:dyDescent="0.3">
      <c r="P409" t="s">
        <v>969</v>
      </c>
      <c r="Q409" t="s">
        <v>598</v>
      </c>
      <c r="R409">
        <v>0.15</v>
      </c>
      <c r="S409">
        <v>422000</v>
      </c>
      <c r="T409" s="15">
        <v>46296</v>
      </c>
      <c r="U409" t="s">
        <v>87</v>
      </c>
      <c r="V409" t="s">
        <v>110</v>
      </c>
      <c r="W409" t="s">
        <v>99</v>
      </c>
      <c r="X409">
        <v>123</v>
      </c>
      <c r="Y409" s="4">
        <f t="shared" si="18"/>
        <v>63300</v>
      </c>
      <c r="Z409" s="4">
        <f t="shared" si="19"/>
        <v>46296</v>
      </c>
    </row>
    <row r="410" spans="16:26" x14ac:dyDescent="0.3">
      <c r="P410" t="s">
        <v>970</v>
      </c>
      <c r="Q410" t="s">
        <v>594</v>
      </c>
      <c r="R410">
        <v>0.8</v>
      </c>
      <c r="S410">
        <v>18000</v>
      </c>
      <c r="T410" s="15">
        <v>46296</v>
      </c>
      <c r="U410" t="s">
        <v>103</v>
      </c>
      <c r="V410" t="s">
        <v>81</v>
      </c>
      <c r="W410" t="s">
        <v>86</v>
      </c>
      <c r="X410">
        <v>55</v>
      </c>
      <c r="Y410" s="4">
        <f t="shared" si="18"/>
        <v>14400</v>
      </c>
      <c r="Z410" s="4">
        <f t="shared" si="19"/>
        <v>46296</v>
      </c>
    </row>
    <row r="411" spans="16:26" x14ac:dyDescent="0.3">
      <c r="P411" t="s">
        <v>971</v>
      </c>
      <c r="Q411" t="s">
        <v>602</v>
      </c>
      <c r="R411">
        <v>0.5</v>
      </c>
      <c r="S411">
        <v>127000</v>
      </c>
      <c r="T411" s="15">
        <v>46296</v>
      </c>
      <c r="U411" t="s">
        <v>87</v>
      </c>
      <c r="V411" t="s">
        <v>91</v>
      </c>
      <c r="W411" t="s">
        <v>82</v>
      </c>
      <c r="X411">
        <v>53</v>
      </c>
      <c r="Y411" s="4">
        <f t="shared" si="18"/>
        <v>63500</v>
      </c>
      <c r="Z411" s="4">
        <f t="shared" si="19"/>
        <v>46296</v>
      </c>
    </row>
    <row r="412" spans="16:26" x14ac:dyDescent="0.3">
      <c r="P412" t="s">
        <v>972</v>
      </c>
      <c r="Q412" t="s">
        <v>598</v>
      </c>
      <c r="R412">
        <v>0.15</v>
      </c>
      <c r="S412">
        <v>140000</v>
      </c>
      <c r="T412" s="15">
        <v>46357</v>
      </c>
      <c r="U412" t="s">
        <v>83</v>
      </c>
      <c r="V412" t="s">
        <v>91</v>
      </c>
      <c r="W412" t="s">
        <v>86</v>
      </c>
      <c r="X412">
        <v>83</v>
      </c>
      <c r="Y412" s="4">
        <f t="shared" si="18"/>
        <v>21000</v>
      </c>
      <c r="Z412" s="4">
        <f t="shared" si="19"/>
        <v>46357</v>
      </c>
    </row>
    <row r="413" spans="16:26" x14ac:dyDescent="0.3">
      <c r="P413" t="s">
        <v>973</v>
      </c>
      <c r="Q413" t="s">
        <v>602</v>
      </c>
      <c r="R413">
        <v>0.5</v>
      </c>
      <c r="S413">
        <v>122000</v>
      </c>
      <c r="T413" s="15">
        <v>46204</v>
      </c>
      <c r="U413" t="s">
        <v>83</v>
      </c>
      <c r="V413" t="s">
        <v>91</v>
      </c>
      <c r="W413" t="s">
        <v>86</v>
      </c>
      <c r="X413">
        <v>89</v>
      </c>
      <c r="Y413" s="4">
        <f t="shared" si="18"/>
        <v>61000</v>
      </c>
      <c r="Z413" s="4">
        <f t="shared" si="19"/>
        <v>46204</v>
      </c>
    </row>
    <row r="414" spans="16:26" x14ac:dyDescent="0.3">
      <c r="P414" t="s">
        <v>974</v>
      </c>
      <c r="Q414" t="s">
        <v>600</v>
      </c>
      <c r="R414">
        <v>0.65</v>
      </c>
      <c r="S414">
        <v>48000</v>
      </c>
      <c r="T414" s="15">
        <v>46357</v>
      </c>
      <c r="U414" t="s">
        <v>89</v>
      </c>
      <c r="V414" t="s">
        <v>81</v>
      </c>
      <c r="W414" t="s">
        <v>96</v>
      </c>
      <c r="X414">
        <v>39</v>
      </c>
      <c r="Y414" s="4">
        <f t="shared" si="18"/>
        <v>31200</v>
      </c>
      <c r="Z414" s="4">
        <f t="shared" si="19"/>
        <v>46357</v>
      </c>
    </row>
    <row r="415" spans="16:26" x14ac:dyDescent="0.3">
      <c r="P415" t="s">
        <v>975</v>
      </c>
      <c r="Q415" t="s">
        <v>594</v>
      </c>
      <c r="R415">
        <v>0.8</v>
      </c>
      <c r="S415">
        <v>316000</v>
      </c>
      <c r="T415" s="15">
        <v>46266</v>
      </c>
      <c r="U415" t="s">
        <v>103</v>
      </c>
      <c r="V415" t="s">
        <v>110</v>
      </c>
      <c r="W415" t="s">
        <v>96</v>
      </c>
      <c r="X415">
        <v>148</v>
      </c>
      <c r="Y415" s="4">
        <f t="shared" si="18"/>
        <v>252800</v>
      </c>
      <c r="Z415" s="4">
        <f t="shared" si="19"/>
        <v>46266</v>
      </c>
    </row>
    <row r="416" spans="16:26" x14ac:dyDescent="0.3">
      <c r="P416" t="s">
        <v>976</v>
      </c>
      <c r="Q416" t="s">
        <v>608</v>
      </c>
      <c r="R416">
        <v>0.92</v>
      </c>
      <c r="S416">
        <v>263000</v>
      </c>
      <c r="T416" s="15">
        <v>46327</v>
      </c>
      <c r="U416" t="s">
        <v>97</v>
      </c>
      <c r="V416" t="s">
        <v>110</v>
      </c>
      <c r="W416" t="s">
        <v>99</v>
      </c>
      <c r="X416">
        <v>131</v>
      </c>
      <c r="Y416" s="4">
        <f t="shared" si="18"/>
        <v>241960</v>
      </c>
      <c r="Z416" s="4">
        <f t="shared" si="19"/>
        <v>46327</v>
      </c>
    </row>
    <row r="417" spans="16:26" x14ac:dyDescent="0.3">
      <c r="P417" t="s">
        <v>977</v>
      </c>
      <c r="Q417" t="s">
        <v>602</v>
      </c>
      <c r="R417">
        <v>0.5</v>
      </c>
      <c r="S417">
        <v>123000</v>
      </c>
      <c r="T417" s="15">
        <v>46357</v>
      </c>
      <c r="U417" t="s">
        <v>87</v>
      </c>
      <c r="V417" t="s">
        <v>91</v>
      </c>
      <c r="W417" t="s">
        <v>82</v>
      </c>
      <c r="X417">
        <v>92</v>
      </c>
      <c r="Y417" s="4">
        <f t="shared" si="18"/>
        <v>61500</v>
      </c>
      <c r="Z417" s="4">
        <f t="shared" si="19"/>
        <v>46357</v>
      </c>
    </row>
    <row r="418" spans="16:26" x14ac:dyDescent="0.3">
      <c r="P418" t="s">
        <v>978</v>
      </c>
      <c r="Q418" t="s">
        <v>594</v>
      </c>
      <c r="R418">
        <v>0.8</v>
      </c>
      <c r="S418">
        <v>28000</v>
      </c>
      <c r="T418" s="15">
        <v>46174</v>
      </c>
      <c r="U418" t="s">
        <v>92</v>
      </c>
      <c r="V418" t="s">
        <v>81</v>
      </c>
      <c r="W418" t="s">
        <v>96</v>
      </c>
      <c r="X418">
        <v>62</v>
      </c>
      <c r="Y418" s="4">
        <f t="shared" si="18"/>
        <v>22400</v>
      </c>
      <c r="Z418" s="4">
        <f t="shared" si="19"/>
        <v>46174</v>
      </c>
    </row>
    <row r="419" spans="16:26" x14ac:dyDescent="0.3">
      <c r="P419" t="s">
        <v>979</v>
      </c>
      <c r="Q419" t="s">
        <v>600</v>
      </c>
      <c r="R419">
        <v>0.65</v>
      </c>
      <c r="S419">
        <v>45000</v>
      </c>
      <c r="T419" s="15">
        <v>46113</v>
      </c>
      <c r="U419" t="s">
        <v>97</v>
      </c>
      <c r="V419" t="s">
        <v>81</v>
      </c>
      <c r="W419" t="s">
        <v>86</v>
      </c>
      <c r="X419">
        <v>44</v>
      </c>
      <c r="Y419" s="4">
        <f t="shared" si="18"/>
        <v>29250</v>
      </c>
      <c r="Z419" s="4">
        <f t="shared" si="19"/>
        <v>46113</v>
      </c>
    </row>
    <row r="420" spans="16:26" x14ac:dyDescent="0.3">
      <c r="P420" t="s">
        <v>980</v>
      </c>
      <c r="Q420" t="s">
        <v>598</v>
      </c>
      <c r="R420">
        <v>0.15</v>
      </c>
      <c r="S420">
        <v>109000</v>
      </c>
      <c r="T420" s="15">
        <v>46357</v>
      </c>
      <c r="U420" t="s">
        <v>89</v>
      </c>
      <c r="V420" t="s">
        <v>91</v>
      </c>
      <c r="W420" t="s">
        <v>82</v>
      </c>
      <c r="X420">
        <v>65</v>
      </c>
      <c r="Y420" s="4">
        <f t="shared" si="18"/>
        <v>16350</v>
      </c>
      <c r="Z420" s="4">
        <f t="shared" si="19"/>
        <v>46357</v>
      </c>
    </row>
    <row r="421" spans="16:26" x14ac:dyDescent="0.3">
      <c r="P421" t="s">
        <v>981</v>
      </c>
      <c r="Q421" t="s">
        <v>602</v>
      </c>
      <c r="R421">
        <v>0.5</v>
      </c>
      <c r="S421">
        <v>48000</v>
      </c>
      <c r="T421" s="15">
        <v>46357</v>
      </c>
      <c r="U421" t="s">
        <v>89</v>
      </c>
      <c r="V421" t="s">
        <v>81</v>
      </c>
      <c r="W421" t="s">
        <v>86</v>
      </c>
      <c r="X421">
        <v>50</v>
      </c>
      <c r="Y421" s="4">
        <f t="shared" si="18"/>
        <v>24000</v>
      </c>
      <c r="Z421" s="4">
        <f t="shared" si="19"/>
        <v>46357</v>
      </c>
    </row>
    <row r="422" spans="16:26" x14ac:dyDescent="0.3">
      <c r="P422" t="s">
        <v>982</v>
      </c>
      <c r="Q422" t="s">
        <v>596</v>
      </c>
      <c r="R422">
        <v>0.3</v>
      </c>
      <c r="S422">
        <v>269000</v>
      </c>
      <c r="T422" s="15">
        <v>46082</v>
      </c>
      <c r="U422" t="s">
        <v>97</v>
      </c>
      <c r="V422" t="s">
        <v>110</v>
      </c>
      <c r="W422" t="s">
        <v>86</v>
      </c>
      <c r="X422">
        <v>140</v>
      </c>
      <c r="Y422" s="4">
        <f t="shared" si="18"/>
        <v>80700</v>
      </c>
      <c r="Z422" s="4">
        <f t="shared" si="19"/>
        <v>46082</v>
      </c>
    </row>
    <row r="423" spans="16:26" x14ac:dyDescent="0.3">
      <c r="P423" t="s">
        <v>983</v>
      </c>
      <c r="Q423" t="s">
        <v>608</v>
      </c>
      <c r="R423">
        <v>0.92</v>
      </c>
      <c r="S423">
        <v>316000</v>
      </c>
      <c r="T423" s="15">
        <v>46082</v>
      </c>
      <c r="U423" t="s">
        <v>97</v>
      </c>
      <c r="V423" t="s">
        <v>110</v>
      </c>
      <c r="W423" t="s">
        <v>82</v>
      </c>
      <c r="X423">
        <v>82</v>
      </c>
      <c r="Y423" s="4">
        <f t="shared" ref="Y423:Y458" si="20">R423*S423</f>
        <v>290720</v>
      </c>
      <c r="Z423" s="4">
        <f t="shared" ref="Z423:Z458" si="21">DATE(YEAR(T423),MONTH(T423),1)</f>
        <v>46082</v>
      </c>
    </row>
    <row r="424" spans="16:26" x14ac:dyDescent="0.3">
      <c r="P424" t="s">
        <v>984</v>
      </c>
      <c r="Q424" t="s">
        <v>594</v>
      </c>
      <c r="R424">
        <v>0.8</v>
      </c>
      <c r="S424">
        <v>26000</v>
      </c>
      <c r="T424" s="15">
        <v>46082</v>
      </c>
      <c r="U424" t="s">
        <v>92</v>
      </c>
      <c r="V424" t="s">
        <v>81</v>
      </c>
      <c r="W424" t="s">
        <v>82</v>
      </c>
      <c r="X424">
        <v>75</v>
      </c>
      <c r="Y424" s="4">
        <f t="shared" si="20"/>
        <v>20800</v>
      </c>
      <c r="Z424" s="4">
        <f t="shared" si="21"/>
        <v>46082</v>
      </c>
    </row>
    <row r="425" spans="16:26" x14ac:dyDescent="0.3">
      <c r="P425" t="s">
        <v>985</v>
      </c>
      <c r="Q425" t="s">
        <v>602</v>
      </c>
      <c r="R425">
        <v>0.5</v>
      </c>
      <c r="S425">
        <v>29000</v>
      </c>
      <c r="T425" s="15">
        <v>46054</v>
      </c>
      <c r="U425" t="s">
        <v>89</v>
      </c>
      <c r="V425" t="s">
        <v>81</v>
      </c>
      <c r="W425" t="s">
        <v>99</v>
      </c>
      <c r="X425">
        <v>70</v>
      </c>
      <c r="Y425" s="4">
        <f t="shared" si="20"/>
        <v>14500</v>
      </c>
      <c r="Z425" s="4">
        <f t="shared" si="21"/>
        <v>46054</v>
      </c>
    </row>
    <row r="426" spans="16:26" x14ac:dyDescent="0.3">
      <c r="P426" t="s">
        <v>986</v>
      </c>
      <c r="Q426" t="s">
        <v>596</v>
      </c>
      <c r="R426">
        <v>0.3</v>
      </c>
      <c r="S426">
        <v>43000</v>
      </c>
      <c r="T426" s="15">
        <v>46357</v>
      </c>
      <c r="U426" t="s">
        <v>92</v>
      </c>
      <c r="V426" t="s">
        <v>81</v>
      </c>
      <c r="W426" t="s">
        <v>82</v>
      </c>
      <c r="X426">
        <v>43</v>
      </c>
      <c r="Y426" s="4">
        <f t="shared" si="20"/>
        <v>12900</v>
      </c>
      <c r="Z426" s="4">
        <f t="shared" si="21"/>
        <v>46357</v>
      </c>
    </row>
    <row r="427" spans="16:26" x14ac:dyDescent="0.3">
      <c r="P427" t="s">
        <v>987</v>
      </c>
      <c r="Q427" t="s">
        <v>602</v>
      </c>
      <c r="R427">
        <v>0.5</v>
      </c>
      <c r="S427">
        <v>45000</v>
      </c>
      <c r="T427" s="15">
        <v>46357</v>
      </c>
      <c r="U427" t="s">
        <v>83</v>
      </c>
      <c r="V427" t="s">
        <v>81</v>
      </c>
      <c r="W427" t="s">
        <v>99</v>
      </c>
      <c r="X427">
        <v>59</v>
      </c>
      <c r="Y427" s="4">
        <f t="shared" si="20"/>
        <v>22500</v>
      </c>
      <c r="Z427" s="4">
        <f t="shared" si="21"/>
        <v>46357</v>
      </c>
    </row>
    <row r="428" spans="16:26" x14ac:dyDescent="0.3">
      <c r="P428" t="s">
        <v>988</v>
      </c>
      <c r="Q428" t="s">
        <v>600</v>
      </c>
      <c r="R428">
        <v>0.65</v>
      </c>
      <c r="S428">
        <v>41000</v>
      </c>
      <c r="T428" s="15">
        <v>46266</v>
      </c>
      <c r="U428" t="s">
        <v>103</v>
      </c>
      <c r="V428" t="s">
        <v>81</v>
      </c>
      <c r="W428" t="s">
        <v>86</v>
      </c>
      <c r="X428">
        <v>57</v>
      </c>
      <c r="Y428" s="4">
        <f t="shared" si="20"/>
        <v>26650</v>
      </c>
      <c r="Z428" s="4">
        <f t="shared" si="21"/>
        <v>46266</v>
      </c>
    </row>
    <row r="429" spans="16:26" x14ac:dyDescent="0.3">
      <c r="P429" t="s">
        <v>989</v>
      </c>
      <c r="Q429" t="s">
        <v>598</v>
      </c>
      <c r="R429">
        <v>0.15</v>
      </c>
      <c r="S429">
        <v>108000</v>
      </c>
      <c r="T429" s="15">
        <v>46235</v>
      </c>
      <c r="U429" t="s">
        <v>103</v>
      </c>
      <c r="V429" t="s">
        <v>91</v>
      </c>
      <c r="W429" t="s">
        <v>86</v>
      </c>
      <c r="X429">
        <v>71</v>
      </c>
      <c r="Y429" s="4">
        <f t="shared" si="20"/>
        <v>16200</v>
      </c>
      <c r="Z429" s="4">
        <f t="shared" si="21"/>
        <v>46235</v>
      </c>
    </row>
    <row r="430" spans="16:26" x14ac:dyDescent="0.3">
      <c r="P430" t="s">
        <v>990</v>
      </c>
      <c r="Q430" t="s">
        <v>608</v>
      </c>
      <c r="R430">
        <v>0.92</v>
      </c>
      <c r="S430">
        <v>34000</v>
      </c>
      <c r="T430" s="15">
        <v>46054</v>
      </c>
      <c r="U430" t="s">
        <v>103</v>
      </c>
      <c r="V430" t="s">
        <v>81</v>
      </c>
      <c r="W430" t="s">
        <v>86</v>
      </c>
      <c r="X430">
        <v>47</v>
      </c>
      <c r="Y430" s="4">
        <f t="shared" si="20"/>
        <v>31280</v>
      </c>
      <c r="Z430" s="4">
        <f t="shared" si="21"/>
        <v>46054</v>
      </c>
    </row>
    <row r="431" spans="16:26" x14ac:dyDescent="0.3">
      <c r="P431" t="s">
        <v>991</v>
      </c>
      <c r="Q431" t="s">
        <v>602</v>
      </c>
      <c r="R431">
        <v>0.5</v>
      </c>
      <c r="S431">
        <v>48000</v>
      </c>
      <c r="T431" s="15">
        <v>46357</v>
      </c>
      <c r="U431" t="s">
        <v>89</v>
      </c>
      <c r="V431" t="s">
        <v>81</v>
      </c>
      <c r="W431" t="s">
        <v>82</v>
      </c>
      <c r="X431">
        <v>56</v>
      </c>
      <c r="Y431" s="4">
        <f t="shared" si="20"/>
        <v>24000</v>
      </c>
      <c r="Z431" s="4">
        <f t="shared" si="21"/>
        <v>46357</v>
      </c>
    </row>
    <row r="432" spans="16:26" x14ac:dyDescent="0.3">
      <c r="P432" t="s">
        <v>992</v>
      </c>
      <c r="Q432" t="s">
        <v>602</v>
      </c>
      <c r="R432">
        <v>0.5</v>
      </c>
      <c r="S432">
        <v>33000</v>
      </c>
      <c r="T432" s="15">
        <v>46327</v>
      </c>
      <c r="U432" t="s">
        <v>87</v>
      </c>
      <c r="V432" t="s">
        <v>81</v>
      </c>
      <c r="W432" t="s">
        <v>82</v>
      </c>
      <c r="X432">
        <v>45</v>
      </c>
      <c r="Y432" s="4">
        <f t="shared" si="20"/>
        <v>16500</v>
      </c>
      <c r="Z432" s="4">
        <f t="shared" si="21"/>
        <v>46327</v>
      </c>
    </row>
    <row r="433" spans="16:26" x14ac:dyDescent="0.3">
      <c r="P433" t="s">
        <v>993</v>
      </c>
      <c r="Q433" t="s">
        <v>600</v>
      </c>
      <c r="R433">
        <v>0.65</v>
      </c>
      <c r="S433">
        <v>356000</v>
      </c>
      <c r="T433" s="15">
        <v>46235</v>
      </c>
      <c r="U433" t="s">
        <v>87</v>
      </c>
      <c r="V433" t="s">
        <v>110</v>
      </c>
      <c r="W433" t="s">
        <v>86</v>
      </c>
      <c r="X433">
        <v>142</v>
      </c>
      <c r="Y433" s="4">
        <f t="shared" si="20"/>
        <v>231400</v>
      </c>
      <c r="Z433" s="4">
        <f t="shared" si="21"/>
        <v>46235</v>
      </c>
    </row>
    <row r="434" spans="16:26" x14ac:dyDescent="0.3">
      <c r="P434" t="s">
        <v>994</v>
      </c>
      <c r="Q434" t="s">
        <v>600</v>
      </c>
      <c r="R434">
        <v>0.65</v>
      </c>
      <c r="S434">
        <v>149000</v>
      </c>
      <c r="T434" s="15">
        <v>46174</v>
      </c>
      <c r="U434" t="s">
        <v>101</v>
      </c>
      <c r="V434" t="s">
        <v>91</v>
      </c>
      <c r="W434" t="s">
        <v>82</v>
      </c>
      <c r="X434">
        <v>84</v>
      </c>
      <c r="Y434" s="4">
        <f t="shared" si="20"/>
        <v>96850</v>
      </c>
      <c r="Z434" s="4">
        <f t="shared" si="21"/>
        <v>46174</v>
      </c>
    </row>
    <row r="435" spans="16:26" x14ac:dyDescent="0.3">
      <c r="P435" t="s">
        <v>995</v>
      </c>
      <c r="Q435" t="s">
        <v>600</v>
      </c>
      <c r="R435">
        <v>0.65</v>
      </c>
      <c r="S435">
        <v>134000</v>
      </c>
      <c r="T435" s="15">
        <v>46023</v>
      </c>
      <c r="U435" t="s">
        <v>101</v>
      </c>
      <c r="V435" t="s">
        <v>91</v>
      </c>
      <c r="W435" t="s">
        <v>86</v>
      </c>
      <c r="X435">
        <v>81</v>
      </c>
      <c r="Y435" s="4">
        <f t="shared" si="20"/>
        <v>87100</v>
      </c>
      <c r="Z435" s="4">
        <f t="shared" si="21"/>
        <v>46023</v>
      </c>
    </row>
    <row r="436" spans="16:26" x14ac:dyDescent="0.3">
      <c r="P436" t="s">
        <v>996</v>
      </c>
      <c r="Q436" t="s">
        <v>598</v>
      </c>
      <c r="R436">
        <v>0.15</v>
      </c>
      <c r="S436">
        <v>37000</v>
      </c>
      <c r="T436" s="15">
        <v>46266</v>
      </c>
      <c r="U436" t="s">
        <v>83</v>
      </c>
      <c r="V436" t="s">
        <v>81</v>
      </c>
      <c r="W436" t="s">
        <v>96</v>
      </c>
      <c r="X436">
        <v>61</v>
      </c>
      <c r="Y436" s="4">
        <f t="shared" si="20"/>
        <v>5550</v>
      </c>
      <c r="Z436" s="4">
        <f t="shared" si="21"/>
        <v>46266</v>
      </c>
    </row>
    <row r="437" spans="16:26" x14ac:dyDescent="0.3">
      <c r="P437" t="s">
        <v>997</v>
      </c>
      <c r="Q437" t="s">
        <v>594</v>
      </c>
      <c r="R437">
        <v>0.8</v>
      </c>
      <c r="S437">
        <v>297000</v>
      </c>
      <c r="T437" s="15">
        <v>46113</v>
      </c>
      <c r="U437" t="s">
        <v>101</v>
      </c>
      <c r="V437" t="s">
        <v>110</v>
      </c>
      <c r="W437" t="s">
        <v>99</v>
      </c>
      <c r="X437">
        <v>112</v>
      </c>
      <c r="Y437" s="4">
        <f t="shared" si="20"/>
        <v>237600</v>
      </c>
      <c r="Z437" s="4">
        <f t="shared" si="21"/>
        <v>46113</v>
      </c>
    </row>
    <row r="438" spans="16:26" x14ac:dyDescent="0.3">
      <c r="P438" t="s">
        <v>998</v>
      </c>
      <c r="Q438" t="s">
        <v>594</v>
      </c>
      <c r="R438">
        <v>0.8</v>
      </c>
      <c r="S438">
        <v>29000</v>
      </c>
      <c r="T438" s="15">
        <v>46054</v>
      </c>
      <c r="U438" t="s">
        <v>103</v>
      </c>
      <c r="V438" t="s">
        <v>81</v>
      </c>
      <c r="W438" t="s">
        <v>86</v>
      </c>
      <c r="X438">
        <v>35</v>
      </c>
      <c r="Y438" s="4">
        <f t="shared" si="20"/>
        <v>23200</v>
      </c>
      <c r="Z438" s="4">
        <f t="shared" si="21"/>
        <v>46054</v>
      </c>
    </row>
    <row r="439" spans="16:26" x14ac:dyDescent="0.3">
      <c r="P439" t="s">
        <v>999</v>
      </c>
      <c r="Q439" t="s">
        <v>600</v>
      </c>
      <c r="R439">
        <v>0.65</v>
      </c>
      <c r="S439">
        <v>37000</v>
      </c>
      <c r="T439" s="15">
        <v>46266</v>
      </c>
      <c r="U439" t="s">
        <v>92</v>
      </c>
      <c r="V439" t="s">
        <v>81</v>
      </c>
      <c r="W439" t="s">
        <v>82</v>
      </c>
      <c r="X439">
        <v>53</v>
      </c>
      <c r="Y439" s="4">
        <f t="shared" si="20"/>
        <v>24050</v>
      </c>
      <c r="Z439" s="4">
        <f t="shared" si="21"/>
        <v>46266</v>
      </c>
    </row>
    <row r="440" spans="16:26" x14ac:dyDescent="0.3">
      <c r="P440" t="s">
        <v>1000</v>
      </c>
      <c r="Q440" t="s">
        <v>608</v>
      </c>
      <c r="R440">
        <v>0.92</v>
      </c>
      <c r="S440">
        <v>527000</v>
      </c>
      <c r="T440" s="15">
        <v>46235</v>
      </c>
      <c r="U440" t="s">
        <v>97</v>
      </c>
      <c r="V440" t="s">
        <v>110</v>
      </c>
      <c r="W440" t="s">
        <v>99</v>
      </c>
      <c r="X440">
        <v>130</v>
      </c>
      <c r="Y440" s="4">
        <f t="shared" si="20"/>
        <v>484840</v>
      </c>
      <c r="Z440" s="4">
        <f t="shared" si="21"/>
        <v>46235</v>
      </c>
    </row>
    <row r="441" spans="16:26" x14ac:dyDescent="0.3">
      <c r="P441" t="s">
        <v>1001</v>
      </c>
      <c r="Q441" t="s">
        <v>600</v>
      </c>
      <c r="R441">
        <v>0.65</v>
      </c>
      <c r="S441">
        <v>27000</v>
      </c>
      <c r="T441" s="15">
        <v>46023</v>
      </c>
      <c r="U441" t="s">
        <v>103</v>
      </c>
      <c r="V441" t="s">
        <v>81</v>
      </c>
      <c r="W441" t="s">
        <v>99</v>
      </c>
      <c r="X441">
        <v>64</v>
      </c>
      <c r="Y441" s="4">
        <f t="shared" si="20"/>
        <v>17550</v>
      </c>
      <c r="Z441" s="4">
        <f t="shared" si="21"/>
        <v>46023</v>
      </c>
    </row>
    <row r="442" spans="16:26" x14ac:dyDescent="0.3">
      <c r="P442" t="s">
        <v>1002</v>
      </c>
      <c r="Q442" t="s">
        <v>608</v>
      </c>
      <c r="R442">
        <v>0.92</v>
      </c>
      <c r="S442">
        <v>109000</v>
      </c>
      <c r="T442" s="15">
        <v>46113</v>
      </c>
      <c r="U442" t="s">
        <v>89</v>
      </c>
      <c r="V442" t="s">
        <v>91</v>
      </c>
      <c r="W442" t="s">
        <v>82</v>
      </c>
      <c r="X442">
        <v>70</v>
      </c>
      <c r="Y442" s="4">
        <f t="shared" si="20"/>
        <v>100280</v>
      </c>
      <c r="Z442" s="4">
        <f t="shared" si="21"/>
        <v>46113</v>
      </c>
    </row>
    <row r="443" spans="16:26" x14ac:dyDescent="0.3">
      <c r="P443" t="s">
        <v>1003</v>
      </c>
      <c r="Q443" t="s">
        <v>596</v>
      </c>
      <c r="R443">
        <v>0.3</v>
      </c>
      <c r="S443">
        <v>27000</v>
      </c>
      <c r="T443" s="15">
        <v>46113</v>
      </c>
      <c r="U443" t="s">
        <v>89</v>
      </c>
      <c r="V443" t="s">
        <v>81</v>
      </c>
      <c r="W443" t="s">
        <v>82</v>
      </c>
      <c r="X443">
        <v>48</v>
      </c>
      <c r="Y443" s="4">
        <f t="shared" si="20"/>
        <v>8100</v>
      </c>
      <c r="Z443" s="4">
        <f t="shared" si="21"/>
        <v>46113</v>
      </c>
    </row>
    <row r="444" spans="16:26" x14ac:dyDescent="0.3">
      <c r="P444" t="s">
        <v>1004</v>
      </c>
      <c r="Q444" t="s">
        <v>598</v>
      </c>
      <c r="R444">
        <v>0.15</v>
      </c>
      <c r="S444">
        <v>471000</v>
      </c>
      <c r="T444" s="15">
        <v>46143</v>
      </c>
      <c r="U444" t="s">
        <v>83</v>
      </c>
      <c r="V444" t="s">
        <v>110</v>
      </c>
      <c r="W444" t="s">
        <v>86</v>
      </c>
      <c r="X444">
        <v>151</v>
      </c>
      <c r="Y444" s="4">
        <f t="shared" si="20"/>
        <v>70650</v>
      </c>
      <c r="Z444" s="4">
        <f t="shared" si="21"/>
        <v>46143</v>
      </c>
    </row>
    <row r="445" spans="16:26" x14ac:dyDescent="0.3">
      <c r="P445" t="s">
        <v>1005</v>
      </c>
      <c r="Q445" t="s">
        <v>594</v>
      </c>
      <c r="R445">
        <v>0.8</v>
      </c>
      <c r="S445">
        <v>25000</v>
      </c>
      <c r="T445" s="15">
        <v>46357</v>
      </c>
      <c r="U445" t="s">
        <v>101</v>
      </c>
      <c r="V445" t="s">
        <v>81</v>
      </c>
      <c r="W445" t="s">
        <v>82</v>
      </c>
      <c r="X445">
        <v>44</v>
      </c>
      <c r="Y445" s="4">
        <f t="shared" si="20"/>
        <v>20000</v>
      </c>
      <c r="Z445" s="4">
        <f t="shared" si="21"/>
        <v>46357</v>
      </c>
    </row>
    <row r="446" spans="16:26" x14ac:dyDescent="0.3">
      <c r="P446" t="s">
        <v>1006</v>
      </c>
      <c r="Q446" t="s">
        <v>602</v>
      </c>
      <c r="R446">
        <v>0.5</v>
      </c>
      <c r="S446">
        <v>21000</v>
      </c>
      <c r="T446" s="15">
        <v>46327</v>
      </c>
      <c r="U446" t="s">
        <v>101</v>
      </c>
      <c r="V446" t="s">
        <v>81</v>
      </c>
      <c r="W446" t="s">
        <v>82</v>
      </c>
      <c r="X446">
        <v>62</v>
      </c>
      <c r="Y446" s="4">
        <f t="shared" si="20"/>
        <v>10500</v>
      </c>
      <c r="Z446" s="4">
        <f t="shared" si="21"/>
        <v>46327</v>
      </c>
    </row>
    <row r="447" spans="16:26" x14ac:dyDescent="0.3">
      <c r="P447" t="s">
        <v>1007</v>
      </c>
      <c r="Q447" t="s">
        <v>594</v>
      </c>
      <c r="R447">
        <v>0.8</v>
      </c>
      <c r="S447">
        <v>133000</v>
      </c>
      <c r="T447" s="15">
        <v>46174</v>
      </c>
      <c r="U447" t="s">
        <v>97</v>
      </c>
      <c r="V447" t="s">
        <v>91</v>
      </c>
      <c r="W447" t="s">
        <v>86</v>
      </c>
      <c r="X447">
        <v>94</v>
      </c>
      <c r="Y447" s="4">
        <f t="shared" si="20"/>
        <v>106400</v>
      </c>
      <c r="Z447" s="4">
        <f t="shared" si="21"/>
        <v>46174</v>
      </c>
    </row>
    <row r="448" spans="16:26" x14ac:dyDescent="0.3">
      <c r="P448" t="s">
        <v>1008</v>
      </c>
      <c r="Q448" t="s">
        <v>598</v>
      </c>
      <c r="R448">
        <v>0.15</v>
      </c>
      <c r="S448">
        <v>87000</v>
      </c>
      <c r="T448" s="15">
        <v>46113</v>
      </c>
      <c r="U448" t="s">
        <v>97</v>
      </c>
      <c r="V448" t="s">
        <v>91</v>
      </c>
      <c r="W448" t="s">
        <v>82</v>
      </c>
      <c r="X448">
        <v>81</v>
      </c>
      <c r="Y448" s="4">
        <f t="shared" si="20"/>
        <v>13050</v>
      </c>
      <c r="Z448" s="4">
        <f t="shared" si="21"/>
        <v>46113</v>
      </c>
    </row>
    <row r="449" spans="16:26" x14ac:dyDescent="0.3">
      <c r="P449" t="s">
        <v>1009</v>
      </c>
      <c r="Q449" t="s">
        <v>598</v>
      </c>
      <c r="R449">
        <v>0.15</v>
      </c>
      <c r="S449">
        <v>149000</v>
      </c>
      <c r="T449" s="15">
        <v>46113</v>
      </c>
      <c r="U449" t="s">
        <v>103</v>
      </c>
      <c r="V449" t="s">
        <v>91</v>
      </c>
      <c r="W449" t="s">
        <v>82</v>
      </c>
      <c r="X449">
        <v>102</v>
      </c>
      <c r="Y449" s="4">
        <f t="shared" si="20"/>
        <v>22350</v>
      </c>
      <c r="Z449" s="4">
        <f t="shared" si="21"/>
        <v>46113</v>
      </c>
    </row>
    <row r="450" spans="16:26" x14ac:dyDescent="0.3">
      <c r="P450" t="s">
        <v>1010</v>
      </c>
      <c r="Q450" t="s">
        <v>602</v>
      </c>
      <c r="R450">
        <v>0.5</v>
      </c>
      <c r="S450">
        <v>129000</v>
      </c>
      <c r="T450" s="15">
        <v>46082</v>
      </c>
      <c r="U450" t="s">
        <v>101</v>
      </c>
      <c r="V450" t="s">
        <v>91</v>
      </c>
      <c r="W450" t="s">
        <v>86</v>
      </c>
      <c r="X450">
        <v>73</v>
      </c>
      <c r="Y450" s="4">
        <f t="shared" si="20"/>
        <v>64500</v>
      </c>
      <c r="Z450" s="4">
        <f t="shared" si="21"/>
        <v>46082</v>
      </c>
    </row>
    <row r="451" spans="16:26" x14ac:dyDescent="0.3">
      <c r="P451" t="s">
        <v>1011</v>
      </c>
      <c r="Q451" t="s">
        <v>598</v>
      </c>
      <c r="R451">
        <v>0.15</v>
      </c>
      <c r="S451">
        <v>364000</v>
      </c>
      <c r="T451" s="15">
        <v>46113</v>
      </c>
      <c r="U451" t="s">
        <v>87</v>
      </c>
      <c r="V451" t="s">
        <v>110</v>
      </c>
      <c r="W451" t="s">
        <v>86</v>
      </c>
      <c r="X451">
        <v>137</v>
      </c>
      <c r="Y451" s="4">
        <f t="shared" si="20"/>
        <v>54600</v>
      </c>
      <c r="Z451" s="4">
        <f t="shared" si="21"/>
        <v>46113</v>
      </c>
    </row>
    <row r="452" spans="16:26" x14ac:dyDescent="0.3">
      <c r="P452" t="s">
        <v>1012</v>
      </c>
      <c r="Q452" t="s">
        <v>598</v>
      </c>
      <c r="R452">
        <v>0.15</v>
      </c>
      <c r="S452">
        <v>146000</v>
      </c>
      <c r="T452" s="15">
        <v>46327</v>
      </c>
      <c r="U452" t="s">
        <v>97</v>
      </c>
      <c r="V452" t="s">
        <v>91</v>
      </c>
      <c r="W452" t="s">
        <v>99</v>
      </c>
      <c r="X452">
        <v>87</v>
      </c>
      <c r="Y452" s="4">
        <f t="shared" si="20"/>
        <v>21900</v>
      </c>
      <c r="Z452" s="4">
        <f t="shared" si="21"/>
        <v>46327</v>
      </c>
    </row>
    <row r="453" spans="16:26" x14ac:dyDescent="0.3">
      <c r="P453" t="s">
        <v>1013</v>
      </c>
      <c r="Q453" t="s">
        <v>602</v>
      </c>
      <c r="R453">
        <v>0.5</v>
      </c>
      <c r="S453">
        <v>77000</v>
      </c>
      <c r="T453" s="15">
        <v>46266</v>
      </c>
      <c r="U453" t="s">
        <v>89</v>
      </c>
      <c r="V453" t="s">
        <v>91</v>
      </c>
      <c r="W453" t="s">
        <v>86</v>
      </c>
      <c r="X453">
        <v>73</v>
      </c>
      <c r="Y453" s="4">
        <f t="shared" si="20"/>
        <v>38500</v>
      </c>
      <c r="Z453" s="4">
        <f t="shared" si="21"/>
        <v>46266</v>
      </c>
    </row>
    <row r="454" spans="16:26" x14ac:dyDescent="0.3">
      <c r="P454" t="s">
        <v>1014</v>
      </c>
      <c r="Q454" t="s">
        <v>602</v>
      </c>
      <c r="R454">
        <v>0.5</v>
      </c>
      <c r="S454">
        <v>19000</v>
      </c>
      <c r="T454" s="15">
        <v>46327</v>
      </c>
      <c r="U454" t="s">
        <v>83</v>
      </c>
      <c r="V454" t="s">
        <v>81</v>
      </c>
      <c r="W454" t="s">
        <v>82</v>
      </c>
      <c r="X454">
        <v>56</v>
      </c>
      <c r="Y454" s="4">
        <f t="shared" si="20"/>
        <v>9500</v>
      </c>
      <c r="Z454" s="4">
        <f t="shared" si="21"/>
        <v>46327</v>
      </c>
    </row>
    <row r="455" spans="16:26" x14ac:dyDescent="0.3">
      <c r="P455" t="s">
        <v>1015</v>
      </c>
      <c r="Q455" t="s">
        <v>598</v>
      </c>
      <c r="R455">
        <v>0.15</v>
      </c>
      <c r="S455">
        <v>38000</v>
      </c>
      <c r="T455" s="15">
        <v>46174</v>
      </c>
      <c r="U455" t="s">
        <v>89</v>
      </c>
      <c r="V455" t="s">
        <v>81</v>
      </c>
      <c r="W455" t="s">
        <v>96</v>
      </c>
      <c r="X455">
        <v>15</v>
      </c>
      <c r="Y455" s="4">
        <f t="shared" si="20"/>
        <v>5700</v>
      </c>
      <c r="Z455" s="4">
        <f t="shared" si="21"/>
        <v>46174</v>
      </c>
    </row>
    <row r="456" spans="16:26" x14ac:dyDescent="0.3">
      <c r="P456" t="s">
        <v>1016</v>
      </c>
      <c r="Q456" t="s">
        <v>596</v>
      </c>
      <c r="R456">
        <v>0.3</v>
      </c>
      <c r="S456">
        <v>159000</v>
      </c>
      <c r="T456" s="15">
        <v>46082</v>
      </c>
      <c r="U456" t="s">
        <v>103</v>
      </c>
      <c r="V456" t="s">
        <v>91</v>
      </c>
      <c r="W456" t="s">
        <v>82</v>
      </c>
      <c r="X456">
        <v>82</v>
      </c>
      <c r="Y456" s="4">
        <f t="shared" si="20"/>
        <v>47700</v>
      </c>
      <c r="Z456" s="4">
        <f t="shared" si="21"/>
        <v>46082</v>
      </c>
    </row>
    <row r="457" spans="16:26" x14ac:dyDescent="0.3">
      <c r="P457" t="s">
        <v>1017</v>
      </c>
      <c r="Q457" t="s">
        <v>600</v>
      </c>
      <c r="R457">
        <v>0.65</v>
      </c>
      <c r="S457">
        <v>178000</v>
      </c>
      <c r="T457" s="15">
        <v>46204</v>
      </c>
      <c r="U457" t="s">
        <v>101</v>
      </c>
      <c r="V457" t="s">
        <v>91</v>
      </c>
      <c r="W457" t="s">
        <v>86</v>
      </c>
      <c r="X457">
        <v>88</v>
      </c>
      <c r="Y457" s="4">
        <f t="shared" si="20"/>
        <v>115700</v>
      </c>
      <c r="Z457" s="4">
        <f t="shared" si="21"/>
        <v>46204</v>
      </c>
    </row>
    <row r="458" spans="16:26" x14ac:dyDescent="0.3">
      <c r="P458" t="s">
        <v>1018</v>
      </c>
      <c r="Q458" t="s">
        <v>594</v>
      </c>
      <c r="R458">
        <v>0.8</v>
      </c>
      <c r="S458">
        <v>45000</v>
      </c>
      <c r="T458" s="15">
        <v>46174</v>
      </c>
      <c r="U458" t="s">
        <v>101</v>
      </c>
      <c r="V458" t="s">
        <v>81</v>
      </c>
      <c r="W458" t="s">
        <v>86</v>
      </c>
      <c r="X458">
        <v>60</v>
      </c>
      <c r="Y458" s="4">
        <f t="shared" si="20"/>
        <v>36000</v>
      </c>
      <c r="Z458" s="4">
        <f t="shared" si="21"/>
        <v>46174</v>
      </c>
    </row>
  </sheetData>
  <mergeCells count="5">
    <mergeCell ref="B22:N22"/>
    <mergeCell ref="B32:N32"/>
    <mergeCell ref="B4:N4"/>
    <mergeCell ref="B13:N13"/>
    <mergeCell ref="A1:N1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499"/>
  <sheetViews>
    <sheetView showGridLines="0"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" customWidth="1"/>
    <col min="2" max="2" width="30" customWidth="1"/>
    <col min="3" max="14" width="13" customWidth="1"/>
    <col min="16" max="22" width="13" hidden="1" customWidth="1"/>
  </cols>
  <sheetData>
    <row r="1" spans="1:14" ht="34.049999999999997" customHeight="1" x14ac:dyDescent="0.3">
      <c r="A1" s="28" t="s">
        <v>1019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</row>
    <row r="2" spans="1:14" ht="15" customHeight="1" x14ac:dyDescent="0.3"/>
    <row r="3" spans="1:14" ht="15" customHeight="1" x14ac:dyDescent="0.3">
      <c r="B3" s="5"/>
      <c r="C3" s="16">
        <v>46023</v>
      </c>
      <c r="D3" s="16">
        <v>46054</v>
      </c>
      <c r="E3" s="16">
        <v>46082</v>
      </c>
      <c r="F3" s="16">
        <v>46113</v>
      </c>
      <c r="G3" s="16">
        <v>46143</v>
      </c>
      <c r="H3" s="16">
        <v>46174</v>
      </c>
      <c r="I3" s="16">
        <v>46204</v>
      </c>
      <c r="J3" s="16">
        <v>46235</v>
      </c>
      <c r="K3" s="16">
        <v>46266</v>
      </c>
      <c r="L3" s="16">
        <v>46296</v>
      </c>
      <c r="M3" s="16">
        <v>46327</v>
      </c>
      <c r="N3" s="16">
        <v>46357</v>
      </c>
    </row>
    <row r="4" spans="1:14" ht="15" customHeight="1" x14ac:dyDescent="0.3">
      <c r="B4" t="s">
        <v>1020</v>
      </c>
      <c r="C4" s="20">
        <f t="shared" ref="C4:N4" si="0">SUMIFS($U$32:$U$499,$P$32:$P$499,C$3,$Q$32:$Q$499,"Sales")*Hiring_Pace</f>
        <v>71</v>
      </c>
      <c r="D4" s="20">
        <f t="shared" si="0"/>
        <v>71</v>
      </c>
      <c r="E4" s="20">
        <f t="shared" si="0"/>
        <v>71</v>
      </c>
      <c r="F4" s="20">
        <f t="shared" si="0"/>
        <v>72</v>
      </c>
      <c r="G4" s="20">
        <f t="shared" si="0"/>
        <v>73</v>
      </c>
      <c r="H4" s="20">
        <f t="shared" si="0"/>
        <v>73</v>
      </c>
      <c r="I4" s="20">
        <f t="shared" si="0"/>
        <v>74</v>
      </c>
      <c r="J4" s="20">
        <f t="shared" si="0"/>
        <v>71</v>
      </c>
      <c r="K4" s="20">
        <f t="shared" si="0"/>
        <v>72</v>
      </c>
      <c r="L4" s="20">
        <f t="shared" si="0"/>
        <v>70</v>
      </c>
      <c r="M4" s="20">
        <f t="shared" si="0"/>
        <v>70</v>
      </c>
      <c r="N4" s="20">
        <f t="shared" si="0"/>
        <v>68</v>
      </c>
    </row>
    <row r="5" spans="1:14" ht="15" customHeight="1" x14ac:dyDescent="0.3">
      <c r="B5" t="s">
        <v>1021</v>
      </c>
      <c r="C5" s="20">
        <f t="shared" ref="C5:N5" si="1">SUMIFS($U$32:$U$499,$P$32:$P$499,C$3,$Q$32:$Q$499,"Customer Success")*Hiring_Pace</f>
        <v>32</v>
      </c>
      <c r="D5" s="20">
        <f t="shared" si="1"/>
        <v>32</v>
      </c>
      <c r="E5" s="20">
        <f t="shared" si="1"/>
        <v>32</v>
      </c>
      <c r="F5" s="20">
        <f t="shared" si="1"/>
        <v>32</v>
      </c>
      <c r="G5" s="20">
        <f t="shared" si="1"/>
        <v>32</v>
      </c>
      <c r="H5" s="20">
        <f t="shared" si="1"/>
        <v>32</v>
      </c>
      <c r="I5" s="20">
        <f t="shared" si="1"/>
        <v>33</v>
      </c>
      <c r="J5" s="20">
        <f t="shared" si="1"/>
        <v>31</v>
      </c>
      <c r="K5" s="20">
        <f t="shared" si="1"/>
        <v>31</v>
      </c>
      <c r="L5" s="20">
        <f t="shared" si="1"/>
        <v>29</v>
      </c>
      <c r="M5" s="20">
        <f t="shared" si="1"/>
        <v>29</v>
      </c>
      <c r="N5" s="20">
        <f t="shared" si="1"/>
        <v>28</v>
      </c>
    </row>
    <row r="6" spans="1:14" ht="15" customHeight="1" x14ac:dyDescent="0.3">
      <c r="B6" t="s">
        <v>1022</v>
      </c>
      <c r="C6" s="20">
        <f t="shared" ref="C6:N6" si="2">SUMIFS($U$32:$U$499,$P$32:$P$499,C$3,$Q$32:$Q$499,"Marketing")*Hiring_Pace</f>
        <v>19</v>
      </c>
      <c r="D6" s="20">
        <f t="shared" si="2"/>
        <v>19</v>
      </c>
      <c r="E6" s="20">
        <f t="shared" si="2"/>
        <v>19</v>
      </c>
      <c r="F6" s="20">
        <f t="shared" si="2"/>
        <v>19</v>
      </c>
      <c r="G6" s="20">
        <f t="shared" si="2"/>
        <v>19</v>
      </c>
      <c r="H6" s="20">
        <f t="shared" si="2"/>
        <v>19</v>
      </c>
      <c r="I6" s="20">
        <f t="shared" si="2"/>
        <v>19</v>
      </c>
      <c r="J6" s="20">
        <f t="shared" si="2"/>
        <v>17</v>
      </c>
      <c r="K6" s="20">
        <f t="shared" si="2"/>
        <v>17</v>
      </c>
      <c r="L6" s="20">
        <f t="shared" si="2"/>
        <v>15</v>
      </c>
      <c r="M6" s="20">
        <f t="shared" si="2"/>
        <v>15</v>
      </c>
      <c r="N6" s="20">
        <f t="shared" si="2"/>
        <v>15</v>
      </c>
    </row>
    <row r="7" spans="1:14" ht="15" customHeight="1" x14ac:dyDescent="0.3">
      <c r="B7" t="s">
        <v>1023</v>
      </c>
      <c r="C7" s="20">
        <f t="shared" ref="C7:N7" si="3">SUMIFS($U$32:$U$499,$P$32:$P$499,C$3,$Q$32:$Q$499,"Product &amp; Engineering")*Hiring_Pace</f>
        <v>83</v>
      </c>
      <c r="D7" s="20">
        <f t="shared" si="3"/>
        <v>83</v>
      </c>
      <c r="E7" s="20">
        <f t="shared" si="3"/>
        <v>83</v>
      </c>
      <c r="F7" s="20">
        <f t="shared" si="3"/>
        <v>84</v>
      </c>
      <c r="G7" s="20">
        <f t="shared" si="3"/>
        <v>84</v>
      </c>
      <c r="H7" s="20">
        <f t="shared" si="3"/>
        <v>85</v>
      </c>
      <c r="I7" s="20">
        <f t="shared" si="3"/>
        <v>85</v>
      </c>
      <c r="J7" s="20">
        <f t="shared" si="3"/>
        <v>82</v>
      </c>
      <c r="K7" s="20">
        <f t="shared" si="3"/>
        <v>83</v>
      </c>
      <c r="L7" s="20">
        <f t="shared" si="3"/>
        <v>80</v>
      </c>
      <c r="M7" s="20">
        <f t="shared" si="3"/>
        <v>81</v>
      </c>
      <c r="N7" s="20">
        <f t="shared" si="3"/>
        <v>80</v>
      </c>
    </row>
    <row r="8" spans="1:14" ht="15" customHeight="1" x14ac:dyDescent="0.3">
      <c r="B8" t="s">
        <v>1024</v>
      </c>
      <c r="C8" s="20">
        <f t="shared" ref="C8:N8" si="4">SUMIFS($U$32:$U$499,$P$32:$P$499,C$3,$Q$32:$Q$499,"G&amp;A")*Hiring_Pace</f>
        <v>24</v>
      </c>
      <c r="D8" s="20">
        <f t="shared" si="4"/>
        <v>24</v>
      </c>
      <c r="E8" s="20">
        <f t="shared" si="4"/>
        <v>24</v>
      </c>
      <c r="F8" s="20">
        <f t="shared" si="4"/>
        <v>24</v>
      </c>
      <c r="G8" s="20">
        <f t="shared" si="4"/>
        <v>24</v>
      </c>
      <c r="H8" s="20">
        <f t="shared" si="4"/>
        <v>24</v>
      </c>
      <c r="I8" s="20">
        <f t="shared" si="4"/>
        <v>24</v>
      </c>
      <c r="J8" s="20">
        <f t="shared" si="4"/>
        <v>22</v>
      </c>
      <c r="K8" s="20">
        <f t="shared" si="4"/>
        <v>22</v>
      </c>
      <c r="L8" s="20">
        <f t="shared" si="4"/>
        <v>20</v>
      </c>
      <c r="M8" s="20">
        <f t="shared" si="4"/>
        <v>20</v>
      </c>
      <c r="N8" s="20">
        <f t="shared" si="4"/>
        <v>20</v>
      </c>
    </row>
    <row r="9" spans="1:14" ht="15" customHeight="1" x14ac:dyDescent="0.3">
      <c r="B9" t="s">
        <v>1025</v>
      </c>
      <c r="C9" s="20">
        <f t="shared" ref="C9:N9" si="5">SUM(C4:C8)</f>
        <v>229</v>
      </c>
      <c r="D9" s="20">
        <f t="shared" si="5"/>
        <v>229</v>
      </c>
      <c r="E9" s="20">
        <f t="shared" si="5"/>
        <v>229</v>
      </c>
      <c r="F9" s="20">
        <f t="shared" si="5"/>
        <v>231</v>
      </c>
      <c r="G9" s="20">
        <f t="shared" si="5"/>
        <v>232</v>
      </c>
      <c r="H9" s="20">
        <f t="shared" si="5"/>
        <v>233</v>
      </c>
      <c r="I9" s="20">
        <f t="shared" si="5"/>
        <v>235</v>
      </c>
      <c r="J9" s="20">
        <f t="shared" si="5"/>
        <v>223</v>
      </c>
      <c r="K9" s="20">
        <f t="shared" si="5"/>
        <v>225</v>
      </c>
      <c r="L9" s="20">
        <f t="shared" si="5"/>
        <v>214</v>
      </c>
      <c r="M9" s="20">
        <f t="shared" si="5"/>
        <v>215</v>
      </c>
      <c r="N9" s="20">
        <f t="shared" si="5"/>
        <v>211</v>
      </c>
    </row>
    <row r="10" spans="1:14" ht="15" customHeight="1" x14ac:dyDescent="0.3"/>
    <row r="11" spans="1:14" ht="15" customHeight="1" x14ac:dyDescent="0.3">
      <c r="B11" s="30" t="s">
        <v>1026</v>
      </c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</row>
    <row r="12" spans="1:14" ht="15" customHeight="1" x14ac:dyDescent="0.3">
      <c r="B12" t="s">
        <v>1027</v>
      </c>
      <c r="C12" s="18">
        <f t="shared" ref="C12:N12" si="6">SUMIFS($V$32:$V$499,$P$32:$P$499,C$3,$Q$32:$Q$499,"Sales")*Hiring_Pace</f>
        <v>966666.67</v>
      </c>
      <c r="D12" s="18">
        <f t="shared" si="6"/>
        <v>966666.67</v>
      </c>
      <c r="E12" s="18">
        <f t="shared" si="6"/>
        <v>966666.67</v>
      </c>
      <c r="F12" s="18">
        <f t="shared" si="6"/>
        <v>982083.33</v>
      </c>
      <c r="G12" s="18">
        <f t="shared" si="6"/>
        <v>990833.33</v>
      </c>
      <c r="H12" s="18">
        <f t="shared" si="6"/>
        <v>990833.33</v>
      </c>
      <c r="I12" s="18">
        <f t="shared" si="6"/>
        <v>1006250</v>
      </c>
      <c r="J12" s="18">
        <f t="shared" si="6"/>
        <v>962083.33</v>
      </c>
      <c r="K12" s="18">
        <f t="shared" si="6"/>
        <v>970833.33</v>
      </c>
      <c r="L12" s="18">
        <f t="shared" si="6"/>
        <v>942083.33</v>
      </c>
      <c r="M12" s="18">
        <f t="shared" si="6"/>
        <v>942083.33</v>
      </c>
      <c r="N12" s="18">
        <f t="shared" si="6"/>
        <v>917916.67</v>
      </c>
    </row>
    <row r="13" spans="1:14" ht="15" customHeight="1" x14ac:dyDescent="0.3">
      <c r="B13" t="s">
        <v>1028</v>
      </c>
      <c r="C13" s="18">
        <f t="shared" ref="C13:N13" si="7">SUMIFS($V$32:$V$499,$P$32:$P$499,C$3,$Q$32:$Q$499,"Customer Success")*Hiring_Pace</f>
        <v>322500</v>
      </c>
      <c r="D13" s="18">
        <f t="shared" si="7"/>
        <v>322500</v>
      </c>
      <c r="E13" s="18">
        <f t="shared" si="7"/>
        <v>322500</v>
      </c>
      <c r="F13" s="18">
        <f t="shared" si="7"/>
        <v>322500</v>
      </c>
      <c r="G13" s="18">
        <f t="shared" si="7"/>
        <v>322500</v>
      </c>
      <c r="H13" s="18">
        <f t="shared" si="7"/>
        <v>322500</v>
      </c>
      <c r="I13" s="18">
        <f t="shared" si="7"/>
        <v>332916.65999999997</v>
      </c>
      <c r="J13" s="18">
        <f t="shared" si="7"/>
        <v>313166.67000000004</v>
      </c>
      <c r="K13" s="18">
        <f t="shared" si="7"/>
        <v>313166.67000000004</v>
      </c>
      <c r="L13" s="18">
        <f t="shared" si="7"/>
        <v>293416.67</v>
      </c>
      <c r="M13" s="18">
        <f t="shared" si="7"/>
        <v>293416.67</v>
      </c>
      <c r="N13" s="18">
        <f t="shared" si="7"/>
        <v>283000</v>
      </c>
    </row>
    <row r="14" spans="1:14" ht="15" customHeight="1" x14ac:dyDescent="0.3">
      <c r="B14" t="s">
        <v>1029</v>
      </c>
      <c r="C14" s="18">
        <f t="shared" ref="C14:N14" si="8">SUMIFS($V$32:$V$499,$P$32:$P$499,C$3,$Q$32:$Q$499,"Marketing")*Hiring_Pace</f>
        <v>220916.67</v>
      </c>
      <c r="D14" s="18">
        <f t="shared" si="8"/>
        <v>220916.67</v>
      </c>
      <c r="E14" s="18">
        <f t="shared" si="8"/>
        <v>220916.67</v>
      </c>
      <c r="F14" s="18">
        <f t="shared" si="8"/>
        <v>220916.67</v>
      </c>
      <c r="G14" s="18">
        <f t="shared" si="8"/>
        <v>220916.67</v>
      </c>
      <c r="H14" s="18">
        <f t="shared" si="8"/>
        <v>220916.67</v>
      </c>
      <c r="I14" s="18">
        <f t="shared" si="8"/>
        <v>220916.67</v>
      </c>
      <c r="J14" s="18">
        <f t="shared" si="8"/>
        <v>197833.33000000002</v>
      </c>
      <c r="K14" s="18">
        <f t="shared" si="8"/>
        <v>197833.33000000002</v>
      </c>
      <c r="L14" s="18">
        <f t="shared" si="8"/>
        <v>174750</v>
      </c>
      <c r="M14" s="18">
        <f t="shared" si="8"/>
        <v>174750</v>
      </c>
      <c r="N14" s="18">
        <f t="shared" si="8"/>
        <v>174750</v>
      </c>
    </row>
    <row r="15" spans="1:14" ht="15" customHeight="1" x14ac:dyDescent="0.3">
      <c r="B15" t="s">
        <v>1030</v>
      </c>
      <c r="C15" s="18">
        <f t="shared" ref="C15:N15" si="9">SUMIFS($V$32:$V$499,$P$32:$P$499,C$3,$Q$32:$Q$499,"Product &amp; Engineering")*Hiring_Pace</f>
        <v>1177916.67</v>
      </c>
      <c r="D15" s="18">
        <f t="shared" si="9"/>
        <v>1177916.67</v>
      </c>
      <c r="E15" s="18">
        <f t="shared" si="9"/>
        <v>1177916.67</v>
      </c>
      <c r="F15" s="18">
        <f t="shared" si="9"/>
        <v>1192500</v>
      </c>
      <c r="G15" s="18">
        <f t="shared" si="9"/>
        <v>1192500</v>
      </c>
      <c r="H15" s="18">
        <f t="shared" si="9"/>
        <v>1207083.33</v>
      </c>
      <c r="I15" s="18">
        <f t="shared" si="9"/>
        <v>1207083.33</v>
      </c>
      <c r="J15" s="18">
        <f t="shared" si="9"/>
        <v>1166666.67</v>
      </c>
      <c r="K15" s="18">
        <f t="shared" si="9"/>
        <v>1181250</v>
      </c>
      <c r="L15" s="18">
        <f t="shared" si="9"/>
        <v>1140833.33</v>
      </c>
      <c r="M15" s="18">
        <f t="shared" si="9"/>
        <v>1155416.6600000001</v>
      </c>
      <c r="N15" s="18">
        <f t="shared" si="9"/>
        <v>1140833.33</v>
      </c>
    </row>
    <row r="16" spans="1:14" ht="15" customHeight="1" x14ac:dyDescent="0.3">
      <c r="B16" t="s">
        <v>1031</v>
      </c>
      <c r="C16" s="18">
        <f t="shared" ref="C16:N16" si="10">SUMIFS($V$32:$V$499,$P$32:$P$499,C$3,$Q$32:$Q$499,"G&amp;A")*Hiring_Pace</f>
        <v>282916.66000000003</v>
      </c>
      <c r="D16" s="18">
        <f t="shared" si="10"/>
        <v>282916.66000000003</v>
      </c>
      <c r="E16" s="18">
        <f t="shared" si="10"/>
        <v>282916.66000000003</v>
      </c>
      <c r="F16" s="18">
        <f t="shared" si="10"/>
        <v>282916.66000000003</v>
      </c>
      <c r="G16" s="18">
        <f t="shared" si="10"/>
        <v>282916.66000000003</v>
      </c>
      <c r="H16" s="18">
        <f t="shared" si="10"/>
        <v>282916.66000000003</v>
      </c>
      <c r="I16" s="18">
        <f t="shared" si="10"/>
        <v>282916.66000000003</v>
      </c>
      <c r="J16" s="18">
        <f t="shared" si="10"/>
        <v>258583.33000000002</v>
      </c>
      <c r="K16" s="18">
        <f t="shared" si="10"/>
        <v>258583.33000000002</v>
      </c>
      <c r="L16" s="18">
        <f t="shared" si="10"/>
        <v>234250</v>
      </c>
      <c r="M16" s="18">
        <f t="shared" si="10"/>
        <v>234250</v>
      </c>
      <c r="N16" s="18">
        <f t="shared" si="10"/>
        <v>234250</v>
      </c>
    </row>
    <row r="17" spans="2:22" ht="15" customHeight="1" x14ac:dyDescent="0.3">
      <c r="B17" t="s">
        <v>1032</v>
      </c>
      <c r="C17" s="18">
        <f t="shared" ref="C17:N17" si="11">SUM(C12:C16)</f>
        <v>2970916.67</v>
      </c>
      <c r="D17" s="18">
        <f t="shared" si="11"/>
        <v>2970916.67</v>
      </c>
      <c r="E17" s="18">
        <f t="shared" si="11"/>
        <v>2970916.67</v>
      </c>
      <c r="F17" s="18">
        <f t="shared" si="11"/>
        <v>3000916.66</v>
      </c>
      <c r="G17" s="18">
        <f t="shared" si="11"/>
        <v>3009666.66</v>
      </c>
      <c r="H17" s="18">
        <f t="shared" si="11"/>
        <v>3024249.99</v>
      </c>
      <c r="I17" s="18">
        <f t="shared" si="11"/>
        <v>3050083.3200000003</v>
      </c>
      <c r="J17" s="18">
        <f t="shared" si="11"/>
        <v>2898333.33</v>
      </c>
      <c r="K17" s="18">
        <f t="shared" si="11"/>
        <v>2921666.66</v>
      </c>
      <c r="L17" s="18">
        <f t="shared" si="11"/>
        <v>2785333.33</v>
      </c>
      <c r="M17" s="18">
        <f t="shared" si="11"/>
        <v>2799916.66</v>
      </c>
      <c r="N17" s="18">
        <f t="shared" si="11"/>
        <v>2750750</v>
      </c>
    </row>
    <row r="18" spans="2:22" ht="15" customHeight="1" x14ac:dyDescent="0.3"/>
    <row r="19" spans="2:22" ht="15" customHeight="1" x14ac:dyDescent="0.3">
      <c r="B19" s="30" t="s">
        <v>1033</v>
      </c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</row>
    <row r="20" spans="2:22" ht="15" customHeight="1" x14ac:dyDescent="0.3">
      <c r="B20" t="s">
        <v>1034</v>
      </c>
      <c r="C20" s="18">
        <f t="shared" ref="C20:N20" si="12">260000*(1+Merit_Increase)^(MONTH(C$3)/12)</f>
        <v>260851.17234337173</v>
      </c>
      <c r="D20" s="18">
        <f t="shared" si="12"/>
        <v>261705.13120350544</v>
      </c>
      <c r="E20" s="18">
        <f t="shared" si="12"/>
        <v>262561.8857027319</v>
      </c>
      <c r="F20" s="18">
        <f t="shared" si="12"/>
        <v>263421.44499324606</v>
      </c>
      <c r="G20" s="18">
        <f t="shared" si="12"/>
        <v>264283.81825720478</v>
      </c>
      <c r="H20" s="18">
        <f t="shared" si="12"/>
        <v>265149.01470682485</v>
      </c>
      <c r="I20" s="18">
        <f t="shared" si="12"/>
        <v>266017.04358448135</v>
      </c>
      <c r="J20" s="18">
        <f t="shared" si="12"/>
        <v>266887.91416280682</v>
      </c>
      <c r="K20" s="18">
        <f t="shared" si="12"/>
        <v>267761.63574478967</v>
      </c>
      <c r="L20" s="18">
        <f t="shared" si="12"/>
        <v>268638.21766387409</v>
      </c>
      <c r="M20" s="18">
        <f t="shared" si="12"/>
        <v>269517.66928405932</v>
      </c>
      <c r="N20" s="18">
        <f t="shared" si="12"/>
        <v>270400</v>
      </c>
    </row>
    <row r="21" spans="2:22" ht="15" customHeight="1" x14ac:dyDescent="0.3">
      <c r="B21" t="s">
        <v>1035</v>
      </c>
      <c r="C21" s="18">
        <f t="shared" ref="C21:N21" si="13">90000*(1+Merit_Increase)^(MONTH(C$3)/12)</f>
        <v>90294.636580397899</v>
      </c>
      <c r="D21" s="18">
        <f t="shared" si="13"/>
        <v>90590.237724290346</v>
      </c>
      <c r="E21" s="18">
        <f t="shared" si="13"/>
        <v>90886.806589407191</v>
      </c>
      <c r="F21" s="18">
        <f t="shared" si="13"/>
        <v>91184.346343815952</v>
      </c>
      <c r="G21" s="18">
        <f t="shared" si="13"/>
        <v>91482.860165955499</v>
      </c>
      <c r="H21" s="18">
        <f t="shared" si="13"/>
        <v>91782.351244670135</v>
      </c>
      <c r="I21" s="18">
        <f t="shared" si="13"/>
        <v>92082.82277924355</v>
      </c>
      <c r="J21" s="18">
        <f t="shared" si="13"/>
        <v>92384.277979433129</v>
      </c>
      <c r="K21" s="18">
        <f t="shared" si="13"/>
        <v>92686.720065504109</v>
      </c>
      <c r="L21" s="18">
        <f t="shared" si="13"/>
        <v>92990.152268264108</v>
      </c>
      <c r="M21" s="18">
        <f t="shared" si="13"/>
        <v>93294.577829097441</v>
      </c>
      <c r="N21" s="18">
        <f t="shared" si="13"/>
        <v>93600</v>
      </c>
    </row>
    <row r="22" spans="2:22" ht="15" customHeight="1" x14ac:dyDescent="0.3">
      <c r="B22" t="s">
        <v>1036</v>
      </c>
      <c r="C22" s="18">
        <f t="shared" ref="C22:N22" si="14">520000*(1+Merit_Increase)^(MONTH(C$3)/12)</f>
        <v>521702.34468674345</v>
      </c>
      <c r="D22" s="18">
        <f t="shared" si="14"/>
        <v>523410.26240701089</v>
      </c>
      <c r="E22" s="18">
        <f t="shared" si="14"/>
        <v>525123.77140546381</v>
      </c>
      <c r="F22" s="18">
        <f t="shared" si="14"/>
        <v>526842.88998649211</v>
      </c>
      <c r="G22" s="18">
        <f t="shared" si="14"/>
        <v>528567.63651440956</v>
      </c>
      <c r="H22" s="18">
        <f t="shared" si="14"/>
        <v>530298.0294136497</v>
      </c>
      <c r="I22" s="18">
        <f t="shared" si="14"/>
        <v>532034.08716896269</v>
      </c>
      <c r="J22" s="18">
        <f t="shared" si="14"/>
        <v>533775.82832561363</v>
      </c>
      <c r="K22" s="18">
        <f t="shared" si="14"/>
        <v>535523.27148957935</v>
      </c>
      <c r="L22" s="18">
        <f t="shared" si="14"/>
        <v>537276.43532774819</v>
      </c>
      <c r="M22" s="18">
        <f t="shared" si="14"/>
        <v>539035.33856811863</v>
      </c>
      <c r="N22" s="18">
        <f t="shared" si="14"/>
        <v>540800</v>
      </c>
    </row>
    <row r="23" spans="2:22" ht="15" customHeight="1" x14ac:dyDescent="0.3">
      <c r="B23" t="s">
        <v>1037</v>
      </c>
      <c r="C23" s="18">
        <f t="shared" ref="C23:N23" si="15">280000*(1+Merit_Increase)^(MONTH(C$3)/12)</f>
        <v>280916.64713901572</v>
      </c>
      <c r="D23" s="18">
        <f t="shared" si="15"/>
        <v>281836.29514223663</v>
      </c>
      <c r="E23" s="18">
        <f t="shared" si="15"/>
        <v>282758.95383371128</v>
      </c>
      <c r="F23" s="18">
        <f t="shared" si="15"/>
        <v>283684.63306964963</v>
      </c>
      <c r="G23" s="18">
        <f t="shared" si="15"/>
        <v>284613.34273852821</v>
      </c>
      <c r="H23" s="18">
        <f t="shared" si="15"/>
        <v>285545.09276119596</v>
      </c>
      <c r="I23" s="18">
        <f t="shared" si="15"/>
        <v>286479.89309097995</v>
      </c>
      <c r="J23" s="18">
        <f t="shared" si="15"/>
        <v>287417.75371379196</v>
      </c>
      <c r="K23" s="18">
        <f t="shared" si="15"/>
        <v>288358.68464823504</v>
      </c>
      <c r="L23" s="18">
        <f t="shared" si="15"/>
        <v>289302.69594571053</v>
      </c>
      <c r="M23" s="18">
        <f t="shared" si="15"/>
        <v>290249.79769052542</v>
      </c>
      <c r="N23" s="18">
        <f t="shared" si="15"/>
        <v>291200</v>
      </c>
    </row>
    <row r="24" spans="2:22" ht="15" customHeight="1" x14ac:dyDescent="0.3">
      <c r="B24" t="s">
        <v>1038</v>
      </c>
      <c r="C24" s="18">
        <f t="shared" ref="C24:N24" si="16">210000*(1+Merit_Increase)^(MONTH(C$3)/12)</f>
        <v>210687.48535426176</v>
      </c>
      <c r="D24" s="18">
        <f t="shared" si="16"/>
        <v>211377.22135667747</v>
      </c>
      <c r="E24" s="18">
        <f t="shared" si="16"/>
        <v>212069.21537528344</v>
      </c>
      <c r="F24" s="18">
        <f t="shared" si="16"/>
        <v>212763.47480223721</v>
      </c>
      <c r="G24" s="18">
        <f t="shared" si="16"/>
        <v>213460.00705389617</v>
      </c>
      <c r="H24" s="18">
        <f t="shared" si="16"/>
        <v>214158.81957089697</v>
      </c>
      <c r="I24" s="18">
        <f t="shared" si="16"/>
        <v>214859.91981823495</v>
      </c>
      <c r="J24" s="18">
        <f t="shared" si="16"/>
        <v>215563.31528534394</v>
      </c>
      <c r="K24" s="18">
        <f t="shared" si="16"/>
        <v>216269.01348617626</v>
      </c>
      <c r="L24" s="18">
        <f t="shared" si="16"/>
        <v>216977.02195928289</v>
      </c>
      <c r="M24" s="18">
        <f t="shared" si="16"/>
        <v>217687.34826789403</v>
      </c>
      <c r="N24" s="18">
        <f t="shared" si="16"/>
        <v>218400</v>
      </c>
    </row>
    <row r="25" spans="2:22" ht="15" customHeight="1" x14ac:dyDescent="0.3">
      <c r="B25" t="s">
        <v>1039</v>
      </c>
      <c r="C25" s="18">
        <f t="shared" ref="C25:N25" si="17">SUM(C20:C24)</f>
        <v>1364452.2861037904</v>
      </c>
      <c r="D25" s="18">
        <f t="shared" si="17"/>
        <v>1368919.1478337208</v>
      </c>
      <c r="E25" s="18">
        <f t="shared" si="17"/>
        <v>1373400.6329065978</v>
      </c>
      <c r="F25" s="18">
        <f t="shared" si="17"/>
        <v>1377896.7891954409</v>
      </c>
      <c r="G25" s="18">
        <f t="shared" si="17"/>
        <v>1382407.6647299943</v>
      </c>
      <c r="H25" s="18">
        <f t="shared" si="17"/>
        <v>1386933.3076972377</v>
      </c>
      <c r="I25" s="18">
        <f t="shared" si="17"/>
        <v>1391473.7664419024</v>
      </c>
      <c r="J25" s="18">
        <f t="shared" si="17"/>
        <v>1396029.0894669895</v>
      </c>
      <c r="K25" s="18">
        <f t="shared" si="17"/>
        <v>1400599.3254342845</v>
      </c>
      <c r="L25" s="18">
        <f t="shared" si="17"/>
        <v>1405184.52316488</v>
      </c>
      <c r="M25" s="18">
        <f t="shared" si="17"/>
        <v>1409784.7316396949</v>
      </c>
      <c r="N25" s="18">
        <f t="shared" si="17"/>
        <v>1414400</v>
      </c>
    </row>
    <row r="26" spans="2:22" ht="15" customHeight="1" x14ac:dyDescent="0.3"/>
    <row r="27" spans="2:22" ht="15" customHeight="1" x14ac:dyDescent="0.3">
      <c r="B27" t="s">
        <v>1040</v>
      </c>
      <c r="C27" s="18">
        <f t="shared" ref="C27:N27" si="18">C17+C25</f>
        <v>4335368.9561037906</v>
      </c>
      <c r="D27" s="18">
        <f t="shared" si="18"/>
        <v>4339835.8178337207</v>
      </c>
      <c r="E27" s="18">
        <f t="shared" si="18"/>
        <v>4344317.302906598</v>
      </c>
      <c r="F27" s="18">
        <f t="shared" si="18"/>
        <v>4378813.4491954409</v>
      </c>
      <c r="G27" s="18">
        <f t="shared" si="18"/>
        <v>4392074.3247299939</v>
      </c>
      <c r="H27" s="18">
        <f t="shared" si="18"/>
        <v>4411183.2976972377</v>
      </c>
      <c r="I27" s="18">
        <f t="shared" si="18"/>
        <v>4441557.0864419024</v>
      </c>
      <c r="J27" s="18">
        <f t="shared" si="18"/>
        <v>4294362.4194669891</v>
      </c>
      <c r="K27" s="18">
        <f t="shared" si="18"/>
        <v>4322265.9854342844</v>
      </c>
      <c r="L27" s="18">
        <f t="shared" si="18"/>
        <v>4190517.8531648801</v>
      </c>
      <c r="M27" s="18">
        <f t="shared" si="18"/>
        <v>4209701.3916396946</v>
      </c>
      <c r="N27" s="18">
        <f t="shared" si="18"/>
        <v>4165150</v>
      </c>
    </row>
    <row r="28" spans="2:22" ht="15" customHeight="1" x14ac:dyDescent="0.3"/>
    <row r="29" spans="2:22" ht="15" customHeight="1" x14ac:dyDescent="0.3"/>
    <row r="30" spans="2:22" ht="15" customHeight="1" x14ac:dyDescent="0.3"/>
    <row r="31" spans="2:22" ht="15" customHeight="1" x14ac:dyDescent="0.3">
      <c r="P31" t="s">
        <v>70</v>
      </c>
      <c r="Q31" t="s">
        <v>1041</v>
      </c>
      <c r="R31" t="s">
        <v>1042</v>
      </c>
      <c r="S31" t="s">
        <v>1043</v>
      </c>
      <c r="T31" t="s">
        <v>1044</v>
      </c>
      <c r="U31" t="s">
        <v>1045</v>
      </c>
      <c r="V31" t="s">
        <v>1046</v>
      </c>
    </row>
    <row r="32" spans="2:22" ht="15" customHeight="1" x14ac:dyDescent="0.3">
      <c r="P32" s="15">
        <v>45292</v>
      </c>
      <c r="Q32" t="s">
        <v>1047</v>
      </c>
      <c r="R32" t="s">
        <v>1048</v>
      </c>
      <c r="S32" t="s">
        <v>1049</v>
      </c>
      <c r="T32">
        <v>185000</v>
      </c>
      <c r="U32">
        <v>32</v>
      </c>
      <c r="V32">
        <v>493333.33</v>
      </c>
    </row>
    <row r="33" spans="16:22" ht="15" customHeight="1" x14ac:dyDescent="0.3">
      <c r="P33" s="15">
        <v>45292</v>
      </c>
      <c r="Q33" t="s">
        <v>1047</v>
      </c>
      <c r="R33" t="s">
        <v>1050</v>
      </c>
      <c r="S33" t="s">
        <v>1049</v>
      </c>
      <c r="T33">
        <v>105000</v>
      </c>
      <c r="U33">
        <v>18</v>
      </c>
      <c r="V33">
        <v>157500</v>
      </c>
    </row>
    <row r="34" spans="16:22" ht="15" customHeight="1" x14ac:dyDescent="0.3">
      <c r="P34" s="15">
        <v>45292</v>
      </c>
      <c r="Q34" t="s">
        <v>1047</v>
      </c>
      <c r="R34" t="s">
        <v>1051</v>
      </c>
      <c r="S34" t="s">
        <v>1049</v>
      </c>
      <c r="T34">
        <v>240000</v>
      </c>
      <c r="U34">
        <v>5</v>
      </c>
      <c r="V34">
        <v>100000</v>
      </c>
    </row>
    <row r="35" spans="16:22" ht="15" customHeight="1" x14ac:dyDescent="0.3">
      <c r="P35" s="15">
        <v>45292</v>
      </c>
      <c r="Q35" t="s">
        <v>1052</v>
      </c>
      <c r="R35" t="s">
        <v>1053</v>
      </c>
      <c r="S35" t="s">
        <v>1049</v>
      </c>
      <c r="T35">
        <v>125000</v>
      </c>
      <c r="U35">
        <v>18</v>
      </c>
      <c r="V35">
        <v>187500</v>
      </c>
    </row>
    <row r="36" spans="16:22" ht="15" customHeight="1" x14ac:dyDescent="0.3">
      <c r="P36" s="15">
        <v>45292</v>
      </c>
      <c r="Q36" t="s">
        <v>1052</v>
      </c>
      <c r="R36" t="s">
        <v>1054</v>
      </c>
      <c r="S36" t="s">
        <v>1049</v>
      </c>
      <c r="T36">
        <v>112000</v>
      </c>
      <c r="U36">
        <v>8</v>
      </c>
      <c r="V36">
        <v>74666.67</v>
      </c>
    </row>
    <row r="37" spans="16:22" ht="15" customHeight="1" x14ac:dyDescent="0.3">
      <c r="P37" s="15">
        <v>45292</v>
      </c>
      <c r="Q37" t="s">
        <v>1055</v>
      </c>
      <c r="R37" t="s">
        <v>1056</v>
      </c>
      <c r="S37" t="s">
        <v>1049</v>
      </c>
      <c r="T37">
        <v>145000</v>
      </c>
      <c r="U37">
        <v>9</v>
      </c>
      <c r="V37">
        <v>108750</v>
      </c>
    </row>
    <row r="38" spans="16:22" ht="15" customHeight="1" x14ac:dyDescent="0.3">
      <c r="P38" s="15">
        <v>45292</v>
      </c>
      <c r="Q38" t="s">
        <v>1055</v>
      </c>
      <c r="R38" t="s">
        <v>1057</v>
      </c>
      <c r="S38" t="s">
        <v>1049</v>
      </c>
      <c r="T38">
        <v>132000</v>
      </c>
      <c r="U38">
        <v>6</v>
      </c>
      <c r="V38">
        <v>66000</v>
      </c>
    </row>
    <row r="39" spans="16:22" ht="15" customHeight="1" x14ac:dyDescent="0.3">
      <c r="P39" s="15">
        <v>45292</v>
      </c>
      <c r="Q39" t="s">
        <v>1058</v>
      </c>
      <c r="R39" t="s">
        <v>1059</v>
      </c>
      <c r="S39" t="s">
        <v>1049</v>
      </c>
      <c r="T39">
        <v>175000</v>
      </c>
      <c r="U39">
        <v>52</v>
      </c>
      <c r="V39">
        <v>758333.33</v>
      </c>
    </row>
    <row r="40" spans="16:22" ht="15" customHeight="1" x14ac:dyDescent="0.3">
      <c r="P40" s="15">
        <v>45292</v>
      </c>
      <c r="Q40" t="s">
        <v>1058</v>
      </c>
      <c r="R40" t="s">
        <v>1060</v>
      </c>
      <c r="S40" t="s">
        <v>1049</v>
      </c>
      <c r="T40">
        <v>165000</v>
      </c>
      <c r="U40">
        <v>10</v>
      </c>
      <c r="V40">
        <v>137500</v>
      </c>
    </row>
    <row r="41" spans="16:22" ht="15" customHeight="1" x14ac:dyDescent="0.3">
      <c r="P41" s="15">
        <v>45292</v>
      </c>
      <c r="Q41" t="s">
        <v>1058</v>
      </c>
      <c r="R41" t="s">
        <v>1061</v>
      </c>
      <c r="S41" t="s">
        <v>1049</v>
      </c>
      <c r="T41">
        <v>145000</v>
      </c>
      <c r="U41">
        <v>7</v>
      </c>
      <c r="V41">
        <v>84583.33</v>
      </c>
    </row>
    <row r="42" spans="16:22" ht="15" customHeight="1" x14ac:dyDescent="0.3">
      <c r="P42" s="15">
        <v>45292</v>
      </c>
      <c r="Q42" t="s">
        <v>1062</v>
      </c>
      <c r="R42" t="s">
        <v>1063</v>
      </c>
      <c r="S42" t="s">
        <v>1049</v>
      </c>
      <c r="T42">
        <v>142000</v>
      </c>
      <c r="U42">
        <v>8</v>
      </c>
      <c r="V42">
        <v>94666.67</v>
      </c>
    </row>
    <row r="43" spans="16:22" ht="15" customHeight="1" x14ac:dyDescent="0.3">
      <c r="P43" s="15">
        <v>45292</v>
      </c>
      <c r="Q43" t="s">
        <v>1062</v>
      </c>
      <c r="R43" t="s">
        <v>1064</v>
      </c>
      <c r="S43" t="s">
        <v>1049</v>
      </c>
      <c r="T43">
        <v>150000</v>
      </c>
      <c r="U43">
        <v>7</v>
      </c>
      <c r="V43">
        <v>87500</v>
      </c>
    </row>
    <row r="44" spans="16:22" ht="15" customHeight="1" x14ac:dyDescent="0.3">
      <c r="P44" s="15">
        <v>45292</v>
      </c>
      <c r="Q44" t="s">
        <v>1062</v>
      </c>
      <c r="R44" t="s">
        <v>1065</v>
      </c>
      <c r="S44" t="s">
        <v>1049</v>
      </c>
      <c r="T44">
        <v>125000</v>
      </c>
      <c r="U44">
        <v>5</v>
      </c>
      <c r="V44">
        <v>52083.33</v>
      </c>
    </row>
    <row r="45" spans="16:22" ht="15" customHeight="1" x14ac:dyDescent="0.3">
      <c r="P45" s="15">
        <v>45323</v>
      </c>
      <c r="Q45" t="s">
        <v>1047</v>
      </c>
      <c r="R45" t="s">
        <v>1048</v>
      </c>
      <c r="S45" t="s">
        <v>1049</v>
      </c>
      <c r="T45">
        <v>185000</v>
      </c>
      <c r="U45">
        <v>32</v>
      </c>
      <c r="V45">
        <v>493333.33</v>
      </c>
    </row>
    <row r="46" spans="16:22" x14ac:dyDescent="0.3">
      <c r="P46" s="15">
        <v>45323</v>
      </c>
      <c r="Q46" t="s">
        <v>1047</v>
      </c>
      <c r="R46" t="s">
        <v>1050</v>
      </c>
      <c r="S46" t="s">
        <v>1049</v>
      </c>
      <c r="T46">
        <v>105000</v>
      </c>
      <c r="U46">
        <v>18</v>
      </c>
      <c r="V46">
        <v>157500</v>
      </c>
    </row>
    <row r="47" spans="16:22" x14ac:dyDescent="0.3">
      <c r="P47" s="15">
        <v>45323</v>
      </c>
      <c r="Q47" t="s">
        <v>1047</v>
      </c>
      <c r="R47" t="s">
        <v>1051</v>
      </c>
      <c r="S47" t="s">
        <v>1049</v>
      </c>
      <c r="T47">
        <v>240000</v>
      </c>
      <c r="U47">
        <v>5</v>
      </c>
      <c r="V47">
        <v>100000</v>
      </c>
    </row>
    <row r="48" spans="16:22" x14ac:dyDescent="0.3">
      <c r="P48" s="15">
        <v>45323</v>
      </c>
      <c r="Q48" t="s">
        <v>1052</v>
      </c>
      <c r="R48" t="s">
        <v>1053</v>
      </c>
      <c r="S48" t="s">
        <v>1049</v>
      </c>
      <c r="T48">
        <v>125000</v>
      </c>
      <c r="U48">
        <v>18</v>
      </c>
      <c r="V48">
        <v>187500</v>
      </c>
    </row>
    <row r="49" spans="16:22" x14ac:dyDescent="0.3">
      <c r="P49" s="15">
        <v>45323</v>
      </c>
      <c r="Q49" t="s">
        <v>1052</v>
      </c>
      <c r="R49" t="s">
        <v>1054</v>
      </c>
      <c r="S49" t="s">
        <v>1049</v>
      </c>
      <c r="T49">
        <v>112000</v>
      </c>
      <c r="U49">
        <v>8</v>
      </c>
      <c r="V49">
        <v>74666.67</v>
      </c>
    </row>
    <row r="50" spans="16:22" x14ac:dyDescent="0.3">
      <c r="P50" s="15">
        <v>45323</v>
      </c>
      <c r="Q50" t="s">
        <v>1055</v>
      </c>
      <c r="R50" t="s">
        <v>1056</v>
      </c>
      <c r="S50" t="s">
        <v>1049</v>
      </c>
      <c r="T50">
        <v>145000</v>
      </c>
      <c r="U50">
        <v>9</v>
      </c>
      <c r="V50">
        <v>108750</v>
      </c>
    </row>
    <row r="51" spans="16:22" x14ac:dyDescent="0.3">
      <c r="P51" s="15">
        <v>45323</v>
      </c>
      <c r="Q51" t="s">
        <v>1055</v>
      </c>
      <c r="R51" t="s">
        <v>1057</v>
      </c>
      <c r="S51" t="s">
        <v>1049</v>
      </c>
      <c r="T51">
        <v>132000</v>
      </c>
      <c r="U51">
        <v>6</v>
      </c>
      <c r="V51">
        <v>66000</v>
      </c>
    </row>
    <row r="52" spans="16:22" x14ac:dyDescent="0.3">
      <c r="P52" s="15">
        <v>45323</v>
      </c>
      <c r="Q52" t="s">
        <v>1058</v>
      </c>
      <c r="R52" t="s">
        <v>1059</v>
      </c>
      <c r="S52" t="s">
        <v>1049</v>
      </c>
      <c r="T52">
        <v>175000</v>
      </c>
      <c r="U52">
        <v>52</v>
      </c>
      <c r="V52">
        <v>758333.33</v>
      </c>
    </row>
    <row r="53" spans="16:22" x14ac:dyDescent="0.3">
      <c r="P53" s="15">
        <v>45323</v>
      </c>
      <c r="Q53" t="s">
        <v>1058</v>
      </c>
      <c r="R53" t="s">
        <v>1060</v>
      </c>
      <c r="S53" t="s">
        <v>1049</v>
      </c>
      <c r="T53">
        <v>165000</v>
      </c>
      <c r="U53">
        <v>10</v>
      </c>
      <c r="V53">
        <v>137500</v>
      </c>
    </row>
    <row r="54" spans="16:22" x14ac:dyDescent="0.3">
      <c r="P54" s="15">
        <v>45323</v>
      </c>
      <c r="Q54" t="s">
        <v>1058</v>
      </c>
      <c r="R54" t="s">
        <v>1061</v>
      </c>
      <c r="S54" t="s">
        <v>1049</v>
      </c>
      <c r="T54">
        <v>145000</v>
      </c>
      <c r="U54">
        <v>7</v>
      </c>
      <c r="V54">
        <v>84583.33</v>
      </c>
    </row>
    <row r="55" spans="16:22" x14ac:dyDescent="0.3">
      <c r="P55" s="15">
        <v>45323</v>
      </c>
      <c r="Q55" t="s">
        <v>1062</v>
      </c>
      <c r="R55" t="s">
        <v>1063</v>
      </c>
      <c r="S55" t="s">
        <v>1049</v>
      </c>
      <c r="T55">
        <v>142000</v>
      </c>
      <c r="U55">
        <v>8</v>
      </c>
      <c r="V55">
        <v>94666.67</v>
      </c>
    </row>
    <row r="56" spans="16:22" x14ac:dyDescent="0.3">
      <c r="P56" s="15">
        <v>45323</v>
      </c>
      <c r="Q56" t="s">
        <v>1062</v>
      </c>
      <c r="R56" t="s">
        <v>1064</v>
      </c>
      <c r="S56" t="s">
        <v>1049</v>
      </c>
      <c r="T56">
        <v>150000</v>
      </c>
      <c r="U56">
        <v>7</v>
      </c>
      <c r="V56">
        <v>87500</v>
      </c>
    </row>
    <row r="57" spans="16:22" x14ac:dyDescent="0.3">
      <c r="P57" s="15">
        <v>45323</v>
      </c>
      <c r="Q57" t="s">
        <v>1062</v>
      </c>
      <c r="R57" t="s">
        <v>1065</v>
      </c>
      <c r="S57" t="s">
        <v>1049</v>
      </c>
      <c r="T57">
        <v>125000</v>
      </c>
      <c r="U57">
        <v>5</v>
      </c>
      <c r="V57">
        <v>52083.33</v>
      </c>
    </row>
    <row r="58" spans="16:22" x14ac:dyDescent="0.3">
      <c r="P58" s="15">
        <v>45352</v>
      </c>
      <c r="Q58" t="s">
        <v>1047</v>
      </c>
      <c r="R58" t="s">
        <v>1048</v>
      </c>
      <c r="S58" t="s">
        <v>1049</v>
      </c>
      <c r="T58">
        <v>185000</v>
      </c>
      <c r="U58">
        <v>32</v>
      </c>
      <c r="V58">
        <v>493333.33</v>
      </c>
    </row>
    <row r="59" spans="16:22" x14ac:dyDescent="0.3">
      <c r="P59" s="15">
        <v>45352</v>
      </c>
      <c r="Q59" t="s">
        <v>1047</v>
      </c>
      <c r="R59" t="s">
        <v>1050</v>
      </c>
      <c r="S59" t="s">
        <v>1049</v>
      </c>
      <c r="T59">
        <v>105000</v>
      </c>
      <c r="U59">
        <v>18</v>
      </c>
      <c r="V59">
        <v>157500</v>
      </c>
    </row>
    <row r="60" spans="16:22" x14ac:dyDescent="0.3">
      <c r="P60" s="15">
        <v>45352</v>
      </c>
      <c r="Q60" t="s">
        <v>1047</v>
      </c>
      <c r="R60" t="s">
        <v>1051</v>
      </c>
      <c r="S60" t="s">
        <v>1049</v>
      </c>
      <c r="T60">
        <v>240000</v>
      </c>
      <c r="U60">
        <v>5</v>
      </c>
      <c r="V60">
        <v>100000</v>
      </c>
    </row>
    <row r="61" spans="16:22" x14ac:dyDescent="0.3">
      <c r="P61" s="15">
        <v>45352</v>
      </c>
      <c r="Q61" t="s">
        <v>1052</v>
      </c>
      <c r="R61" t="s">
        <v>1053</v>
      </c>
      <c r="S61" t="s">
        <v>1049</v>
      </c>
      <c r="T61">
        <v>125000</v>
      </c>
      <c r="U61">
        <v>18</v>
      </c>
      <c r="V61">
        <v>187500</v>
      </c>
    </row>
    <row r="62" spans="16:22" x14ac:dyDescent="0.3">
      <c r="P62" s="15">
        <v>45352</v>
      </c>
      <c r="Q62" t="s">
        <v>1052</v>
      </c>
      <c r="R62" t="s">
        <v>1054</v>
      </c>
      <c r="S62" t="s">
        <v>1049</v>
      </c>
      <c r="T62">
        <v>112000</v>
      </c>
      <c r="U62">
        <v>8</v>
      </c>
      <c r="V62">
        <v>74666.67</v>
      </c>
    </row>
    <row r="63" spans="16:22" x14ac:dyDescent="0.3">
      <c r="P63" s="15">
        <v>45352</v>
      </c>
      <c r="Q63" t="s">
        <v>1055</v>
      </c>
      <c r="R63" t="s">
        <v>1056</v>
      </c>
      <c r="S63" t="s">
        <v>1049</v>
      </c>
      <c r="T63">
        <v>145000</v>
      </c>
      <c r="U63">
        <v>9</v>
      </c>
      <c r="V63">
        <v>108750</v>
      </c>
    </row>
    <row r="64" spans="16:22" x14ac:dyDescent="0.3">
      <c r="P64" s="15">
        <v>45352</v>
      </c>
      <c r="Q64" t="s">
        <v>1055</v>
      </c>
      <c r="R64" t="s">
        <v>1057</v>
      </c>
      <c r="S64" t="s">
        <v>1049</v>
      </c>
      <c r="T64">
        <v>132000</v>
      </c>
      <c r="U64">
        <v>6</v>
      </c>
      <c r="V64">
        <v>66000</v>
      </c>
    </row>
    <row r="65" spans="16:22" x14ac:dyDescent="0.3">
      <c r="P65" s="15">
        <v>45352</v>
      </c>
      <c r="Q65" t="s">
        <v>1058</v>
      </c>
      <c r="R65" t="s">
        <v>1059</v>
      </c>
      <c r="S65" t="s">
        <v>1049</v>
      </c>
      <c r="T65">
        <v>175000</v>
      </c>
      <c r="U65">
        <v>52</v>
      </c>
      <c r="V65">
        <v>758333.33</v>
      </c>
    </row>
    <row r="66" spans="16:22" x14ac:dyDescent="0.3">
      <c r="P66" s="15">
        <v>45352</v>
      </c>
      <c r="Q66" t="s">
        <v>1058</v>
      </c>
      <c r="R66" t="s">
        <v>1060</v>
      </c>
      <c r="S66" t="s">
        <v>1049</v>
      </c>
      <c r="T66">
        <v>165000</v>
      </c>
      <c r="U66">
        <v>10</v>
      </c>
      <c r="V66">
        <v>137500</v>
      </c>
    </row>
    <row r="67" spans="16:22" x14ac:dyDescent="0.3">
      <c r="P67" s="15">
        <v>45352</v>
      </c>
      <c r="Q67" t="s">
        <v>1058</v>
      </c>
      <c r="R67" t="s">
        <v>1061</v>
      </c>
      <c r="S67" t="s">
        <v>1049</v>
      </c>
      <c r="T67">
        <v>145000</v>
      </c>
      <c r="U67">
        <v>7</v>
      </c>
      <c r="V67">
        <v>84583.33</v>
      </c>
    </row>
    <row r="68" spans="16:22" x14ac:dyDescent="0.3">
      <c r="P68" s="15">
        <v>45352</v>
      </c>
      <c r="Q68" t="s">
        <v>1062</v>
      </c>
      <c r="R68" t="s">
        <v>1063</v>
      </c>
      <c r="S68" t="s">
        <v>1049</v>
      </c>
      <c r="T68">
        <v>142000</v>
      </c>
      <c r="U68">
        <v>8</v>
      </c>
      <c r="V68">
        <v>94666.67</v>
      </c>
    </row>
    <row r="69" spans="16:22" x14ac:dyDescent="0.3">
      <c r="P69" s="15">
        <v>45352</v>
      </c>
      <c r="Q69" t="s">
        <v>1062</v>
      </c>
      <c r="R69" t="s">
        <v>1064</v>
      </c>
      <c r="S69" t="s">
        <v>1049</v>
      </c>
      <c r="T69">
        <v>150000</v>
      </c>
      <c r="U69">
        <v>7</v>
      </c>
      <c r="V69">
        <v>87500</v>
      </c>
    </row>
    <row r="70" spans="16:22" x14ac:dyDescent="0.3">
      <c r="P70" s="15">
        <v>45352</v>
      </c>
      <c r="Q70" t="s">
        <v>1062</v>
      </c>
      <c r="R70" t="s">
        <v>1065</v>
      </c>
      <c r="S70" t="s">
        <v>1049</v>
      </c>
      <c r="T70">
        <v>125000</v>
      </c>
      <c r="U70">
        <v>5</v>
      </c>
      <c r="V70">
        <v>52083.33</v>
      </c>
    </row>
    <row r="71" spans="16:22" x14ac:dyDescent="0.3">
      <c r="P71" s="15">
        <v>45383</v>
      </c>
      <c r="Q71" t="s">
        <v>1047</v>
      </c>
      <c r="R71" t="s">
        <v>1048</v>
      </c>
      <c r="S71" t="s">
        <v>1049</v>
      </c>
      <c r="T71">
        <v>185000</v>
      </c>
      <c r="U71">
        <v>33</v>
      </c>
      <c r="V71">
        <v>508750</v>
      </c>
    </row>
    <row r="72" spans="16:22" x14ac:dyDescent="0.3">
      <c r="P72" s="15">
        <v>45383</v>
      </c>
      <c r="Q72" t="s">
        <v>1047</v>
      </c>
      <c r="R72" t="s">
        <v>1050</v>
      </c>
      <c r="S72" t="s">
        <v>1049</v>
      </c>
      <c r="T72">
        <v>105000</v>
      </c>
      <c r="U72">
        <v>18</v>
      </c>
      <c r="V72">
        <v>157500</v>
      </c>
    </row>
    <row r="73" spans="16:22" x14ac:dyDescent="0.3">
      <c r="P73" s="15">
        <v>45383</v>
      </c>
      <c r="Q73" t="s">
        <v>1047</v>
      </c>
      <c r="R73" t="s">
        <v>1051</v>
      </c>
      <c r="S73" t="s">
        <v>1049</v>
      </c>
      <c r="T73">
        <v>240000</v>
      </c>
      <c r="U73">
        <v>5</v>
      </c>
      <c r="V73">
        <v>100000</v>
      </c>
    </row>
    <row r="74" spans="16:22" x14ac:dyDescent="0.3">
      <c r="P74" s="15">
        <v>45383</v>
      </c>
      <c r="Q74" t="s">
        <v>1052</v>
      </c>
      <c r="R74" t="s">
        <v>1053</v>
      </c>
      <c r="S74" t="s">
        <v>1049</v>
      </c>
      <c r="T74">
        <v>125000</v>
      </c>
      <c r="U74">
        <v>18</v>
      </c>
      <c r="V74">
        <v>187500</v>
      </c>
    </row>
    <row r="75" spans="16:22" x14ac:dyDescent="0.3">
      <c r="P75" s="15">
        <v>45383</v>
      </c>
      <c r="Q75" t="s">
        <v>1052</v>
      </c>
      <c r="R75" t="s">
        <v>1054</v>
      </c>
      <c r="S75" t="s">
        <v>1049</v>
      </c>
      <c r="T75">
        <v>112000</v>
      </c>
      <c r="U75">
        <v>8</v>
      </c>
      <c r="V75">
        <v>74666.67</v>
      </c>
    </row>
    <row r="76" spans="16:22" x14ac:dyDescent="0.3">
      <c r="P76" s="15">
        <v>45383</v>
      </c>
      <c r="Q76" t="s">
        <v>1055</v>
      </c>
      <c r="R76" t="s">
        <v>1056</v>
      </c>
      <c r="S76" t="s">
        <v>1049</v>
      </c>
      <c r="T76">
        <v>145000</v>
      </c>
      <c r="U76">
        <v>9</v>
      </c>
      <c r="V76">
        <v>108750</v>
      </c>
    </row>
    <row r="77" spans="16:22" x14ac:dyDescent="0.3">
      <c r="P77" s="15">
        <v>45383</v>
      </c>
      <c r="Q77" t="s">
        <v>1055</v>
      </c>
      <c r="R77" t="s">
        <v>1057</v>
      </c>
      <c r="S77" t="s">
        <v>1049</v>
      </c>
      <c r="T77">
        <v>132000</v>
      </c>
      <c r="U77">
        <v>6</v>
      </c>
      <c r="V77">
        <v>66000</v>
      </c>
    </row>
    <row r="78" spans="16:22" x14ac:dyDescent="0.3">
      <c r="P78" s="15">
        <v>45383</v>
      </c>
      <c r="Q78" t="s">
        <v>1058</v>
      </c>
      <c r="R78" t="s">
        <v>1059</v>
      </c>
      <c r="S78" t="s">
        <v>1049</v>
      </c>
      <c r="T78">
        <v>175000</v>
      </c>
      <c r="U78">
        <v>53</v>
      </c>
      <c r="V78">
        <v>772916.67</v>
      </c>
    </row>
    <row r="79" spans="16:22" x14ac:dyDescent="0.3">
      <c r="P79" s="15">
        <v>45383</v>
      </c>
      <c r="Q79" t="s">
        <v>1058</v>
      </c>
      <c r="R79" t="s">
        <v>1060</v>
      </c>
      <c r="S79" t="s">
        <v>1049</v>
      </c>
      <c r="T79">
        <v>165000</v>
      </c>
      <c r="U79">
        <v>10</v>
      </c>
      <c r="V79">
        <v>137500</v>
      </c>
    </row>
    <row r="80" spans="16:22" x14ac:dyDescent="0.3">
      <c r="P80" s="15">
        <v>45383</v>
      </c>
      <c r="Q80" t="s">
        <v>1058</v>
      </c>
      <c r="R80" t="s">
        <v>1061</v>
      </c>
      <c r="S80" t="s">
        <v>1049</v>
      </c>
      <c r="T80">
        <v>145000</v>
      </c>
      <c r="U80">
        <v>7</v>
      </c>
      <c r="V80">
        <v>84583.33</v>
      </c>
    </row>
    <row r="81" spans="16:22" x14ac:dyDescent="0.3">
      <c r="P81" s="15">
        <v>45383</v>
      </c>
      <c r="Q81" t="s">
        <v>1062</v>
      </c>
      <c r="R81" t="s">
        <v>1063</v>
      </c>
      <c r="S81" t="s">
        <v>1049</v>
      </c>
      <c r="T81">
        <v>142000</v>
      </c>
      <c r="U81">
        <v>8</v>
      </c>
      <c r="V81">
        <v>94666.67</v>
      </c>
    </row>
    <row r="82" spans="16:22" x14ac:dyDescent="0.3">
      <c r="P82" s="15">
        <v>45383</v>
      </c>
      <c r="Q82" t="s">
        <v>1062</v>
      </c>
      <c r="R82" t="s">
        <v>1064</v>
      </c>
      <c r="S82" t="s">
        <v>1049</v>
      </c>
      <c r="T82">
        <v>150000</v>
      </c>
      <c r="U82">
        <v>7</v>
      </c>
      <c r="V82">
        <v>87500</v>
      </c>
    </row>
    <row r="83" spans="16:22" x14ac:dyDescent="0.3">
      <c r="P83" s="15">
        <v>45383</v>
      </c>
      <c r="Q83" t="s">
        <v>1062</v>
      </c>
      <c r="R83" t="s">
        <v>1065</v>
      </c>
      <c r="S83" t="s">
        <v>1049</v>
      </c>
      <c r="T83">
        <v>125000</v>
      </c>
      <c r="U83">
        <v>5</v>
      </c>
      <c r="V83">
        <v>52083.33</v>
      </c>
    </row>
    <row r="84" spans="16:22" x14ac:dyDescent="0.3">
      <c r="P84" s="15">
        <v>45413</v>
      </c>
      <c r="Q84" t="s">
        <v>1047</v>
      </c>
      <c r="R84" t="s">
        <v>1048</v>
      </c>
      <c r="S84" t="s">
        <v>1049</v>
      </c>
      <c r="T84">
        <v>185000</v>
      </c>
      <c r="U84">
        <v>33</v>
      </c>
      <c r="V84">
        <v>508750</v>
      </c>
    </row>
    <row r="85" spans="16:22" x14ac:dyDescent="0.3">
      <c r="P85" s="15">
        <v>45413</v>
      </c>
      <c r="Q85" t="s">
        <v>1047</v>
      </c>
      <c r="R85" t="s">
        <v>1050</v>
      </c>
      <c r="S85" t="s">
        <v>1049</v>
      </c>
      <c r="T85">
        <v>105000</v>
      </c>
      <c r="U85">
        <v>19</v>
      </c>
      <c r="V85">
        <v>166250</v>
      </c>
    </row>
    <row r="86" spans="16:22" x14ac:dyDescent="0.3">
      <c r="P86" s="15">
        <v>45413</v>
      </c>
      <c r="Q86" t="s">
        <v>1047</v>
      </c>
      <c r="R86" t="s">
        <v>1051</v>
      </c>
      <c r="S86" t="s">
        <v>1049</v>
      </c>
      <c r="T86">
        <v>240000</v>
      </c>
      <c r="U86">
        <v>5</v>
      </c>
      <c r="V86">
        <v>100000</v>
      </c>
    </row>
    <row r="87" spans="16:22" x14ac:dyDescent="0.3">
      <c r="P87" s="15">
        <v>45413</v>
      </c>
      <c r="Q87" t="s">
        <v>1052</v>
      </c>
      <c r="R87" t="s">
        <v>1053</v>
      </c>
      <c r="S87" t="s">
        <v>1049</v>
      </c>
      <c r="T87">
        <v>125000</v>
      </c>
      <c r="U87">
        <v>18</v>
      </c>
      <c r="V87">
        <v>187500</v>
      </c>
    </row>
    <row r="88" spans="16:22" x14ac:dyDescent="0.3">
      <c r="P88" s="15">
        <v>45413</v>
      </c>
      <c r="Q88" t="s">
        <v>1052</v>
      </c>
      <c r="R88" t="s">
        <v>1054</v>
      </c>
      <c r="S88" t="s">
        <v>1049</v>
      </c>
      <c r="T88">
        <v>112000</v>
      </c>
      <c r="U88">
        <v>8</v>
      </c>
      <c r="V88">
        <v>74666.67</v>
      </c>
    </row>
    <row r="89" spans="16:22" x14ac:dyDescent="0.3">
      <c r="P89" s="15">
        <v>45413</v>
      </c>
      <c r="Q89" t="s">
        <v>1055</v>
      </c>
      <c r="R89" t="s">
        <v>1056</v>
      </c>
      <c r="S89" t="s">
        <v>1049</v>
      </c>
      <c r="T89">
        <v>145000</v>
      </c>
      <c r="U89">
        <v>9</v>
      </c>
      <c r="V89">
        <v>108750</v>
      </c>
    </row>
    <row r="90" spans="16:22" x14ac:dyDescent="0.3">
      <c r="P90" s="15">
        <v>45413</v>
      </c>
      <c r="Q90" t="s">
        <v>1055</v>
      </c>
      <c r="R90" t="s">
        <v>1057</v>
      </c>
      <c r="S90" t="s">
        <v>1049</v>
      </c>
      <c r="T90">
        <v>132000</v>
      </c>
      <c r="U90">
        <v>6</v>
      </c>
      <c r="V90">
        <v>66000</v>
      </c>
    </row>
    <row r="91" spans="16:22" x14ac:dyDescent="0.3">
      <c r="P91" s="15">
        <v>45413</v>
      </c>
      <c r="Q91" t="s">
        <v>1058</v>
      </c>
      <c r="R91" t="s">
        <v>1059</v>
      </c>
      <c r="S91" t="s">
        <v>1049</v>
      </c>
      <c r="T91">
        <v>175000</v>
      </c>
      <c r="U91">
        <v>53</v>
      </c>
      <c r="V91">
        <v>772916.67</v>
      </c>
    </row>
    <row r="92" spans="16:22" x14ac:dyDescent="0.3">
      <c r="P92" s="15">
        <v>45413</v>
      </c>
      <c r="Q92" t="s">
        <v>1058</v>
      </c>
      <c r="R92" t="s">
        <v>1060</v>
      </c>
      <c r="S92" t="s">
        <v>1049</v>
      </c>
      <c r="T92">
        <v>165000</v>
      </c>
      <c r="U92">
        <v>10</v>
      </c>
      <c r="V92">
        <v>137500</v>
      </c>
    </row>
    <row r="93" spans="16:22" x14ac:dyDescent="0.3">
      <c r="P93" s="15">
        <v>45413</v>
      </c>
      <c r="Q93" t="s">
        <v>1058</v>
      </c>
      <c r="R93" t="s">
        <v>1061</v>
      </c>
      <c r="S93" t="s">
        <v>1049</v>
      </c>
      <c r="T93">
        <v>145000</v>
      </c>
      <c r="U93">
        <v>7</v>
      </c>
      <c r="V93">
        <v>84583.33</v>
      </c>
    </row>
    <row r="94" spans="16:22" x14ac:dyDescent="0.3">
      <c r="P94" s="15">
        <v>45413</v>
      </c>
      <c r="Q94" t="s">
        <v>1062</v>
      </c>
      <c r="R94" t="s">
        <v>1063</v>
      </c>
      <c r="S94" t="s">
        <v>1049</v>
      </c>
      <c r="T94">
        <v>142000</v>
      </c>
      <c r="U94">
        <v>8</v>
      </c>
      <c r="V94">
        <v>94666.67</v>
      </c>
    </row>
    <row r="95" spans="16:22" x14ac:dyDescent="0.3">
      <c r="P95" s="15">
        <v>45413</v>
      </c>
      <c r="Q95" t="s">
        <v>1062</v>
      </c>
      <c r="R95" t="s">
        <v>1064</v>
      </c>
      <c r="S95" t="s">
        <v>1049</v>
      </c>
      <c r="T95">
        <v>150000</v>
      </c>
      <c r="U95">
        <v>7</v>
      </c>
      <c r="V95">
        <v>87500</v>
      </c>
    </row>
    <row r="96" spans="16:22" x14ac:dyDescent="0.3">
      <c r="P96" s="15">
        <v>45413</v>
      </c>
      <c r="Q96" t="s">
        <v>1062</v>
      </c>
      <c r="R96" t="s">
        <v>1065</v>
      </c>
      <c r="S96" t="s">
        <v>1049</v>
      </c>
      <c r="T96">
        <v>125000</v>
      </c>
      <c r="U96">
        <v>5</v>
      </c>
      <c r="V96">
        <v>52083.33</v>
      </c>
    </row>
    <row r="97" spans="16:22" x14ac:dyDescent="0.3">
      <c r="P97" s="15">
        <v>45444</v>
      </c>
      <c r="Q97" t="s">
        <v>1047</v>
      </c>
      <c r="R97" t="s">
        <v>1048</v>
      </c>
      <c r="S97" t="s">
        <v>1049</v>
      </c>
      <c r="T97">
        <v>185000</v>
      </c>
      <c r="U97">
        <v>33</v>
      </c>
      <c r="V97">
        <v>508750</v>
      </c>
    </row>
    <row r="98" spans="16:22" x14ac:dyDescent="0.3">
      <c r="P98" s="15">
        <v>45444</v>
      </c>
      <c r="Q98" t="s">
        <v>1047</v>
      </c>
      <c r="R98" t="s">
        <v>1050</v>
      </c>
      <c r="S98" t="s">
        <v>1049</v>
      </c>
      <c r="T98">
        <v>105000</v>
      </c>
      <c r="U98">
        <v>19</v>
      </c>
      <c r="V98">
        <v>166250</v>
      </c>
    </row>
    <row r="99" spans="16:22" x14ac:dyDescent="0.3">
      <c r="P99" s="15">
        <v>45444</v>
      </c>
      <c r="Q99" t="s">
        <v>1047</v>
      </c>
      <c r="R99" t="s">
        <v>1051</v>
      </c>
      <c r="S99" t="s">
        <v>1049</v>
      </c>
      <c r="T99">
        <v>240000</v>
      </c>
      <c r="U99">
        <v>5</v>
      </c>
      <c r="V99">
        <v>100000</v>
      </c>
    </row>
    <row r="100" spans="16:22" x14ac:dyDescent="0.3">
      <c r="P100" s="15">
        <v>45444</v>
      </c>
      <c r="Q100" t="s">
        <v>1052</v>
      </c>
      <c r="R100" t="s">
        <v>1053</v>
      </c>
      <c r="S100" t="s">
        <v>1049</v>
      </c>
      <c r="T100">
        <v>125000</v>
      </c>
      <c r="U100">
        <v>18</v>
      </c>
      <c r="V100">
        <v>187500</v>
      </c>
    </row>
    <row r="101" spans="16:22" x14ac:dyDescent="0.3">
      <c r="P101" s="15">
        <v>45444</v>
      </c>
      <c r="Q101" t="s">
        <v>1052</v>
      </c>
      <c r="R101" t="s">
        <v>1054</v>
      </c>
      <c r="S101" t="s">
        <v>1049</v>
      </c>
      <c r="T101">
        <v>112000</v>
      </c>
      <c r="U101">
        <v>8</v>
      </c>
      <c r="V101">
        <v>74666.67</v>
      </c>
    </row>
    <row r="102" spans="16:22" x14ac:dyDescent="0.3">
      <c r="P102" s="15">
        <v>45444</v>
      </c>
      <c r="Q102" t="s">
        <v>1055</v>
      </c>
      <c r="R102" t="s">
        <v>1056</v>
      </c>
      <c r="S102" t="s">
        <v>1049</v>
      </c>
      <c r="T102">
        <v>145000</v>
      </c>
      <c r="U102">
        <v>9</v>
      </c>
      <c r="V102">
        <v>108750</v>
      </c>
    </row>
    <row r="103" spans="16:22" x14ac:dyDescent="0.3">
      <c r="P103" s="15">
        <v>45444</v>
      </c>
      <c r="Q103" t="s">
        <v>1055</v>
      </c>
      <c r="R103" t="s">
        <v>1057</v>
      </c>
      <c r="S103" t="s">
        <v>1049</v>
      </c>
      <c r="T103">
        <v>132000</v>
      </c>
      <c r="U103">
        <v>6</v>
      </c>
      <c r="V103">
        <v>66000</v>
      </c>
    </row>
    <row r="104" spans="16:22" x14ac:dyDescent="0.3">
      <c r="P104" s="15">
        <v>45444</v>
      </c>
      <c r="Q104" t="s">
        <v>1058</v>
      </c>
      <c r="R104" t="s">
        <v>1059</v>
      </c>
      <c r="S104" t="s">
        <v>1049</v>
      </c>
      <c r="T104">
        <v>175000</v>
      </c>
      <c r="U104">
        <v>54</v>
      </c>
      <c r="V104">
        <v>787500</v>
      </c>
    </row>
    <row r="105" spans="16:22" x14ac:dyDescent="0.3">
      <c r="P105" s="15">
        <v>45444</v>
      </c>
      <c r="Q105" t="s">
        <v>1058</v>
      </c>
      <c r="R105" t="s">
        <v>1060</v>
      </c>
      <c r="S105" t="s">
        <v>1049</v>
      </c>
      <c r="T105">
        <v>165000</v>
      </c>
      <c r="U105">
        <v>10</v>
      </c>
      <c r="V105">
        <v>137500</v>
      </c>
    </row>
    <row r="106" spans="16:22" x14ac:dyDescent="0.3">
      <c r="P106" s="15">
        <v>45444</v>
      </c>
      <c r="Q106" t="s">
        <v>1058</v>
      </c>
      <c r="R106" t="s">
        <v>1061</v>
      </c>
      <c r="S106" t="s">
        <v>1049</v>
      </c>
      <c r="T106">
        <v>145000</v>
      </c>
      <c r="U106">
        <v>7</v>
      </c>
      <c r="V106">
        <v>84583.33</v>
      </c>
    </row>
    <row r="107" spans="16:22" x14ac:dyDescent="0.3">
      <c r="P107" s="15">
        <v>45444</v>
      </c>
      <c r="Q107" t="s">
        <v>1062</v>
      </c>
      <c r="R107" t="s">
        <v>1063</v>
      </c>
      <c r="S107" t="s">
        <v>1049</v>
      </c>
      <c r="T107">
        <v>142000</v>
      </c>
      <c r="U107">
        <v>8</v>
      </c>
      <c r="V107">
        <v>94666.67</v>
      </c>
    </row>
    <row r="108" spans="16:22" x14ac:dyDescent="0.3">
      <c r="P108" s="15">
        <v>45444</v>
      </c>
      <c r="Q108" t="s">
        <v>1062</v>
      </c>
      <c r="R108" t="s">
        <v>1064</v>
      </c>
      <c r="S108" t="s">
        <v>1049</v>
      </c>
      <c r="T108">
        <v>150000</v>
      </c>
      <c r="U108">
        <v>7</v>
      </c>
      <c r="V108">
        <v>87500</v>
      </c>
    </row>
    <row r="109" spans="16:22" x14ac:dyDescent="0.3">
      <c r="P109" s="15">
        <v>45444</v>
      </c>
      <c r="Q109" t="s">
        <v>1062</v>
      </c>
      <c r="R109" t="s">
        <v>1065</v>
      </c>
      <c r="S109" t="s">
        <v>1049</v>
      </c>
      <c r="T109">
        <v>125000</v>
      </c>
      <c r="U109">
        <v>5</v>
      </c>
      <c r="V109">
        <v>52083.33</v>
      </c>
    </row>
    <row r="110" spans="16:22" x14ac:dyDescent="0.3">
      <c r="P110" s="15">
        <v>45474</v>
      </c>
      <c r="Q110" t="s">
        <v>1047</v>
      </c>
      <c r="R110" t="s">
        <v>1048</v>
      </c>
      <c r="S110" t="s">
        <v>1049</v>
      </c>
      <c r="T110">
        <v>185000</v>
      </c>
      <c r="U110">
        <v>34</v>
      </c>
      <c r="V110">
        <v>524166.67</v>
      </c>
    </row>
    <row r="111" spans="16:22" x14ac:dyDescent="0.3">
      <c r="P111" s="15">
        <v>45474</v>
      </c>
      <c r="Q111" t="s">
        <v>1047</v>
      </c>
      <c r="R111" t="s">
        <v>1050</v>
      </c>
      <c r="S111" t="s">
        <v>1049</v>
      </c>
      <c r="T111">
        <v>105000</v>
      </c>
      <c r="U111">
        <v>19</v>
      </c>
      <c r="V111">
        <v>166250</v>
      </c>
    </row>
    <row r="112" spans="16:22" x14ac:dyDescent="0.3">
      <c r="P112" s="15">
        <v>45474</v>
      </c>
      <c r="Q112" t="s">
        <v>1047</v>
      </c>
      <c r="R112" t="s">
        <v>1051</v>
      </c>
      <c r="S112" t="s">
        <v>1049</v>
      </c>
      <c r="T112">
        <v>240000</v>
      </c>
      <c r="U112">
        <v>5</v>
      </c>
      <c r="V112">
        <v>100000</v>
      </c>
    </row>
    <row r="113" spans="16:22" x14ac:dyDescent="0.3">
      <c r="P113" s="15">
        <v>45474</v>
      </c>
      <c r="Q113" t="s">
        <v>1052</v>
      </c>
      <c r="R113" t="s">
        <v>1053</v>
      </c>
      <c r="S113" t="s">
        <v>1049</v>
      </c>
      <c r="T113">
        <v>125000</v>
      </c>
      <c r="U113">
        <v>19</v>
      </c>
      <c r="V113">
        <v>197916.67</v>
      </c>
    </row>
    <row r="114" spans="16:22" x14ac:dyDescent="0.3">
      <c r="P114" s="15">
        <v>45474</v>
      </c>
      <c r="Q114" t="s">
        <v>1052</v>
      </c>
      <c r="R114" t="s">
        <v>1054</v>
      </c>
      <c r="S114" t="s">
        <v>1049</v>
      </c>
      <c r="T114">
        <v>112000</v>
      </c>
      <c r="U114">
        <v>8</v>
      </c>
      <c r="V114">
        <v>74666.67</v>
      </c>
    </row>
    <row r="115" spans="16:22" x14ac:dyDescent="0.3">
      <c r="P115" s="15">
        <v>45474</v>
      </c>
      <c r="Q115" t="s">
        <v>1055</v>
      </c>
      <c r="R115" t="s">
        <v>1056</v>
      </c>
      <c r="S115" t="s">
        <v>1049</v>
      </c>
      <c r="T115">
        <v>145000</v>
      </c>
      <c r="U115">
        <v>9</v>
      </c>
      <c r="V115">
        <v>108750</v>
      </c>
    </row>
    <row r="116" spans="16:22" x14ac:dyDescent="0.3">
      <c r="P116" s="15">
        <v>45474</v>
      </c>
      <c r="Q116" t="s">
        <v>1055</v>
      </c>
      <c r="R116" t="s">
        <v>1057</v>
      </c>
      <c r="S116" t="s">
        <v>1049</v>
      </c>
      <c r="T116">
        <v>132000</v>
      </c>
      <c r="U116">
        <v>6</v>
      </c>
      <c r="V116">
        <v>66000</v>
      </c>
    </row>
    <row r="117" spans="16:22" x14ac:dyDescent="0.3">
      <c r="P117" s="15">
        <v>45474</v>
      </c>
      <c r="Q117" t="s">
        <v>1058</v>
      </c>
      <c r="R117" t="s">
        <v>1059</v>
      </c>
      <c r="S117" t="s">
        <v>1049</v>
      </c>
      <c r="T117">
        <v>175000</v>
      </c>
      <c r="U117">
        <v>54</v>
      </c>
      <c r="V117">
        <v>787500</v>
      </c>
    </row>
    <row r="118" spans="16:22" x14ac:dyDescent="0.3">
      <c r="P118" s="15">
        <v>45474</v>
      </c>
      <c r="Q118" t="s">
        <v>1058</v>
      </c>
      <c r="R118" t="s">
        <v>1060</v>
      </c>
      <c r="S118" t="s">
        <v>1049</v>
      </c>
      <c r="T118">
        <v>165000</v>
      </c>
      <c r="U118">
        <v>10</v>
      </c>
      <c r="V118">
        <v>137500</v>
      </c>
    </row>
    <row r="119" spans="16:22" x14ac:dyDescent="0.3">
      <c r="P119" s="15">
        <v>45474</v>
      </c>
      <c r="Q119" t="s">
        <v>1058</v>
      </c>
      <c r="R119" t="s">
        <v>1061</v>
      </c>
      <c r="S119" t="s">
        <v>1049</v>
      </c>
      <c r="T119">
        <v>145000</v>
      </c>
      <c r="U119">
        <v>7</v>
      </c>
      <c r="V119">
        <v>84583.33</v>
      </c>
    </row>
    <row r="120" spans="16:22" x14ac:dyDescent="0.3">
      <c r="P120" s="15">
        <v>45474</v>
      </c>
      <c r="Q120" t="s">
        <v>1062</v>
      </c>
      <c r="R120" t="s">
        <v>1063</v>
      </c>
      <c r="S120" t="s">
        <v>1049</v>
      </c>
      <c r="T120">
        <v>142000</v>
      </c>
      <c r="U120">
        <v>8</v>
      </c>
      <c r="V120">
        <v>94666.67</v>
      </c>
    </row>
    <row r="121" spans="16:22" x14ac:dyDescent="0.3">
      <c r="P121" s="15">
        <v>45474</v>
      </c>
      <c r="Q121" t="s">
        <v>1062</v>
      </c>
      <c r="R121" t="s">
        <v>1064</v>
      </c>
      <c r="S121" t="s">
        <v>1049</v>
      </c>
      <c r="T121">
        <v>150000</v>
      </c>
      <c r="U121">
        <v>7</v>
      </c>
      <c r="V121">
        <v>87500</v>
      </c>
    </row>
    <row r="122" spans="16:22" x14ac:dyDescent="0.3">
      <c r="P122" s="15">
        <v>45474</v>
      </c>
      <c r="Q122" t="s">
        <v>1062</v>
      </c>
      <c r="R122" t="s">
        <v>1065</v>
      </c>
      <c r="S122" t="s">
        <v>1049</v>
      </c>
      <c r="T122">
        <v>125000</v>
      </c>
      <c r="U122">
        <v>5</v>
      </c>
      <c r="V122">
        <v>52083.33</v>
      </c>
    </row>
    <row r="123" spans="16:22" x14ac:dyDescent="0.3">
      <c r="P123" s="15">
        <v>45505</v>
      </c>
      <c r="Q123" t="s">
        <v>1047</v>
      </c>
      <c r="R123" t="s">
        <v>1048</v>
      </c>
      <c r="S123" t="s">
        <v>1049</v>
      </c>
      <c r="T123">
        <v>185000</v>
      </c>
      <c r="U123">
        <v>34</v>
      </c>
      <c r="V123">
        <v>524166.67</v>
      </c>
    </row>
    <row r="124" spans="16:22" x14ac:dyDescent="0.3">
      <c r="P124" s="15">
        <v>45505</v>
      </c>
      <c r="Q124" t="s">
        <v>1047</v>
      </c>
      <c r="R124" t="s">
        <v>1050</v>
      </c>
      <c r="S124" t="s">
        <v>1049</v>
      </c>
      <c r="T124">
        <v>105000</v>
      </c>
      <c r="U124">
        <v>19</v>
      </c>
      <c r="V124">
        <v>166250</v>
      </c>
    </row>
    <row r="125" spans="16:22" x14ac:dyDescent="0.3">
      <c r="P125" s="15">
        <v>45505</v>
      </c>
      <c r="Q125" t="s">
        <v>1047</v>
      </c>
      <c r="R125" t="s">
        <v>1051</v>
      </c>
      <c r="S125" t="s">
        <v>1049</v>
      </c>
      <c r="T125">
        <v>240000</v>
      </c>
      <c r="U125">
        <v>5</v>
      </c>
      <c r="V125">
        <v>100000</v>
      </c>
    </row>
    <row r="126" spans="16:22" x14ac:dyDescent="0.3">
      <c r="P126" s="15">
        <v>45505</v>
      </c>
      <c r="Q126" t="s">
        <v>1052</v>
      </c>
      <c r="R126" t="s">
        <v>1053</v>
      </c>
      <c r="S126" t="s">
        <v>1049</v>
      </c>
      <c r="T126">
        <v>125000</v>
      </c>
      <c r="U126">
        <v>19</v>
      </c>
      <c r="V126">
        <v>197916.67</v>
      </c>
    </row>
    <row r="127" spans="16:22" x14ac:dyDescent="0.3">
      <c r="P127" s="15">
        <v>45505</v>
      </c>
      <c r="Q127" t="s">
        <v>1052</v>
      </c>
      <c r="R127" t="s">
        <v>1054</v>
      </c>
      <c r="S127" t="s">
        <v>1049</v>
      </c>
      <c r="T127">
        <v>112000</v>
      </c>
      <c r="U127">
        <v>8</v>
      </c>
      <c r="V127">
        <v>74666.67</v>
      </c>
    </row>
    <row r="128" spans="16:22" x14ac:dyDescent="0.3">
      <c r="P128" s="15">
        <v>45505</v>
      </c>
      <c r="Q128" t="s">
        <v>1055</v>
      </c>
      <c r="R128" t="s">
        <v>1056</v>
      </c>
      <c r="S128" t="s">
        <v>1049</v>
      </c>
      <c r="T128">
        <v>145000</v>
      </c>
      <c r="U128">
        <v>9</v>
      </c>
      <c r="V128">
        <v>108750</v>
      </c>
    </row>
    <row r="129" spans="16:22" x14ac:dyDescent="0.3">
      <c r="P129" s="15">
        <v>45505</v>
      </c>
      <c r="Q129" t="s">
        <v>1055</v>
      </c>
      <c r="R129" t="s">
        <v>1057</v>
      </c>
      <c r="S129" t="s">
        <v>1049</v>
      </c>
      <c r="T129">
        <v>132000</v>
      </c>
      <c r="U129">
        <v>6</v>
      </c>
      <c r="V129">
        <v>66000</v>
      </c>
    </row>
    <row r="130" spans="16:22" x14ac:dyDescent="0.3">
      <c r="P130" s="15">
        <v>45505</v>
      </c>
      <c r="Q130" t="s">
        <v>1058</v>
      </c>
      <c r="R130" t="s">
        <v>1059</v>
      </c>
      <c r="S130" t="s">
        <v>1049</v>
      </c>
      <c r="T130">
        <v>175000</v>
      </c>
      <c r="U130">
        <v>54</v>
      </c>
      <c r="V130">
        <v>787500</v>
      </c>
    </row>
    <row r="131" spans="16:22" x14ac:dyDescent="0.3">
      <c r="P131" s="15">
        <v>45505</v>
      </c>
      <c r="Q131" t="s">
        <v>1058</v>
      </c>
      <c r="R131" t="s">
        <v>1060</v>
      </c>
      <c r="S131" t="s">
        <v>1049</v>
      </c>
      <c r="T131">
        <v>165000</v>
      </c>
      <c r="U131">
        <v>10</v>
      </c>
      <c r="V131">
        <v>137500</v>
      </c>
    </row>
    <row r="132" spans="16:22" x14ac:dyDescent="0.3">
      <c r="P132" s="15">
        <v>45505</v>
      </c>
      <c r="Q132" t="s">
        <v>1058</v>
      </c>
      <c r="R132" t="s">
        <v>1061</v>
      </c>
      <c r="S132" t="s">
        <v>1049</v>
      </c>
      <c r="T132">
        <v>145000</v>
      </c>
      <c r="U132">
        <v>7</v>
      </c>
      <c r="V132">
        <v>84583.33</v>
      </c>
    </row>
    <row r="133" spans="16:22" x14ac:dyDescent="0.3">
      <c r="P133" s="15">
        <v>45505</v>
      </c>
      <c r="Q133" t="s">
        <v>1062</v>
      </c>
      <c r="R133" t="s">
        <v>1063</v>
      </c>
      <c r="S133" t="s">
        <v>1049</v>
      </c>
      <c r="T133">
        <v>142000</v>
      </c>
      <c r="U133">
        <v>8</v>
      </c>
      <c r="V133">
        <v>94666.67</v>
      </c>
    </row>
    <row r="134" spans="16:22" x14ac:dyDescent="0.3">
      <c r="P134" s="15">
        <v>45505</v>
      </c>
      <c r="Q134" t="s">
        <v>1062</v>
      </c>
      <c r="R134" t="s">
        <v>1064</v>
      </c>
      <c r="S134" t="s">
        <v>1049</v>
      </c>
      <c r="T134">
        <v>150000</v>
      </c>
      <c r="U134">
        <v>7</v>
      </c>
      <c r="V134">
        <v>87500</v>
      </c>
    </row>
    <row r="135" spans="16:22" x14ac:dyDescent="0.3">
      <c r="P135" s="15">
        <v>45505</v>
      </c>
      <c r="Q135" t="s">
        <v>1062</v>
      </c>
      <c r="R135" t="s">
        <v>1065</v>
      </c>
      <c r="S135" t="s">
        <v>1049</v>
      </c>
      <c r="T135">
        <v>125000</v>
      </c>
      <c r="U135">
        <v>5</v>
      </c>
      <c r="V135">
        <v>52083.33</v>
      </c>
    </row>
    <row r="136" spans="16:22" x14ac:dyDescent="0.3">
      <c r="P136" s="15">
        <v>45536</v>
      </c>
      <c r="Q136" t="s">
        <v>1047</v>
      </c>
      <c r="R136" t="s">
        <v>1048</v>
      </c>
      <c r="S136" t="s">
        <v>1049</v>
      </c>
      <c r="T136">
        <v>185000</v>
      </c>
      <c r="U136">
        <v>34</v>
      </c>
      <c r="V136">
        <v>524166.67</v>
      </c>
    </row>
    <row r="137" spans="16:22" x14ac:dyDescent="0.3">
      <c r="P137" s="15">
        <v>45536</v>
      </c>
      <c r="Q137" t="s">
        <v>1047</v>
      </c>
      <c r="R137" t="s">
        <v>1050</v>
      </c>
      <c r="S137" t="s">
        <v>1049</v>
      </c>
      <c r="T137">
        <v>105000</v>
      </c>
      <c r="U137">
        <v>20</v>
      </c>
      <c r="V137">
        <v>175000</v>
      </c>
    </row>
    <row r="138" spans="16:22" x14ac:dyDescent="0.3">
      <c r="P138" s="15">
        <v>45536</v>
      </c>
      <c r="Q138" t="s">
        <v>1047</v>
      </c>
      <c r="R138" t="s">
        <v>1051</v>
      </c>
      <c r="S138" t="s">
        <v>1049</v>
      </c>
      <c r="T138">
        <v>240000</v>
      </c>
      <c r="U138">
        <v>5</v>
      </c>
      <c r="V138">
        <v>100000</v>
      </c>
    </row>
    <row r="139" spans="16:22" x14ac:dyDescent="0.3">
      <c r="P139" s="15">
        <v>45536</v>
      </c>
      <c r="Q139" t="s">
        <v>1052</v>
      </c>
      <c r="R139" t="s">
        <v>1053</v>
      </c>
      <c r="S139" t="s">
        <v>1049</v>
      </c>
      <c r="T139">
        <v>125000</v>
      </c>
      <c r="U139">
        <v>19</v>
      </c>
      <c r="V139">
        <v>197916.67</v>
      </c>
    </row>
    <row r="140" spans="16:22" x14ac:dyDescent="0.3">
      <c r="P140" s="15">
        <v>45536</v>
      </c>
      <c r="Q140" t="s">
        <v>1052</v>
      </c>
      <c r="R140" t="s">
        <v>1054</v>
      </c>
      <c r="S140" t="s">
        <v>1049</v>
      </c>
      <c r="T140">
        <v>112000</v>
      </c>
      <c r="U140">
        <v>8</v>
      </c>
      <c r="V140">
        <v>74666.67</v>
      </c>
    </row>
    <row r="141" spans="16:22" x14ac:dyDescent="0.3">
      <c r="P141" s="15">
        <v>45536</v>
      </c>
      <c r="Q141" t="s">
        <v>1055</v>
      </c>
      <c r="R141" t="s">
        <v>1056</v>
      </c>
      <c r="S141" t="s">
        <v>1049</v>
      </c>
      <c r="T141">
        <v>145000</v>
      </c>
      <c r="U141">
        <v>9</v>
      </c>
      <c r="V141">
        <v>108750</v>
      </c>
    </row>
    <row r="142" spans="16:22" x14ac:dyDescent="0.3">
      <c r="P142" s="15">
        <v>45536</v>
      </c>
      <c r="Q142" t="s">
        <v>1055</v>
      </c>
      <c r="R142" t="s">
        <v>1057</v>
      </c>
      <c r="S142" t="s">
        <v>1049</v>
      </c>
      <c r="T142">
        <v>132000</v>
      </c>
      <c r="U142">
        <v>6</v>
      </c>
      <c r="V142">
        <v>66000</v>
      </c>
    </row>
    <row r="143" spans="16:22" x14ac:dyDescent="0.3">
      <c r="P143" s="15">
        <v>45536</v>
      </c>
      <c r="Q143" t="s">
        <v>1058</v>
      </c>
      <c r="R143" t="s">
        <v>1059</v>
      </c>
      <c r="S143" t="s">
        <v>1049</v>
      </c>
      <c r="T143">
        <v>175000</v>
      </c>
      <c r="U143">
        <v>55</v>
      </c>
      <c r="V143">
        <v>802083.33</v>
      </c>
    </row>
    <row r="144" spans="16:22" x14ac:dyDescent="0.3">
      <c r="P144" s="15">
        <v>45536</v>
      </c>
      <c r="Q144" t="s">
        <v>1058</v>
      </c>
      <c r="R144" t="s">
        <v>1060</v>
      </c>
      <c r="S144" t="s">
        <v>1049</v>
      </c>
      <c r="T144">
        <v>165000</v>
      </c>
      <c r="U144">
        <v>10</v>
      </c>
      <c r="V144">
        <v>137500</v>
      </c>
    </row>
    <row r="145" spans="16:22" x14ac:dyDescent="0.3">
      <c r="P145" s="15">
        <v>45536</v>
      </c>
      <c r="Q145" t="s">
        <v>1058</v>
      </c>
      <c r="R145" t="s">
        <v>1061</v>
      </c>
      <c r="S145" t="s">
        <v>1049</v>
      </c>
      <c r="T145">
        <v>145000</v>
      </c>
      <c r="U145">
        <v>7</v>
      </c>
      <c r="V145">
        <v>84583.33</v>
      </c>
    </row>
    <row r="146" spans="16:22" x14ac:dyDescent="0.3">
      <c r="P146" s="15">
        <v>45536</v>
      </c>
      <c r="Q146" t="s">
        <v>1062</v>
      </c>
      <c r="R146" t="s">
        <v>1063</v>
      </c>
      <c r="S146" t="s">
        <v>1049</v>
      </c>
      <c r="T146">
        <v>142000</v>
      </c>
      <c r="U146">
        <v>8</v>
      </c>
      <c r="V146">
        <v>94666.67</v>
      </c>
    </row>
    <row r="147" spans="16:22" x14ac:dyDescent="0.3">
      <c r="P147" s="15">
        <v>45536</v>
      </c>
      <c r="Q147" t="s">
        <v>1062</v>
      </c>
      <c r="R147" t="s">
        <v>1064</v>
      </c>
      <c r="S147" t="s">
        <v>1049</v>
      </c>
      <c r="T147">
        <v>150000</v>
      </c>
      <c r="U147">
        <v>7</v>
      </c>
      <c r="V147">
        <v>87500</v>
      </c>
    </row>
    <row r="148" spans="16:22" x14ac:dyDescent="0.3">
      <c r="P148" s="15">
        <v>45536</v>
      </c>
      <c r="Q148" t="s">
        <v>1062</v>
      </c>
      <c r="R148" t="s">
        <v>1065</v>
      </c>
      <c r="S148" t="s">
        <v>1049</v>
      </c>
      <c r="T148">
        <v>125000</v>
      </c>
      <c r="U148">
        <v>5</v>
      </c>
      <c r="V148">
        <v>52083.33</v>
      </c>
    </row>
    <row r="149" spans="16:22" x14ac:dyDescent="0.3">
      <c r="P149" s="15">
        <v>45566</v>
      </c>
      <c r="Q149" t="s">
        <v>1047</v>
      </c>
      <c r="R149" t="s">
        <v>1048</v>
      </c>
      <c r="S149" t="s">
        <v>1049</v>
      </c>
      <c r="T149">
        <v>185000</v>
      </c>
      <c r="U149">
        <v>35</v>
      </c>
      <c r="V149">
        <v>539583.32999999996</v>
      </c>
    </row>
    <row r="150" spans="16:22" x14ac:dyDescent="0.3">
      <c r="P150" s="15">
        <v>45566</v>
      </c>
      <c r="Q150" t="s">
        <v>1047</v>
      </c>
      <c r="R150" t="s">
        <v>1050</v>
      </c>
      <c r="S150" t="s">
        <v>1049</v>
      </c>
      <c r="T150">
        <v>105000</v>
      </c>
      <c r="U150">
        <v>20</v>
      </c>
      <c r="V150">
        <v>175000</v>
      </c>
    </row>
    <row r="151" spans="16:22" x14ac:dyDescent="0.3">
      <c r="P151" s="15">
        <v>45566</v>
      </c>
      <c r="Q151" t="s">
        <v>1047</v>
      </c>
      <c r="R151" t="s">
        <v>1051</v>
      </c>
      <c r="S151" t="s">
        <v>1049</v>
      </c>
      <c r="T151">
        <v>240000</v>
      </c>
      <c r="U151">
        <v>5</v>
      </c>
      <c r="V151">
        <v>100000</v>
      </c>
    </row>
    <row r="152" spans="16:22" x14ac:dyDescent="0.3">
      <c r="P152" s="15">
        <v>45566</v>
      </c>
      <c r="Q152" t="s">
        <v>1052</v>
      </c>
      <c r="R152" t="s">
        <v>1053</v>
      </c>
      <c r="S152" t="s">
        <v>1049</v>
      </c>
      <c r="T152">
        <v>125000</v>
      </c>
      <c r="U152">
        <v>19</v>
      </c>
      <c r="V152">
        <v>197916.67</v>
      </c>
    </row>
    <row r="153" spans="16:22" x14ac:dyDescent="0.3">
      <c r="P153" s="15">
        <v>45566</v>
      </c>
      <c r="Q153" t="s">
        <v>1052</v>
      </c>
      <c r="R153" t="s">
        <v>1054</v>
      </c>
      <c r="S153" t="s">
        <v>1049</v>
      </c>
      <c r="T153">
        <v>112000</v>
      </c>
      <c r="U153">
        <v>8</v>
      </c>
      <c r="V153">
        <v>74666.67</v>
      </c>
    </row>
    <row r="154" spans="16:22" x14ac:dyDescent="0.3">
      <c r="P154" s="15">
        <v>45566</v>
      </c>
      <c r="Q154" t="s">
        <v>1055</v>
      </c>
      <c r="R154" t="s">
        <v>1056</v>
      </c>
      <c r="S154" t="s">
        <v>1049</v>
      </c>
      <c r="T154">
        <v>145000</v>
      </c>
      <c r="U154">
        <v>9</v>
      </c>
      <c r="V154">
        <v>108750</v>
      </c>
    </row>
    <row r="155" spans="16:22" x14ac:dyDescent="0.3">
      <c r="P155" s="15">
        <v>45566</v>
      </c>
      <c r="Q155" t="s">
        <v>1055</v>
      </c>
      <c r="R155" t="s">
        <v>1057</v>
      </c>
      <c r="S155" t="s">
        <v>1049</v>
      </c>
      <c r="T155">
        <v>132000</v>
      </c>
      <c r="U155">
        <v>6</v>
      </c>
      <c r="V155">
        <v>66000</v>
      </c>
    </row>
    <row r="156" spans="16:22" x14ac:dyDescent="0.3">
      <c r="P156" s="15">
        <v>45566</v>
      </c>
      <c r="Q156" t="s">
        <v>1058</v>
      </c>
      <c r="R156" t="s">
        <v>1059</v>
      </c>
      <c r="S156" t="s">
        <v>1049</v>
      </c>
      <c r="T156">
        <v>175000</v>
      </c>
      <c r="U156">
        <v>55</v>
      </c>
      <c r="V156">
        <v>802083.33</v>
      </c>
    </row>
    <row r="157" spans="16:22" x14ac:dyDescent="0.3">
      <c r="P157" s="15">
        <v>45566</v>
      </c>
      <c r="Q157" t="s">
        <v>1058</v>
      </c>
      <c r="R157" t="s">
        <v>1060</v>
      </c>
      <c r="S157" t="s">
        <v>1049</v>
      </c>
      <c r="T157">
        <v>165000</v>
      </c>
      <c r="U157">
        <v>10</v>
      </c>
      <c r="V157">
        <v>137500</v>
      </c>
    </row>
    <row r="158" spans="16:22" x14ac:dyDescent="0.3">
      <c r="P158" s="15">
        <v>45566</v>
      </c>
      <c r="Q158" t="s">
        <v>1058</v>
      </c>
      <c r="R158" t="s">
        <v>1061</v>
      </c>
      <c r="S158" t="s">
        <v>1049</v>
      </c>
      <c r="T158">
        <v>145000</v>
      </c>
      <c r="U158">
        <v>7</v>
      </c>
      <c r="V158">
        <v>84583.33</v>
      </c>
    </row>
    <row r="159" spans="16:22" x14ac:dyDescent="0.3">
      <c r="P159" s="15">
        <v>45566</v>
      </c>
      <c r="Q159" t="s">
        <v>1062</v>
      </c>
      <c r="R159" t="s">
        <v>1063</v>
      </c>
      <c r="S159" t="s">
        <v>1049</v>
      </c>
      <c r="T159">
        <v>142000</v>
      </c>
      <c r="U159">
        <v>8</v>
      </c>
      <c r="V159">
        <v>94666.67</v>
      </c>
    </row>
    <row r="160" spans="16:22" x14ac:dyDescent="0.3">
      <c r="P160" s="15">
        <v>45566</v>
      </c>
      <c r="Q160" t="s">
        <v>1062</v>
      </c>
      <c r="R160" t="s">
        <v>1064</v>
      </c>
      <c r="S160" t="s">
        <v>1049</v>
      </c>
      <c r="T160">
        <v>150000</v>
      </c>
      <c r="U160">
        <v>7</v>
      </c>
      <c r="V160">
        <v>87500</v>
      </c>
    </row>
    <row r="161" spans="16:22" x14ac:dyDescent="0.3">
      <c r="P161" s="15">
        <v>45566</v>
      </c>
      <c r="Q161" t="s">
        <v>1062</v>
      </c>
      <c r="R161" t="s">
        <v>1065</v>
      </c>
      <c r="S161" t="s">
        <v>1049</v>
      </c>
      <c r="T161">
        <v>125000</v>
      </c>
      <c r="U161">
        <v>5</v>
      </c>
      <c r="V161">
        <v>52083.33</v>
      </c>
    </row>
    <row r="162" spans="16:22" x14ac:dyDescent="0.3">
      <c r="P162" s="15">
        <v>45597</v>
      </c>
      <c r="Q162" t="s">
        <v>1047</v>
      </c>
      <c r="R162" t="s">
        <v>1048</v>
      </c>
      <c r="S162" t="s">
        <v>1049</v>
      </c>
      <c r="T162">
        <v>185000</v>
      </c>
      <c r="U162">
        <v>35</v>
      </c>
      <c r="V162">
        <v>539583.32999999996</v>
      </c>
    </row>
    <row r="163" spans="16:22" x14ac:dyDescent="0.3">
      <c r="P163" s="15">
        <v>45597</v>
      </c>
      <c r="Q163" t="s">
        <v>1047</v>
      </c>
      <c r="R163" t="s">
        <v>1050</v>
      </c>
      <c r="S163" t="s">
        <v>1049</v>
      </c>
      <c r="T163">
        <v>105000</v>
      </c>
      <c r="U163">
        <v>20</v>
      </c>
      <c r="V163">
        <v>175000</v>
      </c>
    </row>
    <row r="164" spans="16:22" x14ac:dyDescent="0.3">
      <c r="P164" s="15">
        <v>45597</v>
      </c>
      <c r="Q164" t="s">
        <v>1047</v>
      </c>
      <c r="R164" t="s">
        <v>1051</v>
      </c>
      <c r="S164" t="s">
        <v>1049</v>
      </c>
      <c r="T164">
        <v>240000</v>
      </c>
      <c r="U164">
        <v>5</v>
      </c>
      <c r="V164">
        <v>100000</v>
      </c>
    </row>
    <row r="165" spans="16:22" x14ac:dyDescent="0.3">
      <c r="P165" s="15">
        <v>45597</v>
      </c>
      <c r="Q165" t="s">
        <v>1052</v>
      </c>
      <c r="R165" t="s">
        <v>1053</v>
      </c>
      <c r="S165" t="s">
        <v>1049</v>
      </c>
      <c r="T165">
        <v>125000</v>
      </c>
      <c r="U165">
        <v>19</v>
      </c>
      <c r="V165">
        <v>197916.67</v>
      </c>
    </row>
    <row r="166" spans="16:22" x14ac:dyDescent="0.3">
      <c r="P166" s="15">
        <v>45597</v>
      </c>
      <c r="Q166" t="s">
        <v>1052</v>
      </c>
      <c r="R166" t="s">
        <v>1054</v>
      </c>
      <c r="S166" t="s">
        <v>1049</v>
      </c>
      <c r="T166">
        <v>112000</v>
      </c>
      <c r="U166">
        <v>8</v>
      </c>
      <c r="V166">
        <v>74666.67</v>
      </c>
    </row>
    <row r="167" spans="16:22" x14ac:dyDescent="0.3">
      <c r="P167" s="15">
        <v>45597</v>
      </c>
      <c r="Q167" t="s">
        <v>1055</v>
      </c>
      <c r="R167" t="s">
        <v>1056</v>
      </c>
      <c r="S167" t="s">
        <v>1049</v>
      </c>
      <c r="T167">
        <v>145000</v>
      </c>
      <c r="U167">
        <v>9</v>
      </c>
      <c r="V167">
        <v>108750</v>
      </c>
    </row>
    <row r="168" spans="16:22" x14ac:dyDescent="0.3">
      <c r="P168" s="15">
        <v>45597</v>
      </c>
      <c r="Q168" t="s">
        <v>1055</v>
      </c>
      <c r="R168" t="s">
        <v>1057</v>
      </c>
      <c r="S168" t="s">
        <v>1049</v>
      </c>
      <c r="T168">
        <v>132000</v>
      </c>
      <c r="U168">
        <v>6</v>
      </c>
      <c r="V168">
        <v>66000</v>
      </c>
    </row>
    <row r="169" spans="16:22" x14ac:dyDescent="0.3">
      <c r="P169" s="15">
        <v>45597</v>
      </c>
      <c r="Q169" t="s">
        <v>1058</v>
      </c>
      <c r="R169" t="s">
        <v>1059</v>
      </c>
      <c r="S169" t="s">
        <v>1049</v>
      </c>
      <c r="T169">
        <v>175000</v>
      </c>
      <c r="U169">
        <v>56</v>
      </c>
      <c r="V169">
        <v>816666.67</v>
      </c>
    </row>
    <row r="170" spans="16:22" x14ac:dyDescent="0.3">
      <c r="P170" s="15">
        <v>45597</v>
      </c>
      <c r="Q170" t="s">
        <v>1058</v>
      </c>
      <c r="R170" t="s">
        <v>1060</v>
      </c>
      <c r="S170" t="s">
        <v>1049</v>
      </c>
      <c r="T170">
        <v>165000</v>
      </c>
      <c r="U170">
        <v>10</v>
      </c>
      <c r="V170">
        <v>137500</v>
      </c>
    </row>
    <row r="171" spans="16:22" x14ac:dyDescent="0.3">
      <c r="P171" s="15">
        <v>45597</v>
      </c>
      <c r="Q171" t="s">
        <v>1058</v>
      </c>
      <c r="R171" t="s">
        <v>1061</v>
      </c>
      <c r="S171" t="s">
        <v>1049</v>
      </c>
      <c r="T171">
        <v>145000</v>
      </c>
      <c r="U171">
        <v>7</v>
      </c>
      <c r="V171">
        <v>84583.33</v>
      </c>
    </row>
    <row r="172" spans="16:22" x14ac:dyDescent="0.3">
      <c r="P172" s="15">
        <v>45597</v>
      </c>
      <c r="Q172" t="s">
        <v>1062</v>
      </c>
      <c r="R172" t="s">
        <v>1063</v>
      </c>
      <c r="S172" t="s">
        <v>1049</v>
      </c>
      <c r="T172">
        <v>142000</v>
      </c>
      <c r="U172">
        <v>8</v>
      </c>
      <c r="V172">
        <v>94666.67</v>
      </c>
    </row>
    <row r="173" spans="16:22" x14ac:dyDescent="0.3">
      <c r="P173" s="15">
        <v>45597</v>
      </c>
      <c r="Q173" t="s">
        <v>1062</v>
      </c>
      <c r="R173" t="s">
        <v>1064</v>
      </c>
      <c r="S173" t="s">
        <v>1049</v>
      </c>
      <c r="T173">
        <v>150000</v>
      </c>
      <c r="U173">
        <v>7</v>
      </c>
      <c r="V173">
        <v>87500</v>
      </c>
    </row>
    <row r="174" spans="16:22" x14ac:dyDescent="0.3">
      <c r="P174" s="15">
        <v>45597</v>
      </c>
      <c r="Q174" t="s">
        <v>1062</v>
      </c>
      <c r="R174" t="s">
        <v>1065</v>
      </c>
      <c r="S174" t="s">
        <v>1049</v>
      </c>
      <c r="T174">
        <v>125000</v>
      </c>
      <c r="U174">
        <v>5</v>
      </c>
      <c r="V174">
        <v>52083.33</v>
      </c>
    </row>
    <row r="175" spans="16:22" x14ac:dyDescent="0.3">
      <c r="P175" s="15">
        <v>45627</v>
      </c>
      <c r="Q175" t="s">
        <v>1047</v>
      </c>
      <c r="R175" t="s">
        <v>1048</v>
      </c>
      <c r="S175" t="s">
        <v>1049</v>
      </c>
      <c r="T175">
        <v>185000</v>
      </c>
      <c r="U175">
        <v>35</v>
      </c>
      <c r="V175">
        <v>539583.32999999996</v>
      </c>
    </row>
    <row r="176" spans="16:22" x14ac:dyDescent="0.3">
      <c r="P176" s="15">
        <v>45627</v>
      </c>
      <c r="Q176" t="s">
        <v>1047</v>
      </c>
      <c r="R176" t="s">
        <v>1050</v>
      </c>
      <c r="S176" t="s">
        <v>1049</v>
      </c>
      <c r="T176">
        <v>105000</v>
      </c>
      <c r="U176">
        <v>20</v>
      </c>
      <c r="V176">
        <v>175000</v>
      </c>
    </row>
    <row r="177" spans="16:22" x14ac:dyDescent="0.3">
      <c r="P177" s="15">
        <v>45627</v>
      </c>
      <c r="Q177" t="s">
        <v>1047</v>
      </c>
      <c r="R177" t="s">
        <v>1051</v>
      </c>
      <c r="S177" t="s">
        <v>1049</v>
      </c>
      <c r="T177">
        <v>240000</v>
      </c>
      <c r="U177">
        <v>5</v>
      </c>
      <c r="V177">
        <v>100000</v>
      </c>
    </row>
    <row r="178" spans="16:22" x14ac:dyDescent="0.3">
      <c r="P178" s="15">
        <v>45627</v>
      </c>
      <c r="Q178" t="s">
        <v>1052</v>
      </c>
      <c r="R178" t="s">
        <v>1053</v>
      </c>
      <c r="S178" t="s">
        <v>1049</v>
      </c>
      <c r="T178">
        <v>125000</v>
      </c>
      <c r="U178">
        <v>19</v>
      </c>
      <c r="V178">
        <v>197916.67</v>
      </c>
    </row>
    <row r="179" spans="16:22" x14ac:dyDescent="0.3">
      <c r="P179" s="15">
        <v>45627</v>
      </c>
      <c r="Q179" t="s">
        <v>1052</v>
      </c>
      <c r="R179" t="s">
        <v>1054</v>
      </c>
      <c r="S179" t="s">
        <v>1049</v>
      </c>
      <c r="T179">
        <v>112000</v>
      </c>
      <c r="U179">
        <v>8</v>
      </c>
      <c r="V179">
        <v>74666.67</v>
      </c>
    </row>
    <row r="180" spans="16:22" x14ac:dyDescent="0.3">
      <c r="P180" s="15">
        <v>45627</v>
      </c>
      <c r="Q180" t="s">
        <v>1055</v>
      </c>
      <c r="R180" t="s">
        <v>1056</v>
      </c>
      <c r="S180" t="s">
        <v>1049</v>
      </c>
      <c r="T180">
        <v>145000</v>
      </c>
      <c r="U180">
        <v>9</v>
      </c>
      <c r="V180">
        <v>108750</v>
      </c>
    </row>
    <row r="181" spans="16:22" x14ac:dyDescent="0.3">
      <c r="P181" s="15">
        <v>45627</v>
      </c>
      <c r="Q181" t="s">
        <v>1055</v>
      </c>
      <c r="R181" t="s">
        <v>1057</v>
      </c>
      <c r="S181" t="s">
        <v>1049</v>
      </c>
      <c r="T181">
        <v>132000</v>
      </c>
      <c r="U181">
        <v>6</v>
      </c>
      <c r="V181">
        <v>66000</v>
      </c>
    </row>
    <row r="182" spans="16:22" x14ac:dyDescent="0.3">
      <c r="P182" s="15">
        <v>45627</v>
      </c>
      <c r="Q182" t="s">
        <v>1058</v>
      </c>
      <c r="R182" t="s">
        <v>1059</v>
      </c>
      <c r="S182" t="s">
        <v>1049</v>
      </c>
      <c r="T182">
        <v>175000</v>
      </c>
      <c r="U182">
        <v>56</v>
      </c>
      <c r="V182">
        <v>816666.67</v>
      </c>
    </row>
    <row r="183" spans="16:22" x14ac:dyDescent="0.3">
      <c r="P183" s="15">
        <v>45627</v>
      </c>
      <c r="Q183" t="s">
        <v>1058</v>
      </c>
      <c r="R183" t="s">
        <v>1060</v>
      </c>
      <c r="S183" t="s">
        <v>1049</v>
      </c>
      <c r="T183">
        <v>165000</v>
      </c>
      <c r="U183">
        <v>10</v>
      </c>
      <c r="V183">
        <v>137500</v>
      </c>
    </row>
    <row r="184" spans="16:22" x14ac:dyDescent="0.3">
      <c r="P184" s="15">
        <v>45627</v>
      </c>
      <c r="Q184" t="s">
        <v>1058</v>
      </c>
      <c r="R184" t="s">
        <v>1061</v>
      </c>
      <c r="S184" t="s">
        <v>1049</v>
      </c>
      <c r="T184">
        <v>145000</v>
      </c>
      <c r="U184">
        <v>7</v>
      </c>
      <c r="V184">
        <v>84583.33</v>
      </c>
    </row>
    <row r="185" spans="16:22" x14ac:dyDescent="0.3">
      <c r="P185" s="15">
        <v>45627</v>
      </c>
      <c r="Q185" t="s">
        <v>1062</v>
      </c>
      <c r="R185" t="s">
        <v>1063</v>
      </c>
      <c r="S185" t="s">
        <v>1049</v>
      </c>
      <c r="T185">
        <v>142000</v>
      </c>
      <c r="U185">
        <v>8</v>
      </c>
      <c r="V185">
        <v>94666.67</v>
      </c>
    </row>
    <row r="186" spans="16:22" x14ac:dyDescent="0.3">
      <c r="P186" s="15">
        <v>45627</v>
      </c>
      <c r="Q186" t="s">
        <v>1062</v>
      </c>
      <c r="R186" t="s">
        <v>1064</v>
      </c>
      <c r="S186" t="s">
        <v>1049</v>
      </c>
      <c r="T186">
        <v>150000</v>
      </c>
      <c r="U186">
        <v>7</v>
      </c>
      <c r="V186">
        <v>87500</v>
      </c>
    </row>
    <row r="187" spans="16:22" x14ac:dyDescent="0.3">
      <c r="P187" s="15">
        <v>45627</v>
      </c>
      <c r="Q187" t="s">
        <v>1062</v>
      </c>
      <c r="R187" t="s">
        <v>1065</v>
      </c>
      <c r="S187" t="s">
        <v>1049</v>
      </c>
      <c r="T187">
        <v>125000</v>
      </c>
      <c r="U187">
        <v>5</v>
      </c>
      <c r="V187">
        <v>52083.33</v>
      </c>
    </row>
    <row r="188" spans="16:22" x14ac:dyDescent="0.3">
      <c r="P188" s="15">
        <v>45658</v>
      </c>
      <c r="Q188" t="s">
        <v>1047</v>
      </c>
      <c r="R188" t="s">
        <v>1048</v>
      </c>
      <c r="S188" t="s">
        <v>1049</v>
      </c>
      <c r="T188">
        <v>185000</v>
      </c>
      <c r="U188">
        <v>36</v>
      </c>
      <c r="V188">
        <v>555000</v>
      </c>
    </row>
    <row r="189" spans="16:22" x14ac:dyDescent="0.3">
      <c r="P189" s="15">
        <v>45658</v>
      </c>
      <c r="Q189" t="s">
        <v>1047</v>
      </c>
      <c r="R189" t="s">
        <v>1050</v>
      </c>
      <c r="S189" t="s">
        <v>1049</v>
      </c>
      <c r="T189">
        <v>105000</v>
      </c>
      <c r="U189">
        <v>21</v>
      </c>
      <c r="V189">
        <v>183750</v>
      </c>
    </row>
    <row r="190" spans="16:22" x14ac:dyDescent="0.3">
      <c r="P190" s="15">
        <v>45658</v>
      </c>
      <c r="Q190" t="s">
        <v>1047</v>
      </c>
      <c r="R190" t="s">
        <v>1051</v>
      </c>
      <c r="S190" t="s">
        <v>1049</v>
      </c>
      <c r="T190">
        <v>240000</v>
      </c>
      <c r="U190">
        <v>6</v>
      </c>
      <c r="V190">
        <v>120000</v>
      </c>
    </row>
    <row r="191" spans="16:22" x14ac:dyDescent="0.3">
      <c r="P191" s="15">
        <v>45658</v>
      </c>
      <c r="Q191" t="s">
        <v>1052</v>
      </c>
      <c r="R191" t="s">
        <v>1053</v>
      </c>
      <c r="S191" t="s">
        <v>1049</v>
      </c>
      <c r="T191">
        <v>125000</v>
      </c>
      <c r="U191">
        <v>20</v>
      </c>
      <c r="V191">
        <v>208333.33</v>
      </c>
    </row>
    <row r="192" spans="16:22" x14ac:dyDescent="0.3">
      <c r="P192" s="15">
        <v>45658</v>
      </c>
      <c r="Q192" t="s">
        <v>1052</v>
      </c>
      <c r="R192" t="s">
        <v>1054</v>
      </c>
      <c r="S192" t="s">
        <v>1049</v>
      </c>
      <c r="T192">
        <v>112000</v>
      </c>
      <c r="U192">
        <v>9</v>
      </c>
      <c r="V192">
        <v>84000</v>
      </c>
    </row>
    <row r="193" spans="16:22" x14ac:dyDescent="0.3">
      <c r="P193" s="15">
        <v>45658</v>
      </c>
      <c r="Q193" t="s">
        <v>1055</v>
      </c>
      <c r="R193" t="s">
        <v>1056</v>
      </c>
      <c r="S193" t="s">
        <v>1049</v>
      </c>
      <c r="T193">
        <v>145000</v>
      </c>
      <c r="U193">
        <v>10</v>
      </c>
      <c r="V193">
        <v>120833.33</v>
      </c>
    </row>
    <row r="194" spans="16:22" x14ac:dyDescent="0.3">
      <c r="P194" s="15">
        <v>45658</v>
      </c>
      <c r="Q194" t="s">
        <v>1055</v>
      </c>
      <c r="R194" t="s">
        <v>1057</v>
      </c>
      <c r="S194" t="s">
        <v>1049</v>
      </c>
      <c r="T194">
        <v>132000</v>
      </c>
      <c r="U194">
        <v>7</v>
      </c>
      <c r="V194">
        <v>77000</v>
      </c>
    </row>
    <row r="195" spans="16:22" x14ac:dyDescent="0.3">
      <c r="P195" s="15">
        <v>45658</v>
      </c>
      <c r="Q195" t="s">
        <v>1058</v>
      </c>
      <c r="R195" t="s">
        <v>1059</v>
      </c>
      <c r="S195" t="s">
        <v>1049</v>
      </c>
      <c r="T195">
        <v>175000</v>
      </c>
      <c r="U195">
        <v>57</v>
      </c>
      <c r="V195">
        <v>831250</v>
      </c>
    </row>
    <row r="196" spans="16:22" x14ac:dyDescent="0.3">
      <c r="P196" s="15">
        <v>45658</v>
      </c>
      <c r="Q196" t="s">
        <v>1058</v>
      </c>
      <c r="R196" t="s">
        <v>1060</v>
      </c>
      <c r="S196" t="s">
        <v>1049</v>
      </c>
      <c r="T196">
        <v>165000</v>
      </c>
      <c r="U196">
        <v>11</v>
      </c>
      <c r="V196">
        <v>151250</v>
      </c>
    </row>
    <row r="197" spans="16:22" x14ac:dyDescent="0.3">
      <c r="P197" s="15">
        <v>45658</v>
      </c>
      <c r="Q197" t="s">
        <v>1058</v>
      </c>
      <c r="R197" t="s">
        <v>1061</v>
      </c>
      <c r="S197" t="s">
        <v>1049</v>
      </c>
      <c r="T197">
        <v>145000</v>
      </c>
      <c r="U197">
        <v>8</v>
      </c>
      <c r="V197">
        <v>96666.67</v>
      </c>
    </row>
    <row r="198" spans="16:22" x14ac:dyDescent="0.3">
      <c r="P198" s="15">
        <v>45658</v>
      </c>
      <c r="Q198" t="s">
        <v>1062</v>
      </c>
      <c r="R198" t="s">
        <v>1063</v>
      </c>
      <c r="S198" t="s">
        <v>1049</v>
      </c>
      <c r="T198">
        <v>142000</v>
      </c>
      <c r="U198">
        <v>9</v>
      </c>
      <c r="V198">
        <v>106500</v>
      </c>
    </row>
    <row r="199" spans="16:22" x14ac:dyDescent="0.3">
      <c r="P199" s="15">
        <v>45658</v>
      </c>
      <c r="Q199" t="s">
        <v>1062</v>
      </c>
      <c r="R199" t="s">
        <v>1064</v>
      </c>
      <c r="S199" t="s">
        <v>1049</v>
      </c>
      <c r="T199">
        <v>150000</v>
      </c>
      <c r="U199">
        <v>8</v>
      </c>
      <c r="V199">
        <v>100000</v>
      </c>
    </row>
    <row r="200" spans="16:22" x14ac:dyDescent="0.3">
      <c r="P200" s="15">
        <v>45658</v>
      </c>
      <c r="Q200" t="s">
        <v>1062</v>
      </c>
      <c r="R200" t="s">
        <v>1065</v>
      </c>
      <c r="S200" t="s">
        <v>1049</v>
      </c>
      <c r="T200">
        <v>125000</v>
      </c>
      <c r="U200">
        <v>5</v>
      </c>
      <c r="V200">
        <v>52083.33</v>
      </c>
    </row>
    <row r="201" spans="16:22" x14ac:dyDescent="0.3">
      <c r="P201" s="15">
        <v>45689</v>
      </c>
      <c r="Q201" t="s">
        <v>1047</v>
      </c>
      <c r="R201" t="s">
        <v>1048</v>
      </c>
      <c r="S201" t="s">
        <v>1049</v>
      </c>
      <c r="T201">
        <v>185000</v>
      </c>
      <c r="U201">
        <v>36</v>
      </c>
      <c r="V201">
        <v>555000</v>
      </c>
    </row>
    <row r="202" spans="16:22" x14ac:dyDescent="0.3">
      <c r="P202" s="15">
        <v>45689</v>
      </c>
      <c r="Q202" t="s">
        <v>1047</v>
      </c>
      <c r="R202" t="s">
        <v>1050</v>
      </c>
      <c r="S202" t="s">
        <v>1049</v>
      </c>
      <c r="T202">
        <v>105000</v>
      </c>
      <c r="U202">
        <v>21</v>
      </c>
      <c r="V202">
        <v>183750</v>
      </c>
    </row>
    <row r="203" spans="16:22" x14ac:dyDescent="0.3">
      <c r="P203" s="15">
        <v>45689</v>
      </c>
      <c r="Q203" t="s">
        <v>1047</v>
      </c>
      <c r="R203" t="s">
        <v>1051</v>
      </c>
      <c r="S203" t="s">
        <v>1049</v>
      </c>
      <c r="T203">
        <v>240000</v>
      </c>
      <c r="U203">
        <v>6</v>
      </c>
      <c r="V203">
        <v>120000</v>
      </c>
    </row>
    <row r="204" spans="16:22" x14ac:dyDescent="0.3">
      <c r="P204" s="15">
        <v>45689</v>
      </c>
      <c r="Q204" t="s">
        <v>1052</v>
      </c>
      <c r="R204" t="s">
        <v>1053</v>
      </c>
      <c r="S204" t="s">
        <v>1049</v>
      </c>
      <c r="T204">
        <v>125000</v>
      </c>
      <c r="U204">
        <v>20</v>
      </c>
      <c r="V204">
        <v>208333.33</v>
      </c>
    </row>
    <row r="205" spans="16:22" x14ac:dyDescent="0.3">
      <c r="P205" s="15">
        <v>45689</v>
      </c>
      <c r="Q205" t="s">
        <v>1052</v>
      </c>
      <c r="R205" t="s">
        <v>1054</v>
      </c>
      <c r="S205" t="s">
        <v>1049</v>
      </c>
      <c r="T205">
        <v>112000</v>
      </c>
      <c r="U205">
        <v>9</v>
      </c>
      <c r="V205">
        <v>84000</v>
      </c>
    </row>
    <row r="206" spans="16:22" x14ac:dyDescent="0.3">
      <c r="P206" s="15">
        <v>45689</v>
      </c>
      <c r="Q206" t="s">
        <v>1055</v>
      </c>
      <c r="R206" t="s">
        <v>1056</v>
      </c>
      <c r="S206" t="s">
        <v>1049</v>
      </c>
      <c r="T206">
        <v>145000</v>
      </c>
      <c r="U206">
        <v>10</v>
      </c>
      <c r="V206">
        <v>120833.33</v>
      </c>
    </row>
    <row r="207" spans="16:22" x14ac:dyDescent="0.3">
      <c r="P207" s="15">
        <v>45689</v>
      </c>
      <c r="Q207" t="s">
        <v>1055</v>
      </c>
      <c r="R207" t="s">
        <v>1057</v>
      </c>
      <c r="S207" t="s">
        <v>1049</v>
      </c>
      <c r="T207">
        <v>132000</v>
      </c>
      <c r="U207">
        <v>7</v>
      </c>
      <c r="V207">
        <v>77000</v>
      </c>
    </row>
    <row r="208" spans="16:22" x14ac:dyDescent="0.3">
      <c r="P208" s="15">
        <v>45689</v>
      </c>
      <c r="Q208" t="s">
        <v>1058</v>
      </c>
      <c r="R208" t="s">
        <v>1059</v>
      </c>
      <c r="S208" t="s">
        <v>1049</v>
      </c>
      <c r="T208">
        <v>175000</v>
      </c>
      <c r="U208">
        <v>57</v>
      </c>
      <c r="V208">
        <v>831250</v>
      </c>
    </row>
    <row r="209" spans="16:22" x14ac:dyDescent="0.3">
      <c r="P209" s="15">
        <v>45689</v>
      </c>
      <c r="Q209" t="s">
        <v>1058</v>
      </c>
      <c r="R209" t="s">
        <v>1060</v>
      </c>
      <c r="S209" t="s">
        <v>1049</v>
      </c>
      <c r="T209">
        <v>165000</v>
      </c>
      <c r="U209">
        <v>11</v>
      </c>
      <c r="V209">
        <v>151250</v>
      </c>
    </row>
    <row r="210" spans="16:22" x14ac:dyDescent="0.3">
      <c r="P210" s="15">
        <v>45689</v>
      </c>
      <c r="Q210" t="s">
        <v>1058</v>
      </c>
      <c r="R210" t="s">
        <v>1061</v>
      </c>
      <c r="S210" t="s">
        <v>1049</v>
      </c>
      <c r="T210">
        <v>145000</v>
      </c>
      <c r="U210">
        <v>8</v>
      </c>
      <c r="V210">
        <v>96666.67</v>
      </c>
    </row>
    <row r="211" spans="16:22" x14ac:dyDescent="0.3">
      <c r="P211" s="15">
        <v>45689</v>
      </c>
      <c r="Q211" t="s">
        <v>1062</v>
      </c>
      <c r="R211" t="s">
        <v>1063</v>
      </c>
      <c r="S211" t="s">
        <v>1049</v>
      </c>
      <c r="T211">
        <v>142000</v>
      </c>
      <c r="U211">
        <v>9</v>
      </c>
      <c r="V211">
        <v>106500</v>
      </c>
    </row>
    <row r="212" spans="16:22" x14ac:dyDescent="0.3">
      <c r="P212" s="15">
        <v>45689</v>
      </c>
      <c r="Q212" t="s">
        <v>1062</v>
      </c>
      <c r="R212" t="s">
        <v>1064</v>
      </c>
      <c r="S212" t="s">
        <v>1049</v>
      </c>
      <c r="T212">
        <v>150000</v>
      </c>
      <c r="U212">
        <v>8</v>
      </c>
      <c r="V212">
        <v>100000</v>
      </c>
    </row>
    <row r="213" spans="16:22" x14ac:dyDescent="0.3">
      <c r="P213" s="15">
        <v>45689</v>
      </c>
      <c r="Q213" t="s">
        <v>1062</v>
      </c>
      <c r="R213" t="s">
        <v>1065</v>
      </c>
      <c r="S213" t="s">
        <v>1049</v>
      </c>
      <c r="T213">
        <v>125000</v>
      </c>
      <c r="U213">
        <v>5</v>
      </c>
      <c r="V213">
        <v>52083.33</v>
      </c>
    </row>
    <row r="214" spans="16:22" x14ac:dyDescent="0.3">
      <c r="P214" s="15">
        <v>45717</v>
      </c>
      <c r="Q214" t="s">
        <v>1047</v>
      </c>
      <c r="R214" t="s">
        <v>1048</v>
      </c>
      <c r="S214" t="s">
        <v>1049</v>
      </c>
      <c r="T214">
        <v>185000</v>
      </c>
      <c r="U214">
        <v>36</v>
      </c>
      <c r="V214">
        <v>555000</v>
      </c>
    </row>
    <row r="215" spans="16:22" x14ac:dyDescent="0.3">
      <c r="P215" s="15">
        <v>45717</v>
      </c>
      <c r="Q215" t="s">
        <v>1047</v>
      </c>
      <c r="R215" t="s">
        <v>1050</v>
      </c>
      <c r="S215" t="s">
        <v>1049</v>
      </c>
      <c r="T215">
        <v>105000</v>
      </c>
      <c r="U215">
        <v>21</v>
      </c>
      <c r="V215">
        <v>183750</v>
      </c>
    </row>
    <row r="216" spans="16:22" x14ac:dyDescent="0.3">
      <c r="P216" s="15">
        <v>45717</v>
      </c>
      <c r="Q216" t="s">
        <v>1047</v>
      </c>
      <c r="R216" t="s">
        <v>1051</v>
      </c>
      <c r="S216" t="s">
        <v>1049</v>
      </c>
      <c r="T216">
        <v>240000</v>
      </c>
      <c r="U216">
        <v>6</v>
      </c>
      <c r="V216">
        <v>120000</v>
      </c>
    </row>
    <row r="217" spans="16:22" x14ac:dyDescent="0.3">
      <c r="P217" s="15">
        <v>45717</v>
      </c>
      <c r="Q217" t="s">
        <v>1052</v>
      </c>
      <c r="R217" t="s">
        <v>1053</v>
      </c>
      <c r="S217" t="s">
        <v>1049</v>
      </c>
      <c r="T217">
        <v>125000</v>
      </c>
      <c r="U217">
        <v>20</v>
      </c>
      <c r="V217">
        <v>208333.33</v>
      </c>
    </row>
    <row r="218" spans="16:22" x14ac:dyDescent="0.3">
      <c r="P218" s="15">
        <v>45717</v>
      </c>
      <c r="Q218" t="s">
        <v>1052</v>
      </c>
      <c r="R218" t="s">
        <v>1054</v>
      </c>
      <c r="S218" t="s">
        <v>1049</v>
      </c>
      <c r="T218">
        <v>112000</v>
      </c>
      <c r="U218">
        <v>9</v>
      </c>
      <c r="V218">
        <v>84000</v>
      </c>
    </row>
    <row r="219" spans="16:22" x14ac:dyDescent="0.3">
      <c r="P219" s="15">
        <v>45717</v>
      </c>
      <c r="Q219" t="s">
        <v>1055</v>
      </c>
      <c r="R219" t="s">
        <v>1056</v>
      </c>
      <c r="S219" t="s">
        <v>1049</v>
      </c>
      <c r="T219">
        <v>145000</v>
      </c>
      <c r="U219">
        <v>10</v>
      </c>
      <c r="V219">
        <v>120833.33</v>
      </c>
    </row>
    <row r="220" spans="16:22" x14ac:dyDescent="0.3">
      <c r="P220" s="15">
        <v>45717</v>
      </c>
      <c r="Q220" t="s">
        <v>1055</v>
      </c>
      <c r="R220" t="s">
        <v>1057</v>
      </c>
      <c r="S220" t="s">
        <v>1049</v>
      </c>
      <c r="T220">
        <v>132000</v>
      </c>
      <c r="U220">
        <v>7</v>
      </c>
      <c r="V220">
        <v>77000</v>
      </c>
    </row>
    <row r="221" spans="16:22" x14ac:dyDescent="0.3">
      <c r="P221" s="15">
        <v>45717</v>
      </c>
      <c r="Q221" t="s">
        <v>1058</v>
      </c>
      <c r="R221" t="s">
        <v>1059</v>
      </c>
      <c r="S221" t="s">
        <v>1049</v>
      </c>
      <c r="T221">
        <v>175000</v>
      </c>
      <c r="U221">
        <v>57</v>
      </c>
      <c r="V221">
        <v>831250</v>
      </c>
    </row>
    <row r="222" spans="16:22" x14ac:dyDescent="0.3">
      <c r="P222" s="15">
        <v>45717</v>
      </c>
      <c r="Q222" t="s">
        <v>1058</v>
      </c>
      <c r="R222" t="s">
        <v>1060</v>
      </c>
      <c r="S222" t="s">
        <v>1049</v>
      </c>
      <c r="T222">
        <v>165000</v>
      </c>
      <c r="U222">
        <v>11</v>
      </c>
      <c r="V222">
        <v>151250</v>
      </c>
    </row>
    <row r="223" spans="16:22" x14ac:dyDescent="0.3">
      <c r="P223" s="15">
        <v>45717</v>
      </c>
      <c r="Q223" t="s">
        <v>1058</v>
      </c>
      <c r="R223" t="s">
        <v>1061</v>
      </c>
      <c r="S223" t="s">
        <v>1049</v>
      </c>
      <c r="T223">
        <v>145000</v>
      </c>
      <c r="U223">
        <v>8</v>
      </c>
      <c r="V223">
        <v>96666.67</v>
      </c>
    </row>
    <row r="224" spans="16:22" x14ac:dyDescent="0.3">
      <c r="P224" s="15">
        <v>45717</v>
      </c>
      <c r="Q224" t="s">
        <v>1062</v>
      </c>
      <c r="R224" t="s">
        <v>1063</v>
      </c>
      <c r="S224" t="s">
        <v>1049</v>
      </c>
      <c r="T224">
        <v>142000</v>
      </c>
      <c r="U224">
        <v>9</v>
      </c>
      <c r="V224">
        <v>106500</v>
      </c>
    </row>
    <row r="225" spans="16:22" x14ac:dyDescent="0.3">
      <c r="P225" s="15">
        <v>45717</v>
      </c>
      <c r="Q225" t="s">
        <v>1062</v>
      </c>
      <c r="R225" t="s">
        <v>1064</v>
      </c>
      <c r="S225" t="s">
        <v>1049</v>
      </c>
      <c r="T225">
        <v>150000</v>
      </c>
      <c r="U225">
        <v>8</v>
      </c>
      <c r="V225">
        <v>100000</v>
      </c>
    </row>
    <row r="226" spans="16:22" x14ac:dyDescent="0.3">
      <c r="P226" s="15">
        <v>45717</v>
      </c>
      <c r="Q226" t="s">
        <v>1062</v>
      </c>
      <c r="R226" t="s">
        <v>1065</v>
      </c>
      <c r="S226" t="s">
        <v>1049</v>
      </c>
      <c r="T226">
        <v>125000</v>
      </c>
      <c r="U226">
        <v>5</v>
      </c>
      <c r="V226">
        <v>52083.33</v>
      </c>
    </row>
    <row r="227" spans="16:22" x14ac:dyDescent="0.3">
      <c r="P227" s="15">
        <v>45748</v>
      </c>
      <c r="Q227" t="s">
        <v>1047</v>
      </c>
      <c r="R227" t="s">
        <v>1048</v>
      </c>
      <c r="S227" t="s">
        <v>1049</v>
      </c>
      <c r="T227">
        <v>185000</v>
      </c>
      <c r="U227">
        <v>37</v>
      </c>
      <c r="V227">
        <v>570416.67000000004</v>
      </c>
    </row>
    <row r="228" spans="16:22" x14ac:dyDescent="0.3">
      <c r="P228" s="15">
        <v>45748</v>
      </c>
      <c r="Q228" t="s">
        <v>1047</v>
      </c>
      <c r="R228" t="s">
        <v>1050</v>
      </c>
      <c r="S228" t="s">
        <v>1049</v>
      </c>
      <c r="T228">
        <v>105000</v>
      </c>
      <c r="U228">
        <v>21</v>
      </c>
      <c r="V228">
        <v>183750</v>
      </c>
    </row>
    <row r="229" spans="16:22" x14ac:dyDescent="0.3">
      <c r="P229" s="15">
        <v>45748</v>
      </c>
      <c r="Q229" t="s">
        <v>1047</v>
      </c>
      <c r="R229" t="s">
        <v>1051</v>
      </c>
      <c r="S229" t="s">
        <v>1049</v>
      </c>
      <c r="T229">
        <v>240000</v>
      </c>
      <c r="U229">
        <v>6</v>
      </c>
      <c r="V229">
        <v>120000</v>
      </c>
    </row>
    <row r="230" spans="16:22" x14ac:dyDescent="0.3">
      <c r="P230" s="15">
        <v>45748</v>
      </c>
      <c r="Q230" t="s">
        <v>1052</v>
      </c>
      <c r="R230" t="s">
        <v>1053</v>
      </c>
      <c r="S230" t="s">
        <v>1049</v>
      </c>
      <c r="T230">
        <v>125000</v>
      </c>
      <c r="U230">
        <v>20</v>
      </c>
      <c r="V230">
        <v>208333.33</v>
      </c>
    </row>
    <row r="231" spans="16:22" x14ac:dyDescent="0.3">
      <c r="P231" s="15">
        <v>45748</v>
      </c>
      <c r="Q231" t="s">
        <v>1052</v>
      </c>
      <c r="R231" t="s">
        <v>1054</v>
      </c>
      <c r="S231" t="s">
        <v>1049</v>
      </c>
      <c r="T231">
        <v>112000</v>
      </c>
      <c r="U231">
        <v>9</v>
      </c>
      <c r="V231">
        <v>84000</v>
      </c>
    </row>
    <row r="232" spans="16:22" x14ac:dyDescent="0.3">
      <c r="P232" s="15">
        <v>45748</v>
      </c>
      <c r="Q232" t="s">
        <v>1055</v>
      </c>
      <c r="R232" t="s">
        <v>1056</v>
      </c>
      <c r="S232" t="s">
        <v>1049</v>
      </c>
      <c r="T232">
        <v>145000</v>
      </c>
      <c r="U232">
        <v>10</v>
      </c>
      <c r="V232">
        <v>120833.33</v>
      </c>
    </row>
    <row r="233" spans="16:22" x14ac:dyDescent="0.3">
      <c r="P233" s="15">
        <v>45748</v>
      </c>
      <c r="Q233" t="s">
        <v>1055</v>
      </c>
      <c r="R233" t="s">
        <v>1057</v>
      </c>
      <c r="S233" t="s">
        <v>1049</v>
      </c>
      <c r="T233">
        <v>132000</v>
      </c>
      <c r="U233">
        <v>7</v>
      </c>
      <c r="V233">
        <v>77000</v>
      </c>
    </row>
    <row r="234" spans="16:22" x14ac:dyDescent="0.3">
      <c r="P234" s="15">
        <v>45748</v>
      </c>
      <c r="Q234" t="s">
        <v>1058</v>
      </c>
      <c r="R234" t="s">
        <v>1059</v>
      </c>
      <c r="S234" t="s">
        <v>1049</v>
      </c>
      <c r="T234">
        <v>175000</v>
      </c>
      <c r="U234">
        <v>58</v>
      </c>
      <c r="V234">
        <v>845833.33</v>
      </c>
    </row>
    <row r="235" spans="16:22" x14ac:dyDescent="0.3">
      <c r="P235" s="15">
        <v>45748</v>
      </c>
      <c r="Q235" t="s">
        <v>1058</v>
      </c>
      <c r="R235" t="s">
        <v>1060</v>
      </c>
      <c r="S235" t="s">
        <v>1049</v>
      </c>
      <c r="T235">
        <v>165000</v>
      </c>
      <c r="U235">
        <v>11</v>
      </c>
      <c r="V235">
        <v>151250</v>
      </c>
    </row>
    <row r="236" spans="16:22" x14ac:dyDescent="0.3">
      <c r="P236" s="15">
        <v>45748</v>
      </c>
      <c r="Q236" t="s">
        <v>1058</v>
      </c>
      <c r="R236" t="s">
        <v>1061</v>
      </c>
      <c r="S236" t="s">
        <v>1049</v>
      </c>
      <c r="T236">
        <v>145000</v>
      </c>
      <c r="U236">
        <v>8</v>
      </c>
      <c r="V236">
        <v>96666.67</v>
      </c>
    </row>
    <row r="237" spans="16:22" x14ac:dyDescent="0.3">
      <c r="P237" s="15">
        <v>45748</v>
      </c>
      <c r="Q237" t="s">
        <v>1062</v>
      </c>
      <c r="R237" t="s">
        <v>1063</v>
      </c>
      <c r="S237" t="s">
        <v>1049</v>
      </c>
      <c r="T237">
        <v>142000</v>
      </c>
      <c r="U237">
        <v>9</v>
      </c>
      <c r="V237">
        <v>106500</v>
      </c>
    </row>
    <row r="238" spans="16:22" x14ac:dyDescent="0.3">
      <c r="P238" s="15">
        <v>45748</v>
      </c>
      <c r="Q238" t="s">
        <v>1062</v>
      </c>
      <c r="R238" t="s">
        <v>1064</v>
      </c>
      <c r="S238" t="s">
        <v>1049</v>
      </c>
      <c r="T238">
        <v>150000</v>
      </c>
      <c r="U238">
        <v>8</v>
      </c>
      <c r="V238">
        <v>100000</v>
      </c>
    </row>
    <row r="239" spans="16:22" x14ac:dyDescent="0.3">
      <c r="P239" s="15">
        <v>45748</v>
      </c>
      <c r="Q239" t="s">
        <v>1062</v>
      </c>
      <c r="R239" t="s">
        <v>1065</v>
      </c>
      <c r="S239" t="s">
        <v>1049</v>
      </c>
      <c r="T239">
        <v>125000</v>
      </c>
      <c r="U239">
        <v>5</v>
      </c>
      <c r="V239">
        <v>52083.33</v>
      </c>
    </row>
    <row r="240" spans="16:22" x14ac:dyDescent="0.3">
      <c r="P240" s="15">
        <v>45778</v>
      </c>
      <c r="Q240" t="s">
        <v>1047</v>
      </c>
      <c r="R240" t="s">
        <v>1048</v>
      </c>
      <c r="S240" t="s">
        <v>1049</v>
      </c>
      <c r="T240">
        <v>185000</v>
      </c>
      <c r="U240">
        <v>37</v>
      </c>
      <c r="V240">
        <v>570416.67000000004</v>
      </c>
    </row>
    <row r="241" spans="16:22" x14ac:dyDescent="0.3">
      <c r="P241" s="15">
        <v>45778</v>
      </c>
      <c r="Q241" t="s">
        <v>1047</v>
      </c>
      <c r="R241" t="s">
        <v>1050</v>
      </c>
      <c r="S241" t="s">
        <v>1049</v>
      </c>
      <c r="T241">
        <v>105000</v>
      </c>
      <c r="U241">
        <v>22</v>
      </c>
      <c r="V241">
        <v>192500</v>
      </c>
    </row>
    <row r="242" spans="16:22" x14ac:dyDescent="0.3">
      <c r="P242" s="15">
        <v>45778</v>
      </c>
      <c r="Q242" t="s">
        <v>1047</v>
      </c>
      <c r="R242" t="s">
        <v>1051</v>
      </c>
      <c r="S242" t="s">
        <v>1049</v>
      </c>
      <c r="T242">
        <v>240000</v>
      </c>
      <c r="U242">
        <v>6</v>
      </c>
      <c r="V242">
        <v>120000</v>
      </c>
    </row>
    <row r="243" spans="16:22" x14ac:dyDescent="0.3">
      <c r="P243" s="15">
        <v>45778</v>
      </c>
      <c r="Q243" t="s">
        <v>1052</v>
      </c>
      <c r="R243" t="s">
        <v>1053</v>
      </c>
      <c r="S243" t="s">
        <v>1049</v>
      </c>
      <c r="T243">
        <v>125000</v>
      </c>
      <c r="U243">
        <v>20</v>
      </c>
      <c r="V243">
        <v>208333.33</v>
      </c>
    </row>
    <row r="244" spans="16:22" x14ac:dyDescent="0.3">
      <c r="P244" s="15">
        <v>45778</v>
      </c>
      <c r="Q244" t="s">
        <v>1052</v>
      </c>
      <c r="R244" t="s">
        <v>1054</v>
      </c>
      <c r="S244" t="s">
        <v>1049</v>
      </c>
      <c r="T244">
        <v>112000</v>
      </c>
      <c r="U244">
        <v>9</v>
      </c>
      <c r="V244">
        <v>84000</v>
      </c>
    </row>
    <row r="245" spans="16:22" x14ac:dyDescent="0.3">
      <c r="P245" s="15">
        <v>45778</v>
      </c>
      <c r="Q245" t="s">
        <v>1055</v>
      </c>
      <c r="R245" t="s">
        <v>1056</v>
      </c>
      <c r="S245" t="s">
        <v>1049</v>
      </c>
      <c r="T245">
        <v>145000</v>
      </c>
      <c r="U245">
        <v>10</v>
      </c>
      <c r="V245">
        <v>120833.33</v>
      </c>
    </row>
    <row r="246" spans="16:22" x14ac:dyDescent="0.3">
      <c r="P246" s="15">
        <v>45778</v>
      </c>
      <c r="Q246" t="s">
        <v>1055</v>
      </c>
      <c r="R246" t="s">
        <v>1057</v>
      </c>
      <c r="S246" t="s">
        <v>1049</v>
      </c>
      <c r="T246">
        <v>132000</v>
      </c>
      <c r="U246">
        <v>7</v>
      </c>
      <c r="V246">
        <v>77000</v>
      </c>
    </row>
    <row r="247" spans="16:22" x14ac:dyDescent="0.3">
      <c r="P247" s="15">
        <v>45778</v>
      </c>
      <c r="Q247" t="s">
        <v>1058</v>
      </c>
      <c r="R247" t="s">
        <v>1059</v>
      </c>
      <c r="S247" t="s">
        <v>1049</v>
      </c>
      <c r="T247">
        <v>175000</v>
      </c>
      <c r="U247">
        <v>58</v>
      </c>
      <c r="V247">
        <v>845833.33</v>
      </c>
    </row>
    <row r="248" spans="16:22" x14ac:dyDescent="0.3">
      <c r="P248" s="15">
        <v>45778</v>
      </c>
      <c r="Q248" t="s">
        <v>1058</v>
      </c>
      <c r="R248" t="s">
        <v>1060</v>
      </c>
      <c r="S248" t="s">
        <v>1049</v>
      </c>
      <c r="T248">
        <v>165000</v>
      </c>
      <c r="U248">
        <v>11</v>
      </c>
      <c r="V248">
        <v>151250</v>
      </c>
    </row>
    <row r="249" spans="16:22" x14ac:dyDescent="0.3">
      <c r="P249" s="15">
        <v>45778</v>
      </c>
      <c r="Q249" t="s">
        <v>1058</v>
      </c>
      <c r="R249" t="s">
        <v>1061</v>
      </c>
      <c r="S249" t="s">
        <v>1049</v>
      </c>
      <c r="T249">
        <v>145000</v>
      </c>
      <c r="U249">
        <v>8</v>
      </c>
      <c r="V249">
        <v>96666.67</v>
      </c>
    </row>
    <row r="250" spans="16:22" x14ac:dyDescent="0.3">
      <c r="P250" s="15">
        <v>45778</v>
      </c>
      <c r="Q250" t="s">
        <v>1062</v>
      </c>
      <c r="R250" t="s">
        <v>1063</v>
      </c>
      <c r="S250" t="s">
        <v>1049</v>
      </c>
      <c r="T250">
        <v>142000</v>
      </c>
      <c r="U250">
        <v>9</v>
      </c>
      <c r="V250">
        <v>106500</v>
      </c>
    </row>
    <row r="251" spans="16:22" x14ac:dyDescent="0.3">
      <c r="P251" s="15">
        <v>45778</v>
      </c>
      <c r="Q251" t="s">
        <v>1062</v>
      </c>
      <c r="R251" t="s">
        <v>1064</v>
      </c>
      <c r="S251" t="s">
        <v>1049</v>
      </c>
      <c r="T251">
        <v>150000</v>
      </c>
      <c r="U251">
        <v>8</v>
      </c>
      <c r="V251">
        <v>100000</v>
      </c>
    </row>
    <row r="252" spans="16:22" x14ac:dyDescent="0.3">
      <c r="P252" s="15">
        <v>45778</v>
      </c>
      <c r="Q252" t="s">
        <v>1062</v>
      </c>
      <c r="R252" t="s">
        <v>1065</v>
      </c>
      <c r="S252" t="s">
        <v>1049</v>
      </c>
      <c r="T252">
        <v>125000</v>
      </c>
      <c r="U252">
        <v>5</v>
      </c>
      <c r="V252">
        <v>52083.33</v>
      </c>
    </row>
    <row r="253" spans="16:22" x14ac:dyDescent="0.3">
      <c r="P253" s="15">
        <v>45809</v>
      </c>
      <c r="Q253" t="s">
        <v>1047</v>
      </c>
      <c r="R253" t="s">
        <v>1048</v>
      </c>
      <c r="S253" t="s">
        <v>1049</v>
      </c>
      <c r="T253">
        <v>185000</v>
      </c>
      <c r="U253">
        <v>37</v>
      </c>
      <c r="V253">
        <v>570416.67000000004</v>
      </c>
    </row>
    <row r="254" spans="16:22" x14ac:dyDescent="0.3">
      <c r="P254" s="15">
        <v>45809</v>
      </c>
      <c r="Q254" t="s">
        <v>1047</v>
      </c>
      <c r="R254" t="s">
        <v>1050</v>
      </c>
      <c r="S254" t="s">
        <v>1049</v>
      </c>
      <c r="T254">
        <v>105000</v>
      </c>
      <c r="U254">
        <v>22</v>
      </c>
      <c r="V254">
        <v>192500</v>
      </c>
    </row>
    <row r="255" spans="16:22" x14ac:dyDescent="0.3">
      <c r="P255" s="15">
        <v>45809</v>
      </c>
      <c r="Q255" t="s">
        <v>1047</v>
      </c>
      <c r="R255" t="s">
        <v>1051</v>
      </c>
      <c r="S255" t="s">
        <v>1049</v>
      </c>
      <c r="T255">
        <v>240000</v>
      </c>
      <c r="U255">
        <v>6</v>
      </c>
      <c r="V255">
        <v>120000</v>
      </c>
    </row>
    <row r="256" spans="16:22" x14ac:dyDescent="0.3">
      <c r="P256" s="15">
        <v>45809</v>
      </c>
      <c r="Q256" t="s">
        <v>1052</v>
      </c>
      <c r="R256" t="s">
        <v>1053</v>
      </c>
      <c r="S256" t="s">
        <v>1049</v>
      </c>
      <c r="T256">
        <v>125000</v>
      </c>
      <c r="U256">
        <v>20</v>
      </c>
      <c r="V256">
        <v>208333.33</v>
      </c>
    </row>
    <row r="257" spans="16:22" x14ac:dyDescent="0.3">
      <c r="P257" s="15">
        <v>45809</v>
      </c>
      <c r="Q257" t="s">
        <v>1052</v>
      </c>
      <c r="R257" t="s">
        <v>1054</v>
      </c>
      <c r="S257" t="s">
        <v>1049</v>
      </c>
      <c r="T257">
        <v>112000</v>
      </c>
      <c r="U257">
        <v>9</v>
      </c>
      <c r="V257">
        <v>84000</v>
      </c>
    </row>
    <row r="258" spans="16:22" x14ac:dyDescent="0.3">
      <c r="P258" s="15">
        <v>45809</v>
      </c>
      <c r="Q258" t="s">
        <v>1055</v>
      </c>
      <c r="R258" t="s">
        <v>1056</v>
      </c>
      <c r="S258" t="s">
        <v>1049</v>
      </c>
      <c r="T258">
        <v>145000</v>
      </c>
      <c r="U258">
        <v>10</v>
      </c>
      <c r="V258">
        <v>120833.33</v>
      </c>
    </row>
    <row r="259" spans="16:22" x14ac:dyDescent="0.3">
      <c r="P259" s="15">
        <v>45809</v>
      </c>
      <c r="Q259" t="s">
        <v>1055</v>
      </c>
      <c r="R259" t="s">
        <v>1057</v>
      </c>
      <c r="S259" t="s">
        <v>1049</v>
      </c>
      <c r="T259">
        <v>132000</v>
      </c>
      <c r="U259">
        <v>7</v>
      </c>
      <c r="V259">
        <v>77000</v>
      </c>
    </row>
    <row r="260" spans="16:22" x14ac:dyDescent="0.3">
      <c r="P260" s="15">
        <v>45809</v>
      </c>
      <c r="Q260" t="s">
        <v>1058</v>
      </c>
      <c r="R260" t="s">
        <v>1059</v>
      </c>
      <c r="S260" t="s">
        <v>1049</v>
      </c>
      <c r="T260">
        <v>175000</v>
      </c>
      <c r="U260">
        <v>59</v>
      </c>
      <c r="V260">
        <v>860416.67</v>
      </c>
    </row>
    <row r="261" spans="16:22" x14ac:dyDescent="0.3">
      <c r="P261" s="15">
        <v>45809</v>
      </c>
      <c r="Q261" t="s">
        <v>1058</v>
      </c>
      <c r="R261" t="s">
        <v>1060</v>
      </c>
      <c r="S261" t="s">
        <v>1049</v>
      </c>
      <c r="T261">
        <v>165000</v>
      </c>
      <c r="U261">
        <v>11</v>
      </c>
      <c r="V261">
        <v>151250</v>
      </c>
    </row>
    <row r="262" spans="16:22" x14ac:dyDescent="0.3">
      <c r="P262" s="15">
        <v>45809</v>
      </c>
      <c r="Q262" t="s">
        <v>1058</v>
      </c>
      <c r="R262" t="s">
        <v>1061</v>
      </c>
      <c r="S262" t="s">
        <v>1049</v>
      </c>
      <c r="T262">
        <v>145000</v>
      </c>
      <c r="U262">
        <v>8</v>
      </c>
      <c r="V262">
        <v>96666.67</v>
      </c>
    </row>
    <row r="263" spans="16:22" x14ac:dyDescent="0.3">
      <c r="P263" s="15">
        <v>45809</v>
      </c>
      <c r="Q263" t="s">
        <v>1062</v>
      </c>
      <c r="R263" t="s">
        <v>1063</v>
      </c>
      <c r="S263" t="s">
        <v>1049</v>
      </c>
      <c r="T263">
        <v>142000</v>
      </c>
      <c r="U263">
        <v>9</v>
      </c>
      <c r="V263">
        <v>106500</v>
      </c>
    </row>
    <row r="264" spans="16:22" x14ac:dyDescent="0.3">
      <c r="P264" s="15">
        <v>45809</v>
      </c>
      <c r="Q264" t="s">
        <v>1062</v>
      </c>
      <c r="R264" t="s">
        <v>1064</v>
      </c>
      <c r="S264" t="s">
        <v>1049</v>
      </c>
      <c r="T264">
        <v>150000</v>
      </c>
      <c r="U264">
        <v>8</v>
      </c>
      <c r="V264">
        <v>100000</v>
      </c>
    </row>
    <row r="265" spans="16:22" x14ac:dyDescent="0.3">
      <c r="P265" s="15">
        <v>45809</v>
      </c>
      <c r="Q265" t="s">
        <v>1062</v>
      </c>
      <c r="R265" t="s">
        <v>1065</v>
      </c>
      <c r="S265" t="s">
        <v>1049</v>
      </c>
      <c r="T265">
        <v>125000</v>
      </c>
      <c r="U265">
        <v>5</v>
      </c>
      <c r="V265">
        <v>52083.33</v>
      </c>
    </row>
    <row r="266" spans="16:22" x14ac:dyDescent="0.3">
      <c r="P266" s="15">
        <v>45839</v>
      </c>
      <c r="Q266" t="s">
        <v>1047</v>
      </c>
      <c r="R266" t="s">
        <v>1048</v>
      </c>
      <c r="S266" t="s">
        <v>1049</v>
      </c>
      <c r="T266">
        <v>185000</v>
      </c>
      <c r="U266">
        <v>38</v>
      </c>
      <c r="V266">
        <v>585833.32999999996</v>
      </c>
    </row>
    <row r="267" spans="16:22" x14ac:dyDescent="0.3">
      <c r="P267" s="15">
        <v>45839</v>
      </c>
      <c r="Q267" t="s">
        <v>1047</v>
      </c>
      <c r="R267" t="s">
        <v>1050</v>
      </c>
      <c r="S267" t="s">
        <v>1049</v>
      </c>
      <c r="T267">
        <v>105000</v>
      </c>
      <c r="U267">
        <v>22</v>
      </c>
      <c r="V267">
        <v>192500</v>
      </c>
    </row>
    <row r="268" spans="16:22" x14ac:dyDescent="0.3">
      <c r="P268" s="15">
        <v>45839</v>
      </c>
      <c r="Q268" t="s">
        <v>1047</v>
      </c>
      <c r="R268" t="s">
        <v>1051</v>
      </c>
      <c r="S268" t="s">
        <v>1049</v>
      </c>
      <c r="T268">
        <v>240000</v>
      </c>
      <c r="U268">
        <v>6</v>
      </c>
      <c r="V268">
        <v>120000</v>
      </c>
    </row>
    <row r="269" spans="16:22" x14ac:dyDescent="0.3">
      <c r="P269" s="15">
        <v>45839</v>
      </c>
      <c r="Q269" t="s">
        <v>1052</v>
      </c>
      <c r="R269" t="s">
        <v>1053</v>
      </c>
      <c r="S269" t="s">
        <v>1049</v>
      </c>
      <c r="T269">
        <v>125000</v>
      </c>
      <c r="U269">
        <v>21</v>
      </c>
      <c r="V269">
        <v>218750</v>
      </c>
    </row>
    <row r="270" spans="16:22" x14ac:dyDescent="0.3">
      <c r="P270" s="15">
        <v>45839</v>
      </c>
      <c r="Q270" t="s">
        <v>1052</v>
      </c>
      <c r="R270" t="s">
        <v>1054</v>
      </c>
      <c r="S270" t="s">
        <v>1049</v>
      </c>
      <c r="T270">
        <v>112000</v>
      </c>
      <c r="U270">
        <v>9</v>
      </c>
      <c r="V270">
        <v>84000</v>
      </c>
    </row>
    <row r="271" spans="16:22" x14ac:dyDescent="0.3">
      <c r="P271" s="15">
        <v>45839</v>
      </c>
      <c r="Q271" t="s">
        <v>1055</v>
      </c>
      <c r="R271" t="s">
        <v>1056</v>
      </c>
      <c r="S271" t="s">
        <v>1049</v>
      </c>
      <c r="T271">
        <v>145000</v>
      </c>
      <c r="U271">
        <v>10</v>
      </c>
      <c r="V271">
        <v>120833.33</v>
      </c>
    </row>
    <row r="272" spans="16:22" x14ac:dyDescent="0.3">
      <c r="P272" s="15">
        <v>45839</v>
      </c>
      <c r="Q272" t="s">
        <v>1055</v>
      </c>
      <c r="R272" t="s">
        <v>1057</v>
      </c>
      <c r="S272" t="s">
        <v>1049</v>
      </c>
      <c r="T272">
        <v>132000</v>
      </c>
      <c r="U272">
        <v>7</v>
      </c>
      <c r="V272">
        <v>77000</v>
      </c>
    </row>
    <row r="273" spans="16:22" x14ac:dyDescent="0.3">
      <c r="P273" s="15">
        <v>45839</v>
      </c>
      <c r="Q273" t="s">
        <v>1058</v>
      </c>
      <c r="R273" t="s">
        <v>1059</v>
      </c>
      <c r="S273" t="s">
        <v>1049</v>
      </c>
      <c r="T273">
        <v>175000</v>
      </c>
      <c r="U273">
        <v>59</v>
      </c>
      <c r="V273">
        <v>860416.67</v>
      </c>
    </row>
    <row r="274" spans="16:22" x14ac:dyDescent="0.3">
      <c r="P274" s="15">
        <v>45839</v>
      </c>
      <c r="Q274" t="s">
        <v>1058</v>
      </c>
      <c r="R274" t="s">
        <v>1060</v>
      </c>
      <c r="S274" t="s">
        <v>1049</v>
      </c>
      <c r="T274">
        <v>165000</v>
      </c>
      <c r="U274">
        <v>11</v>
      </c>
      <c r="V274">
        <v>151250</v>
      </c>
    </row>
    <row r="275" spans="16:22" x14ac:dyDescent="0.3">
      <c r="P275" s="15">
        <v>45839</v>
      </c>
      <c r="Q275" t="s">
        <v>1058</v>
      </c>
      <c r="R275" t="s">
        <v>1061</v>
      </c>
      <c r="S275" t="s">
        <v>1049</v>
      </c>
      <c r="T275">
        <v>145000</v>
      </c>
      <c r="U275">
        <v>8</v>
      </c>
      <c r="V275">
        <v>96666.67</v>
      </c>
    </row>
    <row r="276" spans="16:22" x14ac:dyDescent="0.3">
      <c r="P276" s="15">
        <v>45839</v>
      </c>
      <c r="Q276" t="s">
        <v>1062</v>
      </c>
      <c r="R276" t="s">
        <v>1063</v>
      </c>
      <c r="S276" t="s">
        <v>1049</v>
      </c>
      <c r="T276">
        <v>142000</v>
      </c>
      <c r="U276">
        <v>9</v>
      </c>
      <c r="V276">
        <v>106500</v>
      </c>
    </row>
    <row r="277" spans="16:22" x14ac:dyDescent="0.3">
      <c r="P277" s="15">
        <v>45839</v>
      </c>
      <c r="Q277" t="s">
        <v>1062</v>
      </c>
      <c r="R277" t="s">
        <v>1064</v>
      </c>
      <c r="S277" t="s">
        <v>1049</v>
      </c>
      <c r="T277">
        <v>150000</v>
      </c>
      <c r="U277">
        <v>8</v>
      </c>
      <c r="V277">
        <v>100000</v>
      </c>
    </row>
    <row r="278" spans="16:22" x14ac:dyDescent="0.3">
      <c r="P278" s="15">
        <v>45839</v>
      </c>
      <c r="Q278" t="s">
        <v>1062</v>
      </c>
      <c r="R278" t="s">
        <v>1065</v>
      </c>
      <c r="S278" t="s">
        <v>1049</v>
      </c>
      <c r="T278">
        <v>125000</v>
      </c>
      <c r="U278">
        <v>5</v>
      </c>
      <c r="V278">
        <v>52083.33</v>
      </c>
    </row>
    <row r="279" spans="16:22" x14ac:dyDescent="0.3">
      <c r="P279" s="15">
        <v>45870</v>
      </c>
      <c r="Q279" t="s">
        <v>1047</v>
      </c>
      <c r="R279" t="s">
        <v>1048</v>
      </c>
      <c r="S279" t="s">
        <v>1049</v>
      </c>
      <c r="T279">
        <v>185000</v>
      </c>
      <c r="U279">
        <v>38</v>
      </c>
      <c r="V279">
        <v>585833.32999999996</v>
      </c>
    </row>
    <row r="280" spans="16:22" x14ac:dyDescent="0.3">
      <c r="P280" s="15">
        <v>45870</v>
      </c>
      <c r="Q280" t="s">
        <v>1047</v>
      </c>
      <c r="R280" t="s">
        <v>1050</v>
      </c>
      <c r="S280" t="s">
        <v>1049</v>
      </c>
      <c r="T280">
        <v>105000</v>
      </c>
      <c r="U280">
        <v>22</v>
      </c>
      <c r="V280">
        <v>192500</v>
      </c>
    </row>
    <row r="281" spans="16:22" x14ac:dyDescent="0.3">
      <c r="P281" s="15">
        <v>45870</v>
      </c>
      <c r="Q281" t="s">
        <v>1047</v>
      </c>
      <c r="R281" t="s">
        <v>1051</v>
      </c>
      <c r="S281" t="s">
        <v>1049</v>
      </c>
      <c r="T281">
        <v>240000</v>
      </c>
      <c r="U281">
        <v>6</v>
      </c>
      <c r="V281">
        <v>120000</v>
      </c>
    </row>
    <row r="282" spans="16:22" x14ac:dyDescent="0.3">
      <c r="P282" s="15">
        <v>45870</v>
      </c>
      <c r="Q282" t="s">
        <v>1052</v>
      </c>
      <c r="R282" t="s">
        <v>1053</v>
      </c>
      <c r="S282" t="s">
        <v>1049</v>
      </c>
      <c r="T282">
        <v>125000</v>
      </c>
      <c r="U282">
        <v>21</v>
      </c>
      <c r="V282">
        <v>218750</v>
      </c>
    </row>
    <row r="283" spans="16:22" x14ac:dyDescent="0.3">
      <c r="P283" s="15">
        <v>45870</v>
      </c>
      <c r="Q283" t="s">
        <v>1052</v>
      </c>
      <c r="R283" t="s">
        <v>1054</v>
      </c>
      <c r="S283" t="s">
        <v>1049</v>
      </c>
      <c r="T283">
        <v>112000</v>
      </c>
      <c r="U283">
        <v>9</v>
      </c>
      <c r="V283">
        <v>84000</v>
      </c>
    </row>
    <row r="284" spans="16:22" x14ac:dyDescent="0.3">
      <c r="P284" s="15">
        <v>45870</v>
      </c>
      <c r="Q284" t="s">
        <v>1055</v>
      </c>
      <c r="R284" t="s">
        <v>1056</v>
      </c>
      <c r="S284" t="s">
        <v>1049</v>
      </c>
      <c r="T284">
        <v>145000</v>
      </c>
      <c r="U284">
        <v>10</v>
      </c>
      <c r="V284">
        <v>120833.33</v>
      </c>
    </row>
    <row r="285" spans="16:22" x14ac:dyDescent="0.3">
      <c r="P285" s="15">
        <v>45870</v>
      </c>
      <c r="Q285" t="s">
        <v>1055</v>
      </c>
      <c r="R285" t="s">
        <v>1057</v>
      </c>
      <c r="S285" t="s">
        <v>1049</v>
      </c>
      <c r="T285">
        <v>132000</v>
      </c>
      <c r="U285">
        <v>7</v>
      </c>
      <c r="V285">
        <v>77000</v>
      </c>
    </row>
    <row r="286" spans="16:22" x14ac:dyDescent="0.3">
      <c r="P286" s="15">
        <v>45870</v>
      </c>
      <c r="Q286" t="s">
        <v>1058</v>
      </c>
      <c r="R286" t="s">
        <v>1059</v>
      </c>
      <c r="S286" t="s">
        <v>1049</v>
      </c>
      <c r="T286">
        <v>175000</v>
      </c>
      <c r="U286">
        <v>59</v>
      </c>
      <c r="V286">
        <v>860416.67</v>
      </c>
    </row>
    <row r="287" spans="16:22" x14ac:dyDescent="0.3">
      <c r="P287" s="15">
        <v>45870</v>
      </c>
      <c r="Q287" t="s">
        <v>1058</v>
      </c>
      <c r="R287" t="s">
        <v>1060</v>
      </c>
      <c r="S287" t="s">
        <v>1049</v>
      </c>
      <c r="T287">
        <v>165000</v>
      </c>
      <c r="U287">
        <v>11</v>
      </c>
      <c r="V287">
        <v>151250</v>
      </c>
    </row>
    <row r="288" spans="16:22" x14ac:dyDescent="0.3">
      <c r="P288" s="15">
        <v>45870</v>
      </c>
      <c r="Q288" t="s">
        <v>1058</v>
      </c>
      <c r="R288" t="s">
        <v>1061</v>
      </c>
      <c r="S288" t="s">
        <v>1049</v>
      </c>
      <c r="T288">
        <v>145000</v>
      </c>
      <c r="U288">
        <v>8</v>
      </c>
      <c r="V288">
        <v>96666.67</v>
      </c>
    </row>
    <row r="289" spans="16:22" x14ac:dyDescent="0.3">
      <c r="P289" s="15">
        <v>45870</v>
      </c>
      <c r="Q289" t="s">
        <v>1062</v>
      </c>
      <c r="R289" t="s">
        <v>1063</v>
      </c>
      <c r="S289" t="s">
        <v>1049</v>
      </c>
      <c r="T289">
        <v>142000</v>
      </c>
      <c r="U289">
        <v>9</v>
      </c>
      <c r="V289">
        <v>106500</v>
      </c>
    </row>
    <row r="290" spans="16:22" x14ac:dyDescent="0.3">
      <c r="P290" s="15">
        <v>45870</v>
      </c>
      <c r="Q290" t="s">
        <v>1062</v>
      </c>
      <c r="R290" t="s">
        <v>1064</v>
      </c>
      <c r="S290" t="s">
        <v>1049</v>
      </c>
      <c r="T290">
        <v>150000</v>
      </c>
      <c r="U290">
        <v>8</v>
      </c>
      <c r="V290">
        <v>100000</v>
      </c>
    </row>
    <row r="291" spans="16:22" x14ac:dyDescent="0.3">
      <c r="P291" s="15">
        <v>45870</v>
      </c>
      <c r="Q291" t="s">
        <v>1062</v>
      </c>
      <c r="R291" t="s">
        <v>1065</v>
      </c>
      <c r="S291" t="s">
        <v>1049</v>
      </c>
      <c r="T291">
        <v>125000</v>
      </c>
      <c r="U291">
        <v>5</v>
      </c>
      <c r="V291">
        <v>52083.33</v>
      </c>
    </row>
    <row r="292" spans="16:22" x14ac:dyDescent="0.3">
      <c r="P292" s="15">
        <v>45901</v>
      </c>
      <c r="Q292" t="s">
        <v>1047</v>
      </c>
      <c r="R292" t="s">
        <v>1048</v>
      </c>
      <c r="S292" t="s">
        <v>1049</v>
      </c>
      <c r="T292">
        <v>185000</v>
      </c>
      <c r="U292">
        <v>38</v>
      </c>
      <c r="V292">
        <v>585833.32999999996</v>
      </c>
    </row>
    <row r="293" spans="16:22" x14ac:dyDescent="0.3">
      <c r="P293" s="15">
        <v>45901</v>
      </c>
      <c r="Q293" t="s">
        <v>1047</v>
      </c>
      <c r="R293" t="s">
        <v>1050</v>
      </c>
      <c r="S293" t="s">
        <v>1049</v>
      </c>
      <c r="T293">
        <v>105000</v>
      </c>
      <c r="U293">
        <v>23</v>
      </c>
      <c r="V293">
        <v>201250</v>
      </c>
    </row>
    <row r="294" spans="16:22" x14ac:dyDescent="0.3">
      <c r="P294" s="15">
        <v>45901</v>
      </c>
      <c r="Q294" t="s">
        <v>1047</v>
      </c>
      <c r="R294" t="s">
        <v>1051</v>
      </c>
      <c r="S294" t="s">
        <v>1049</v>
      </c>
      <c r="T294">
        <v>240000</v>
      </c>
      <c r="U294">
        <v>6</v>
      </c>
      <c r="V294">
        <v>120000</v>
      </c>
    </row>
    <row r="295" spans="16:22" x14ac:dyDescent="0.3">
      <c r="P295" s="15">
        <v>45901</v>
      </c>
      <c r="Q295" t="s">
        <v>1052</v>
      </c>
      <c r="R295" t="s">
        <v>1053</v>
      </c>
      <c r="S295" t="s">
        <v>1049</v>
      </c>
      <c r="T295">
        <v>125000</v>
      </c>
      <c r="U295">
        <v>21</v>
      </c>
      <c r="V295">
        <v>218750</v>
      </c>
    </row>
    <row r="296" spans="16:22" x14ac:dyDescent="0.3">
      <c r="P296" s="15">
        <v>45901</v>
      </c>
      <c r="Q296" t="s">
        <v>1052</v>
      </c>
      <c r="R296" t="s">
        <v>1054</v>
      </c>
      <c r="S296" t="s">
        <v>1049</v>
      </c>
      <c r="T296">
        <v>112000</v>
      </c>
      <c r="U296">
        <v>9</v>
      </c>
      <c r="V296">
        <v>84000</v>
      </c>
    </row>
    <row r="297" spans="16:22" x14ac:dyDescent="0.3">
      <c r="P297" s="15">
        <v>45901</v>
      </c>
      <c r="Q297" t="s">
        <v>1055</v>
      </c>
      <c r="R297" t="s">
        <v>1056</v>
      </c>
      <c r="S297" t="s">
        <v>1049</v>
      </c>
      <c r="T297">
        <v>145000</v>
      </c>
      <c r="U297">
        <v>10</v>
      </c>
      <c r="V297">
        <v>120833.33</v>
      </c>
    </row>
    <row r="298" spans="16:22" x14ac:dyDescent="0.3">
      <c r="P298" s="15">
        <v>45901</v>
      </c>
      <c r="Q298" t="s">
        <v>1055</v>
      </c>
      <c r="R298" t="s">
        <v>1057</v>
      </c>
      <c r="S298" t="s">
        <v>1049</v>
      </c>
      <c r="T298">
        <v>132000</v>
      </c>
      <c r="U298">
        <v>7</v>
      </c>
      <c r="V298">
        <v>77000</v>
      </c>
    </row>
    <row r="299" spans="16:22" x14ac:dyDescent="0.3">
      <c r="P299" s="15">
        <v>45901</v>
      </c>
      <c r="Q299" t="s">
        <v>1058</v>
      </c>
      <c r="R299" t="s">
        <v>1059</v>
      </c>
      <c r="S299" t="s">
        <v>1049</v>
      </c>
      <c r="T299">
        <v>175000</v>
      </c>
      <c r="U299">
        <v>60</v>
      </c>
      <c r="V299">
        <v>875000</v>
      </c>
    </row>
    <row r="300" spans="16:22" x14ac:dyDescent="0.3">
      <c r="P300" s="15">
        <v>45901</v>
      </c>
      <c r="Q300" t="s">
        <v>1058</v>
      </c>
      <c r="R300" t="s">
        <v>1060</v>
      </c>
      <c r="S300" t="s">
        <v>1049</v>
      </c>
      <c r="T300">
        <v>165000</v>
      </c>
      <c r="U300">
        <v>11</v>
      </c>
      <c r="V300">
        <v>151250</v>
      </c>
    </row>
    <row r="301" spans="16:22" x14ac:dyDescent="0.3">
      <c r="P301" s="15">
        <v>45901</v>
      </c>
      <c r="Q301" t="s">
        <v>1058</v>
      </c>
      <c r="R301" t="s">
        <v>1061</v>
      </c>
      <c r="S301" t="s">
        <v>1049</v>
      </c>
      <c r="T301">
        <v>145000</v>
      </c>
      <c r="U301">
        <v>8</v>
      </c>
      <c r="V301">
        <v>96666.67</v>
      </c>
    </row>
    <row r="302" spans="16:22" x14ac:dyDescent="0.3">
      <c r="P302" s="15">
        <v>45901</v>
      </c>
      <c r="Q302" t="s">
        <v>1062</v>
      </c>
      <c r="R302" t="s">
        <v>1063</v>
      </c>
      <c r="S302" t="s">
        <v>1049</v>
      </c>
      <c r="T302">
        <v>142000</v>
      </c>
      <c r="U302">
        <v>9</v>
      </c>
      <c r="V302">
        <v>106500</v>
      </c>
    </row>
    <row r="303" spans="16:22" x14ac:dyDescent="0.3">
      <c r="P303" s="15">
        <v>45901</v>
      </c>
      <c r="Q303" t="s">
        <v>1062</v>
      </c>
      <c r="R303" t="s">
        <v>1064</v>
      </c>
      <c r="S303" t="s">
        <v>1049</v>
      </c>
      <c r="T303">
        <v>150000</v>
      </c>
      <c r="U303">
        <v>8</v>
      </c>
      <c r="V303">
        <v>100000</v>
      </c>
    </row>
    <row r="304" spans="16:22" x14ac:dyDescent="0.3">
      <c r="P304" s="15">
        <v>45901</v>
      </c>
      <c r="Q304" t="s">
        <v>1062</v>
      </c>
      <c r="R304" t="s">
        <v>1065</v>
      </c>
      <c r="S304" t="s">
        <v>1049</v>
      </c>
      <c r="T304">
        <v>125000</v>
      </c>
      <c r="U304">
        <v>5</v>
      </c>
      <c r="V304">
        <v>52083.33</v>
      </c>
    </row>
    <row r="305" spans="16:22" x14ac:dyDescent="0.3">
      <c r="P305" s="15">
        <v>45931</v>
      </c>
      <c r="Q305" t="s">
        <v>1047</v>
      </c>
      <c r="R305" t="s">
        <v>1048</v>
      </c>
      <c r="S305" t="s">
        <v>1049</v>
      </c>
      <c r="T305">
        <v>185000</v>
      </c>
      <c r="U305">
        <v>39</v>
      </c>
      <c r="V305">
        <v>601250</v>
      </c>
    </row>
    <row r="306" spans="16:22" x14ac:dyDescent="0.3">
      <c r="P306" s="15">
        <v>45931</v>
      </c>
      <c r="Q306" t="s">
        <v>1047</v>
      </c>
      <c r="R306" t="s">
        <v>1050</v>
      </c>
      <c r="S306" t="s">
        <v>1049</v>
      </c>
      <c r="T306">
        <v>105000</v>
      </c>
      <c r="U306">
        <v>23</v>
      </c>
      <c r="V306">
        <v>201250</v>
      </c>
    </row>
    <row r="307" spans="16:22" x14ac:dyDescent="0.3">
      <c r="P307" s="15">
        <v>45931</v>
      </c>
      <c r="Q307" t="s">
        <v>1047</v>
      </c>
      <c r="R307" t="s">
        <v>1051</v>
      </c>
      <c r="S307" t="s">
        <v>1049</v>
      </c>
      <c r="T307">
        <v>240000</v>
      </c>
      <c r="U307">
        <v>6</v>
      </c>
      <c r="V307">
        <v>120000</v>
      </c>
    </row>
    <row r="308" spans="16:22" x14ac:dyDescent="0.3">
      <c r="P308" s="15">
        <v>45931</v>
      </c>
      <c r="Q308" t="s">
        <v>1052</v>
      </c>
      <c r="R308" t="s">
        <v>1053</v>
      </c>
      <c r="S308" t="s">
        <v>1049</v>
      </c>
      <c r="T308">
        <v>125000</v>
      </c>
      <c r="U308">
        <v>21</v>
      </c>
      <c r="V308">
        <v>218750</v>
      </c>
    </row>
    <row r="309" spans="16:22" x14ac:dyDescent="0.3">
      <c r="P309" s="15">
        <v>45931</v>
      </c>
      <c r="Q309" t="s">
        <v>1052</v>
      </c>
      <c r="R309" t="s">
        <v>1054</v>
      </c>
      <c r="S309" t="s">
        <v>1049</v>
      </c>
      <c r="T309">
        <v>112000</v>
      </c>
      <c r="U309">
        <v>9</v>
      </c>
      <c r="V309">
        <v>84000</v>
      </c>
    </row>
    <row r="310" spans="16:22" x14ac:dyDescent="0.3">
      <c r="P310" s="15">
        <v>45931</v>
      </c>
      <c r="Q310" t="s">
        <v>1055</v>
      </c>
      <c r="R310" t="s">
        <v>1056</v>
      </c>
      <c r="S310" t="s">
        <v>1049</v>
      </c>
      <c r="T310">
        <v>145000</v>
      </c>
      <c r="U310">
        <v>10</v>
      </c>
      <c r="V310">
        <v>120833.33</v>
      </c>
    </row>
    <row r="311" spans="16:22" x14ac:dyDescent="0.3">
      <c r="P311" s="15">
        <v>45931</v>
      </c>
      <c r="Q311" t="s">
        <v>1055</v>
      </c>
      <c r="R311" t="s">
        <v>1057</v>
      </c>
      <c r="S311" t="s">
        <v>1049</v>
      </c>
      <c r="T311">
        <v>132000</v>
      </c>
      <c r="U311">
        <v>7</v>
      </c>
      <c r="V311">
        <v>77000</v>
      </c>
    </row>
    <row r="312" spans="16:22" x14ac:dyDescent="0.3">
      <c r="P312" s="15">
        <v>45931</v>
      </c>
      <c r="Q312" t="s">
        <v>1058</v>
      </c>
      <c r="R312" t="s">
        <v>1059</v>
      </c>
      <c r="S312" t="s">
        <v>1049</v>
      </c>
      <c r="T312">
        <v>175000</v>
      </c>
      <c r="U312">
        <v>60</v>
      </c>
      <c r="V312">
        <v>875000</v>
      </c>
    </row>
    <row r="313" spans="16:22" x14ac:dyDescent="0.3">
      <c r="P313" s="15">
        <v>45931</v>
      </c>
      <c r="Q313" t="s">
        <v>1058</v>
      </c>
      <c r="R313" t="s">
        <v>1060</v>
      </c>
      <c r="S313" t="s">
        <v>1049</v>
      </c>
      <c r="T313">
        <v>165000</v>
      </c>
      <c r="U313">
        <v>11</v>
      </c>
      <c r="V313">
        <v>151250</v>
      </c>
    </row>
    <row r="314" spans="16:22" x14ac:dyDescent="0.3">
      <c r="P314" s="15">
        <v>45931</v>
      </c>
      <c r="Q314" t="s">
        <v>1058</v>
      </c>
      <c r="R314" t="s">
        <v>1061</v>
      </c>
      <c r="S314" t="s">
        <v>1049</v>
      </c>
      <c r="T314">
        <v>145000</v>
      </c>
      <c r="U314">
        <v>8</v>
      </c>
      <c r="V314">
        <v>96666.67</v>
      </c>
    </row>
    <row r="315" spans="16:22" x14ac:dyDescent="0.3">
      <c r="P315" s="15">
        <v>45931</v>
      </c>
      <c r="Q315" t="s">
        <v>1062</v>
      </c>
      <c r="R315" t="s">
        <v>1063</v>
      </c>
      <c r="S315" t="s">
        <v>1049</v>
      </c>
      <c r="T315">
        <v>142000</v>
      </c>
      <c r="U315">
        <v>9</v>
      </c>
      <c r="V315">
        <v>106500</v>
      </c>
    </row>
    <row r="316" spans="16:22" x14ac:dyDescent="0.3">
      <c r="P316" s="15">
        <v>45931</v>
      </c>
      <c r="Q316" t="s">
        <v>1062</v>
      </c>
      <c r="R316" t="s">
        <v>1064</v>
      </c>
      <c r="S316" t="s">
        <v>1049</v>
      </c>
      <c r="T316">
        <v>150000</v>
      </c>
      <c r="U316">
        <v>8</v>
      </c>
      <c r="V316">
        <v>100000</v>
      </c>
    </row>
    <row r="317" spans="16:22" x14ac:dyDescent="0.3">
      <c r="P317" s="15">
        <v>45931</v>
      </c>
      <c r="Q317" t="s">
        <v>1062</v>
      </c>
      <c r="R317" t="s">
        <v>1065</v>
      </c>
      <c r="S317" t="s">
        <v>1049</v>
      </c>
      <c r="T317">
        <v>125000</v>
      </c>
      <c r="U317">
        <v>5</v>
      </c>
      <c r="V317">
        <v>52083.33</v>
      </c>
    </row>
    <row r="318" spans="16:22" x14ac:dyDescent="0.3">
      <c r="P318" s="15">
        <v>45962</v>
      </c>
      <c r="Q318" t="s">
        <v>1047</v>
      </c>
      <c r="R318" t="s">
        <v>1048</v>
      </c>
      <c r="S318" t="s">
        <v>1049</v>
      </c>
      <c r="T318">
        <v>185000</v>
      </c>
      <c r="U318">
        <v>39</v>
      </c>
      <c r="V318">
        <v>601250</v>
      </c>
    </row>
    <row r="319" spans="16:22" x14ac:dyDescent="0.3">
      <c r="P319" s="15">
        <v>45962</v>
      </c>
      <c r="Q319" t="s">
        <v>1047</v>
      </c>
      <c r="R319" t="s">
        <v>1050</v>
      </c>
      <c r="S319" t="s">
        <v>1049</v>
      </c>
      <c r="T319">
        <v>105000</v>
      </c>
      <c r="U319">
        <v>23</v>
      </c>
      <c r="V319">
        <v>201250</v>
      </c>
    </row>
    <row r="320" spans="16:22" x14ac:dyDescent="0.3">
      <c r="P320" s="15">
        <v>45962</v>
      </c>
      <c r="Q320" t="s">
        <v>1047</v>
      </c>
      <c r="R320" t="s">
        <v>1051</v>
      </c>
      <c r="S320" t="s">
        <v>1049</v>
      </c>
      <c r="T320">
        <v>240000</v>
      </c>
      <c r="U320">
        <v>6</v>
      </c>
      <c r="V320">
        <v>120000</v>
      </c>
    </row>
    <row r="321" spans="16:22" x14ac:dyDescent="0.3">
      <c r="P321" s="15">
        <v>45962</v>
      </c>
      <c r="Q321" t="s">
        <v>1052</v>
      </c>
      <c r="R321" t="s">
        <v>1053</v>
      </c>
      <c r="S321" t="s">
        <v>1049</v>
      </c>
      <c r="T321">
        <v>125000</v>
      </c>
      <c r="U321">
        <v>21</v>
      </c>
      <c r="V321">
        <v>218750</v>
      </c>
    </row>
    <row r="322" spans="16:22" x14ac:dyDescent="0.3">
      <c r="P322" s="15">
        <v>45962</v>
      </c>
      <c r="Q322" t="s">
        <v>1052</v>
      </c>
      <c r="R322" t="s">
        <v>1054</v>
      </c>
      <c r="S322" t="s">
        <v>1049</v>
      </c>
      <c r="T322">
        <v>112000</v>
      </c>
      <c r="U322">
        <v>9</v>
      </c>
      <c r="V322">
        <v>84000</v>
      </c>
    </row>
    <row r="323" spans="16:22" x14ac:dyDescent="0.3">
      <c r="P323" s="15">
        <v>45962</v>
      </c>
      <c r="Q323" t="s">
        <v>1055</v>
      </c>
      <c r="R323" t="s">
        <v>1056</v>
      </c>
      <c r="S323" t="s">
        <v>1049</v>
      </c>
      <c r="T323">
        <v>145000</v>
      </c>
      <c r="U323">
        <v>10</v>
      </c>
      <c r="V323">
        <v>120833.33</v>
      </c>
    </row>
    <row r="324" spans="16:22" x14ac:dyDescent="0.3">
      <c r="P324" s="15">
        <v>45962</v>
      </c>
      <c r="Q324" t="s">
        <v>1055</v>
      </c>
      <c r="R324" t="s">
        <v>1057</v>
      </c>
      <c r="S324" t="s">
        <v>1049</v>
      </c>
      <c r="T324">
        <v>132000</v>
      </c>
      <c r="U324">
        <v>7</v>
      </c>
      <c r="V324">
        <v>77000</v>
      </c>
    </row>
    <row r="325" spans="16:22" x14ac:dyDescent="0.3">
      <c r="P325" s="15">
        <v>45962</v>
      </c>
      <c r="Q325" t="s">
        <v>1058</v>
      </c>
      <c r="R325" t="s">
        <v>1059</v>
      </c>
      <c r="S325" t="s">
        <v>1049</v>
      </c>
      <c r="T325">
        <v>175000</v>
      </c>
      <c r="U325">
        <v>61</v>
      </c>
      <c r="V325">
        <v>889583.33</v>
      </c>
    </row>
    <row r="326" spans="16:22" x14ac:dyDescent="0.3">
      <c r="P326" s="15">
        <v>45962</v>
      </c>
      <c r="Q326" t="s">
        <v>1058</v>
      </c>
      <c r="R326" t="s">
        <v>1060</v>
      </c>
      <c r="S326" t="s">
        <v>1049</v>
      </c>
      <c r="T326">
        <v>165000</v>
      </c>
      <c r="U326">
        <v>11</v>
      </c>
      <c r="V326">
        <v>151250</v>
      </c>
    </row>
    <row r="327" spans="16:22" x14ac:dyDescent="0.3">
      <c r="P327" s="15">
        <v>45962</v>
      </c>
      <c r="Q327" t="s">
        <v>1058</v>
      </c>
      <c r="R327" t="s">
        <v>1061</v>
      </c>
      <c r="S327" t="s">
        <v>1049</v>
      </c>
      <c r="T327">
        <v>145000</v>
      </c>
      <c r="U327">
        <v>8</v>
      </c>
      <c r="V327">
        <v>96666.67</v>
      </c>
    </row>
    <row r="328" spans="16:22" x14ac:dyDescent="0.3">
      <c r="P328" s="15">
        <v>45962</v>
      </c>
      <c r="Q328" t="s">
        <v>1062</v>
      </c>
      <c r="R328" t="s">
        <v>1063</v>
      </c>
      <c r="S328" t="s">
        <v>1049</v>
      </c>
      <c r="T328">
        <v>142000</v>
      </c>
      <c r="U328">
        <v>9</v>
      </c>
      <c r="V328">
        <v>106500</v>
      </c>
    </row>
    <row r="329" spans="16:22" x14ac:dyDescent="0.3">
      <c r="P329" s="15">
        <v>45962</v>
      </c>
      <c r="Q329" t="s">
        <v>1062</v>
      </c>
      <c r="R329" t="s">
        <v>1064</v>
      </c>
      <c r="S329" t="s">
        <v>1049</v>
      </c>
      <c r="T329">
        <v>150000</v>
      </c>
      <c r="U329">
        <v>8</v>
      </c>
      <c r="V329">
        <v>100000</v>
      </c>
    </row>
    <row r="330" spans="16:22" x14ac:dyDescent="0.3">
      <c r="P330" s="15">
        <v>45962</v>
      </c>
      <c r="Q330" t="s">
        <v>1062</v>
      </c>
      <c r="R330" t="s">
        <v>1065</v>
      </c>
      <c r="S330" t="s">
        <v>1049</v>
      </c>
      <c r="T330">
        <v>125000</v>
      </c>
      <c r="U330">
        <v>5</v>
      </c>
      <c r="V330">
        <v>52083.33</v>
      </c>
    </row>
    <row r="331" spans="16:22" x14ac:dyDescent="0.3">
      <c r="P331" s="15">
        <v>45992</v>
      </c>
      <c r="Q331" t="s">
        <v>1047</v>
      </c>
      <c r="R331" t="s">
        <v>1048</v>
      </c>
      <c r="S331" t="s">
        <v>1049</v>
      </c>
      <c r="T331">
        <v>185000</v>
      </c>
      <c r="U331">
        <v>39</v>
      </c>
      <c r="V331">
        <v>601250</v>
      </c>
    </row>
    <row r="332" spans="16:22" x14ac:dyDescent="0.3">
      <c r="P332" s="15">
        <v>45992</v>
      </c>
      <c r="Q332" t="s">
        <v>1047</v>
      </c>
      <c r="R332" t="s">
        <v>1050</v>
      </c>
      <c r="S332" t="s">
        <v>1049</v>
      </c>
      <c r="T332">
        <v>105000</v>
      </c>
      <c r="U332">
        <v>23</v>
      </c>
      <c r="V332">
        <v>201250</v>
      </c>
    </row>
    <row r="333" spans="16:22" x14ac:dyDescent="0.3">
      <c r="P333" s="15">
        <v>45992</v>
      </c>
      <c r="Q333" t="s">
        <v>1047</v>
      </c>
      <c r="R333" t="s">
        <v>1051</v>
      </c>
      <c r="S333" t="s">
        <v>1049</v>
      </c>
      <c r="T333">
        <v>240000</v>
      </c>
      <c r="U333">
        <v>6</v>
      </c>
      <c r="V333">
        <v>120000</v>
      </c>
    </row>
    <row r="334" spans="16:22" x14ac:dyDescent="0.3">
      <c r="P334" s="15">
        <v>45992</v>
      </c>
      <c r="Q334" t="s">
        <v>1052</v>
      </c>
      <c r="R334" t="s">
        <v>1053</v>
      </c>
      <c r="S334" t="s">
        <v>1049</v>
      </c>
      <c r="T334">
        <v>125000</v>
      </c>
      <c r="U334">
        <v>21</v>
      </c>
      <c r="V334">
        <v>218750</v>
      </c>
    </row>
    <row r="335" spans="16:22" x14ac:dyDescent="0.3">
      <c r="P335" s="15">
        <v>45992</v>
      </c>
      <c r="Q335" t="s">
        <v>1052</v>
      </c>
      <c r="R335" t="s">
        <v>1054</v>
      </c>
      <c r="S335" t="s">
        <v>1049</v>
      </c>
      <c r="T335">
        <v>112000</v>
      </c>
      <c r="U335">
        <v>9</v>
      </c>
      <c r="V335">
        <v>84000</v>
      </c>
    </row>
    <row r="336" spans="16:22" x14ac:dyDescent="0.3">
      <c r="P336" s="15">
        <v>45992</v>
      </c>
      <c r="Q336" t="s">
        <v>1055</v>
      </c>
      <c r="R336" t="s">
        <v>1056</v>
      </c>
      <c r="S336" t="s">
        <v>1049</v>
      </c>
      <c r="T336">
        <v>145000</v>
      </c>
      <c r="U336">
        <v>10</v>
      </c>
      <c r="V336">
        <v>120833.33</v>
      </c>
    </row>
    <row r="337" spans="16:22" x14ac:dyDescent="0.3">
      <c r="P337" s="15">
        <v>45992</v>
      </c>
      <c r="Q337" t="s">
        <v>1055</v>
      </c>
      <c r="R337" t="s">
        <v>1057</v>
      </c>
      <c r="S337" t="s">
        <v>1049</v>
      </c>
      <c r="T337">
        <v>132000</v>
      </c>
      <c r="U337">
        <v>7</v>
      </c>
      <c r="V337">
        <v>77000</v>
      </c>
    </row>
    <row r="338" spans="16:22" x14ac:dyDescent="0.3">
      <c r="P338" s="15">
        <v>45992</v>
      </c>
      <c r="Q338" t="s">
        <v>1058</v>
      </c>
      <c r="R338" t="s">
        <v>1059</v>
      </c>
      <c r="S338" t="s">
        <v>1049</v>
      </c>
      <c r="T338">
        <v>175000</v>
      </c>
      <c r="U338">
        <v>61</v>
      </c>
      <c r="V338">
        <v>889583.33</v>
      </c>
    </row>
    <row r="339" spans="16:22" x14ac:dyDescent="0.3">
      <c r="P339" s="15">
        <v>45992</v>
      </c>
      <c r="Q339" t="s">
        <v>1058</v>
      </c>
      <c r="R339" t="s">
        <v>1060</v>
      </c>
      <c r="S339" t="s">
        <v>1049</v>
      </c>
      <c r="T339">
        <v>165000</v>
      </c>
      <c r="U339">
        <v>11</v>
      </c>
      <c r="V339">
        <v>151250</v>
      </c>
    </row>
    <row r="340" spans="16:22" x14ac:dyDescent="0.3">
      <c r="P340" s="15">
        <v>45992</v>
      </c>
      <c r="Q340" t="s">
        <v>1058</v>
      </c>
      <c r="R340" t="s">
        <v>1061</v>
      </c>
      <c r="S340" t="s">
        <v>1049</v>
      </c>
      <c r="T340">
        <v>145000</v>
      </c>
      <c r="U340">
        <v>8</v>
      </c>
      <c r="V340">
        <v>96666.67</v>
      </c>
    </row>
    <row r="341" spans="16:22" x14ac:dyDescent="0.3">
      <c r="P341" s="15">
        <v>45992</v>
      </c>
      <c r="Q341" t="s">
        <v>1062</v>
      </c>
      <c r="R341" t="s">
        <v>1063</v>
      </c>
      <c r="S341" t="s">
        <v>1049</v>
      </c>
      <c r="T341">
        <v>142000</v>
      </c>
      <c r="U341">
        <v>9</v>
      </c>
      <c r="V341">
        <v>106500</v>
      </c>
    </row>
    <row r="342" spans="16:22" x14ac:dyDescent="0.3">
      <c r="P342" s="15">
        <v>45992</v>
      </c>
      <c r="Q342" t="s">
        <v>1062</v>
      </c>
      <c r="R342" t="s">
        <v>1064</v>
      </c>
      <c r="S342" t="s">
        <v>1049</v>
      </c>
      <c r="T342">
        <v>150000</v>
      </c>
      <c r="U342">
        <v>8</v>
      </c>
      <c r="V342">
        <v>100000</v>
      </c>
    </row>
    <row r="343" spans="16:22" x14ac:dyDescent="0.3">
      <c r="P343" s="15">
        <v>45992</v>
      </c>
      <c r="Q343" t="s">
        <v>1062</v>
      </c>
      <c r="R343" t="s">
        <v>1065</v>
      </c>
      <c r="S343" t="s">
        <v>1049</v>
      </c>
      <c r="T343">
        <v>125000</v>
      </c>
      <c r="U343">
        <v>5</v>
      </c>
      <c r="V343">
        <v>52083.33</v>
      </c>
    </row>
    <row r="344" spans="16:22" x14ac:dyDescent="0.3">
      <c r="P344" s="15">
        <v>46023</v>
      </c>
      <c r="Q344" t="s">
        <v>1047</v>
      </c>
      <c r="R344" t="s">
        <v>1048</v>
      </c>
      <c r="S344" t="s">
        <v>1049</v>
      </c>
      <c r="T344">
        <v>185000</v>
      </c>
      <c r="U344">
        <v>40</v>
      </c>
      <c r="V344">
        <v>616666.67000000004</v>
      </c>
    </row>
    <row r="345" spans="16:22" x14ac:dyDescent="0.3">
      <c r="P345" s="15">
        <v>46023</v>
      </c>
      <c r="Q345" t="s">
        <v>1047</v>
      </c>
      <c r="R345" t="s">
        <v>1050</v>
      </c>
      <c r="S345" t="s">
        <v>1049</v>
      </c>
      <c r="T345">
        <v>105000</v>
      </c>
      <c r="U345">
        <v>24</v>
      </c>
      <c r="V345">
        <v>210000</v>
      </c>
    </row>
    <row r="346" spans="16:22" x14ac:dyDescent="0.3">
      <c r="P346" s="15">
        <v>46023</v>
      </c>
      <c r="Q346" t="s">
        <v>1047</v>
      </c>
      <c r="R346" t="s">
        <v>1051</v>
      </c>
      <c r="S346" t="s">
        <v>1049</v>
      </c>
      <c r="T346">
        <v>240000</v>
      </c>
      <c r="U346">
        <v>7</v>
      </c>
      <c r="V346">
        <v>140000</v>
      </c>
    </row>
    <row r="347" spans="16:22" x14ac:dyDescent="0.3">
      <c r="P347" s="15">
        <v>46023</v>
      </c>
      <c r="Q347" t="s">
        <v>1052</v>
      </c>
      <c r="R347" t="s">
        <v>1053</v>
      </c>
      <c r="S347" t="s">
        <v>1049</v>
      </c>
      <c r="T347">
        <v>125000</v>
      </c>
      <c r="U347">
        <v>22</v>
      </c>
      <c r="V347">
        <v>229166.67</v>
      </c>
    </row>
    <row r="348" spans="16:22" x14ac:dyDescent="0.3">
      <c r="P348" s="15">
        <v>46023</v>
      </c>
      <c r="Q348" t="s">
        <v>1052</v>
      </c>
      <c r="R348" t="s">
        <v>1054</v>
      </c>
      <c r="S348" t="s">
        <v>1049</v>
      </c>
      <c r="T348">
        <v>112000</v>
      </c>
      <c r="U348">
        <v>10</v>
      </c>
      <c r="V348">
        <v>93333.33</v>
      </c>
    </row>
    <row r="349" spans="16:22" x14ac:dyDescent="0.3">
      <c r="P349" s="15">
        <v>46023</v>
      </c>
      <c r="Q349" t="s">
        <v>1055</v>
      </c>
      <c r="R349" t="s">
        <v>1056</v>
      </c>
      <c r="S349" t="s">
        <v>1049</v>
      </c>
      <c r="T349">
        <v>145000</v>
      </c>
      <c r="U349">
        <v>11</v>
      </c>
      <c r="V349">
        <v>132916.67000000001</v>
      </c>
    </row>
    <row r="350" spans="16:22" x14ac:dyDescent="0.3">
      <c r="P350" s="15">
        <v>46023</v>
      </c>
      <c r="Q350" t="s">
        <v>1055</v>
      </c>
      <c r="R350" t="s">
        <v>1057</v>
      </c>
      <c r="S350" t="s">
        <v>1049</v>
      </c>
      <c r="T350">
        <v>132000</v>
      </c>
      <c r="U350">
        <v>8</v>
      </c>
      <c r="V350">
        <v>88000</v>
      </c>
    </row>
    <row r="351" spans="16:22" x14ac:dyDescent="0.3">
      <c r="P351" s="15">
        <v>46023</v>
      </c>
      <c r="Q351" t="s">
        <v>1058</v>
      </c>
      <c r="R351" t="s">
        <v>1059</v>
      </c>
      <c r="S351" t="s">
        <v>1049</v>
      </c>
      <c r="T351">
        <v>175000</v>
      </c>
      <c r="U351">
        <v>62</v>
      </c>
      <c r="V351">
        <v>904166.67</v>
      </c>
    </row>
    <row r="352" spans="16:22" x14ac:dyDescent="0.3">
      <c r="P352" s="15">
        <v>46023</v>
      </c>
      <c r="Q352" t="s">
        <v>1058</v>
      </c>
      <c r="R352" t="s">
        <v>1060</v>
      </c>
      <c r="S352" t="s">
        <v>1049</v>
      </c>
      <c r="T352">
        <v>165000</v>
      </c>
      <c r="U352">
        <v>12</v>
      </c>
      <c r="V352">
        <v>165000</v>
      </c>
    </row>
    <row r="353" spans="16:22" x14ac:dyDescent="0.3">
      <c r="P353" s="15">
        <v>46023</v>
      </c>
      <c r="Q353" t="s">
        <v>1058</v>
      </c>
      <c r="R353" t="s">
        <v>1061</v>
      </c>
      <c r="S353" t="s">
        <v>1049</v>
      </c>
      <c r="T353">
        <v>145000</v>
      </c>
      <c r="U353">
        <v>9</v>
      </c>
      <c r="V353">
        <v>108750</v>
      </c>
    </row>
    <row r="354" spans="16:22" x14ac:dyDescent="0.3">
      <c r="P354" s="15">
        <v>46023</v>
      </c>
      <c r="Q354" t="s">
        <v>1062</v>
      </c>
      <c r="R354" t="s">
        <v>1063</v>
      </c>
      <c r="S354" t="s">
        <v>1049</v>
      </c>
      <c r="T354">
        <v>142000</v>
      </c>
      <c r="U354">
        <v>10</v>
      </c>
      <c r="V354">
        <v>118333.33</v>
      </c>
    </row>
    <row r="355" spans="16:22" x14ac:dyDescent="0.3">
      <c r="P355" s="15">
        <v>46023</v>
      </c>
      <c r="Q355" t="s">
        <v>1062</v>
      </c>
      <c r="R355" t="s">
        <v>1064</v>
      </c>
      <c r="S355" t="s">
        <v>1049</v>
      </c>
      <c r="T355">
        <v>150000</v>
      </c>
      <c r="U355">
        <v>9</v>
      </c>
      <c r="V355">
        <v>112500</v>
      </c>
    </row>
    <row r="356" spans="16:22" x14ac:dyDescent="0.3">
      <c r="P356" s="15">
        <v>46023</v>
      </c>
      <c r="Q356" t="s">
        <v>1062</v>
      </c>
      <c r="R356" t="s">
        <v>1065</v>
      </c>
      <c r="S356" t="s">
        <v>1049</v>
      </c>
      <c r="T356">
        <v>125000</v>
      </c>
      <c r="U356">
        <v>5</v>
      </c>
      <c r="V356">
        <v>52083.33</v>
      </c>
    </row>
    <row r="357" spans="16:22" x14ac:dyDescent="0.3">
      <c r="P357" s="15">
        <v>46054</v>
      </c>
      <c r="Q357" t="s">
        <v>1047</v>
      </c>
      <c r="R357" t="s">
        <v>1048</v>
      </c>
      <c r="S357" t="s">
        <v>1049</v>
      </c>
      <c r="T357">
        <v>185000</v>
      </c>
      <c r="U357">
        <v>40</v>
      </c>
      <c r="V357">
        <v>616666.67000000004</v>
      </c>
    </row>
    <row r="358" spans="16:22" x14ac:dyDescent="0.3">
      <c r="P358" s="15">
        <v>46054</v>
      </c>
      <c r="Q358" t="s">
        <v>1047</v>
      </c>
      <c r="R358" t="s">
        <v>1050</v>
      </c>
      <c r="S358" t="s">
        <v>1049</v>
      </c>
      <c r="T358">
        <v>105000</v>
      </c>
      <c r="U358">
        <v>24</v>
      </c>
      <c r="V358">
        <v>210000</v>
      </c>
    </row>
    <row r="359" spans="16:22" x14ac:dyDescent="0.3">
      <c r="P359" s="15">
        <v>46054</v>
      </c>
      <c r="Q359" t="s">
        <v>1047</v>
      </c>
      <c r="R359" t="s">
        <v>1051</v>
      </c>
      <c r="S359" t="s">
        <v>1049</v>
      </c>
      <c r="T359">
        <v>240000</v>
      </c>
      <c r="U359">
        <v>7</v>
      </c>
      <c r="V359">
        <v>140000</v>
      </c>
    </row>
    <row r="360" spans="16:22" x14ac:dyDescent="0.3">
      <c r="P360" s="15">
        <v>46054</v>
      </c>
      <c r="Q360" t="s">
        <v>1052</v>
      </c>
      <c r="R360" t="s">
        <v>1053</v>
      </c>
      <c r="S360" t="s">
        <v>1049</v>
      </c>
      <c r="T360">
        <v>125000</v>
      </c>
      <c r="U360">
        <v>22</v>
      </c>
      <c r="V360">
        <v>229166.67</v>
      </c>
    </row>
    <row r="361" spans="16:22" x14ac:dyDescent="0.3">
      <c r="P361" s="15">
        <v>46054</v>
      </c>
      <c r="Q361" t="s">
        <v>1052</v>
      </c>
      <c r="R361" t="s">
        <v>1054</v>
      </c>
      <c r="S361" t="s">
        <v>1049</v>
      </c>
      <c r="T361">
        <v>112000</v>
      </c>
      <c r="U361">
        <v>10</v>
      </c>
      <c r="V361">
        <v>93333.33</v>
      </c>
    </row>
    <row r="362" spans="16:22" x14ac:dyDescent="0.3">
      <c r="P362" s="15">
        <v>46054</v>
      </c>
      <c r="Q362" t="s">
        <v>1055</v>
      </c>
      <c r="R362" t="s">
        <v>1056</v>
      </c>
      <c r="S362" t="s">
        <v>1049</v>
      </c>
      <c r="T362">
        <v>145000</v>
      </c>
      <c r="U362">
        <v>11</v>
      </c>
      <c r="V362">
        <v>132916.67000000001</v>
      </c>
    </row>
    <row r="363" spans="16:22" x14ac:dyDescent="0.3">
      <c r="P363" s="15">
        <v>46054</v>
      </c>
      <c r="Q363" t="s">
        <v>1055</v>
      </c>
      <c r="R363" t="s">
        <v>1057</v>
      </c>
      <c r="S363" t="s">
        <v>1049</v>
      </c>
      <c r="T363">
        <v>132000</v>
      </c>
      <c r="U363">
        <v>8</v>
      </c>
      <c r="V363">
        <v>88000</v>
      </c>
    </row>
    <row r="364" spans="16:22" x14ac:dyDescent="0.3">
      <c r="P364" s="15">
        <v>46054</v>
      </c>
      <c r="Q364" t="s">
        <v>1058</v>
      </c>
      <c r="R364" t="s">
        <v>1059</v>
      </c>
      <c r="S364" t="s">
        <v>1049</v>
      </c>
      <c r="T364">
        <v>175000</v>
      </c>
      <c r="U364">
        <v>62</v>
      </c>
      <c r="V364">
        <v>904166.67</v>
      </c>
    </row>
    <row r="365" spans="16:22" x14ac:dyDescent="0.3">
      <c r="P365" s="15">
        <v>46054</v>
      </c>
      <c r="Q365" t="s">
        <v>1058</v>
      </c>
      <c r="R365" t="s">
        <v>1060</v>
      </c>
      <c r="S365" t="s">
        <v>1049</v>
      </c>
      <c r="T365">
        <v>165000</v>
      </c>
      <c r="U365">
        <v>12</v>
      </c>
      <c r="V365">
        <v>165000</v>
      </c>
    </row>
    <row r="366" spans="16:22" x14ac:dyDescent="0.3">
      <c r="P366" s="15">
        <v>46054</v>
      </c>
      <c r="Q366" t="s">
        <v>1058</v>
      </c>
      <c r="R366" t="s">
        <v>1061</v>
      </c>
      <c r="S366" t="s">
        <v>1049</v>
      </c>
      <c r="T366">
        <v>145000</v>
      </c>
      <c r="U366">
        <v>9</v>
      </c>
      <c r="V366">
        <v>108750</v>
      </c>
    </row>
    <row r="367" spans="16:22" x14ac:dyDescent="0.3">
      <c r="P367" s="15">
        <v>46054</v>
      </c>
      <c r="Q367" t="s">
        <v>1062</v>
      </c>
      <c r="R367" t="s">
        <v>1063</v>
      </c>
      <c r="S367" t="s">
        <v>1049</v>
      </c>
      <c r="T367">
        <v>142000</v>
      </c>
      <c r="U367">
        <v>10</v>
      </c>
      <c r="V367">
        <v>118333.33</v>
      </c>
    </row>
    <row r="368" spans="16:22" x14ac:dyDescent="0.3">
      <c r="P368" s="15">
        <v>46054</v>
      </c>
      <c r="Q368" t="s">
        <v>1062</v>
      </c>
      <c r="R368" t="s">
        <v>1064</v>
      </c>
      <c r="S368" t="s">
        <v>1049</v>
      </c>
      <c r="T368">
        <v>150000</v>
      </c>
      <c r="U368">
        <v>9</v>
      </c>
      <c r="V368">
        <v>112500</v>
      </c>
    </row>
    <row r="369" spans="16:22" x14ac:dyDescent="0.3">
      <c r="P369" s="15">
        <v>46054</v>
      </c>
      <c r="Q369" t="s">
        <v>1062</v>
      </c>
      <c r="R369" t="s">
        <v>1065</v>
      </c>
      <c r="S369" t="s">
        <v>1049</v>
      </c>
      <c r="T369">
        <v>125000</v>
      </c>
      <c r="U369">
        <v>5</v>
      </c>
      <c r="V369">
        <v>52083.33</v>
      </c>
    </row>
    <row r="370" spans="16:22" x14ac:dyDescent="0.3">
      <c r="P370" s="15">
        <v>46082</v>
      </c>
      <c r="Q370" t="s">
        <v>1047</v>
      </c>
      <c r="R370" t="s">
        <v>1048</v>
      </c>
      <c r="S370" t="s">
        <v>1049</v>
      </c>
      <c r="T370">
        <v>185000</v>
      </c>
      <c r="U370">
        <v>40</v>
      </c>
      <c r="V370">
        <v>616666.67000000004</v>
      </c>
    </row>
    <row r="371" spans="16:22" x14ac:dyDescent="0.3">
      <c r="P371" s="15">
        <v>46082</v>
      </c>
      <c r="Q371" t="s">
        <v>1047</v>
      </c>
      <c r="R371" t="s">
        <v>1050</v>
      </c>
      <c r="S371" t="s">
        <v>1049</v>
      </c>
      <c r="T371">
        <v>105000</v>
      </c>
      <c r="U371">
        <v>24</v>
      </c>
      <c r="V371">
        <v>210000</v>
      </c>
    </row>
    <row r="372" spans="16:22" x14ac:dyDescent="0.3">
      <c r="P372" s="15">
        <v>46082</v>
      </c>
      <c r="Q372" t="s">
        <v>1047</v>
      </c>
      <c r="R372" t="s">
        <v>1051</v>
      </c>
      <c r="S372" t="s">
        <v>1049</v>
      </c>
      <c r="T372">
        <v>240000</v>
      </c>
      <c r="U372">
        <v>7</v>
      </c>
      <c r="V372">
        <v>140000</v>
      </c>
    </row>
    <row r="373" spans="16:22" x14ac:dyDescent="0.3">
      <c r="P373" s="15">
        <v>46082</v>
      </c>
      <c r="Q373" t="s">
        <v>1052</v>
      </c>
      <c r="R373" t="s">
        <v>1053</v>
      </c>
      <c r="S373" t="s">
        <v>1049</v>
      </c>
      <c r="T373">
        <v>125000</v>
      </c>
      <c r="U373">
        <v>22</v>
      </c>
      <c r="V373">
        <v>229166.67</v>
      </c>
    </row>
    <row r="374" spans="16:22" x14ac:dyDescent="0.3">
      <c r="P374" s="15">
        <v>46082</v>
      </c>
      <c r="Q374" t="s">
        <v>1052</v>
      </c>
      <c r="R374" t="s">
        <v>1054</v>
      </c>
      <c r="S374" t="s">
        <v>1049</v>
      </c>
      <c r="T374">
        <v>112000</v>
      </c>
      <c r="U374">
        <v>10</v>
      </c>
      <c r="V374">
        <v>93333.33</v>
      </c>
    </row>
    <row r="375" spans="16:22" x14ac:dyDescent="0.3">
      <c r="P375" s="15">
        <v>46082</v>
      </c>
      <c r="Q375" t="s">
        <v>1055</v>
      </c>
      <c r="R375" t="s">
        <v>1056</v>
      </c>
      <c r="S375" t="s">
        <v>1049</v>
      </c>
      <c r="T375">
        <v>145000</v>
      </c>
      <c r="U375">
        <v>11</v>
      </c>
      <c r="V375">
        <v>132916.67000000001</v>
      </c>
    </row>
    <row r="376" spans="16:22" x14ac:dyDescent="0.3">
      <c r="P376" s="15">
        <v>46082</v>
      </c>
      <c r="Q376" t="s">
        <v>1055</v>
      </c>
      <c r="R376" t="s">
        <v>1057</v>
      </c>
      <c r="S376" t="s">
        <v>1049</v>
      </c>
      <c r="T376">
        <v>132000</v>
      </c>
      <c r="U376">
        <v>8</v>
      </c>
      <c r="V376">
        <v>88000</v>
      </c>
    </row>
    <row r="377" spans="16:22" x14ac:dyDescent="0.3">
      <c r="P377" s="15">
        <v>46082</v>
      </c>
      <c r="Q377" t="s">
        <v>1058</v>
      </c>
      <c r="R377" t="s">
        <v>1059</v>
      </c>
      <c r="S377" t="s">
        <v>1049</v>
      </c>
      <c r="T377">
        <v>175000</v>
      </c>
      <c r="U377">
        <v>62</v>
      </c>
      <c r="V377">
        <v>904166.67</v>
      </c>
    </row>
    <row r="378" spans="16:22" x14ac:dyDescent="0.3">
      <c r="P378" s="15">
        <v>46082</v>
      </c>
      <c r="Q378" t="s">
        <v>1058</v>
      </c>
      <c r="R378" t="s">
        <v>1060</v>
      </c>
      <c r="S378" t="s">
        <v>1049</v>
      </c>
      <c r="T378">
        <v>165000</v>
      </c>
      <c r="U378">
        <v>12</v>
      </c>
      <c r="V378">
        <v>165000</v>
      </c>
    </row>
    <row r="379" spans="16:22" x14ac:dyDescent="0.3">
      <c r="P379" s="15">
        <v>46082</v>
      </c>
      <c r="Q379" t="s">
        <v>1058</v>
      </c>
      <c r="R379" t="s">
        <v>1061</v>
      </c>
      <c r="S379" t="s">
        <v>1049</v>
      </c>
      <c r="T379">
        <v>145000</v>
      </c>
      <c r="U379">
        <v>9</v>
      </c>
      <c r="V379">
        <v>108750</v>
      </c>
    </row>
    <row r="380" spans="16:22" x14ac:dyDescent="0.3">
      <c r="P380" s="15">
        <v>46082</v>
      </c>
      <c r="Q380" t="s">
        <v>1062</v>
      </c>
      <c r="R380" t="s">
        <v>1063</v>
      </c>
      <c r="S380" t="s">
        <v>1049</v>
      </c>
      <c r="T380">
        <v>142000</v>
      </c>
      <c r="U380">
        <v>10</v>
      </c>
      <c r="V380">
        <v>118333.33</v>
      </c>
    </row>
    <row r="381" spans="16:22" x14ac:dyDescent="0.3">
      <c r="P381" s="15">
        <v>46082</v>
      </c>
      <c r="Q381" t="s">
        <v>1062</v>
      </c>
      <c r="R381" t="s">
        <v>1064</v>
      </c>
      <c r="S381" t="s">
        <v>1049</v>
      </c>
      <c r="T381">
        <v>150000</v>
      </c>
      <c r="U381">
        <v>9</v>
      </c>
      <c r="V381">
        <v>112500</v>
      </c>
    </row>
    <row r="382" spans="16:22" x14ac:dyDescent="0.3">
      <c r="P382" s="15">
        <v>46082</v>
      </c>
      <c r="Q382" t="s">
        <v>1062</v>
      </c>
      <c r="R382" t="s">
        <v>1065</v>
      </c>
      <c r="S382" t="s">
        <v>1049</v>
      </c>
      <c r="T382">
        <v>125000</v>
      </c>
      <c r="U382">
        <v>5</v>
      </c>
      <c r="V382">
        <v>52083.33</v>
      </c>
    </row>
    <row r="383" spans="16:22" x14ac:dyDescent="0.3">
      <c r="P383" s="15">
        <v>46113</v>
      </c>
      <c r="Q383" t="s">
        <v>1047</v>
      </c>
      <c r="R383" t="s">
        <v>1048</v>
      </c>
      <c r="S383" t="s">
        <v>1049</v>
      </c>
      <c r="T383">
        <v>185000</v>
      </c>
      <c r="U383">
        <v>41</v>
      </c>
      <c r="V383">
        <v>632083.32999999996</v>
      </c>
    </row>
    <row r="384" spans="16:22" x14ac:dyDescent="0.3">
      <c r="P384" s="15">
        <v>46113</v>
      </c>
      <c r="Q384" t="s">
        <v>1047</v>
      </c>
      <c r="R384" t="s">
        <v>1050</v>
      </c>
      <c r="S384" t="s">
        <v>1049</v>
      </c>
      <c r="T384">
        <v>105000</v>
      </c>
      <c r="U384">
        <v>24</v>
      </c>
      <c r="V384">
        <v>210000</v>
      </c>
    </row>
    <row r="385" spans="16:22" x14ac:dyDescent="0.3">
      <c r="P385" s="15">
        <v>46113</v>
      </c>
      <c r="Q385" t="s">
        <v>1047</v>
      </c>
      <c r="R385" t="s">
        <v>1051</v>
      </c>
      <c r="S385" t="s">
        <v>1049</v>
      </c>
      <c r="T385">
        <v>240000</v>
      </c>
      <c r="U385">
        <v>7</v>
      </c>
      <c r="V385">
        <v>140000</v>
      </c>
    </row>
    <row r="386" spans="16:22" x14ac:dyDescent="0.3">
      <c r="P386" s="15">
        <v>46113</v>
      </c>
      <c r="Q386" t="s">
        <v>1052</v>
      </c>
      <c r="R386" t="s">
        <v>1053</v>
      </c>
      <c r="S386" t="s">
        <v>1049</v>
      </c>
      <c r="T386">
        <v>125000</v>
      </c>
      <c r="U386">
        <v>22</v>
      </c>
      <c r="V386">
        <v>229166.67</v>
      </c>
    </row>
    <row r="387" spans="16:22" x14ac:dyDescent="0.3">
      <c r="P387" s="15">
        <v>46113</v>
      </c>
      <c r="Q387" t="s">
        <v>1052</v>
      </c>
      <c r="R387" t="s">
        <v>1054</v>
      </c>
      <c r="S387" t="s">
        <v>1049</v>
      </c>
      <c r="T387">
        <v>112000</v>
      </c>
      <c r="U387">
        <v>10</v>
      </c>
      <c r="V387">
        <v>93333.33</v>
      </c>
    </row>
    <row r="388" spans="16:22" x14ac:dyDescent="0.3">
      <c r="P388" s="15">
        <v>46113</v>
      </c>
      <c r="Q388" t="s">
        <v>1055</v>
      </c>
      <c r="R388" t="s">
        <v>1056</v>
      </c>
      <c r="S388" t="s">
        <v>1049</v>
      </c>
      <c r="T388">
        <v>145000</v>
      </c>
      <c r="U388">
        <v>11</v>
      </c>
      <c r="V388">
        <v>132916.67000000001</v>
      </c>
    </row>
    <row r="389" spans="16:22" x14ac:dyDescent="0.3">
      <c r="P389" s="15">
        <v>46113</v>
      </c>
      <c r="Q389" t="s">
        <v>1055</v>
      </c>
      <c r="R389" t="s">
        <v>1057</v>
      </c>
      <c r="S389" t="s">
        <v>1049</v>
      </c>
      <c r="T389">
        <v>132000</v>
      </c>
      <c r="U389">
        <v>8</v>
      </c>
      <c r="V389">
        <v>88000</v>
      </c>
    </row>
    <row r="390" spans="16:22" x14ac:dyDescent="0.3">
      <c r="P390" s="15">
        <v>46113</v>
      </c>
      <c r="Q390" t="s">
        <v>1058</v>
      </c>
      <c r="R390" t="s">
        <v>1059</v>
      </c>
      <c r="S390" t="s">
        <v>1049</v>
      </c>
      <c r="T390">
        <v>175000</v>
      </c>
      <c r="U390">
        <v>63</v>
      </c>
      <c r="V390">
        <v>918750</v>
      </c>
    </row>
    <row r="391" spans="16:22" x14ac:dyDescent="0.3">
      <c r="P391" s="15">
        <v>46113</v>
      </c>
      <c r="Q391" t="s">
        <v>1058</v>
      </c>
      <c r="R391" t="s">
        <v>1060</v>
      </c>
      <c r="S391" t="s">
        <v>1049</v>
      </c>
      <c r="T391">
        <v>165000</v>
      </c>
      <c r="U391">
        <v>12</v>
      </c>
      <c r="V391">
        <v>165000</v>
      </c>
    </row>
    <row r="392" spans="16:22" x14ac:dyDescent="0.3">
      <c r="P392" s="15">
        <v>46113</v>
      </c>
      <c r="Q392" t="s">
        <v>1058</v>
      </c>
      <c r="R392" t="s">
        <v>1061</v>
      </c>
      <c r="S392" t="s">
        <v>1049</v>
      </c>
      <c r="T392">
        <v>145000</v>
      </c>
      <c r="U392">
        <v>9</v>
      </c>
      <c r="V392">
        <v>108750</v>
      </c>
    </row>
    <row r="393" spans="16:22" x14ac:dyDescent="0.3">
      <c r="P393" s="15">
        <v>46113</v>
      </c>
      <c r="Q393" t="s">
        <v>1062</v>
      </c>
      <c r="R393" t="s">
        <v>1063</v>
      </c>
      <c r="S393" t="s">
        <v>1049</v>
      </c>
      <c r="T393">
        <v>142000</v>
      </c>
      <c r="U393">
        <v>10</v>
      </c>
      <c r="V393">
        <v>118333.33</v>
      </c>
    </row>
    <row r="394" spans="16:22" x14ac:dyDescent="0.3">
      <c r="P394" s="15">
        <v>46113</v>
      </c>
      <c r="Q394" t="s">
        <v>1062</v>
      </c>
      <c r="R394" t="s">
        <v>1064</v>
      </c>
      <c r="S394" t="s">
        <v>1049</v>
      </c>
      <c r="T394">
        <v>150000</v>
      </c>
      <c r="U394">
        <v>9</v>
      </c>
      <c r="V394">
        <v>112500</v>
      </c>
    </row>
    <row r="395" spans="16:22" x14ac:dyDescent="0.3">
      <c r="P395" s="15">
        <v>46113</v>
      </c>
      <c r="Q395" t="s">
        <v>1062</v>
      </c>
      <c r="R395" t="s">
        <v>1065</v>
      </c>
      <c r="S395" t="s">
        <v>1049</v>
      </c>
      <c r="T395">
        <v>125000</v>
      </c>
      <c r="U395">
        <v>5</v>
      </c>
      <c r="V395">
        <v>52083.33</v>
      </c>
    </row>
    <row r="396" spans="16:22" x14ac:dyDescent="0.3">
      <c r="P396" s="15">
        <v>46143</v>
      </c>
      <c r="Q396" t="s">
        <v>1047</v>
      </c>
      <c r="R396" t="s">
        <v>1048</v>
      </c>
      <c r="S396" t="s">
        <v>1049</v>
      </c>
      <c r="T396">
        <v>185000</v>
      </c>
      <c r="U396">
        <v>41</v>
      </c>
      <c r="V396">
        <v>632083.32999999996</v>
      </c>
    </row>
    <row r="397" spans="16:22" x14ac:dyDescent="0.3">
      <c r="P397" s="15">
        <v>46143</v>
      </c>
      <c r="Q397" t="s">
        <v>1047</v>
      </c>
      <c r="R397" t="s">
        <v>1050</v>
      </c>
      <c r="S397" t="s">
        <v>1049</v>
      </c>
      <c r="T397">
        <v>105000</v>
      </c>
      <c r="U397">
        <v>25</v>
      </c>
      <c r="V397">
        <v>218750</v>
      </c>
    </row>
    <row r="398" spans="16:22" x14ac:dyDescent="0.3">
      <c r="P398" s="15">
        <v>46143</v>
      </c>
      <c r="Q398" t="s">
        <v>1047</v>
      </c>
      <c r="R398" t="s">
        <v>1051</v>
      </c>
      <c r="S398" t="s">
        <v>1049</v>
      </c>
      <c r="T398">
        <v>240000</v>
      </c>
      <c r="U398">
        <v>7</v>
      </c>
      <c r="V398">
        <v>140000</v>
      </c>
    </row>
    <row r="399" spans="16:22" x14ac:dyDescent="0.3">
      <c r="P399" s="15">
        <v>46143</v>
      </c>
      <c r="Q399" t="s">
        <v>1052</v>
      </c>
      <c r="R399" t="s">
        <v>1053</v>
      </c>
      <c r="S399" t="s">
        <v>1049</v>
      </c>
      <c r="T399">
        <v>125000</v>
      </c>
      <c r="U399">
        <v>22</v>
      </c>
      <c r="V399">
        <v>229166.67</v>
      </c>
    </row>
    <row r="400" spans="16:22" x14ac:dyDescent="0.3">
      <c r="P400" s="15">
        <v>46143</v>
      </c>
      <c r="Q400" t="s">
        <v>1052</v>
      </c>
      <c r="R400" t="s">
        <v>1054</v>
      </c>
      <c r="S400" t="s">
        <v>1049</v>
      </c>
      <c r="T400">
        <v>112000</v>
      </c>
      <c r="U400">
        <v>10</v>
      </c>
      <c r="V400">
        <v>93333.33</v>
      </c>
    </row>
    <row r="401" spans="16:22" x14ac:dyDescent="0.3">
      <c r="P401" s="15">
        <v>46143</v>
      </c>
      <c r="Q401" t="s">
        <v>1055</v>
      </c>
      <c r="R401" t="s">
        <v>1056</v>
      </c>
      <c r="S401" t="s">
        <v>1049</v>
      </c>
      <c r="T401">
        <v>145000</v>
      </c>
      <c r="U401">
        <v>11</v>
      </c>
      <c r="V401">
        <v>132916.67000000001</v>
      </c>
    </row>
    <row r="402" spans="16:22" x14ac:dyDescent="0.3">
      <c r="P402" s="15">
        <v>46143</v>
      </c>
      <c r="Q402" t="s">
        <v>1055</v>
      </c>
      <c r="R402" t="s">
        <v>1057</v>
      </c>
      <c r="S402" t="s">
        <v>1049</v>
      </c>
      <c r="T402">
        <v>132000</v>
      </c>
      <c r="U402">
        <v>8</v>
      </c>
      <c r="V402">
        <v>88000</v>
      </c>
    </row>
    <row r="403" spans="16:22" x14ac:dyDescent="0.3">
      <c r="P403" s="15">
        <v>46143</v>
      </c>
      <c r="Q403" t="s">
        <v>1058</v>
      </c>
      <c r="R403" t="s">
        <v>1059</v>
      </c>
      <c r="S403" t="s">
        <v>1049</v>
      </c>
      <c r="T403">
        <v>175000</v>
      </c>
      <c r="U403">
        <v>63</v>
      </c>
      <c r="V403">
        <v>918750</v>
      </c>
    </row>
    <row r="404" spans="16:22" x14ac:dyDescent="0.3">
      <c r="P404" s="15">
        <v>46143</v>
      </c>
      <c r="Q404" t="s">
        <v>1058</v>
      </c>
      <c r="R404" t="s">
        <v>1060</v>
      </c>
      <c r="S404" t="s">
        <v>1049</v>
      </c>
      <c r="T404">
        <v>165000</v>
      </c>
      <c r="U404">
        <v>12</v>
      </c>
      <c r="V404">
        <v>165000</v>
      </c>
    </row>
    <row r="405" spans="16:22" x14ac:dyDescent="0.3">
      <c r="P405" s="15">
        <v>46143</v>
      </c>
      <c r="Q405" t="s">
        <v>1058</v>
      </c>
      <c r="R405" t="s">
        <v>1061</v>
      </c>
      <c r="S405" t="s">
        <v>1049</v>
      </c>
      <c r="T405">
        <v>145000</v>
      </c>
      <c r="U405">
        <v>9</v>
      </c>
      <c r="V405">
        <v>108750</v>
      </c>
    </row>
    <row r="406" spans="16:22" x14ac:dyDescent="0.3">
      <c r="P406" s="15">
        <v>46143</v>
      </c>
      <c r="Q406" t="s">
        <v>1062</v>
      </c>
      <c r="R406" t="s">
        <v>1063</v>
      </c>
      <c r="S406" t="s">
        <v>1049</v>
      </c>
      <c r="T406">
        <v>142000</v>
      </c>
      <c r="U406">
        <v>10</v>
      </c>
      <c r="V406">
        <v>118333.33</v>
      </c>
    </row>
    <row r="407" spans="16:22" x14ac:dyDescent="0.3">
      <c r="P407" s="15">
        <v>46143</v>
      </c>
      <c r="Q407" t="s">
        <v>1062</v>
      </c>
      <c r="R407" t="s">
        <v>1064</v>
      </c>
      <c r="S407" t="s">
        <v>1049</v>
      </c>
      <c r="T407">
        <v>150000</v>
      </c>
      <c r="U407">
        <v>9</v>
      </c>
      <c r="V407">
        <v>112500</v>
      </c>
    </row>
    <row r="408" spans="16:22" x14ac:dyDescent="0.3">
      <c r="P408" s="15">
        <v>46143</v>
      </c>
      <c r="Q408" t="s">
        <v>1062</v>
      </c>
      <c r="R408" t="s">
        <v>1065</v>
      </c>
      <c r="S408" t="s">
        <v>1049</v>
      </c>
      <c r="T408">
        <v>125000</v>
      </c>
      <c r="U408">
        <v>5</v>
      </c>
      <c r="V408">
        <v>52083.33</v>
      </c>
    </row>
    <row r="409" spans="16:22" x14ac:dyDescent="0.3">
      <c r="P409" s="15">
        <v>46174</v>
      </c>
      <c r="Q409" t="s">
        <v>1047</v>
      </c>
      <c r="R409" t="s">
        <v>1048</v>
      </c>
      <c r="S409" t="s">
        <v>1049</v>
      </c>
      <c r="T409">
        <v>185000</v>
      </c>
      <c r="U409">
        <v>41</v>
      </c>
      <c r="V409">
        <v>632083.32999999996</v>
      </c>
    </row>
    <row r="410" spans="16:22" x14ac:dyDescent="0.3">
      <c r="P410" s="15">
        <v>46174</v>
      </c>
      <c r="Q410" t="s">
        <v>1047</v>
      </c>
      <c r="R410" t="s">
        <v>1050</v>
      </c>
      <c r="S410" t="s">
        <v>1049</v>
      </c>
      <c r="T410">
        <v>105000</v>
      </c>
      <c r="U410">
        <v>25</v>
      </c>
      <c r="V410">
        <v>218750</v>
      </c>
    </row>
    <row r="411" spans="16:22" x14ac:dyDescent="0.3">
      <c r="P411" s="15">
        <v>46174</v>
      </c>
      <c r="Q411" t="s">
        <v>1047</v>
      </c>
      <c r="R411" t="s">
        <v>1051</v>
      </c>
      <c r="S411" t="s">
        <v>1049</v>
      </c>
      <c r="T411">
        <v>240000</v>
      </c>
      <c r="U411">
        <v>7</v>
      </c>
      <c r="V411">
        <v>140000</v>
      </c>
    </row>
    <row r="412" spans="16:22" x14ac:dyDescent="0.3">
      <c r="P412" s="15">
        <v>46174</v>
      </c>
      <c r="Q412" t="s">
        <v>1052</v>
      </c>
      <c r="R412" t="s">
        <v>1053</v>
      </c>
      <c r="S412" t="s">
        <v>1049</v>
      </c>
      <c r="T412">
        <v>125000</v>
      </c>
      <c r="U412">
        <v>22</v>
      </c>
      <c r="V412">
        <v>229166.67</v>
      </c>
    </row>
    <row r="413" spans="16:22" x14ac:dyDescent="0.3">
      <c r="P413" s="15">
        <v>46174</v>
      </c>
      <c r="Q413" t="s">
        <v>1052</v>
      </c>
      <c r="R413" t="s">
        <v>1054</v>
      </c>
      <c r="S413" t="s">
        <v>1049</v>
      </c>
      <c r="T413">
        <v>112000</v>
      </c>
      <c r="U413">
        <v>10</v>
      </c>
      <c r="V413">
        <v>93333.33</v>
      </c>
    </row>
    <row r="414" spans="16:22" x14ac:dyDescent="0.3">
      <c r="P414" s="15">
        <v>46174</v>
      </c>
      <c r="Q414" t="s">
        <v>1055</v>
      </c>
      <c r="R414" t="s">
        <v>1056</v>
      </c>
      <c r="S414" t="s">
        <v>1049</v>
      </c>
      <c r="T414">
        <v>145000</v>
      </c>
      <c r="U414">
        <v>11</v>
      </c>
      <c r="V414">
        <v>132916.67000000001</v>
      </c>
    </row>
    <row r="415" spans="16:22" x14ac:dyDescent="0.3">
      <c r="P415" s="15">
        <v>46174</v>
      </c>
      <c r="Q415" t="s">
        <v>1055</v>
      </c>
      <c r="R415" t="s">
        <v>1057</v>
      </c>
      <c r="S415" t="s">
        <v>1049</v>
      </c>
      <c r="T415">
        <v>132000</v>
      </c>
      <c r="U415">
        <v>8</v>
      </c>
      <c r="V415">
        <v>88000</v>
      </c>
    </row>
    <row r="416" spans="16:22" x14ac:dyDescent="0.3">
      <c r="P416" s="15">
        <v>46174</v>
      </c>
      <c r="Q416" t="s">
        <v>1058</v>
      </c>
      <c r="R416" t="s">
        <v>1059</v>
      </c>
      <c r="S416" t="s">
        <v>1049</v>
      </c>
      <c r="T416">
        <v>175000</v>
      </c>
      <c r="U416">
        <v>64</v>
      </c>
      <c r="V416">
        <v>933333.33</v>
      </c>
    </row>
    <row r="417" spans="16:22" x14ac:dyDescent="0.3">
      <c r="P417" s="15">
        <v>46174</v>
      </c>
      <c r="Q417" t="s">
        <v>1058</v>
      </c>
      <c r="R417" t="s">
        <v>1060</v>
      </c>
      <c r="S417" t="s">
        <v>1049</v>
      </c>
      <c r="T417">
        <v>165000</v>
      </c>
      <c r="U417">
        <v>12</v>
      </c>
      <c r="V417">
        <v>165000</v>
      </c>
    </row>
    <row r="418" spans="16:22" x14ac:dyDescent="0.3">
      <c r="P418" s="15">
        <v>46174</v>
      </c>
      <c r="Q418" t="s">
        <v>1058</v>
      </c>
      <c r="R418" t="s">
        <v>1061</v>
      </c>
      <c r="S418" t="s">
        <v>1049</v>
      </c>
      <c r="T418">
        <v>145000</v>
      </c>
      <c r="U418">
        <v>9</v>
      </c>
      <c r="V418">
        <v>108750</v>
      </c>
    </row>
    <row r="419" spans="16:22" x14ac:dyDescent="0.3">
      <c r="P419" s="15">
        <v>46174</v>
      </c>
      <c r="Q419" t="s">
        <v>1062</v>
      </c>
      <c r="R419" t="s">
        <v>1063</v>
      </c>
      <c r="S419" t="s">
        <v>1049</v>
      </c>
      <c r="T419">
        <v>142000</v>
      </c>
      <c r="U419">
        <v>10</v>
      </c>
      <c r="V419">
        <v>118333.33</v>
      </c>
    </row>
    <row r="420" spans="16:22" x14ac:dyDescent="0.3">
      <c r="P420" s="15">
        <v>46174</v>
      </c>
      <c r="Q420" t="s">
        <v>1062</v>
      </c>
      <c r="R420" t="s">
        <v>1064</v>
      </c>
      <c r="S420" t="s">
        <v>1049</v>
      </c>
      <c r="T420">
        <v>150000</v>
      </c>
      <c r="U420">
        <v>9</v>
      </c>
      <c r="V420">
        <v>112500</v>
      </c>
    </row>
    <row r="421" spans="16:22" x14ac:dyDescent="0.3">
      <c r="P421" s="15">
        <v>46174</v>
      </c>
      <c r="Q421" t="s">
        <v>1062</v>
      </c>
      <c r="R421" t="s">
        <v>1065</v>
      </c>
      <c r="S421" t="s">
        <v>1049</v>
      </c>
      <c r="T421">
        <v>125000</v>
      </c>
      <c r="U421">
        <v>5</v>
      </c>
      <c r="V421">
        <v>52083.33</v>
      </c>
    </row>
    <row r="422" spans="16:22" x14ac:dyDescent="0.3">
      <c r="P422" s="15">
        <v>46204</v>
      </c>
      <c r="Q422" t="s">
        <v>1047</v>
      </c>
      <c r="R422" t="s">
        <v>1048</v>
      </c>
      <c r="S422" t="s">
        <v>1049</v>
      </c>
      <c r="T422">
        <v>185000</v>
      </c>
      <c r="U422">
        <v>42</v>
      </c>
      <c r="V422">
        <v>647500</v>
      </c>
    </row>
    <row r="423" spans="16:22" x14ac:dyDescent="0.3">
      <c r="P423" s="15">
        <v>46204</v>
      </c>
      <c r="Q423" t="s">
        <v>1047</v>
      </c>
      <c r="R423" t="s">
        <v>1050</v>
      </c>
      <c r="S423" t="s">
        <v>1049</v>
      </c>
      <c r="T423">
        <v>105000</v>
      </c>
      <c r="U423">
        <v>25</v>
      </c>
      <c r="V423">
        <v>218750</v>
      </c>
    </row>
    <row r="424" spans="16:22" x14ac:dyDescent="0.3">
      <c r="P424" s="15">
        <v>46204</v>
      </c>
      <c r="Q424" t="s">
        <v>1047</v>
      </c>
      <c r="R424" t="s">
        <v>1051</v>
      </c>
      <c r="S424" t="s">
        <v>1049</v>
      </c>
      <c r="T424">
        <v>240000</v>
      </c>
      <c r="U424">
        <v>7</v>
      </c>
      <c r="V424">
        <v>140000</v>
      </c>
    </row>
    <row r="425" spans="16:22" x14ac:dyDescent="0.3">
      <c r="P425" s="15">
        <v>46204</v>
      </c>
      <c r="Q425" t="s">
        <v>1052</v>
      </c>
      <c r="R425" t="s">
        <v>1053</v>
      </c>
      <c r="S425" t="s">
        <v>1049</v>
      </c>
      <c r="T425">
        <v>125000</v>
      </c>
      <c r="U425">
        <v>23</v>
      </c>
      <c r="V425">
        <v>239583.33</v>
      </c>
    </row>
    <row r="426" spans="16:22" x14ac:dyDescent="0.3">
      <c r="P426" s="15">
        <v>46204</v>
      </c>
      <c r="Q426" t="s">
        <v>1052</v>
      </c>
      <c r="R426" t="s">
        <v>1054</v>
      </c>
      <c r="S426" t="s">
        <v>1049</v>
      </c>
      <c r="T426">
        <v>112000</v>
      </c>
      <c r="U426">
        <v>10</v>
      </c>
      <c r="V426">
        <v>93333.33</v>
      </c>
    </row>
    <row r="427" spans="16:22" x14ac:dyDescent="0.3">
      <c r="P427" s="15">
        <v>46204</v>
      </c>
      <c r="Q427" t="s">
        <v>1055</v>
      </c>
      <c r="R427" t="s">
        <v>1056</v>
      </c>
      <c r="S427" t="s">
        <v>1049</v>
      </c>
      <c r="T427">
        <v>145000</v>
      </c>
      <c r="U427">
        <v>11</v>
      </c>
      <c r="V427">
        <v>132916.67000000001</v>
      </c>
    </row>
    <row r="428" spans="16:22" x14ac:dyDescent="0.3">
      <c r="P428" s="15">
        <v>46204</v>
      </c>
      <c r="Q428" t="s">
        <v>1055</v>
      </c>
      <c r="R428" t="s">
        <v>1057</v>
      </c>
      <c r="S428" t="s">
        <v>1049</v>
      </c>
      <c r="T428">
        <v>132000</v>
      </c>
      <c r="U428">
        <v>8</v>
      </c>
      <c r="V428">
        <v>88000</v>
      </c>
    </row>
    <row r="429" spans="16:22" x14ac:dyDescent="0.3">
      <c r="P429" s="15">
        <v>46204</v>
      </c>
      <c r="Q429" t="s">
        <v>1058</v>
      </c>
      <c r="R429" t="s">
        <v>1059</v>
      </c>
      <c r="S429" t="s">
        <v>1049</v>
      </c>
      <c r="T429">
        <v>175000</v>
      </c>
      <c r="U429">
        <v>64</v>
      </c>
      <c r="V429">
        <v>933333.33</v>
      </c>
    </row>
    <row r="430" spans="16:22" x14ac:dyDescent="0.3">
      <c r="P430" s="15">
        <v>46204</v>
      </c>
      <c r="Q430" t="s">
        <v>1058</v>
      </c>
      <c r="R430" t="s">
        <v>1060</v>
      </c>
      <c r="S430" t="s">
        <v>1049</v>
      </c>
      <c r="T430">
        <v>165000</v>
      </c>
      <c r="U430">
        <v>12</v>
      </c>
      <c r="V430">
        <v>165000</v>
      </c>
    </row>
    <row r="431" spans="16:22" x14ac:dyDescent="0.3">
      <c r="P431" s="15">
        <v>46204</v>
      </c>
      <c r="Q431" t="s">
        <v>1058</v>
      </c>
      <c r="R431" t="s">
        <v>1061</v>
      </c>
      <c r="S431" t="s">
        <v>1049</v>
      </c>
      <c r="T431">
        <v>145000</v>
      </c>
      <c r="U431">
        <v>9</v>
      </c>
      <c r="V431">
        <v>108750</v>
      </c>
    </row>
    <row r="432" spans="16:22" x14ac:dyDescent="0.3">
      <c r="P432" s="15">
        <v>46204</v>
      </c>
      <c r="Q432" t="s">
        <v>1062</v>
      </c>
      <c r="R432" t="s">
        <v>1063</v>
      </c>
      <c r="S432" t="s">
        <v>1049</v>
      </c>
      <c r="T432">
        <v>142000</v>
      </c>
      <c r="U432">
        <v>10</v>
      </c>
      <c r="V432">
        <v>118333.33</v>
      </c>
    </row>
    <row r="433" spans="16:22" x14ac:dyDescent="0.3">
      <c r="P433" s="15">
        <v>46204</v>
      </c>
      <c r="Q433" t="s">
        <v>1062</v>
      </c>
      <c r="R433" t="s">
        <v>1064</v>
      </c>
      <c r="S433" t="s">
        <v>1049</v>
      </c>
      <c r="T433">
        <v>150000</v>
      </c>
      <c r="U433">
        <v>9</v>
      </c>
      <c r="V433">
        <v>112500</v>
      </c>
    </row>
    <row r="434" spans="16:22" x14ac:dyDescent="0.3">
      <c r="P434" s="15">
        <v>46204</v>
      </c>
      <c r="Q434" t="s">
        <v>1062</v>
      </c>
      <c r="R434" t="s">
        <v>1065</v>
      </c>
      <c r="S434" t="s">
        <v>1049</v>
      </c>
      <c r="T434">
        <v>125000</v>
      </c>
      <c r="U434">
        <v>5</v>
      </c>
      <c r="V434">
        <v>52083.33</v>
      </c>
    </row>
    <row r="435" spans="16:22" x14ac:dyDescent="0.3">
      <c r="P435" s="15">
        <v>46235</v>
      </c>
      <c r="Q435" t="s">
        <v>1047</v>
      </c>
      <c r="R435" t="s">
        <v>1048</v>
      </c>
      <c r="S435" t="s">
        <v>1049</v>
      </c>
      <c r="T435">
        <v>185000</v>
      </c>
      <c r="U435">
        <v>41</v>
      </c>
      <c r="V435">
        <v>632083.32999999996</v>
      </c>
    </row>
    <row r="436" spans="16:22" x14ac:dyDescent="0.3">
      <c r="P436" s="15">
        <v>46235</v>
      </c>
      <c r="Q436" t="s">
        <v>1047</v>
      </c>
      <c r="R436" t="s">
        <v>1050</v>
      </c>
      <c r="S436" t="s">
        <v>1049</v>
      </c>
      <c r="T436">
        <v>105000</v>
      </c>
      <c r="U436">
        <v>24</v>
      </c>
      <c r="V436">
        <v>210000</v>
      </c>
    </row>
    <row r="437" spans="16:22" x14ac:dyDescent="0.3">
      <c r="P437" s="15">
        <v>46235</v>
      </c>
      <c r="Q437" t="s">
        <v>1047</v>
      </c>
      <c r="R437" t="s">
        <v>1051</v>
      </c>
      <c r="S437" t="s">
        <v>1049</v>
      </c>
      <c r="T437">
        <v>240000</v>
      </c>
      <c r="U437">
        <v>6</v>
      </c>
      <c r="V437">
        <v>120000</v>
      </c>
    </row>
    <row r="438" spans="16:22" x14ac:dyDescent="0.3">
      <c r="P438" s="15">
        <v>46235</v>
      </c>
      <c r="Q438" t="s">
        <v>1052</v>
      </c>
      <c r="R438" t="s">
        <v>1053</v>
      </c>
      <c r="S438" t="s">
        <v>1049</v>
      </c>
      <c r="T438">
        <v>125000</v>
      </c>
      <c r="U438">
        <v>22</v>
      </c>
      <c r="V438">
        <v>229166.67</v>
      </c>
    </row>
    <row r="439" spans="16:22" x14ac:dyDescent="0.3">
      <c r="P439" s="15">
        <v>46235</v>
      </c>
      <c r="Q439" t="s">
        <v>1052</v>
      </c>
      <c r="R439" t="s">
        <v>1054</v>
      </c>
      <c r="S439" t="s">
        <v>1049</v>
      </c>
      <c r="T439">
        <v>112000</v>
      </c>
      <c r="U439">
        <v>9</v>
      </c>
      <c r="V439">
        <v>84000</v>
      </c>
    </row>
    <row r="440" spans="16:22" x14ac:dyDescent="0.3">
      <c r="P440" s="15">
        <v>46235</v>
      </c>
      <c r="Q440" t="s">
        <v>1055</v>
      </c>
      <c r="R440" t="s">
        <v>1056</v>
      </c>
      <c r="S440" t="s">
        <v>1049</v>
      </c>
      <c r="T440">
        <v>145000</v>
      </c>
      <c r="U440">
        <v>10</v>
      </c>
      <c r="V440">
        <v>120833.33</v>
      </c>
    </row>
    <row r="441" spans="16:22" x14ac:dyDescent="0.3">
      <c r="P441" s="15">
        <v>46235</v>
      </c>
      <c r="Q441" t="s">
        <v>1055</v>
      </c>
      <c r="R441" t="s">
        <v>1057</v>
      </c>
      <c r="S441" t="s">
        <v>1049</v>
      </c>
      <c r="T441">
        <v>132000</v>
      </c>
      <c r="U441">
        <v>7</v>
      </c>
      <c r="V441">
        <v>77000</v>
      </c>
    </row>
    <row r="442" spans="16:22" x14ac:dyDescent="0.3">
      <c r="P442" s="15">
        <v>46235</v>
      </c>
      <c r="Q442" t="s">
        <v>1058</v>
      </c>
      <c r="R442" t="s">
        <v>1059</v>
      </c>
      <c r="S442" t="s">
        <v>1049</v>
      </c>
      <c r="T442">
        <v>175000</v>
      </c>
      <c r="U442">
        <v>63</v>
      </c>
      <c r="V442">
        <v>918750</v>
      </c>
    </row>
    <row r="443" spans="16:22" x14ac:dyDescent="0.3">
      <c r="P443" s="15">
        <v>46235</v>
      </c>
      <c r="Q443" t="s">
        <v>1058</v>
      </c>
      <c r="R443" t="s">
        <v>1060</v>
      </c>
      <c r="S443" t="s">
        <v>1049</v>
      </c>
      <c r="T443">
        <v>165000</v>
      </c>
      <c r="U443">
        <v>11</v>
      </c>
      <c r="V443">
        <v>151250</v>
      </c>
    </row>
    <row r="444" spans="16:22" x14ac:dyDescent="0.3">
      <c r="P444" s="15">
        <v>46235</v>
      </c>
      <c r="Q444" t="s">
        <v>1058</v>
      </c>
      <c r="R444" t="s">
        <v>1061</v>
      </c>
      <c r="S444" t="s">
        <v>1049</v>
      </c>
      <c r="T444">
        <v>145000</v>
      </c>
      <c r="U444">
        <v>8</v>
      </c>
      <c r="V444">
        <v>96666.67</v>
      </c>
    </row>
    <row r="445" spans="16:22" x14ac:dyDescent="0.3">
      <c r="P445" s="15">
        <v>46235</v>
      </c>
      <c r="Q445" t="s">
        <v>1062</v>
      </c>
      <c r="R445" t="s">
        <v>1063</v>
      </c>
      <c r="S445" t="s">
        <v>1049</v>
      </c>
      <c r="T445">
        <v>142000</v>
      </c>
      <c r="U445">
        <v>9</v>
      </c>
      <c r="V445">
        <v>106500</v>
      </c>
    </row>
    <row r="446" spans="16:22" x14ac:dyDescent="0.3">
      <c r="P446" s="15">
        <v>46235</v>
      </c>
      <c r="Q446" t="s">
        <v>1062</v>
      </c>
      <c r="R446" t="s">
        <v>1064</v>
      </c>
      <c r="S446" t="s">
        <v>1049</v>
      </c>
      <c r="T446">
        <v>150000</v>
      </c>
      <c r="U446">
        <v>8</v>
      </c>
      <c r="V446">
        <v>100000</v>
      </c>
    </row>
    <row r="447" spans="16:22" x14ac:dyDescent="0.3">
      <c r="P447" s="15">
        <v>46235</v>
      </c>
      <c r="Q447" t="s">
        <v>1062</v>
      </c>
      <c r="R447" t="s">
        <v>1065</v>
      </c>
      <c r="S447" t="s">
        <v>1049</v>
      </c>
      <c r="T447">
        <v>125000</v>
      </c>
      <c r="U447">
        <v>5</v>
      </c>
      <c r="V447">
        <v>52083.33</v>
      </c>
    </row>
    <row r="448" spans="16:22" x14ac:dyDescent="0.3">
      <c r="P448" s="15">
        <v>46266</v>
      </c>
      <c r="Q448" t="s">
        <v>1047</v>
      </c>
      <c r="R448" t="s">
        <v>1048</v>
      </c>
      <c r="S448" t="s">
        <v>1049</v>
      </c>
      <c r="T448">
        <v>185000</v>
      </c>
      <c r="U448">
        <v>41</v>
      </c>
      <c r="V448">
        <v>632083.32999999996</v>
      </c>
    </row>
    <row r="449" spans="16:22" x14ac:dyDescent="0.3">
      <c r="P449" s="15">
        <v>46266</v>
      </c>
      <c r="Q449" t="s">
        <v>1047</v>
      </c>
      <c r="R449" t="s">
        <v>1050</v>
      </c>
      <c r="S449" t="s">
        <v>1049</v>
      </c>
      <c r="T449">
        <v>105000</v>
      </c>
      <c r="U449">
        <v>25</v>
      </c>
      <c r="V449">
        <v>218750</v>
      </c>
    </row>
    <row r="450" spans="16:22" x14ac:dyDescent="0.3">
      <c r="P450" s="15">
        <v>46266</v>
      </c>
      <c r="Q450" t="s">
        <v>1047</v>
      </c>
      <c r="R450" t="s">
        <v>1051</v>
      </c>
      <c r="S450" t="s">
        <v>1049</v>
      </c>
      <c r="T450">
        <v>240000</v>
      </c>
      <c r="U450">
        <v>6</v>
      </c>
      <c r="V450">
        <v>120000</v>
      </c>
    </row>
    <row r="451" spans="16:22" x14ac:dyDescent="0.3">
      <c r="P451" s="15">
        <v>46266</v>
      </c>
      <c r="Q451" t="s">
        <v>1052</v>
      </c>
      <c r="R451" t="s">
        <v>1053</v>
      </c>
      <c r="S451" t="s">
        <v>1049</v>
      </c>
      <c r="T451">
        <v>125000</v>
      </c>
      <c r="U451">
        <v>22</v>
      </c>
      <c r="V451">
        <v>229166.67</v>
      </c>
    </row>
    <row r="452" spans="16:22" x14ac:dyDescent="0.3">
      <c r="P452" s="15">
        <v>46266</v>
      </c>
      <c r="Q452" t="s">
        <v>1052</v>
      </c>
      <c r="R452" t="s">
        <v>1054</v>
      </c>
      <c r="S452" t="s">
        <v>1049</v>
      </c>
      <c r="T452">
        <v>112000</v>
      </c>
      <c r="U452">
        <v>9</v>
      </c>
      <c r="V452">
        <v>84000</v>
      </c>
    </row>
    <row r="453" spans="16:22" x14ac:dyDescent="0.3">
      <c r="P453" s="15">
        <v>46266</v>
      </c>
      <c r="Q453" t="s">
        <v>1055</v>
      </c>
      <c r="R453" t="s">
        <v>1056</v>
      </c>
      <c r="S453" t="s">
        <v>1049</v>
      </c>
      <c r="T453">
        <v>145000</v>
      </c>
      <c r="U453">
        <v>10</v>
      </c>
      <c r="V453">
        <v>120833.33</v>
      </c>
    </row>
    <row r="454" spans="16:22" x14ac:dyDescent="0.3">
      <c r="P454" s="15">
        <v>46266</v>
      </c>
      <c r="Q454" t="s">
        <v>1055</v>
      </c>
      <c r="R454" t="s">
        <v>1057</v>
      </c>
      <c r="S454" t="s">
        <v>1049</v>
      </c>
      <c r="T454">
        <v>132000</v>
      </c>
      <c r="U454">
        <v>7</v>
      </c>
      <c r="V454">
        <v>77000</v>
      </c>
    </row>
    <row r="455" spans="16:22" x14ac:dyDescent="0.3">
      <c r="P455" s="15">
        <v>46266</v>
      </c>
      <c r="Q455" t="s">
        <v>1058</v>
      </c>
      <c r="R455" t="s">
        <v>1059</v>
      </c>
      <c r="S455" t="s">
        <v>1049</v>
      </c>
      <c r="T455">
        <v>175000</v>
      </c>
      <c r="U455">
        <v>64</v>
      </c>
      <c r="V455">
        <v>933333.33</v>
      </c>
    </row>
    <row r="456" spans="16:22" x14ac:dyDescent="0.3">
      <c r="P456" s="15">
        <v>46266</v>
      </c>
      <c r="Q456" t="s">
        <v>1058</v>
      </c>
      <c r="R456" t="s">
        <v>1060</v>
      </c>
      <c r="S456" t="s">
        <v>1049</v>
      </c>
      <c r="T456">
        <v>165000</v>
      </c>
      <c r="U456">
        <v>11</v>
      </c>
      <c r="V456">
        <v>151250</v>
      </c>
    </row>
    <row r="457" spans="16:22" x14ac:dyDescent="0.3">
      <c r="P457" s="15">
        <v>46266</v>
      </c>
      <c r="Q457" t="s">
        <v>1058</v>
      </c>
      <c r="R457" t="s">
        <v>1061</v>
      </c>
      <c r="S457" t="s">
        <v>1049</v>
      </c>
      <c r="T457">
        <v>145000</v>
      </c>
      <c r="U457">
        <v>8</v>
      </c>
      <c r="V457">
        <v>96666.67</v>
      </c>
    </row>
    <row r="458" spans="16:22" x14ac:dyDescent="0.3">
      <c r="P458" s="15">
        <v>46266</v>
      </c>
      <c r="Q458" t="s">
        <v>1062</v>
      </c>
      <c r="R458" t="s">
        <v>1063</v>
      </c>
      <c r="S458" t="s">
        <v>1049</v>
      </c>
      <c r="T458">
        <v>142000</v>
      </c>
      <c r="U458">
        <v>9</v>
      </c>
      <c r="V458">
        <v>106500</v>
      </c>
    </row>
    <row r="459" spans="16:22" x14ac:dyDescent="0.3">
      <c r="P459" s="15">
        <v>46266</v>
      </c>
      <c r="Q459" t="s">
        <v>1062</v>
      </c>
      <c r="R459" t="s">
        <v>1064</v>
      </c>
      <c r="S459" t="s">
        <v>1049</v>
      </c>
      <c r="T459">
        <v>150000</v>
      </c>
      <c r="U459">
        <v>8</v>
      </c>
      <c r="V459">
        <v>100000</v>
      </c>
    </row>
    <row r="460" spans="16:22" x14ac:dyDescent="0.3">
      <c r="P460" s="15">
        <v>46266</v>
      </c>
      <c r="Q460" t="s">
        <v>1062</v>
      </c>
      <c r="R460" t="s">
        <v>1065</v>
      </c>
      <c r="S460" t="s">
        <v>1049</v>
      </c>
      <c r="T460">
        <v>125000</v>
      </c>
      <c r="U460">
        <v>5</v>
      </c>
      <c r="V460">
        <v>52083.33</v>
      </c>
    </row>
    <row r="461" spans="16:22" x14ac:dyDescent="0.3">
      <c r="P461" s="15">
        <v>46296</v>
      </c>
      <c r="Q461" t="s">
        <v>1047</v>
      </c>
      <c r="R461" t="s">
        <v>1048</v>
      </c>
      <c r="S461" t="s">
        <v>1049</v>
      </c>
      <c r="T461">
        <v>185000</v>
      </c>
      <c r="U461">
        <v>41</v>
      </c>
      <c r="V461">
        <v>632083.32999999996</v>
      </c>
    </row>
    <row r="462" spans="16:22" x14ac:dyDescent="0.3">
      <c r="P462" s="15">
        <v>46296</v>
      </c>
      <c r="Q462" t="s">
        <v>1047</v>
      </c>
      <c r="R462" t="s">
        <v>1050</v>
      </c>
      <c r="S462" t="s">
        <v>1049</v>
      </c>
      <c r="T462">
        <v>105000</v>
      </c>
      <c r="U462">
        <v>24</v>
      </c>
      <c r="V462">
        <v>210000</v>
      </c>
    </row>
    <row r="463" spans="16:22" x14ac:dyDescent="0.3">
      <c r="P463" s="15">
        <v>46296</v>
      </c>
      <c r="Q463" t="s">
        <v>1047</v>
      </c>
      <c r="R463" t="s">
        <v>1051</v>
      </c>
      <c r="S463" t="s">
        <v>1049</v>
      </c>
      <c r="T463">
        <v>240000</v>
      </c>
      <c r="U463">
        <v>5</v>
      </c>
      <c r="V463">
        <v>100000</v>
      </c>
    </row>
    <row r="464" spans="16:22" x14ac:dyDescent="0.3">
      <c r="P464" s="15">
        <v>46296</v>
      </c>
      <c r="Q464" t="s">
        <v>1052</v>
      </c>
      <c r="R464" t="s">
        <v>1053</v>
      </c>
      <c r="S464" t="s">
        <v>1049</v>
      </c>
      <c r="T464">
        <v>125000</v>
      </c>
      <c r="U464">
        <v>21</v>
      </c>
      <c r="V464">
        <v>218750</v>
      </c>
    </row>
    <row r="465" spans="16:22" x14ac:dyDescent="0.3">
      <c r="P465" s="15">
        <v>46296</v>
      </c>
      <c r="Q465" t="s">
        <v>1052</v>
      </c>
      <c r="R465" t="s">
        <v>1054</v>
      </c>
      <c r="S465" t="s">
        <v>1049</v>
      </c>
      <c r="T465">
        <v>112000</v>
      </c>
      <c r="U465">
        <v>8</v>
      </c>
      <c r="V465">
        <v>74666.67</v>
      </c>
    </row>
    <row r="466" spans="16:22" x14ac:dyDescent="0.3">
      <c r="P466" s="15">
        <v>46296</v>
      </c>
      <c r="Q466" t="s">
        <v>1055</v>
      </c>
      <c r="R466" t="s">
        <v>1056</v>
      </c>
      <c r="S466" t="s">
        <v>1049</v>
      </c>
      <c r="T466">
        <v>145000</v>
      </c>
      <c r="U466">
        <v>9</v>
      </c>
      <c r="V466">
        <v>108750</v>
      </c>
    </row>
    <row r="467" spans="16:22" x14ac:dyDescent="0.3">
      <c r="P467" s="15">
        <v>46296</v>
      </c>
      <c r="Q467" t="s">
        <v>1055</v>
      </c>
      <c r="R467" t="s">
        <v>1057</v>
      </c>
      <c r="S467" t="s">
        <v>1049</v>
      </c>
      <c r="T467">
        <v>132000</v>
      </c>
      <c r="U467">
        <v>6</v>
      </c>
      <c r="V467">
        <v>66000</v>
      </c>
    </row>
    <row r="468" spans="16:22" x14ac:dyDescent="0.3">
      <c r="P468" s="15">
        <v>46296</v>
      </c>
      <c r="Q468" t="s">
        <v>1058</v>
      </c>
      <c r="R468" t="s">
        <v>1059</v>
      </c>
      <c r="S468" t="s">
        <v>1049</v>
      </c>
      <c r="T468">
        <v>175000</v>
      </c>
      <c r="U468">
        <v>63</v>
      </c>
      <c r="V468">
        <v>918750</v>
      </c>
    </row>
    <row r="469" spans="16:22" x14ac:dyDescent="0.3">
      <c r="P469" s="15">
        <v>46296</v>
      </c>
      <c r="Q469" t="s">
        <v>1058</v>
      </c>
      <c r="R469" t="s">
        <v>1060</v>
      </c>
      <c r="S469" t="s">
        <v>1049</v>
      </c>
      <c r="T469">
        <v>165000</v>
      </c>
      <c r="U469">
        <v>10</v>
      </c>
      <c r="V469">
        <v>137500</v>
      </c>
    </row>
    <row r="470" spans="16:22" x14ac:dyDescent="0.3">
      <c r="P470" s="15">
        <v>46296</v>
      </c>
      <c r="Q470" t="s">
        <v>1058</v>
      </c>
      <c r="R470" t="s">
        <v>1061</v>
      </c>
      <c r="S470" t="s">
        <v>1049</v>
      </c>
      <c r="T470">
        <v>145000</v>
      </c>
      <c r="U470">
        <v>7</v>
      </c>
      <c r="V470">
        <v>84583.33</v>
      </c>
    </row>
    <row r="471" spans="16:22" x14ac:dyDescent="0.3">
      <c r="P471" s="15">
        <v>46296</v>
      </c>
      <c r="Q471" t="s">
        <v>1062</v>
      </c>
      <c r="R471" t="s">
        <v>1063</v>
      </c>
      <c r="S471" t="s">
        <v>1049</v>
      </c>
      <c r="T471">
        <v>142000</v>
      </c>
      <c r="U471">
        <v>8</v>
      </c>
      <c r="V471">
        <v>94666.67</v>
      </c>
    </row>
    <row r="472" spans="16:22" x14ac:dyDescent="0.3">
      <c r="P472" s="15">
        <v>46296</v>
      </c>
      <c r="Q472" t="s">
        <v>1062</v>
      </c>
      <c r="R472" t="s">
        <v>1064</v>
      </c>
      <c r="S472" t="s">
        <v>1049</v>
      </c>
      <c r="T472">
        <v>150000</v>
      </c>
      <c r="U472">
        <v>7</v>
      </c>
      <c r="V472">
        <v>87500</v>
      </c>
    </row>
    <row r="473" spans="16:22" x14ac:dyDescent="0.3">
      <c r="P473" s="15">
        <v>46296</v>
      </c>
      <c r="Q473" t="s">
        <v>1062</v>
      </c>
      <c r="R473" t="s">
        <v>1065</v>
      </c>
      <c r="S473" t="s">
        <v>1049</v>
      </c>
      <c r="T473">
        <v>125000</v>
      </c>
      <c r="U473">
        <v>5</v>
      </c>
      <c r="V473">
        <v>52083.33</v>
      </c>
    </row>
    <row r="474" spans="16:22" x14ac:dyDescent="0.3">
      <c r="P474" s="15">
        <v>46327</v>
      </c>
      <c r="Q474" t="s">
        <v>1047</v>
      </c>
      <c r="R474" t="s">
        <v>1048</v>
      </c>
      <c r="S474" t="s">
        <v>1049</v>
      </c>
      <c r="T474">
        <v>185000</v>
      </c>
      <c r="U474">
        <v>41</v>
      </c>
      <c r="V474">
        <v>632083.32999999996</v>
      </c>
    </row>
    <row r="475" spans="16:22" x14ac:dyDescent="0.3">
      <c r="P475" s="15">
        <v>46327</v>
      </c>
      <c r="Q475" t="s">
        <v>1047</v>
      </c>
      <c r="R475" t="s">
        <v>1050</v>
      </c>
      <c r="S475" t="s">
        <v>1049</v>
      </c>
      <c r="T475">
        <v>105000</v>
      </c>
      <c r="U475">
        <v>24</v>
      </c>
      <c r="V475">
        <v>210000</v>
      </c>
    </row>
    <row r="476" spans="16:22" x14ac:dyDescent="0.3">
      <c r="P476" s="15">
        <v>46327</v>
      </c>
      <c r="Q476" t="s">
        <v>1047</v>
      </c>
      <c r="R476" t="s">
        <v>1051</v>
      </c>
      <c r="S476" t="s">
        <v>1049</v>
      </c>
      <c r="T476">
        <v>240000</v>
      </c>
      <c r="U476">
        <v>5</v>
      </c>
      <c r="V476">
        <v>100000</v>
      </c>
    </row>
    <row r="477" spans="16:22" x14ac:dyDescent="0.3">
      <c r="P477" s="15">
        <v>46327</v>
      </c>
      <c r="Q477" t="s">
        <v>1052</v>
      </c>
      <c r="R477" t="s">
        <v>1053</v>
      </c>
      <c r="S477" t="s">
        <v>1049</v>
      </c>
      <c r="T477">
        <v>125000</v>
      </c>
      <c r="U477">
        <v>21</v>
      </c>
      <c r="V477">
        <v>218750</v>
      </c>
    </row>
    <row r="478" spans="16:22" x14ac:dyDescent="0.3">
      <c r="P478" s="15">
        <v>46327</v>
      </c>
      <c r="Q478" t="s">
        <v>1052</v>
      </c>
      <c r="R478" t="s">
        <v>1054</v>
      </c>
      <c r="S478" t="s">
        <v>1049</v>
      </c>
      <c r="T478">
        <v>112000</v>
      </c>
      <c r="U478">
        <v>8</v>
      </c>
      <c r="V478">
        <v>74666.67</v>
      </c>
    </row>
    <row r="479" spans="16:22" x14ac:dyDescent="0.3">
      <c r="P479" s="15">
        <v>46327</v>
      </c>
      <c r="Q479" t="s">
        <v>1055</v>
      </c>
      <c r="R479" t="s">
        <v>1056</v>
      </c>
      <c r="S479" t="s">
        <v>1049</v>
      </c>
      <c r="T479">
        <v>145000</v>
      </c>
      <c r="U479">
        <v>9</v>
      </c>
      <c r="V479">
        <v>108750</v>
      </c>
    </row>
    <row r="480" spans="16:22" x14ac:dyDescent="0.3">
      <c r="P480" s="15">
        <v>46327</v>
      </c>
      <c r="Q480" t="s">
        <v>1055</v>
      </c>
      <c r="R480" t="s">
        <v>1057</v>
      </c>
      <c r="S480" t="s">
        <v>1049</v>
      </c>
      <c r="T480">
        <v>132000</v>
      </c>
      <c r="U480">
        <v>6</v>
      </c>
      <c r="V480">
        <v>66000</v>
      </c>
    </row>
    <row r="481" spans="16:22" x14ac:dyDescent="0.3">
      <c r="P481" s="15">
        <v>46327</v>
      </c>
      <c r="Q481" t="s">
        <v>1058</v>
      </c>
      <c r="R481" t="s">
        <v>1059</v>
      </c>
      <c r="S481" t="s">
        <v>1049</v>
      </c>
      <c r="T481">
        <v>175000</v>
      </c>
      <c r="U481">
        <v>64</v>
      </c>
      <c r="V481">
        <v>933333.33</v>
      </c>
    </row>
    <row r="482" spans="16:22" x14ac:dyDescent="0.3">
      <c r="P482" s="15">
        <v>46327</v>
      </c>
      <c r="Q482" t="s">
        <v>1058</v>
      </c>
      <c r="R482" t="s">
        <v>1060</v>
      </c>
      <c r="S482" t="s">
        <v>1049</v>
      </c>
      <c r="T482">
        <v>165000</v>
      </c>
      <c r="U482">
        <v>10</v>
      </c>
      <c r="V482">
        <v>137500</v>
      </c>
    </row>
    <row r="483" spans="16:22" x14ac:dyDescent="0.3">
      <c r="P483" s="15">
        <v>46327</v>
      </c>
      <c r="Q483" t="s">
        <v>1058</v>
      </c>
      <c r="R483" t="s">
        <v>1061</v>
      </c>
      <c r="S483" t="s">
        <v>1049</v>
      </c>
      <c r="T483">
        <v>145000</v>
      </c>
      <c r="U483">
        <v>7</v>
      </c>
      <c r="V483">
        <v>84583.33</v>
      </c>
    </row>
    <row r="484" spans="16:22" x14ac:dyDescent="0.3">
      <c r="P484" s="15">
        <v>46327</v>
      </c>
      <c r="Q484" t="s">
        <v>1062</v>
      </c>
      <c r="R484" t="s">
        <v>1063</v>
      </c>
      <c r="S484" t="s">
        <v>1049</v>
      </c>
      <c r="T484">
        <v>142000</v>
      </c>
      <c r="U484">
        <v>8</v>
      </c>
      <c r="V484">
        <v>94666.67</v>
      </c>
    </row>
    <row r="485" spans="16:22" x14ac:dyDescent="0.3">
      <c r="P485" s="15">
        <v>46327</v>
      </c>
      <c r="Q485" t="s">
        <v>1062</v>
      </c>
      <c r="R485" t="s">
        <v>1064</v>
      </c>
      <c r="S485" t="s">
        <v>1049</v>
      </c>
      <c r="T485">
        <v>150000</v>
      </c>
      <c r="U485">
        <v>7</v>
      </c>
      <c r="V485">
        <v>87500</v>
      </c>
    </row>
    <row r="486" spans="16:22" x14ac:dyDescent="0.3">
      <c r="P486" s="15">
        <v>46327</v>
      </c>
      <c r="Q486" t="s">
        <v>1062</v>
      </c>
      <c r="R486" t="s">
        <v>1065</v>
      </c>
      <c r="S486" t="s">
        <v>1049</v>
      </c>
      <c r="T486">
        <v>125000</v>
      </c>
      <c r="U486">
        <v>5</v>
      </c>
      <c r="V486">
        <v>52083.33</v>
      </c>
    </row>
    <row r="487" spans="16:22" x14ac:dyDescent="0.3">
      <c r="P487" s="15">
        <v>46357</v>
      </c>
      <c r="Q487" t="s">
        <v>1047</v>
      </c>
      <c r="R487" t="s">
        <v>1048</v>
      </c>
      <c r="S487" t="s">
        <v>1049</v>
      </c>
      <c r="T487">
        <v>185000</v>
      </c>
      <c r="U487">
        <v>40</v>
      </c>
      <c r="V487">
        <v>616666.67000000004</v>
      </c>
    </row>
    <row r="488" spans="16:22" x14ac:dyDescent="0.3">
      <c r="P488" s="15">
        <v>46357</v>
      </c>
      <c r="Q488" t="s">
        <v>1047</v>
      </c>
      <c r="R488" t="s">
        <v>1050</v>
      </c>
      <c r="S488" t="s">
        <v>1049</v>
      </c>
      <c r="T488">
        <v>105000</v>
      </c>
      <c r="U488">
        <v>23</v>
      </c>
      <c r="V488">
        <v>201250</v>
      </c>
    </row>
    <row r="489" spans="16:22" x14ac:dyDescent="0.3">
      <c r="P489" s="15">
        <v>46357</v>
      </c>
      <c r="Q489" t="s">
        <v>1047</v>
      </c>
      <c r="R489" t="s">
        <v>1051</v>
      </c>
      <c r="S489" t="s">
        <v>1049</v>
      </c>
      <c r="T489">
        <v>240000</v>
      </c>
      <c r="U489">
        <v>5</v>
      </c>
      <c r="V489">
        <v>100000</v>
      </c>
    </row>
    <row r="490" spans="16:22" x14ac:dyDescent="0.3">
      <c r="P490" s="15">
        <v>46357</v>
      </c>
      <c r="Q490" t="s">
        <v>1052</v>
      </c>
      <c r="R490" t="s">
        <v>1053</v>
      </c>
      <c r="S490" t="s">
        <v>1049</v>
      </c>
      <c r="T490">
        <v>125000</v>
      </c>
      <c r="U490">
        <v>20</v>
      </c>
      <c r="V490">
        <v>208333.33</v>
      </c>
    </row>
    <row r="491" spans="16:22" x14ac:dyDescent="0.3">
      <c r="P491" s="15">
        <v>46357</v>
      </c>
      <c r="Q491" t="s">
        <v>1052</v>
      </c>
      <c r="R491" t="s">
        <v>1054</v>
      </c>
      <c r="S491" t="s">
        <v>1049</v>
      </c>
      <c r="T491">
        <v>112000</v>
      </c>
      <c r="U491">
        <v>8</v>
      </c>
      <c r="V491">
        <v>74666.67</v>
      </c>
    </row>
    <row r="492" spans="16:22" x14ac:dyDescent="0.3">
      <c r="P492" s="15">
        <v>46357</v>
      </c>
      <c r="Q492" t="s">
        <v>1055</v>
      </c>
      <c r="R492" t="s">
        <v>1056</v>
      </c>
      <c r="S492" t="s">
        <v>1049</v>
      </c>
      <c r="T492">
        <v>145000</v>
      </c>
      <c r="U492">
        <v>9</v>
      </c>
      <c r="V492">
        <v>108750</v>
      </c>
    </row>
    <row r="493" spans="16:22" x14ac:dyDescent="0.3">
      <c r="P493" s="15">
        <v>46357</v>
      </c>
      <c r="Q493" t="s">
        <v>1055</v>
      </c>
      <c r="R493" t="s">
        <v>1057</v>
      </c>
      <c r="S493" t="s">
        <v>1049</v>
      </c>
      <c r="T493">
        <v>132000</v>
      </c>
      <c r="U493">
        <v>6</v>
      </c>
      <c r="V493">
        <v>66000</v>
      </c>
    </row>
    <row r="494" spans="16:22" x14ac:dyDescent="0.3">
      <c r="P494" s="15">
        <v>46357</v>
      </c>
      <c r="Q494" t="s">
        <v>1058</v>
      </c>
      <c r="R494" t="s">
        <v>1059</v>
      </c>
      <c r="S494" t="s">
        <v>1049</v>
      </c>
      <c r="T494">
        <v>175000</v>
      </c>
      <c r="U494">
        <v>63</v>
      </c>
      <c r="V494">
        <v>918750</v>
      </c>
    </row>
    <row r="495" spans="16:22" x14ac:dyDescent="0.3">
      <c r="P495" s="15">
        <v>46357</v>
      </c>
      <c r="Q495" t="s">
        <v>1058</v>
      </c>
      <c r="R495" t="s">
        <v>1060</v>
      </c>
      <c r="S495" t="s">
        <v>1049</v>
      </c>
      <c r="T495">
        <v>165000</v>
      </c>
      <c r="U495">
        <v>10</v>
      </c>
      <c r="V495">
        <v>137500</v>
      </c>
    </row>
    <row r="496" spans="16:22" x14ac:dyDescent="0.3">
      <c r="P496" s="15">
        <v>46357</v>
      </c>
      <c r="Q496" t="s">
        <v>1058</v>
      </c>
      <c r="R496" t="s">
        <v>1061</v>
      </c>
      <c r="S496" t="s">
        <v>1049</v>
      </c>
      <c r="T496">
        <v>145000</v>
      </c>
      <c r="U496">
        <v>7</v>
      </c>
      <c r="V496">
        <v>84583.33</v>
      </c>
    </row>
    <row r="497" spans="16:22" x14ac:dyDescent="0.3">
      <c r="P497" s="15">
        <v>46357</v>
      </c>
      <c r="Q497" t="s">
        <v>1062</v>
      </c>
      <c r="R497" t="s">
        <v>1063</v>
      </c>
      <c r="S497" t="s">
        <v>1049</v>
      </c>
      <c r="T497">
        <v>142000</v>
      </c>
      <c r="U497">
        <v>8</v>
      </c>
      <c r="V497">
        <v>94666.67</v>
      </c>
    </row>
    <row r="498" spans="16:22" x14ac:dyDescent="0.3">
      <c r="P498" s="15">
        <v>46357</v>
      </c>
      <c r="Q498" t="s">
        <v>1062</v>
      </c>
      <c r="R498" t="s">
        <v>1064</v>
      </c>
      <c r="S498" t="s">
        <v>1049</v>
      </c>
      <c r="T498">
        <v>150000</v>
      </c>
      <c r="U498">
        <v>7</v>
      </c>
      <c r="V498">
        <v>87500</v>
      </c>
    </row>
    <row r="499" spans="16:22" x14ac:dyDescent="0.3">
      <c r="P499" s="15">
        <v>46357</v>
      </c>
      <c r="Q499" t="s">
        <v>1062</v>
      </c>
      <c r="R499" t="s">
        <v>1065</v>
      </c>
      <c r="S499" t="s">
        <v>1049</v>
      </c>
      <c r="T499">
        <v>125000</v>
      </c>
      <c r="U499">
        <v>5</v>
      </c>
      <c r="V499">
        <v>52083.33</v>
      </c>
    </row>
  </sheetData>
  <mergeCells count="3">
    <mergeCell ref="B11:N11"/>
    <mergeCell ref="B19:N19"/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8"/>
  <sheetViews>
    <sheetView showGridLines="0"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" customWidth="1"/>
    <col min="2" max="2" width="30" customWidth="1"/>
    <col min="3" max="14" width="13" customWidth="1"/>
  </cols>
  <sheetData>
    <row r="1" spans="1:14" ht="34.049999999999997" customHeight="1" x14ac:dyDescent="0.3">
      <c r="A1" s="28" t="s">
        <v>1066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</row>
    <row r="2" spans="1:14" ht="15" customHeight="1" x14ac:dyDescent="0.3"/>
    <row r="3" spans="1:14" ht="15" customHeight="1" x14ac:dyDescent="0.3">
      <c r="B3" s="5"/>
      <c r="C3" s="16">
        <v>46023</v>
      </c>
      <c r="D3" s="16">
        <v>46054</v>
      </c>
      <c r="E3" s="16">
        <v>46082</v>
      </c>
      <c r="F3" s="16">
        <v>46113</v>
      </c>
      <c r="G3" s="16">
        <v>46143</v>
      </c>
      <c r="H3" s="16">
        <v>46174</v>
      </c>
      <c r="I3" s="16">
        <v>46204</v>
      </c>
      <c r="J3" s="16">
        <v>46235</v>
      </c>
      <c r="K3" s="16">
        <v>46266</v>
      </c>
      <c r="L3" s="16">
        <v>46296</v>
      </c>
      <c r="M3" s="16">
        <v>46327</v>
      </c>
      <c r="N3" s="16">
        <v>46357</v>
      </c>
    </row>
    <row r="4" spans="1:14" ht="15" customHeight="1" x14ac:dyDescent="0.3">
      <c r="B4" t="s">
        <v>1067</v>
      </c>
      <c r="C4" s="18">
        <f>'Revenue Forecast'!C33</f>
        <v>4058888.2333333329</v>
      </c>
      <c r="D4" s="18">
        <f>'Revenue Forecast'!D33</f>
        <v>4106582.6681500003</v>
      </c>
      <c r="E4" s="18">
        <f>'Revenue Forecast'!E33</f>
        <v>4172873.3391403579</v>
      </c>
      <c r="F4" s="18">
        <f>'Revenue Forecast'!F33</f>
        <v>4235179.2041026121</v>
      </c>
      <c r="G4" s="18">
        <f>'Revenue Forecast'!G33</f>
        <v>4266640.3309426121</v>
      </c>
      <c r="H4" s="18">
        <f>'Revenue Forecast'!H33</f>
        <v>4306837.668791485</v>
      </c>
      <c r="I4" s="18">
        <f>'Revenue Forecast'!I33</f>
        <v>4376786.7656110078</v>
      </c>
      <c r="J4" s="18">
        <f>'Revenue Forecast'!J33</f>
        <v>4431993.5683012018</v>
      </c>
      <c r="K4" s="18">
        <f>'Revenue Forecast'!K33</f>
        <v>4518972.526773911</v>
      </c>
      <c r="L4" s="18">
        <f>'Revenue Forecast'!L33</f>
        <v>4608121.2261832142</v>
      </c>
      <c r="M4" s="18">
        <f>'Revenue Forecast'!M33</f>
        <v>4653384.8340463573</v>
      </c>
      <c r="N4" s="18">
        <f>'Revenue Forecast'!N33</f>
        <v>4770108.8326250566</v>
      </c>
    </row>
    <row r="5" spans="1:14" ht="15" customHeight="1" x14ac:dyDescent="0.3">
      <c r="B5" t="s">
        <v>1068</v>
      </c>
      <c r="C5" s="18">
        <f t="shared" ref="C5:N5" si="0">-C4*(1-Gross_Margin)</f>
        <v>-791483.20549999969</v>
      </c>
      <c r="D5" s="18">
        <f t="shared" si="0"/>
        <v>-800783.62028924981</v>
      </c>
      <c r="E5" s="18">
        <f t="shared" si="0"/>
        <v>-813710.30113236955</v>
      </c>
      <c r="F5" s="18">
        <f t="shared" si="0"/>
        <v>-825859.94480000914</v>
      </c>
      <c r="G5" s="18">
        <f t="shared" si="0"/>
        <v>-831994.86453380913</v>
      </c>
      <c r="H5" s="18">
        <f t="shared" si="0"/>
        <v>-839833.34541433933</v>
      </c>
      <c r="I5" s="18">
        <f t="shared" si="0"/>
        <v>-853473.41929414636</v>
      </c>
      <c r="J5" s="18">
        <f t="shared" si="0"/>
        <v>-864238.74581873417</v>
      </c>
      <c r="K5" s="18">
        <f t="shared" si="0"/>
        <v>-881199.64272091247</v>
      </c>
      <c r="L5" s="18">
        <f t="shared" si="0"/>
        <v>-898583.6391057265</v>
      </c>
      <c r="M5" s="18">
        <f t="shared" si="0"/>
        <v>-907410.04263903946</v>
      </c>
      <c r="N5" s="18">
        <f t="shared" si="0"/>
        <v>-930171.22236188583</v>
      </c>
    </row>
    <row r="6" spans="1:14" ht="15" customHeight="1" x14ac:dyDescent="0.3">
      <c r="B6" t="s">
        <v>1069</v>
      </c>
      <c r="C6" s="18">
        <f t="shared" ref="C6:N6" si="1">SUM(C4:C5)</f>
        <v>3267405.0278333332</v>
      </c>
      <c r="D6" s="18">
        <f t="shared" si="1"/>
        <v>3305799.0478607505</v>
      </c>
      <c r="E6" s="18">
        <f t="shared" si="1"/>
        <v>3359163.0380079886</v>
      </c>
      <c r="F6" s="18">
        <f t="shared" si="1"/>
        <v>3409319.2593026031</v>
      </c>
      <c r="G6" s="18">
        <f t="shared" si="1"/>
        <v>3434645.4664088031</v>
      </c>
      <c r="H6" s="18">
        <f t="shared" si="1"/>
        <v>3467004.3233771455</v>
      </c>
      <c r="I6" s="18">
        <f t="shared" si="1"/>
        <v>3523313.3463168615</v>
      </c>
      <c r="J6" s="18">
        <f t="shared" si="1"/>
        <v>3567754.8224824676</v>
      </c>
      <c r="K6" s="18">
        <f t="shared" si="1"/>
        <v>3637772.8840529984</v>
      </c>
      <c r="L6" s="18">
        <f t="shared" si="1"/>
        <v>3709537.5870774877</v>
      </c>
      <c r="M6" s="18">
        <f t="shared" si="1"/>
        <v>3745974.7914073179</v>
      </c>
      <c r="N6" s="18">
        <f t="shared" si="1"/>
        <v>3839937.6102631707</v>
      </c>
    </row>
    <row r="7" spans="1:14" ht="15" customHeight="1" x14ac:dyDescent="0.3">
      <c r="B7" t="s">
        <v>1070</v>
      </c>
      <c r="C7" s="9">
        <f t="shared" ref="C7:N7" si="2">IFERROR(C6/C4,0)</f>
        <v>0.80500000000000005</v>
      </c>
      <c r="D7" s="9">
        <f t="shared" si="2"/>
        <v>0.80500000000000005</v>
      </c>
      <c r="E7" s="9">
        <f t="shared" si="2"/>
        <v>0.80500000000000016</v>
      </c>
      <c r="F7" s="9">
        <f t="shared" si="2"/>
        <v>0.80500000000000005</v>
      </c>
      <c r="G7" s="9">
        <f t="shared" si="2"/>
        <v>0.80500000000000005</v>
      </c>
      <c r="H7" s="9">
        <f t="shared" si="2"/>
        <v>0.80500000000000005</v>
      </c>
      <c r="I7" s="9">
        <f t="shared" si="2"/>
        <v>0.80500000000000005</v>
      </c>
      <c r="J7" s="9">
        <f t="shared" si="2"/>
        <v>0.80500000000000005</v>
      </c>
      <c r="K7" s="9">
        <f t="shared" si="2"/>
        <v>0.80500000000000005</v>
      </c>
      <c r="L7" s="9">
        <f t="shared" si="2"/>
        <v>0.80500000000000005</v>
      </c>
      <c r="M7" s="9">
        <f t="shared" si="2"/>
        <v>0.80500000000000005</v>
      </c>
      <c r="N7" s="9">
        <f t="shared" si="2"/>
        <v>0.80500000000000005</v>
      </c>
    </row>
    <row r="8" spans="1:14" ht="15" customHeight="1" x14ac:dyDescent="0.3"/>
    <row r="9" spans="1:14" ht="15" customHeight="1" x14ac:dyDescent="0.3">
      <c r="B9" t="s">
        <v>1071</v>
      </c>
      <c r="C9" s="18">
        <f>-SUM('Headcount &amp; Opex Plan'!C12,'Headcount &amp; Opex Plan'!C14,'Headcount &amp; Opex Plan'!C20,'Headcount &amp; Opex Plan'!C22)</f>
        <v>-1970136.8570301151</v>
      </c>
      <c r="D9" s="18">
        <f>-SUM('Headcount &amp; Opex Plan'!D12,'Headcount &amp; Opex Plan'!D14,'Headcount &amp; Opex Plan'!D20,'Headcount &amp; Opex Plan'!D22)</f>
        <v>-1972698.7336105164</v>
      </c>
      <c r="E9" s="18">
        <f>-SUM('Headcount &amp; Opex Plan'!E12,'Headcount &amp; Opex Plan'!E14,'Headcount &amp; Opex Plan'!E20,'Headcount &amp; Opex Plan'!E22)</f>
        <v>-1975268.9971081957</v>
      </c>
      <c r="F9" s="18">
        <f>-SUM('Headcount &amp; Opex Plan'!F12,'Headcount &amp; Opex Plan'!F14,'Headcount &amp; Opex Plan'!F20,'Headcount &amp; Opex Plan'!F22)</f>
        <v>-1993264.3349797381</v>
      </c>
      <c r="G9" s="18">
        <f>-SUM('Headcount &amp; Opex Plan'!G12,'Headcount &amp; Opex Plan'!G14,'Headcount &amp; Opex Plan'!G20,'Headcount &amp; Opex Plan'!G22)</f>
        <v>-2004601.4547716142</v>
      </c>
      <c r="H9" s="18">
        <f>-SUM('Headcount &amp; Opex Plan'!H12,'Headcount &amp; Opex Plan'!H14,'Headcount &amp; Opex Plan'!H20,'Headcount &amp; Opex Plan'!H22)</f>
        <v>-2007197.0441204747</v>
      </c>
      <c r="I9" s="18">
        <f>-SUM('Headcount &amp; Opex Plan'!I12,'Headcount &amp; Opex Plan'!I14,'Headcount &amp; Opex Plan'!I20,'Headcount &amp; Opex Plan'!I22)</f>
        <v>-2025217.800753444</v>
      </c>
      <c r="J9" s="18">
        <f>-SUM('Headcount &amp; Opex Plan'!J12,'Headcount &amp; Opex Plan'!J14,'Headcount &amp; Opex Plan'!J20,'Headcount &amp; Opex Plan'!J22)</f>
        <v>-1960580.4024884205</v>
      </c>
      <c r="K9" s="18">
        <f>-SUM('Headcount &amp; Opex Plan'!K12,'Headcount &amp; Opex Plan'!K14,'Headcount &amp; Opex Plan'!K20,'Headcount &amp; Opex Plan'!K22)</f>
        <v>-1971951.567234369</v>
      </c>
      <c r="L9" s="18">
        <f>-SUM('Headcount &amp; Opex Plan'!L12,'Headcount &amp; Opex Plan'!L14,'Headcount &amp; Opex Plan'!L20,'Headcount &amp; Opex Plan'!L22)</f>
        <v>-1922747.9829916223</v>
      </c>
      <c r="M9" s="18">
        <f>-SUM('Headcount &amp; Opex Plan'!M12,'Headcount &amp; Opex Plan'!M14,'Headcount &amp; Opex Plan'!M20,'Headcount &amp; Opex Plan'!M22)</f>
        <v>-1925386.3378521779</v>
      </c>
      <c r="N9" s="18">
        <f>-SUM('Headcount &amp; Opex Plan'!N12,'Headcount &amp; Opex Plan'!N14,'Headcount &amp; Opex Plan'!N20,'Headcount &amp; Opex Plan'!N22)</f>
        <v>-1903866.67</v>
      </c>
    </row>
    <row r="10" spans="1:14" ht="15" customHeight="1" x14ac:dyDescent="0.3">
      <c r="B10" t="s">
        <v>1052</v>
      </c>
      <c r="C10" s="18">
        <f>-SUM('Headcount &amp; Opex Plan'!C13,'Headcount &amp; Opex Plan'!C21)</f>
        <v>-412794.6365803979</v>
      </c>
      <c r="D10" s="18">
        <f>-SUM('Headcount &amp; Opex Plan'!D13,'Headcount &amp; Opex Plan'!D21)</f>
        <v>-413090.23772429035</v>
      </c>
      <c r="E10" s="18">
        <f>-SUM('Headcount &amp; Opex Plan'!E13,'Headcount &amp; Opex Plan'!E21)</f>
        <v>-413386.80658940721</v>
      </c>
      <c r="F10" s="18">
        <f>-SUM('Headcount &amp; Opex Plan'!F13,'Headcount &amp; Opex Plan'!F21)</f>
        <v>-413684.34634381597</v>
      </c>
      <c r="G10" s="18">
        <f>-SUM('Headcount &amp; Opex Plan'!G13,'Headcount &amp; Opex Plan'!G21)</f>
        <v>-413982.8601659555</v>
      </c>
      <c r="H10" s="18">
        <f>-SUM('Headcount &amp; Opex Plan'!H13,'Headcount &amp; Opex Plan'!H21)</f>
        <v>-414282.35124467011</v>
      </c>
      <c r="I10" s="18">
        <f>-SUM('Headcount &amp; Opex Plan'!I13,'Headcount &amp; Opex Plan'!I21)</f>
        <v>-424999.4827792435</v>
      </c>
      <c r="J10" s="18">
        <f>-SUM('Headcount &amp; Opex Plan'!J13,'Headcount &amp; Opex Plan'!J21)</f>
        <v>-405550.94797943317</v>
      </c>
      <c r="K10" s="18">
        <f>-SUM('Headcount &amp; Opex Plan'!K13,'Headcount &amp; Opex Plan'!K21)</f>
        <v>-405853.39006550412</v>
      </c>
      <c r="L10" s="18">
        <f>-SUM('Headcount &amp; Opex Plan'!L13,'Headcount &amp; Opex Plan'!L21)</f>
        <v>-386406.82226826408</v>
      </c>
      <c r="M10" s="18">
        <f>-SUM('Headcount &amp; Opex Plan'!M13,'Headcount &amp; Opex Plan'!M21)</f>
        <v>-386711.24782909744</v>
      </c>
      <c r="N10" s="18">
        <f>-SUM('Headcount &amp; Opex Plan'!N13,'Headcount &amp; Opex Plan'!N21)</f>
        <v>-376600</v>
      </c>
    </row>
    <row r="11" spans="1:14" ht="15" customHeight="1" x14ac:dyDescent="0.3">
      <c r="B11" t="s">
        <v>1058</v>
      </c>
      <c r="C11" s="18">
        <f>-SUM('Headcount &amp; Opex Plan'!C15,'Headcount &amp; Opex Plan'!C23)</f>
        <v>-1458833.3171390155</v>
      </c>
      <c r="D11" s="18">
        <f>-SUM('Headcount &amp; Opex Plan'!D15,'Headcount &amp; Opex Plan'!D23)</f>
        <v>-1459752.9651422366</v>
      </c>
      <c r="E11" s="18">
        <f>-SUM('Headcount &amp; Opex Plan'!E15,'Headcount &amp; Opex Plan'!E23)</f>
        <v>-1460675.6238337113</v>
      </c>
      <c r="F11" s="18">
        <f>-SUM('Headcount &amp; Opex Plan'!F15,'Headcount &amp; Opex Plan'!F23)</f>
        <v>-1476184.6330696496</v>
      </c>
      <c r="G11" s="18">
        <f>-SUM('Headcount &amp; Opex Plan'!G15,'Headcount &amp; Opex Plan'!G23)</f>
        <v>-1477113.3427385283</v>
      </c>
      <c r="H11" s="18">
        <f>-SUM('Headcount &amp; Opex Plan'!H15,'Headcount &amp; Opex Plan'!H23)</f>
        <v>-1492628.422761196</v>
      </c>
      <c r="I11" s="18">
        <f>-SUM('Headcount &amp; Opex Plan'!I15,'Headcount &amp; Opex Plan'!I23)</f>
        <v>-1493563.22309098</v>
      </c>
      <c r="J11" s="18">
        <f>-SUM('Headcount &amp; Opex Plan'!J15,'Headcount &amp; Opex Plan'!J23)</f>
        <v>-1454084.4237137919</v>
      </c>
      <c r="K11" s="18">
        <f>-SUM('Headcount &amp; Opex Plan'!K15,'Headcount &amp; Opex Plan'!K23)</f>
        <v>-1469608.6846482351</v>
      </c>
      <c r="L11" s="18">
        <f>-SUM('Headcount &amp; Opex Plan'!L15,'Headcount &amp; Opex Plan'!L23)</f>
        <v>-1430136.0259457105</v>
      </c>
      <c r="M11" s="18">
        <f>-SUM('Headcount &amp; Opex Plan'!M15,'Headcount &amp; Opex Plan'!M23)</f>
        <v>-1445666.4576905256</v>
      </c>
      <c r="N11" s="18">
        <f>-SUM('Headcount &amp; Opex Plan'!N15,'Headcount &amp; Opex Plan'!N23)</f>
        <v>-1432033.33</v>
      </c>
    </row>
    <row r="12" spans="1:14" ht="15" customHeight="1" x14ac:dyDescent="0.3">
      <c r="B12" t="s">
        <v>1062</v>
      </c>
      <c r="C12" s="18">
        <f>-SUM('Headcount &amp; Opex Plan'!C16,'Headcount &amp; Opex Plan'!C24)</f>
        <v>-493604.1453542618</v>
      </c>
      <c r="D12" s="18">
        <f>-SUM('Headcount &amp; Opex Plan'!D16,'Headcount &amp; Opex Plan'!D24)</f>
        <v>-494293.88135667751</v>
      </c>
      <c r="E12" s="18">
        <f>-SUM('Headcount &amp; Opex Plan'!E16,'Headcount &amp; Opex Plan'!E24)</f>
        <v>-494985.87537528347</v>
      </c>
      <c r="F12" s="18">
        <f>-SUM('Headcount &amp; Opex Plan'!F16,'Headcount &amp; Opex Plan'!F24)</f>
        <v>-495680.13480223727</v>
      </c>
      <c r="G12" s="18">
        <f>-SUM('Headcount &amp; Opex Plan'!G16,'Headcount &amp; Opex Plan'!G24)</f>
        <v>-496376.66705389624</v>
      </c>
      <c r="H12" s="18">
        <f>-SUM('Headcount &amp; Opex Plan'!H16,'Headcount &amp; Opex Plan'!H24)</f>
        <v>-497075.47957089701</v>
      </c>
      <c r="I12" s="18">
        <f>-SUM('Headcount &amp; Opex Plan'!I16,'Headcount &amp; Opex Plan'!I24)</f>
        <v>-497776.57981823501</v>
      </c>
      <c r="J12" s="18">
        <f>-SUM('Headcount &amp; Opex Plan'!J16,'Headcount &amp; Opex Plan'!J24)</f>
        <v>-474146.64528534398</v>
      </c>
      <c r="K12" s="18">
        <f>-SUM('Headcount &amp; Opex Plan'!K16,'Headcount &amp; Opex Plan'!K24)</f>
        <v>-474852.34348617628</v>
      </c>
      <c r="L12" s="18">
        <f>-SUM('Headcount &amp; Opex Plan'!L16,'Headcount &amp; Opex Plan'!L24)</f>
        <v>-451227.02195928292</v>
      </c>
      <c r="M12" s="18">
        <f>-SUM('Headcount &amp; Opex Plan'!M16,'Headcount &amp; Opex Plan'!M24)</f>
        <v>-451937.34826789401</v>
      </c>
      <c r="N12" s="18">
        <f>-SUM('Headcount &amp; Opex Plan'!N16,'Headcount &amp; Opex Plan'!N24)</f>
        <v>-452650</v>
      </c>
    </row>
    <row r="13" spans="1:14" ht="15" customHeight="1" x14ac:dyDescent="0.3">
      <c r="B13" t="s">
        <v>1040</v>
      </c>
      <c r="C13" s="18">
        <f t="shared" ref="C13:N13" si="3">SUM(C9:C12)</f>
        <v>-4335368.9561037906</v>
      </c>
      <c r="D13" s="18">
        <f t="shared" si="3"/>
        <v>-4339835.8178337207</v>
      </c>
      <c r="E13" s="18">
        <f t="shared" si="3"/>
        <v>-4344317.302906598</v>
      </c>
      <c r="F13" s="18">
        <f t="shared" si="3"/>
        <v>-4378813.4491954409</v>
      </c>
      <c r="G13" s="18">
        <f t="shared" si="3"/>
        <v>-4392074.3247299939</v>
      </c>
      <c r="H13" s="18">
        <f t="shared" si="3"/>
        <v>-4411183.2976972386</v>
      </c>
      <c r="I13" s="18">
        <f t="shared" si="3"/>
        <v>-4441557.0864419024</v>
      </c>
      <c r="J13" s="18">
        <f t="shared" si="3"/>
        <v>-4294362.4194669891</v>
      </c>
      <c r="K13" s="18">
        <f t="shared" si="3"/>
        <v>-4322265.9854342844</v>
      </c>
      <c r="L13" s="18">
        <f t="shared" si="3"/>
        <v>-4190517.8531648796</v>
      </c>
      <c r="M13" s="18">
        <f t="shared" si="3"/>
        <v>-4209701.3916396955</v>
      </c>
      <c r="N13" s="18">
        <f t="shared" si="3"/>
        <v>-4165150</v>
      </c>
    </row>
    <row r="14" spans="1:14" ht="15" customHeight="1" x14ac:dyDescent="0.3">
      <c r="B14" t="s">
        <v>1072</v>
      </c>
      <c r="C14" s="18">
        <f t="shared" ref="C14:N14" si="4">C6+C13</f>
        <v>-1067963.9282704573</v>
      </c>
      <c r="D14" s="18">
        <f t="shared" si="4"/>
        <v>-1034036.7699729702</v>
      </c>
      <c r="E14" s="18">
        <f t="shared" si="4"/>
        <v>-985154.26489860937</v>
      </c>
      <c r="F14" s="18">
        <f t="shared" si="4"/>
        <v>-969494.18989283778</v>
      </c>
      <c r="G14" s="18">
        <f t="shared" si="4"/>
        <v>-957428.85832119081</v>
      </c>
      <c r="H14" s="18">
        <f t="shared" si="4"/>
        <v>-944178.97432009317</v>
      </c>
      <c r="I14" s="18">
        <f t="shared" si="4"/>
        <v>-918243.74012504099</v>
      </c>
      <c r="J14" s="18">
        <f t="shared" si="4"/>
        <v>-726607.59698452149</v>
      </c>
      <c r="K14" s="18">
        <f t="shared" si="4"/>
        <v>-684493.10138128605</v>
      </c>
      <c r="L14" s="18">
        <f t="shared" si="4"/>
        <v>-480980.26608739188</v>
      </c>
      <c r="M14" s="18">
        <f t="shared" si="4"/>
        <v>-463726.60023237765</v>
      </c>
      <c r="N14" s="18">
        <f t="shared" si="4"/>
        <v>-325212.38973682933</v>
      </c>
    </row>
    <row r="15" spans="1:14" ht="15" customHeight="1" x14ac:dyDescent="0.3">
      <c r="B15" t="s">
        <v>1073</v>
      </c>
      <c r="C15" s="9">
        <f t="shared" ref="C15:N15" si="5">IFERROR(C14/C4,0)</f>
        <v>-0.26311735304753625</v>
      </c>
      <c r="D15" s="9">
        <f t="shared" si="5"/>
        <v>-0.25179981837277854</v>
      </c>
      <c r="E15" s="9">
        <f t="shared" si="5"/>
        <v>-0.23608535050851992</v>
      </c>
      <c r="F15" s="9">
        <f t="shared" si="5"/>
        <v>-0.22891456138472019</v>
      </c>
      <c r="G15" s="9">
        <f t="shared" si="5"/>
        <v>-0.22439877375594719</v>
      </c>
      <c r="H15" s="9">
        <f t="shared" si="5"/>
        <v>-0.21922789919895758</v>
      </c>
      <c r="I15" s="9">
        <f t="shared" si="5"/>
        <v>-0.20979860095991046</v>
      </c>
      <c r="J15" s="9">
        <f t="shared" si="5"/>
        <v>-0.1639459953600593</v>
      </c>
      <c r="K15" s="9">
        <f t="shared" si="5"/>
        <v>-0.15147095879114469</v>
      </c>
      <c r="L15" s="9">
        <f t="shared" si="5"/>
        <v>-0.10437665210595495</v>
      </c>
      <c r="M15" s="9">
        <f t="shared" si="5"/>
        <v>-9.9653610601800058E-2</v>
      </c>
      <c r="N15" s="9">
        <f t="shared" si="5"/>
        <v>-6.8177142523991527E-2</v>
      </c>
    </row>
    <row r="16" spans="1:14" ht="15" customHeight="1" x14ac:dyDescent="0.3"/>
    <row r="17" spans="2:14" ht="15" customHeight="1" x14ac:dyDescent="0.3">
      <c r="B17" t="s">
        <v>1074</v>
      </c>
      <c r="C17" s="18">
        <f>-'Cash Flow Statement'!C8</f>
        <v>-2224393.5531773763</v>
      </c>
      <c r="D17" s="18">
        <f>-'Cash Flow Statement'!D8</f>
        <v>-4764.6525119254366</v>
      </c>
      <c r="E17" s="18">
        <f>-'Cash Flow Statement'!E8</f>
        <v>-4780.2507444024086</v>
      </c>
      <c r="F17" s="18">
        <f>-'Cash Flow Statement'!F8</f>
        <v>-36795.889374766499</v>
      </c>
      <c r="G17" s="18">
        <f>-'Cash Flow Statement'!G8</f>
        <v>-14144.933903522789</v>
      </c>
      <c r="H17" s="18">
        <f>-'Cash Flow Statement'!H8</f>
        <v>-20382.904498394579</v>
      </c>
      <c r="I17" s="18">
        <f>-'Cash Flow Statement'!I8</f>
        <v>-32398.707994308323</v>
      </c>
      <c r="J17" s="18">
        <f>-'Cash Flow Statement'!J8</f>
        <v>157007.64477324113</v>
      </c>
      <c r="K17" s="18">
        <f>-'Cash Flow Statement'!K8</f>
        <v>-29763.803698448464</v>
      </c>
      <c r="L17" s="18">
        <f>-'Cash Flow Statement'!L8</f>
        <v>140531.34108736552</v>
      </c>
      <c r="M17" s="18">
        <f>-'Cash Flow Statement'!M8</f>
        <v>-20462.441039803438</v>
      </c>
      <c r="N17" s="18">
        <f>-'Cash Flow Statement'!N8</f>
        <v>47521.484415674582</v>
      </c>
    </row>
    <row r="18" spans="2:14" ht="15" customHeight="1" x14ac:dyDescent="0.3">
      <c r="B18" t="s">
        <v>1075</v>
      </c>
      <c r="C18" s="18">
        <f t="shared" ref="C18:N18" si="6">SUM(C14,C17)</f>
        <v>-3292357.4814478336</v>
      </c>
      <c r="D18" s="18">
        <f t="shared" si="6"/>
        <v>-1038801.4224848957</v>
      </c>
      <c r="E18" s="18">
        <f t="shared" si="6"/>
        <v>-989934.51564301178</v>
      </c>
      <c r="F18" s="18">
        <f t="shared" si="6"/>
        <v>-1006290.0792676043</v>
      </c>
      <c r="G18" s="18">
        <f t="shared" si="6"/>
        <v>-971573.7922247136</v>
      </c>
      <c r="H18" s="18">
        <f t="shared" si="6"/>
        <v>-964561.87881848775</v>
      </c>
      <c r="I18" s="18">
        <f t="shared" si="6"/>
        <v>-950642.44811934931</v>
      </c>
      <c r="J18" s="18">
        <f t="shared" si="6"/>
        <v>-569599.95221128035</v>
      </c>
      <c r="K18" s="18">
        <f t="shared" si="6"/>
        <v>-714256.90507973451</v>
      </c>
      <c r="L18" s="18">
        <f t="shared" si="6"/>
        <v>-340448.92500002636</v>
      </c>
      <c r="M18" s="18">
        <f t="shared" si="6"/>
        <v>-484189.04127218109</v>
      </c>
      <c r="N18" s="18">
        <f t="shared" si="6"/>
        <v>-277690.90532115474</v>
      </c>
    </row>
    <row r="19" spans="2:14" ht="15" customHeight="1" x14ac:dyDescent="0.3">
      <c r="B19" t="s">
        <v>1076</v>
      </c>
      <c r="C19" s="18">
        <f>Opening_Cash*Interest_Rate/12</f>
        <v>67500</v>
      </c>
      <c r="D19" s="18">
        <f>'Balance Sheet'!C5*Interest_Rate/12</f>
        <v>61810.069224091327</v>
      </c>
      <c r="E19" s="18">
        <f>'Balance Sheet'!D5*Interest_Rate/12</f>
        <v>57690.705161428312</v>
      </c>
      <c r="F19" s="18">
        <f>'Balance Sheet'!E5*Interest_Rate/12</f>
        <v>53639.101202011858</v>
      </c>
      <c r="G19" s="18">
        <f>'Balance Sheet'!F5*Interest_Rate/12</f>
        <v>49631.419983193831</v>
      </c>
      <c r="H19" s="18">
        <f>'Balance Sheet'!G5*Interest_Rate/12</f>
        <v>45790.654585179836</v>
      </c>
      <c r="I19" s="18">
        <f>'Balance Sheet'!H5*Interest_Rate/12</f>
        <v>41931.80669024527</v>
      </c>
      <c r="J19" s="18">
        <f>'Balance Sheet'!I5*Interest_Rate/12</f>
        <v>37999.610627587499</v>
      </c>
      <c r="K19" s="18">
        <f>'Balance Sheet'!J5*Interest_Rate/12</f>
        <v>34859.663669327238</v>
      </c>
      <c r="L19" s="18">
        <f>'Balance Sheet'!K5*Interest_Rate/12</f>
        <v>31678.842080069473</v>
      </c>
      <c r="M19" s="18">
        <f>'Balance Sheet'!L5*Interest_Rate/12</f>
        <v>29251.750752109332</v>
      </c>
      <c r="N19" s="18">
        <f>'Balance Sheet'!M5*Interest_Rate/12</f>
        <v>27055.01031314861</v>
      </c>
    </row>
    <row r="20" spans="2:14" ht="15" customHeight="1" x14ac:dyDescent="0.3">
      <c r="B20" t="s">
        <v>1077</v>
      </c>
      <c r="C20" s="18">
        <f t="shared" ref="C20:N20" si="7">-Opening_Debt*6%/12</f>
        <v>-25000</v>
      </c>
      <c r="D20" s="18">
        <f t="shared" si="7"/>
        <v>-25000</v>
      </c>
      <c r="E20" s="18">
        <f t="shared" si="7"/>
        <v>-25000</v>
      </c>
      <c r="F20" s="18">
        <f t="shared" si="7"/>
        <v>-25000</v>
      </c>
      <c r="G20" s="18">
        <f t="shared" si="7"/>
        <v>-25000</v>
      </c>
      <c r="H20" s="18">
        <f t="shared" si="7"/>
        <v>-25000</v>
      </c>
      <c r="I20" s="18">
        <f t="shared" si="7"/>
        <v>-25000</v>
      </c>
      <c r="J20" s="18">
        <f t="shared" si="7"/>
        <v>-25000</v>
      </c>
      <c r="K20" s="18">
        <f t="shared" si="7"/>
        <v>-25000</v>
      </c>
      <c r="L20" s="18">
        <f t="shared" si="7"/>
        <v>-25000</v>
      </c>
      <c r="M20" s="18">
        <f t="shared" si="7"/>
        <v>-25000</v>
      </c>
      <c r="N20" s="18">
        <f t="shared" si="7"/>
        <v>-25000</v>
      </c>
    </row>
    <row r="21" spans="2:14" ht="15" customHeight="1" x14ac:dyDescent="0.3">
      <c r="B21" t="s">
        <v>1078</v>
      </c>
      <c r="C21" s="18">
        <f t="shared" ref="C21:N21" si="8">SUM(C18:C20)</f>
        <v>-3249857.4814478336</v>
      </c>
      <c r="D21" s="18">
        <f t="shared" si="8"/>
        <v>-1001991.3532608043</v>
      </c>
      <c r="E21" s="18">
        <f t="shared" si="8"/>
        <v>-957243.81048158347</v>
      </c>
      <c r="F21" s="18">
        <f t="shared" si="8"/>
        <v>-977650.97806559247</v>
      </c>
      <c r="G21" s="18">
        <f t="shared" si="8"/>
        <v>-946942.37224151974</v>
      </c>
      <c r="H21" s="18">
        <f t="shared" si="8"/>
        <v>-943771.22423330788</v>
      </c>
      <c r="I21" s="18">
        <f t="shared" si="8"/>
        <v>-933710.64142910403</v>
      </c>
      <c r="J21" s="18">
        <f t="shared" si="8"/>
        <v>-556600.34158369282</v>
      </c>
      <c r="K21" s="18">
        <f t="shared" si="8"/>
        <v>-704397.24141040724</v>
      </c>
      <c r="L21" s="18">
        <f t="shared" si="8"/>
        <v>-333770.08291995688</v>
      </c>
      <c r="M21" s="18">
        <f t="shared" si="8"/>
        <v>-479937.29052007175</v>
      </c>
      <c r="N21" s="18">
        <f t="shared" si="8"/>
        <v>-275635.89500800613</v>
      </c>
    </row>
    <row r="22" spans="2:14" ht="15" customHeight="1" x14ac:dyDescent="0.3">
      <c r="B22" t="s">
        <v>1079</v>
      </c>
      <c r="C22" s="18">
        <f t="shared" ref="C22:N22" si="9">-MAX(0,C21*Tax_Rate)</f>
        <v>0</v>
      </c>
      <c r="D22" s="18">
        <f t="shared" si="9"/>
        <v>0</v>
      </c>
      <c r="E22" s="18">
        <f t="shared" si="9"/>
        <v>0</v>
      </c>
      <c r="F22" s="18">
        <f t="shared" si="9"/>
        <v>0</v>
      </c>
      <c r="G22" s="18">
        <f t="shared" si="9"/>
        <v>0</v>
      </c>
      <c r="H22" s="18">
        <f t="shared" si="9"/>
        <v>0</v>
      </c>
      <c r="I22" s="18">
        <f t="shared" si="9"/>
        <v>0</v>
      </c>
      <c r="J22" s="18">
        <f t="shared" si="9"/>
        <v>0</v>
      </c>
      <c r="K22" s="18">
        <f t="shared" si="9"/>
        <v>0</v>
      </c>
      <c r="L22" s="18">
        <f t="shared" si="9"/>
        <v>0</v>
      </c>
      <c r="M22" s="18">
        <f t="shared" si="9"/>
        <v>0</v>
      </c>
      <c r="N22" s="18">
        <f t="shared" si="9"/>
        <v>0</v>
      </c>
    </row>
    <row r="23" spans="2:14" ht="15" customHeight="1" x14ac:dyDescent="0.3">
      <c r="B23" t="s">
        <v>1080</v>
      </c>
      <c r="C23" s="18">
        <f t="shared" ref="C23:N23" si="10">SUM(C21:C22)</f>
        <v>-3249857.4814478336</v>
      </c>
      <c r="D23" s="18">
        <f t="shared" si="10"/>
        <v>-1001991.3532608043</v>
      </c>
      <c r="E23" s="18">
        <f t="shared" si="10"/>
        <v>-957243.81048158347</v>
      </c>
      <c r="F23" s="18">
        <f t="shared" si="10"/>
        <v>-977650.97806559247</v>
      </c>
      <c r="G23" s="18">
        <f t="shared" si="10"/>
        <v>-946942.37224151974</v>
      </c>
      <c r="H23" s="18">
        <f t="shared" si="10"/>
        <v>-943771.22423330788</v>
      </c>
      <c r="I23" s="18">
        <f t="shared" si="10"/>
        <v>-933710.64142910403</v>
      </c>
      <c r="J23" s="18">
        <f t="shared" si="10"/>
        <v>-556600.34158369282</v>
      </c>
      <c r="K23" s="18">
        <f t="shared" si="10"/>
        <v>-704397.24141040724</v>
      </c>
      <c r="L23" s="18">
        <f t="shared" si="10"/>
        <v>-333770.08291995688</v>
      </c>
      <c r="M23" s="18">
        <f t="shared" si="10"/>
        <v>-479937.29052007175</v>
      </c>
      <c r="N23" s="18">
        <f t="shared" si="10"/>
        <v>-275635.89500800613</v>
      </c>
    </row>
    <row r="24" spans="2:14" ht="15" customHeight="1" x14ac:dyDescent="0.3"/>
    <row r="25" spans="2:14" ht="15" customHeight="1" x14ac:dyDescent="0.3"/>
    <row r="26" spans="2:14" ht="15" customHeight="1" x14ac:dyDescent="0.3"/>
    <row r="27" spans="2:14" ht="15" customHeight="1" x14ac:dyDescent="0.3"/>
    <row r="28" spans="2:14" ht="15" customHeight="1" x14ac:dyDescent="0.3"/>
  </sheetData>
  <mergeCells count="1">
    <mergeCell ref="A1:N1"/>
  </mergeCells>
  <pageMargins left="0.75" right="0.75" top="1" bottom="1" header="0.5" footer="0.5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26"/>
  <sheetViews>
    <sheetView showGridLines="0"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" customWidth="1"/>
    <col min="2" max="2" width="30" customWidth="1"/>
    <col min="3" max="14" width="13" customWidth="1"/>
  </cols>
  <sheetData>
    <row r="1" spans="1:14" ht="34.049999999999997" customHeight="1" x14ac:dyDescent="0.3">
      <c r="A1" s="28" t="s">
        <v>1081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</row>
    <row r="2" spans="1:14" ht="15" customHeight="1" x14ac:dyDescent="0.3"/>
    <row r="3" spans="1:14" ht="15" customHeight="1" x14ac:dyDescent="0.3">
      <c r="B3" s="5"/>
      <c r="C3" s="16">
        <v>46023</v>
      </c>
      <c r="D3" s="16">
        <v>46054</v>
      </c>
      <c r="E3" s="16">
        <v>46082</v>
      </c>
      <c r="F3" s="16">
        <v>46113</v>
      </c>
      <c r="G3" s="16">
        <v>46143</v>
      </c>
      <c r="H3" s="16">
        <v>46174</v>
      </c>
      <c r="I3" s="16">
        <v>46204</v>
      </c>
      <c r="J3" s="16">
        <v>46235</v>
      </c>
      <c r="K3" s="16">
        <v>46266</v>
      </c>
      <c r="L3" s="16">
        <v>46296</v>
      </c>
      <c r="M3" s="16">
        <v>46327</v>
      </c>
      <c r="N3" s="16">
        <v>46357</v>
      </c>
    </row>
    <row r="4" spans="1:14" ht="15" customHeight="1" x14ac:dyDescent="0.3"/>
    <row r="5" spans="1:14" ht="15" customHeight="1" x14ac:dyDescent="0.3">
      <c r="B5" t="s">
        <v>1082</v>
      </c>
      <c r="C5" s="18">
        <f>'Cash Flow Statement'!C17</f>
        <v>16482685.126424354</v>
      </c>
      <c r="D5" s="18">
        <f>'Cash Flow Statement'!D17</f>
        <v>15384188.043047549</v>
      </c>
      <c r="E5" s="18">
        <f>'Cash Flow Statement'!E17</f>
        <v>14303760.320536494</v>
      </c>
      <c r="F5" s="18">
        <f>'Cash Flow Statement'!F17</f>
        <v>13235045.328851689</v>
      </c>
      <c r="G5" s="18">
        <f>'Cash Flow Statement'!G17</f>
        <v>12210841.222714622</v>
      </c>
      <c r="H5" s="18">
        <f>'Cash Flow Statement'!H17</f>
        <v>11181815.117398739</v>
      </c>
      <c r="I5" s="18">
        <f>'Cash Flow Statement'!I17</f>
        <v>10133229.50069</v>
      </c>
      <c r="J5" s="18">
        <f>'Cash Flow Statement'!J17</f>
        <v>9295910.3118205965</v>
      </c>
      <c r="K5" s="18">
        <f>'Cash Flow Statement'!K17</f>
        <v>8447691.2213518601</v>
      </c>
      <c r="L5" s="18">
        <f>'Cash Flow Statement'!L17</f>
        <v>7800466.8672291553</v>
      </c>
      <c r="M5" s="18">
        <f>'Cash Flow Statement'!M17</f>
        <v>7214669.4168396294</v>
      </c>
      <c r="N5" s="18">
        <f>'Cash Flow Statement'!N17</f>
        <v>6673852.6436219877</v>
      </c>
    </row>
    <row r="6" spans="1:14" ht="15" customHeight="1" x14ac:dyDescent="0.3">
      <c r="B6" t="s">
        <v>1083</v>
      </c>
      <c r="C6" s="18">
        <f>'Income Statement'!C4*DSO/30</f>
        <v>6494221.1733333329</v>
      </c>
      <c r="D6" s="18">
        <f>'Income Statement'!D4*DSO/30</f>
        <v>6570532.2690400006</v>
      </c>
      <c r="E6" s="18">
        <f>'Income Statement'!E4*DSO/30</f>
        <v>6676597.342624573</v>
      </c>
      <c r="F6" s="18">
        <f>'Income Statement'!F4*DSO/30</f>
        <v>6776286.7265641792</v>
      </c>
      <c r="G6" s="18">
        <f>'Income Statement'!G4*DSO/30</f>
        <v>6826624.5295081791</v>
      </c>
      <c r="H6" s="18">
        <f>'Income Statement'!H4*DSO/30</f>
        <v>6890940.2700663768</v>
      </c>
      <c r="I6" s="18">
        <f>'Income Statement'!I4*DSO/30</f>
        <v>7002858.8249776121</v>
      </c>
      <c r="J6" s="18">
        <f>'Income Statement'!J4*DSO/30</f>
        <v>7091189.7092819232</v>
      </c>
      <c r="K6" s="18">
        <f>'Income Statement'!K4*DSO/30</f>
        <v>7230356.0428382577</v>
      </c>
      <c r="L6" s="18">
        <f>'Income Statement'!L4*DSO/30</f>
        <v>7372993.9618931431</v>
      </c>
      <c r="M6" s="18">
        <f>'Income Statement'!M4*DSO/30</f>
        <v>7445415.7344741719</v>
      </c>
      <c r="N6" s="18">
        <f>'Income Statement'!N4*DSO/30</f>
        <v>7632174.1322000902</v>
      </c>
    </row>
    <row r="7" spans="1:14" ht="15" customHeight="1" x14ac:dyDescent="0.3">
      <c r="B7" t="s">
        <v>1084</v>
      </c>
      <c r="C7" s="18">
        <f>'Income Statement'!C13*-5%</f>
        <v>216768.44780518953</v>
      </c>
      <c r="D7" s="18">
        <f>'Income Statement'!D13*-5%</f>
        <v>216991.79089168605</v>
      </c>
      <c r="E7" s="18">
        <f>'Income Statement'!E13*-5%</f>
        <v>217215.86514532991</v>
      </c>
      <c r="F7" s="18">
        <f>'Income Statement'!F13*-5%</f>
        <v>218940.67245977206</v>
      </c>
      <c r="G7" s="18">
        <f>'Income Statement'!G13*-5%</f>
        <v>219603.71623649972</v>
      </c>
      <c r="H7" s="18">
        <f>'Income Statement'!H13*-5%</f>
        <v>220559.16488486194</v>
      </c>
      <c r="I7" s="18">
        <f>'Income Statement'!I13*-5%</f>
        <v>222077.85432209514</v>
      </c>
      <c r="J7" s="18">
        <f>'Income Statement'!J13*-5%</f>
        <v>214718.12097334946</v>
      </c>
      <c r="K7" s="18">
        <f>'Income Statement'!K13*-5%</f>
        <v>216113.29927171423</v>
      </c>
      <c r="L7" s="18">
        <f>'Income Statement'!L13*-5%</f>
        <v>209525.892658244</v>
      </c>
      <c r="M7" s="18">
        <f>'Income Statement'!M13*-5%</f>
        <v>210485.06958198478</v>
      </c>
      <c r="N7" s="18">
        <f>'Income Statement'!N13*-5%</f>
        <v>208257.5</v>
      </c>
    </row>
    <row r="8" spans="1:14" ht="15" customHeight="1" x14ac:dyDescent="0.3">
      <c r="B8" t="s">
        <v>1085</v>
      </c>
      <c r="C8" s="18">
        <f>IF(C$3=DATE(2026,1,1),6000000,B8)+'Cash Flow Statement'!C12+'Cash Flow Statement'!C8*-1</f>
        <v>3674134.2409892902</v>
      </c>
      <c r="D8" s="18">
        <f>IF(D$3=DATE(2026,1,1),6000000,C8)+'Cash Flow Statement'!D12+'Cash Flow Statement'!D8*-1</f>
        <v>3566705.0217736149</v>
      </c>
      <c r="E8" s="18">
        <f>IF(E$3=DATE(2026,1,1),6000000,D8)+'Cash Flow Statement'!E12+'Cash Flow Statement'!E8*-1</f>
        <v>3457602.9375507035</v>
      </c>
      <c r="F8" s="18">
        <f>IF(F$3=DATE(2026,1,1),6000000,E8)+'Cash Flow Statement'!F12+'Cash Flow Statement'!F8*-1</f>
        <v>3314927.5680733719</v>
      </c>
      <c r="G8" s="18">
        <f>IF(G$3=DATE(2026,1,1),6000000,F8)+'Cash Flow Statement'!G12+'Cash Flow Statement'!G8*-1</f>
        <v>3194116.6258962839</v>
      </c>
      <c r="H8" s="18">
        <f>IF(H$3=DATE(2026,1,1),6000000,G8)+'Cash Flow Statement'!H12+'Cash Flow Statement'!H8*-1</f>
        <v>3066062.7796781021</v>
      </c>
      <c r="I8" s="18">
        <f>IF(I$3=DATE(2026,1,1),6000000,H8)+'Cash Flow Statement'!I12+'Cash Flow Statement'!I8*-1</f>
        <v>2924244.4025435187</v>
      </c>
      <c r="J8" s="18">
        <f>IF(J$3=DATE(2026,1,1),6000000,I8)+'Cash Flow Statement'!J12+'Cash Flow Statement'!J8*-1</f>
        <v>2970452.2081092298</v>
      </c>
      <c r="K8" s="18">
        <f>IF(K$3=DATE(2026,1,1),6000000,J8)+'Cash Flow Statement'!K12+'Cash Flow Statement'!K8*-1</f>
        <v>2827714.0912414338</v>
      </c>
      <c r="L8" s="18">
        <f>IF(L$3=DATE(2026,1,1),6000000,K8)+'Cash Flow Statement'!L12+'Cash Flow Statement'!L8*-1</f>
        <v>2853042.4016742189</v>
      </c>
      <c r="M8" s="18">
        <f>IF(M$3=DATE(2026,1,1),6000000,L8)+'Cash Flow Statement'!M12+'Cash Flow Statement'!M8*-1</f>
        <v>2716245.3397832564</v>
      </c>
      <c r="N8" s="18">
        <f>IF(N$3=DATE(2026,1,1),6000000,M8)+'Cash Flow Statement'!N12+'Cash Flow Statement'!N8*-1</f>
        <v>2644514.1033833046</v>
      </c>
    </row>
    <row r="9" spans="1:14" ht="15" customHeight="1" x14ac:dyDescent="0.3">
      <c r="B9" t="s">
        <v>1086</v>
      </c>
      <c r="C9" s="18">
        <f t="shared" ref="C9:N9" si="0">SUM(C5:C8)</f>
        <v>26867808.988552164</v>
      </c>
      <c r="D9" s="18">
        <f t="shared" si="0"/>
        <v>25738417.124752849</v>
      </c>
      <c r="E9" s="18">
        <f t="shared" si="0"/>
        <v>24655176.465857103</v>
      </c>
      <c r="F9" s="18">
        <f t="shared" si="0"/>
        <v>23545200.295949016</v>
      </c>
      <c r="G9" s="18">
        <f t="shared" si="0"/>
        <v>22451186.094355579</v>
      </c>
      <c r="H9" s="18">
        <f t="shared" si="0"/>
        <v>21359377.33202808</v>
      </c>
      <c r="I9" s="18">
        <f t="shared" si="0"/>
        <v>20282410.582533225</v>
      </c>
      <c r="J9" s="18">
        <f t="shared" si="0"/>
        <v>19572270.350185096</v>
      </c>
      <c r="K9" s="18">
        <f t="shared" si="0"/>
        <v>18721874.654703267</v>
      </c>
      <c r="L9" s="18">
        <f t="shared" si="0"/>
        <v>18236029.123454761</v>
      </c>
      <c r="M9" s="18">
        <f t="shared" si="0"/>
        <v>17586815.560679041</v>
      </c>
      <c r="N9" s="18">
        <f t="shared" si="0"/>
        <v>17158798.379205383</v>
      </c>
    </row>
    <row r="10" spans="1:14" ht="15" customHeight="1" x14ac:dyDescent="0.3"/>
    <row r="11" spans="1:14" ht="15" customHeight="1" x14ac:dyDescent="0.3">
      <c r="B11" t="s">
        <v>1087</v>
      </c>
      <c r="C11" s="18">
        <f>-'Income Statement'!C13*DPO/30</f>
        <v>4624393.5531773763</v>
      </c>
      <c r="D11" s="18">
        <f>-'Income Statement'!D13*DPO/30</f>
        <v>4629158.2056893017</v>
      </c>
      <c r="E11" s="18">
        <f>-'Income Statement'!E13*DPO/30</f>
        <v>4633938.4564337041</v>
      </c>
      <c r="F11" s="18">
        <f>-'Income Statement'!F13*DPO/30</f>
        <v>4670734.3458084706</v>
      </c>
      <c r="G11" s="18">
        <f>-'Income Statement'!G13*DPO/30</f>
        <v>4684879.2797119934</v>
      </c>
      <c r="H11" s="18">
        <f>-'Income Statement'!H13*DPO/30</f>
        <v>4705262.184210388</v>
      </c>
      <c r="I11" s="18">
        <f>-'Income Statement'!I13*DPO/30</f>
        <v>4737660.8922046963</v>
      </c>
      <c r="J11" s="18">
        <f>-'Income Statement'!J13*DPO/30</f>
        <v>4580653.2474314552</v>
      </c>
      <c r="K11" s="18">
        <f>-'Income Statement'!K13*DPO/30</f>
        <v>4610417.0511299036</v>
      </c>
      <c r="L11" s="18">
        <f>-'Income Statement'!L13*DPO/30</f>
        <v>4469885.7100425381</v>
      </c>
      <c r="M11" s="18">
        <f>-'Income Statement'!M13*DPO/30</f>
        <v>4490348.1510823416</v>
      </c>
      <c r="N11" s="18">
        <f>-'Income Statement'!N13*DPO/30</f>
        <v>4442826.666666667</v>
      </c>
    </row>
    <row r="12" spans="1:14" ht="15" customHeight="1" x14ac:dyDescent="0.3">
      <c r="B12" t="s">
        <v>1088</v>
      </c>
      <c r="C12" s="18">
        <f>'Income Statement'!C4*0.35</f>
        <v>1420610.8816666664</v>
      </c>
      <c r="D12" s="18">
        <f>'Income Statement'!D4*0.35</f>
        <v>1437303.9338525</v>
      </c>
      <c r="E12" s="18">
        <f>'Income Statement'!E4*0.35</f>
        <v>1460505.6686991253</v>
      </c>
      <c r="F12" s="18">
        <f>'Income Statement'!F4*0.35</f>
        <v>1482312.721435914</v>
      </c>
      <c r="G12" s="18">
        <f>'Income Statement'!G4*0.35</f>
        <v>1493324.1158299141</v>
      </c>
      <c r="H12" s="18">
        <f>'Income Statement'!H4*0.35</f>
        <v>1507393.1840770196</v>
      </c>
      <c r="I12" s="18">
        <f>'Income Statement'!I4*0.35</f>
        <v>1531875.3679638526</v>
      </c>
      <c r="J12" s="18">
        <f>'Income Statement'!J4*0.35</f>
        <v>1551197.7489054205</v>
      </c>
      <c r="K12" s="18">
        <f>'Income Statement'!K4*0.35</f>
        <v>1581640.3843708688</v>
      </c>
      <c r="L12" s="18">
        <f>'Income Statement'!L4*0.35</f>
        <v>1612842.4291641249</v>
      </c>
      <c r="M12" s="18">
        <f>'Income Statement'!M4*0.35</f>
        <v>1628684.691916225</v>
      </c>
      <c r="N12" s="18">
        <f>'Income Statement'!N4*0.35</f>
        <v>1669538.0914187697</v>
      </c>
    </row>
    <row r="13" spans="1:14" ht="15" customHeight="1" x14ac:dyDescent="0.3">
      <c r="B13" t="s">
        <v>1089</v>
      </c>
      <c r="C13" s="18">
        <f t="shared" ref="C13:N13" si="1">Opening_Debt</f>
        <v>5000000</v>
      </c>
      <c r="D13" s="18">
        <f t="shared" si="1"/>
        <v>5000000</v>
      </c>
      <c r="E13" s="18">
        <f t="shared" si="1"/>
        <v>5000000</v>
      </c>
      <c r="F13" s="18">
        <f t="shared" si="1"/>
        <v>5000000</v>
      </c>
      <c r="G13" s="18">
        <f t="shared" si="1"/>
        <v>5000000</v>
      </c>
      <c r="H13" s="18">
        <f t="shared" si="1"/>
        <v>5000000</v>
      </c>
      <c r="I13" s="18">
        <f t="shared" si="1"/>
        <v>5000000</v>
      </c>
      <c r="J13" s="18">
        <f t="shared" si="1"/>
        <v>5000000</v>
      </c>
      <c r="K13" s="18">
        <f t="shared" si="1"/>
        <v>5000000</v>
      </c>
      <c r="L13" s="18">
        <f t="shared" si="1"/>
        <v>5000000</v>
      </c>
      <c r="M13" s="18">
        <f t="shared" si="1"/>
        <v>5000000</v>
      </c>
      <c r="N13" s="18">
        <f t="shared" si="1"/>
        <v>5000000</v>
      </c>
    </row>
    <row r="14" spans="1:14" ht="15" customHeight="1" x14ac:dyDescent="0.3">
      <c r="B14" t="s">
        <v>1090</v>
      </c>
      <c r="C14" s="18">
        <f t="shared" ref="C14:N14" si="2">SUM(C11:C13)</f>
        <v>11045004.434844043</v>
      </c>
      <c r="D14" s="18">
        <f t="shared" si="2"/>
        <v>11066462.139541801</v>
      </c>
      <c r="E14" s="18">
        <f t="shared" si="2"/>
        <v>11094444.125132829</v>
      </c>
      <c r="F14" s="18">
        <f t="shared" si="2"/>
        <v>11153047.067244384</v>
      </c>
      <c r="G14" s="18">
        <f t="shared" si="2"/>
        <v>11178203.395541906</v>
      </c>
      <c r="H14" s="18">
        <f t="shared" si="2"/>
        <v>11212655.368287407</v>
      </c>
      <c r="I14" s="18">
        <f t="shared" si="2"/>
        <v>11269536.260168549</v>
      </c>
      <c r="J14" s="18">
        <f t="shared" si="2"/>
        <v>11131850.996336875</v>
      </c>
      <c r="K14" s="18">
        <f t="shared" si="2"/>
        <v>11192057.435500773</v>
      </c>
      <c r="L14" s="18">
        <f t="shared" si="2"/>
        <v>11082728.139206663</v>
      </c>
      <c r="M14" s="18">
        <f t="shared" si="2"/>
        <v>11119032.842998566</v>
      </c>
      <c r="N14" s="18">
        <f t="shared" si="2"/>
        <v>11112364.758085437</v>
      </c>
    </row>
    <row r="15" spans="1:14" ht="15" customHeight="1" x14ac:dyDescent="0.3"/>
    <row r="16" spans="1:14" ht="15" customHeight="1" x14ac:dyDescent="0.3">
      <c r="B16" t="s">
        <v>1091</v>
      </c>
      <c r="C16" s="18">
        <f t="shared" ref="C16:N16" si="3">C9-C14-C17</f>
        <v>19072662.035155956</v>
      </c>
      <c r="D16" s="18">
        <f t="shared" si="3"/>
        <v>18923803.819919687</v>
      </c>
      <c r="E16" s="18">
        <f t="shared" si="3"/>
        <v>18769824.985914495</v>
      </c>
      <c r="F16" s="18">
        <f t="shared" si="3"/>
        <v>18578896.851960443</v>
      </c>
      <c r="G16" s="18">
        <f t="shared" si="3"/>
        <v>18406668.694311008</v>
      </c>
      <c r="H16" s="18">
        <f t="shared" si="3"/>
        <v>18224179.183471315</v>
      </c>
      <c r="I16" s="18">
        <f t="shared" si="3"/>
        <v>18024042.183524422</v>
      </c>
      <c r="J16" s="18">
        <f t="shared" si="3"/>
        <v>18008187.55659166</v>
      </c>
      <c r="K16" s="18">
        <f t="shared" si="3"/>
        <v>17801982.663356341</v>
      </c>
      <c r="L16" s="18">
        <f t="shared" si="3"/>
        <v>17759236.511321902</v>
      </c>
      <c r="M16" s="18">
        <f t="shared" si="3"/>
        <v>17553655.535274349</v>
      </c>
      <c r="N16" s="18">
        <f t="shared" si="3"/>
        <v>17407942.333721828</v>
      </c>
    </row>
    <row r="17" spans="2:14" ht="15" customHeight="1" x14ac:dyDescent="0.3">
      <c r="B17" t="s">
        <v>1092</v>
      </c>
      <c r="C17" s="18">
        <f>IF(C$3=DATE(2026,1,1),0,B17)+'Income Statement'!C23</f>
        <v>-3249857.4814478336</v>
      </c>
      <c r="D17" s="18">
        <f>IF(D$3=DATE(2026,1,1),0,C17)+'Income Statement'!D23</f>
        <v>-4251848.8347086376</v>
      </c>
      <c r="E17" s="18">
        <f>IF(E$3=DATE(2026,1,1),0,D17)+'Income Statement'!E23</f>
        <v>-5209092.6451902213</v>
      </c>
      <c r="F17" s="18">
        <f>IF(F$3=DATE(2026,1,1),0,E17)+'Income Statement'!F23</f>
        <v>-6186743.6232558135</v>
      </c>
      <c r="G17" s="18">
        <f>IF(G$3=DATE(2026,1,1),0,F17)+'Income Statement'!G23</f>
        <v>-7133685.9954973329</v>
      </c>
      <c r="H17" s="18">
        <f>IF(H$3=DATE(2026,1,1),0,G17)+'Income Statement'!H23</f>
        <v>-8077457.2197306408</v>
      </c>
      <c r="I17" s="18">
        <f>IF(I$3=DATE(2026,1,1),0,H17)+'Income Statement'!I23</f>
        <v>-9011167.8611597456</v>
      </c>
      <c r="J17" s="18">
        <f>IF(J$3=DATE(2026,1,1),0,I17)+'Income Statement'!J23</f>
        <v>-9567768.202743439</v>
      </c>
      <c r="K17" s="18">
        <f>IF(K$3=DATE(2026,1,1),0,J17)+'Income Statement'!K23</f>
        <v>-10272165.444153845</v>
      </c>
      <c r="L17" s="18">
        <f>IF(L$3=DATE(2026,1,1),0,K17)+'Income Statement'!L23</f>
        <v>-10605935.527073802</v>
      </c>
      <c r="M17" s="18">
        <f>IF(M$3=DATE(2026,1,1),0,L17)+'Income Statement'!M23</f>
        <v>-11085872.817593874</v>
      </c>
      <c r="N17" s="18">
        <f>IF(N$3=DATE(2026,1,1),0,M17)+'Income Statement'!N23</f>
        <v>-11361508.712601881</v>
      </c>
    </row>
    <row r="18" spans="2:14" ht="15" customHeight="1" x14ac:dyDescent="0.3">
      <c r="B18" t="s">
        <v>1093</v>
      </c>
      <c r="C18" s="18">
        <f t="shared" ref="C18:N18" si="4">SUM(C16:C17)</f>
        <v>15822804.553708121</v>
      </c>
      <c r="D18" s="18">
        <f t="shared" si="4"/>
        <v>14671954.985211048</v>
      </c>
      <c r="E18" s="18">
        <f t="shared" si="4"/>
        <v>13560732.340724275</v>
      </c>
      <c r="F18" s="18">
        <f t="shared" si="4"/>
        <v>12392153.228704629</v>
      </c>
      <c r="G18" s="18">
        <f t="shared" si="4"/>
        <v>11272982.698813675</v>
      </c>
      <c r="H18" s="18">
        <f t="shared" si="4"/>
        <v>10146721.963740673</v>
      </c>
      <c r="I18" s="18">
        <f t="shared" si="4"/>
        <v>9012874.3223646767</v>
      </c>
      <c r="J18" s="18">
        <f t="shared" si="4"/>
        <v>8440419.3538482208</v>
      </c>
      <c r="K18" s="18">
        <f t="shared" si="4"/>
        <v>7529817.2192024961</v>
      </c>
      <c r="L18" s="18">
        <f t="shared" si="4"/>
        <v>7153300.9842480998</v>
      </c>
      <c r="M18" s="18">
        <f t="shared" si="4"/>
        <v>6467782.7176804747</v>
      </c>
      <c r="N18" s="18">
        <f t="shared" si="4"/>
        <v>6046433.6211199462</v>
      </c>
    </row>
    <row r="19" spans="2:14" ht="15" customHeight="1" x14ac:dyDescent="0.3"/>
    <row r="20" spans="2:14" ht="15" customHeight="1" x14ac:dyDescent="0.3">
      <c r="B20" t="s">
        <v>1094</v>
      </c>
      <c r="C20" s="18">
        <f t="shared" ref="C20:N20" si="5">SUM(C14,C18)</f>
        <v>26867808.988552164</v>
      </c>
      <c r="D20" s="18">
        <f t="shared" si="5"/>
        <v>25738417.124752849</v>
      </c>
      <c r="E20" s="18">
        <f t="shared" si="5"/>
        <v>24655176.465857103</v>
      </c>
      <c r="F20" s="18">
        <f t="shared" si="5"/>
        <v>23545200.295949012</v>
      </c>
      <c r="G20" s="18">
        <f t="shared" si="5"/>
        <v>22451186.094355583</v>
      </c>
      <c r="H20" s="18">
        <f t="shared" si="5"/>
        <v>21359377.33202808</v>
      </c>
      <c r="I20" s="18">
        <f t="shared" si="5"/>
        <v>20282410.582533225</v>
      </c>
      <c r="J20" s="18">
        <f t="shared" si="5"/>
        <v>19572270.350185096</v>
      </c>
      <c r="K20" s="18">
        <f t="shared" si="5"/>
        <v>18721874.654703267</v>
      </c>
      <c r="L20" s="18">
        <f t="shared" si="5"/>
        <v>18236029.123454764</v>
      </c>
      <c r="M20" s="18">
        <f t="shared" si="5"/>
        <v>17586815.560679041</v>
      </c>
      <c r="N20" s="18">
        <f t="shared" si="5"/>
        <v>17158798.379205383</v>
      </c>
    </row>
    <row r="21" spans="2:14" ht="15" customHeight="1" x14ac:dyDescent="0.3"/>
    <row r="22" spans="2:14" ht="15" customHeight="1" x14ac:dyDescent="0.3">
      <c r="B22" t="s">
        <v>1095</v>
      </c>
      <c r="C22" s="18">
        <f t="shared" ref="C22:N22" si="6">C9-C20</f>
        <v>0</v>
      </c>
      <c r="D22" s="18">
        <f t="shared" si="6"/>
        <v>0</v>
      </c>
      <c r="E22" s="18">
        <f t="shared" si="6"/>
        <v>0</v>
      </c>
      <c r="F22" s="18">
        <f t="shared" si="6"/>
        <v>0</v>
      </c>
      <c r="G22" s="18">
        <f t="shared" si="6"/>
        <v>0</v>
      </c>
      <c r="H22" s="18">
        <f t="shared" si="6"/>
        <v>0</v>
      </c>
      <c r="I22" s="18">
        <f t="shared" si="6"/>
        <v>0</v>
      </c>
      <c r="J22" s="18">
        <f t="shared" si="6"/>
        <v>0</v>
      </c>
      <c r="K22" s="18">
        <f t="shared" si="6"/>
        <v>0</v>
      </c>
      <c r="L22" s="18">
        <f t="shared" si="6"/>
        <v>0</v>
      </c>
      <c r="M22" s="18">
        <f t="shared" si="6"/>
        <v>0</v>
      </c>
      <c r="N22" s="18">
        <f t="shared" si="6"/>
        <v>0</v>
      </c>
    </row>
    <row r="23" spans="2:14" ht="15" customHeight="1" x14ac:dyDescent="0.3"/>
    <row r="24" spans="2:14" ht="15" customHeight="1" x14ac:dyDescent="0.3"/>
    <row r="25" spans="2:14" ht="15" customHeight="1" x14ac:dyDescent="0.3"/>
    <row r="26" spans="2:14" ht="15" customHeight="1" x14ac:dyDescent="0.3"/>
  </sheetData>
  <mergeCells count="1">
    <mergeCell ref="A1:N1"/>
  </mergeCells>
  <conditionalFormatting sqref="C22:N22">
    <cfRule type="cellIs" dxfId="5" priority="1" operator="notEqual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22"/>
  <sheetViews>
    <sheetView showGridLines="0"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" customWidth="1"/>
    <col min="2" max="2" width="30" customWidth="1"/>
    <col min="3" max="14" width="13" customWidth="1"/>
  </cols>
  <sheetData>
    <row r="1" spans="1:14" ht="34.049999999999997" customHeight="1" x14ac:dyDescent="0.3">
      <c r="A1" s="28" t="s">
        <v>1096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</row>
    <row r="2" spans="1:14" ht="15" customHeight="1" x14ac:dyDescent="0.3"/>
    <row r="3" spans="1:14" ht="15" customHeight="1" x14ac:dyDescent="0.3">
      <c r="B3" s="5"/>
      <c r="C3" s="16">
        <v>46023</v>
      </c>
      <c r="D3" s="16">
        <v>46054</v>
      </c>
      <c r="E3" s="16">
        <v>46082</v>
      </c>
      <c r="F3" s="16">
        <v>46113</v>
      </c>
      <c r="G3" s="16">
        <v>46143</v>
      </c>
      <c r="H3" s="16">
        <v>46174</v>
      </c>
      <c r="I3" s="16">
        <v>46204</v>
      </c>
      <c r="J3" s="16">
        <v>46235</v>
      </c>
      <c r="K3" s="16">
        <v>46266</v>
      </c>
      <c r="L3" s="16">
        <v>46296</v>
      </c>
      <c r="M3" s="16">
        <v>46327</v>
      </c>
      <c r="N3" s="16">
        <v>46357</v>
      </c>
    </row>
    <row r="4" spans="1:14" ht="15" customHeight="1" x14ac:dyDescent="0.3">
      <c r="B4" t="s">
        <v>1080</v>
      </c>
      <c r="C4" s="18">
        <f>'Income Statement'!C23</f>
        <v>-3249857.4814478336</v>
      </c>
      <c r="D4" s="18">
        <f>'Income Statement'!D23</f>
        <v>-1001991.3532608043</v>
      </c>
      <c r="E4" s="18">
        <f>'Income Statement'!E23</f>
        <v>-957243.81048158347</v>
      </c>
      <c r="F4" s="18">
        <f>'Income Statement'!F23</f>
        <v>-977650.97806559247</v>
      </c>
      <c r="G4" s="18">
        <f>'Income Statement'!G23</f>
        <v>-946942.37224151974</v>
      </c>
      <c r="H4" s="18">
        <f>'Income Statement'!H23</f>
        <v>-943771.22423330788</v>
      </c>
      <c r="I4" s="18">
        <f>'Income Statement'!I23</f>
        <v>-933710.64142910403</v>
      </c>
      <c r="J4" s="18">
        <f>'Income Statement'!J23</f>
        <v>-556600.34158369282</v>
      </c>
      <c r="K4" s="18">
        <f>'Income Statement'!K23</f>
        <v>-704397.24141040724</v>
      </c>
      <c r="L4" s="18">
        <f>'Income Statement'!L23</f>
        <v>-333770.08291995688</v>
      </c>
      <c r="M4" s="18">
        <f>'Income Statement'!M23</f>
        <v>-479937.29052007175</v>
      </c>
      <c r="N4" s="18">
        <f>'Income Statement'!N23</f>
        <v>-275635.89500800613</v>
      </c>
    </row>
    <row r="5" spans="1:14" ht="15" customHeight="1" x14ac:dyDescent="0.3">
      <c r="B5" t="s">
        <v>1074</v>
      </c>
      <c r="C5" s="18">
        <f>IF(C$3=DATE(2026,1,1),6000000/60,'Balance Sheet'!B8/60)</f>
        <v>100000</v>
      </c>
      <c r="D5" s="18">
        <f>IF(D$3=DATE(2026,1,1),6000000/60,'Balance Sheet'!C8/60)</f>
        <v>61235.570683154838</v>
      </c>
      <c r="E5" s="18">
        <f>IF(E$3=DATE(2026,1,1),6000000/60,'Balance Sheet'!D8/60)</f>
        <v>59445.083696226917</v>
      </c>
      <c r="F5" s="18">
        <f>IF(F$3=DATE(2026,1,1),6000000/60,'Balance Sheet'!E8/60)</f>
        <v>57626.715625845056</v>
      </c>
      <c r="G5" s="18">
        <f>IF(G$3=DATE(2026,1,1),6000000/60,'Balance Sheet'!F8/60)</f>
        <v>55248.792801222866</v>
      </c>
      <c r="H5" s="18">
        <f>IF(H$3=DATE(2026,1,1),6000000/60,'Balance Sheet'!G8/60)</f>
        <v>53235.277098271399</v>
      </c>
      <c r="I5" s="18">
        <f>IF(I$3=DATE(2026,1,1),6000000/60,'Balance Sheet'!H8/60)</f>
        <v>51101.046327968368</v>
      </c>
      <c r="J5" s="18">
        <f>IF(J$3=DATE(2026,1,1),6000000/60,'Balance Sheet'!I8/60)</f>
        <v>48737.406709058647</v>
      </c>
      <c r="K5" s="18">
        <f>IF(K$3=DATE(2026,1,1),6000000/60,'Balance Sheet'!J8/60)</f>
        <v>49507.536801820497</v>
      </c>
      <c r="L5" s="18">
        <f>IF(L$3=DATE(2026,1,1),6000000/60,'Balance Sheet'!K8/60)</f>
        <v>47128.568187357232</v>
      </c>
      <c r="M5" s="18">
        <f>IF(M$3=DATE(2026,1,1),6000000/60,'Balance Sheet'!L8/60)</f>
        <v>47550.706694570319</v>
      </c>
      <c r="N5" s="18">
        <f>IF(N$3=DATE(2026,1,1),6000000/60,'Balance Sheet'!M8/60)</f>
        <v>45270.755663054275</v>
      </c>
    </row>
    <row r="6" spans="1:14" ht="15" customHeight="1" x14ac:dyDescent="0.3">
      <c r="B6" t="s">
        <v>1097</v>
      </c>
      <c r="C6" s="18">
        <f>-('Balance Sheet'!C6-IF(C$3=DATE(2026,1,1),5500000,'Balance Sheet'!B6))</f>
        <v>-994221.17333333287</v>
      </c>
      <c r="D6" s="18">
        <f>-('Balance Sheet'!D6-IF(D$3=DATE(2026,1,1),5500000,'Balance Sheet'!C6))</f>
        <v>-76311.095706667751</v>
      </c>
      <c r="E6" s="18">
        <f>-('Balance Sheet'!E6-IF(E$3=DATE(2026,1,1),5500000,'Balance Sheet'!D6))</f>
        <v>-106065.07358457241</v>
      </c>
      <c r="F6" s="18">
        <f>-('Balance Sheet'!F6-IF(F$3=DATE(2026,1,1),5500000,'Balance Sheet'!E6))</f>
        <v>-99689.383939606138</v>
      </c>
      <c r="G6" s="18">
        <f>-('Balance Sheet'!G6-IF(G$3=DATE(2026,1,1),5500000,'Balance Sheet'!F6))</f>
        <v>-50337.802943999879</v>
      </c>
      <c r="H6" s="18">
        <f>-('Balance Sheet'!H6-IF(H$3=DATE(2026,1,1),5500000,'Balance Sheet'!G6))</f>
        <v>-64315.740558197722</v>
      </c>
      <c r="I6" s="18">
        <f>-('Balance Sheet'!I6-IF(I$3=DATE(2026,1,1),5500000,'Balance Sheet'!H6))</f>
        <v>-111918.55491123535</v>
      </c>
      <c r="J6" s="18">
        <f>-('Balance Sheet'!J6-IF(J$3=DATE(2026,1,1),5500000,'Balance Sheet'!I6))</f>
        <v>-88330.884304311126</v>
      </c>
      <c r="K6" s="18">
        <f>-('Balance Sheet'!K6-IF(K$3=DATE(2026,1,1),5500000,'Balance Sheet'!J6))</f>
        <v>-139166.33355633449</v>
      </c>
      <c r="L6" s="18">
        <f>-('Balance Sheet'!L6-IF(L$3=DATE(2026,1,1),5500000,'Balance Sheet'!K6))</f>
        <v>-142637.91905488539</v>
      </c>
      <c r="M6" s="18">
        <f>-('Balance Sheet'!M6-IF(M$3=DATE(2026,1,1),5500000,'Balance Sheet'!L6))</f>
        <v>-72421.772581028752</v>
      </c>
      <c r="N6" s="18">
        <f>-('Balance Sheet'!N6-IF(N$3=DATE(2026,1,1),5500000,'Balance Sheet'!M6))</f>
        <v>-186758.39772591833</v>
      </c>
    </row>
    <row r="7" spans="1:14" ht="15" customHeight="1" x14ac:dyDescent="0.3">
      <c r="B7" t="s">
        <v>1098</v>
      </c>
      <c r="C7" s="18">
        <f>-('Balance Sheet'!C7-IF(C$3=DATE(2026,1,1),600000,'Balance Sheet'!B7))</f>
        <v>383231.55219481047</v>
      </c>
      <c r="D7" s="18">
        <f>-('Balance Sheet'!D7-IF(D$3=DATE(2026,1,1),600000,'Balance Sheet'!C7))</f>
        <v>-223.34308649651939</v>
      </c>
      <c r="E7" s="18">
        <f>-('Balance Sheet'!E7-IF(E$3=DATE(2026,1,1),600000,'Balance Sheet'!D7))</f>
        <v>-224.0742536438629</v>
      </c>
      <c r="F7" s="18">
        <f>-('Balance Sheet'!F7-IF(F$3=DATE(2026,1,1),600000,'Balance Sheet'!E7))</f>
        <v>-1724.8073144421505</v>
      </c>
      <c r="G7" s="18">
        <f>-('Balance Sheet'!G7-IF(G$3=DATE(2026,1,1),600000,'Balance Sheet'!F7))</f>
        <v>-663.04377672765986</v>
      </c>
      <c r="H7" s="18">
        <f>-('Balance Sheet'!H7-IF(H$3=DATE(2026,1,1),600000,'Balance Sheet'!G7))</f>
        <v>-955.44864836221677</v>
      </c>
      <c r="I7" s="18">
        <f>-('Balance Sheet'!I7-IF(I$3=DATE(2026,1,1),600000,'Balance Sheet'!H7))</f>
        <v>-1518.6894372332026</v>
      </c>
      <c r="J7" s="18">
        <f>-('Balance Sheet'!J7-IF(J$3=DATE(2026,1,1),600000,'Balance Sheet'!I7))</f>
        <v>7359.7333487456781</v>
      </c>
      <c r="K7" s="18">
        <f>-('Balance Sheet'!K7-IF(K$3=DATE(2026,1,1),600000,'Balance Sheet'!J7))</f>
        <v>-1395.1782983647718</v>
      </c>
      <c r="L7" s="18">
        <f>-('Balance Sheet'!L7-IF(L$3=DATE(2026,1,1),600000,'Balance Sheet'!K7))</f>
        <v>6587.4066134702298</v>
      </c>
      <c r="M7" s="18">
        <f>-('Balance Sheet'!M7-IF(M$3=DATE(2026,1,1),600000,'Balance Sheet'!L7))</f>
        <v>-959.1769237407716</v>
      </c>
      <c r="N7" s="18">
        <f>-('Balance Sheet'!N7-IF(N$3=DATE(2026,1,1),600000,'Balance Sheet'!M7))</f>
        <v>2227.5695819847751</v>
      </c>
    </row>
    <row r="8" spans="1:14" ht="15" customHeight="1" x14ac:dyDescent="0.3">
      <c r="B8" t="s">
        <v>1099</v>
      </c>
      <c r="C8" s="18">
        <f>'Balance Sheet'!C11-IF(C$3=DATE(2026,1,1),2400000,'Balance Sheet'!B11)</f>
        <v>2224393.5531773763</v>
      </c>
      <c r="D8" s="18">
        <f>'Balance Sheet'!D11-IF(D$3=DATE(2026,1,1),2400000,'Balance Sheet'!C11)</f>
        <v>4764.6525119254366</v>
      </c>
      <c r="E8" s="18">
        <f>'Balance Sheet'!E11-IF(E$3=DATE(2026,1,1),2400000,'Balance Sheet'!D11)</f>
        <v>4780.2507444024086</v>
      </c>
      <c r="F8" s="18">
        <f>'Balance Sheet'!F11-IF(F$3=DATE(2026,1,1),2400000,'Balance Sheet'!E11)</f>
        <v>36795.889374766499</v>
      </c>
      <c r="G8" s="18">
        <f>'Balance Sheet'!G11-IF(G$3=DATE(2026,1,1),2400000,'Balance Sheet'!F11)</f>
        <v>14144.933903522789</v>
      </c>
      <c r="H8" s="18">
        <f>'Balance Sheet'!H11-IF(H$3=DATE(2026,1,1),2400000,'Balance Sheet'!G11)</f>
        <v>20382.904498394579</v>
      </c>
      <c r="I8" s="18">
        <f>'Balance Sheet'!I11-IF(I$3=DATE(2026,1,1),2400000,'Balance Sheet'!H11)</f>
        <v>32398.707994308323</v>
      </c>
      <c r="J8" s="18">
        <f>'Balance Sheet'!J11-IF(J$3=DATE(2026,1,1),2400000,'Balance Sheet'!I11)</f>
        <v>-157007.64477324113</v>
      </c>
      <c r="K8" s="18">
        <f>'Balance Sheet'!K11-IF(K$3=DATE(2026,1,1),2400000,'Balance Sheet'!J11)</f>
        <v>29763.803698448464</v>
      </c>
      <c r="L8" s="18">
        <f>'Balance Sheet'!L11-IF(L$3=DATE(2026,1,1),2400000,'Balance Sheet'!K11)</f>
        <v>-140531.34108736552</v>
      </c>
      <c r="M8" s="18">
        <f>'Balance Sheet'!M11-IF(M$3=DATE(2026,1,1),2400000,'Balance Sheet'!L11)</f>
        <v>20462.441039803438</v>
      </c>
      <c r="N8" s="18">
        <f>'Balance Sheet'!N11-IF(N$3=DATE(2026,1,1),2400000,'Balance Sheet'!M11)</f>
        <v>-47521.484415674582</v>
      </c>
    </row>
    <row r="9" spans="1:14" ht="15" customHeight="1" x14ac:dyDescent="0.3">
      <c r="B9" t="s">
        <v>1100</v>
      </c>
      <c r="C9" s="18">
        <f>'Balance Sheet'!C12-IF(C$3=DATE(2026,1,1),1300000,'Balance Sheet'!B12)</f>
        <v>120610.88166666636</v>
      </c>
      <c r="D9" s="18">
        <f>'Balance Sheet'!D12-IF(D$3=DATE(2026,1,1),1300000,'Balance Sheet'!C12)</f>
        <v>16693.052185833687</v>
      </c>
      <c r="E9" s="18">
        <f>'Balance Sheet'!E12-IF(E$3=DATE(2026,1,1),1300000,'Balance Sheet'!D12)</f>
        <v>23201.734846625244</v>
      </c>
      <c r="F9" s="18">
        <f>'Balance Sheet'!F12-IF(F$3=DATE(2026,1,1),1300000,'Balance Sheet'!E12)</f>
        <v>21807.052736788755</v>
      </c>
      <c r="G9" s="18">
        <f>'Balance Sheet'!G12-IF(G$3=DATE(2026,1,1),1300000,'Balance Sheet'!F12)</f>
        <v>11011.394394000061</v>
      </c>
      <c r="H9" s="18">
        <f>'Balance Sheet'!H12-IF(H$3=DATE(2026,1,1),1300000,'Balance Sheet'!G12)</f>
        <v>14069.068247105461</v>
      </c>
      <c r="I9" s="18">
        <f>'Balance Sheet'!I12-IF(I$3=DATE(2026,1,1),1300000,'Balance Sheet'!H12)</f>
        <v>24482.183886833023</v>
      </c>
      <c r="J9" s="18">
        <f>'Balance Sheet'!J12-IF(J$3=DATE(2026,1,1),1300000,'Balance Sheet'!I12)</f>
        <v>19322.380941567943</v>
      </c>
      <c r="K9" s="18">
        <f>'Balance Sheet'!K12-IF(K$3=DATE(2026,1,1),1300000,'Balance Sheet'!J12)</f>
        <v>30442.635465448257</v>
      </c>
      <c r="L9" s="18">
        <f>'Balance Sheet'!L12-IF(L$3=DATE(2026,1,1),1300000,'Balance Sheet'!K12)</f>
        <v>31202.044793256093</v>
      </c>
      <c r="M9" s="18">
        <f>'Balance Sheet'!M12-IF(M$3=DATE(2026,1,1),1300000,'Balance Sheet'!L12)</f>
        <v>15842.262752100127</v>
      </c>
      <c r="N9" s="18">
        <f>'Balance Sheet'!N12-IF(N$3=DATE(2026,1,1),1300000,'Balance Sheet'!M12)</f>
        <v>40853.399502544664</v>
      </c>
    </row>
    <row r="10" spans="1:14" ht="15" customHeight="1" x14ac:dyDescent="0.3">
      <c r="B10" t="s">
        <v>1101</v>
      </c>
      <c r="C10" s="18">
        <f t="shared" ref="C10:N10" si="0">SUM(C4:C9)</f>
        <v>-1415842.6677423134</v>
      </c>
      <c r="D10" s="18">
        <f t="shared" si="0"/>
        <v>-995832.51667305455</v>
      </c>
      <c r="E10" s="18">
        <f t="shared" si="0"/>
        <v>-976105.88903254515</v>
      </c>
      <c r="F10" s="18">
        <f t="shared" si="0"/>
        <v>-962835.51158224046</v>
      </c>
      <c r="G10" s="18">
        <f t="shared" si="0"/>
        <v>-917538.09786350152</v>
      </c>
      <c r="H10" s="18">
        <f t="shared" si="0"/>
        <v>-921355.16359609633</v>
      </c>
      <c r="I10" s="18">
        <f t="shared" si="0"/>
        <v>-939165.94756846293</v>
      </c>
      <c r="J10" s="18">
        <f t="shared" si="0"/>
        <v>-726519.34966187272</v>
      </c>
      <c r="K10" s="18">
        <f t="shared" si="0"/>
        <v>-735244.77729938924</v>
      </c>
      <c r="L10" s="18">
        <f t="shared" si="0"/>
        <v>-532021.32346812426</v>
      </c>
      <c r="M10" s="18">
        <f t="shared" si="0"/>
        <v>-469462.8295383674</v>
      </c>
      <c r="N10" s="18">
        <f t="shared" si="0"/>
        <v>-421564.05240201531</v>
      </c>
    </row>
    <row r="11" spans="1:14" ht="15" customHeight="1" x14ac:dyDescent="0.3"/>
    <row r="12" spans="1:14" ht="15" customHeight="1" x14ac:dyDescent="0.3">
      <c r="B12" t="s">
        <v>1102</v>
      </c>
      <c r="C12" s="18">
        <f>-'Income Statement'!C4*Capex_Pct</f>
        <v>-101472.20583333333</v>
      </c>
      <c r="D12" s="18">
        <f>-'Income Statement'!D4*Capex_Pct</f>
        <v>-102664.56670375001</v>
      </c>
      <c r="E12" s="18">
        <f>-'Income Statement'!E4*Capex_Pct</f>
        <v>-104321.83347850895</v>
      </c>
      <c r="F12" s="18">
        <f>-'Income Statement'!F4*Capex_Pct</f>
        <v>-105879.48010256531</v>
      </c>
      <c r="G12" s="18">
        <f>-'Income Statement'!G4*Capex_Pct</f>
        <v>-106666.00827356531</v>
      </c>
      <c r="H12" s="18">
        <f>-'Income Statement'!H4*Capex_Pct</f>
        <v>-107670.94171978714</v>
      </c>
      <c r="I12" s="18">
        <f>-'Income Statement'!I4*Capex_Pct</f>
        <v>-109419.6691402752</v>
      </c>
      <c r="J12" s="18">
        <f>-'Income Statement'!J4*Capex_Pct</f>
        <v>-110799.83920753005</v>
      </c>
      <c r="K12" s="18">
        <f>-'Income Statement'!K4*Capex_Pct</f>
        <v>-112974.31316934778</v>
      </c>
      <c r="L12" s="18">
        <f>-'Income Statement'!L4*Capex_Pct</f>
        <v>-115203.03065458036</v>
      </c>
      <c r="M12" s="18">
        <f>-'Income Statement'!M4*Capex_Pct</f>
        <v>-116334.62085115894</v>
      </c>
      <c r="N12" s="18">
        <f>-'Income Statement'!N4*Capex_Pct</f>
        <v>-119252.72081562642</v>
      </c>
    </row>
    <row r="13" spans="1:14" ht="15" customHeight="1" x14ac:dyDescent="0.3">
      <c r="B13" t="s">
        <v>1103</v>
      </c>
      <c r="C13" s="18">
        <f t="shared" ref="C13:N13" si="1">C12</f>
        <v>-101472.20583333333</v>
      </c>
      <c r="D13" s="18">
        <f t="shared" si="1"/>
        <v>-102664.56670375001</v>
      </c>
      <c r="E13" s="18">
        <f t="shared" si="1"/>
        <v>-104321.83347850895</v>
      </c>
      <c r="F13" s="18">
        <f t="shared" si="1"/>
        <v>-105879.48010256531</v>
      </c>
      <c r="G13" s="18">
        <f t="shared" si="1"/>
        <v>-106666.00827356531</v>
      </c>
      <c r="H13" s="18">
        <f t="shared" si="1"/>
        <v>-107670.94171978714</v>
      </c>
      <c r="I13" s="18">
        <f t="shared" si="1"/>
        <v>-109419.6691402752</v>
      </c>
      <c r="J13" s="18">
        <f t="shared" si="1"/>
        <v>-110799.83920753005</v>
      </c>
      <c r="K13" s="18">
        <f t="shared" si="1"/>
        <v>-112974.31316934778</v>
      </c>
      <c r="L13" s="18">
        <f t="shared" si="1"/>
        <v>-115203.03065458036</v>
      </c>
      <c r="M13" s="18">
        <f t="shared" si="1"/>
        <v>-116334.62085115894</v>
      </c>
      <c r="N13" s="18">
        <f t="shared" si="1"/>
        <v>-119252.72081562642</v>
      </c>
    </row>
    <row r="14" spans="1:14" ht="15" customHeight="1" x14ac:dyDescent="0.3"/>
    <row r="15" spans="1:14" ht="15" customHeight="1" x14ac:dyDescent="0.3">
      <c r="B15" t="s">
        <v>1104</v>
      </c>
      <c r="C15" s="18">
        <f>0</f>
        <v>0</v>
      </c>
      <c r="D15" s="18">
        <f>0</f>
        <v>0</v>
      </c>
      <c r="E15" s="18">
        <f>0</f>
        <v>0</v>
      </c>
      <c r="F15" s="18">
        <f>0</f>
        <v>0</v>
      </c>
      <c r="G15" s="18">
        <f>0</f>
        <v>0</v>
      </c>
      <c r="H15" s="18">
        <f>0</f>
        <v>0</v>
      </c>
      <c r="I15" s="18">
        <f>0</f>
        <v>0</v>
      </c>
      <c r="J15" s="18">
        <f>0</f>
        <v>0</v>
      </c>
      <c r="K15" s="18">
        <f>0</f>
        <v>0</v>
      </c>
      <c r="L15" s="18">
        <f>0</f>
        <v>0</v>
      </c>
      <c r="M15" s="18">
        <f>0</f>
        <v>0</v>
      </c>
      <c r="N15" s="18">
        <f>0</f>
        <v>0</v>
      </c>
    </row>
    <row r="16" spans="1:14" ht="15" customHeight="1" x14ac:dyDescent="0.3">
      <c r="B16" t="s">
        <v>1105</v>
      </c>
      <c r="C16" s="18">
        <f t="shared" ref="C16:N16" si="2">SUM(C10,C13,C15)</f>
        <v>-1517314.8735756467</v>
      </c>
      <c r="D16" s="18">
        <f t="shared" si="2"/>
        <v>-1098497.0833768046</v>
      </c>
      <c r="E16" s="18">
        <f t="shared" si="2"/>
        <v>-1080427.722511054</v>
      </c>
      <c r="F16" s="18">
        <f t="shared" si="2"/>
        <v>-1068714.9916848058</v>
      </c>
      <c r="G16" s="18">
        <f t="shared" si="2"/>
        <v>-1024204.1061370668</v>
      </c>
      <c r="H16" s="18">
        <f t="shared" si="2"/>
        <v>-1029026.1053158834</v>
      </c>
      <c r="I16" s="18">
        <f t="shared" si="2"/>
        <v>-1048585.616708738</v>
      </c>
      <c r="J16" s="18">
        <f t="shared" si="2"/>
        <v>-837319.18886940274</v>
      </c>
      <c r="K16" s="18">
        <f t="shared" si="2"/>
        <v>-848219.09046873706</v>
      </c>
      <c r="L16" s="18">
        <f t="shared" si="2"/>
        <v>-647224.35412270459</v>
      </c>
      <c r="M16" s="18">
        <f t="shared" si="2"/>
        <v>-585797.45038952632</v>
      </c>
      <c r="N16" s="18">
        <f t="shared" si="2"/>
        <v>-540816.77321764175</v>
      </c>
    </row>
    <row r="17" spans="2:14" ht="15" customHeight="1" x14ac:dyDescent="0.3">
      <c r="B17" t="s">
        <v>1106</v>
      </c>
      <c r="C17" s="18">
        <f>Opening_Cash+C16</f>
        <v>16482685.126424354</v>
      </c>
      <c r="D17" s="18">
        <f t="shared" ref="D17:N17" si="3">C17+D16</f>
        <v>15384188.043047549</v>
      </c>
      <c r="E17" s="18">
        <f t="shared" si="3"/>
        <v>14303760.320536494</v>
      </c>
      <c r="F17" s="18">
        <f t="shared" si="3"/>
        <v>13235045.328851689</v>
      </c>
      <c r="G17" s="18">
        <f t="shared" si="3"/>
        <v>12210841.222714622</v>
      </c>
      <c r="H17" s="18">
        <f t="shared" si="3"/>
        <v>11181815.117398739</v>
      </c>
      <c r="I17" s="18">
        <f t="shared" si="3"/>
        <v>10133229.50069</v>
      </c>
      <c r="J17" s="18">
        <f t="shared" si="3"/>
        <v>9295910.3118205965</v>
      </c>
      <c r="K17" s="18">
        <f t="shared" si="3"/>
        <v>8447691.2213518601</v>
      </c>
      <c r="L17" s="18">
        <f t="shared" si="3"/>
        <v>7800466.8672291553</v>
      </c>
      <c r="M17" s="18">
        <f t="shared" si="3"/>
        <v>7214669.4168396294</v>
      </c>
      <c r="N17" s="18">
        <f t="shared" si="3"/>
        <v>6673852.6436219877</v>
      </c>
    </row>
    <row r="18" spans="2:14" ht="15" customHeight="1" x14ac:dyDescent="0.3"/>
    <row r="19" spans="2:14" ht="15" customHeight="1" x14ac:dyDescent="0.3"/>
    <row r="20" spans="2:14" ht="15" customHeight="1" x14ac:dyDescent="0.3"/>
    <row r="21" spans="2:14" ht="15" customHeight="1" x14ac:dyDescent="0.3"/>
    <row r="22" spans="2:14" ht="15" customHeight="1" x14ac:dyDescent="0.3"/>
  </sheetData>
  <mergeCells count="1">
    <mergeCell ref="A1:N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34"/>
  <sheetViews>
    <sheetView showGridLines="0"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" customWidth="1"/>
    <col min="2" max="2" width="30" customWidth="1"/>
    <col min="3" max="14" width="13" customWidth="1"/>
  </cols>
  <sheetData>
    <row r="1" spans="1:14" ht="34.049999999999997" customHeight="1" x14ac:dyDescent="0.3">
      <c r="A1" s="28" t="s">
        <v>1107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</row>
    <row r="2" spans="1:14" ht="15" customHeight="1" x14ac:dyDescent="0.3"/>
    <row r="3" spans="1:14" ht="15" customHeight="1" x14ac:dyDescent="0.3">
      <c r="B3" s="5"/>
      <c r="C3" s="16">
        <v>46023</v>
      </c>
      <c r="D3" s="16">
        <v>46054</v>
      </c>
      <c r="E3" s="16">
        <v>46082</v>
      </c>
      <c r="F3" s="16">
        <v>46113</v>
      </c>
      <c r="G3" s="16">
        <v>46143</v>
      </c>
      <c r="H3" s="16">
        <v>46174</v>
      </c>
      <c r="I3" s="16">
        <v>46204</v>
      </c>
      <c r="J3" s="16">
        <v>46235</v>
      </c>
      <c r="K3" s="16">
        <v>46266</v>
      </c>
      <c r="L3" s="16">
        <v>46296</v>
      </c>
      <c r="M3" s="16">
        <v>46327</v>
      </c>
      <c r="N3" s="16">
        <v>46357</v>
      </c>
    </row>
    <row r="4" spans="1:14" ht="15" customHeight="1" x14ac:dyDescent="0.3">
      <c r="B4" t="s">
        <v>1108</v>
      </c>
      <c r="C4" s="18">
        <f>'Revenue Forecast'!C34</f>
        <v>49019717.600000001</v>
      </c>
      <c r="D4" s="18">
        <f>'Revenue Forecast'!D34</f>
        <v>49538266.435599998</v>
      </c>
      <c r="E4" s="18">
        <f>'Revenue Forecast'!E34</f>
        <v>50610693.703768596</v>
      </c>
      <c r="F4" s="18">
        <f>'Revenue Forecast'!F34</f>
        <v>51033607.194694102</v>
      </c>
      <c r="G4" s="18">
        <f>'Revenue Forecast'!G34</f>
        <v>51365760.74792859</v>
      </c>
      <c r="H4" s="18">
        <f>'Revenue Forecast'!H34</f>
        <v>51998343.303067058</v>
      </c>
      <c r="I4" s="18">
        <f>'Revenue Forecast'!I34</f>
        <v>53044539.071597122</v>
      </c>
      <c r="J4" s="18">
        <f>'Revenue Forecast'!J34</f>
        <v>53323306.567631736</v>
      </c>
      <c r="K4" s="18">
        <f>'Revenue Forecast'!K34</f>
        <v>55132034.074942134</v>
      </c>
      <c r="L4" s="18">
        <f>'Revenue Forecast'!L34</f>
        <v>55462875.353455015</v>
      </c>
      <c r="M4" s="18">
        <f>'Revenue Forecast'!M34</f>
        <v>56218360.663657561</v>
      </c>
      <c r="N4" s="18">
        <f>'Revenue Forecast'!N34</f>
        <v>58264251.319343783</v>
      </c>
    </row>
    <row r="5" spans="1:14" ht="15" customHeight="1" x14ac:dyDescent="0.3">
      <c r="B5" t="s">
        <v>1109</v>
      </c>
      <c r="C5" s="18">
        <f t="shared" ref="C5:N5" si="0">C4/12</f>
        <v>4084976.4666666668</v>
      </c>
      <c r="D5" s="18">
        <f t="shared" si="0"/>
        <v>4128188.8696333333</v>
      </c>
      <c r="E5" s="18">
        <f t="shared" si="0"/>
        <v>4217557.808647383</v>
      </c>
      <c r="F5" s="18">
        <f t="shared" si="0"/>
        <v>4252800.5995578421</v>
      </c>
      <c r="G5" s="18">
        <f t="shared" si="0"/>
        <v>4280480.0623273822</v>
      </c>
      <c r="H5" s="18">
        <f t="shared" si="0"/>
        <v>4333195.2752555879</v>
      </c>
      <c r="I5" s="18">
        <f t="shared" si="0"/>
        <v>4420378.2559664268</v>
      </c>
      <c r="J5" s="18">
        <f t="shared" si="0"/>
        <v>4443608.8806359777</v>
      </c>
      <c r="K5" s="18">
        <f t="shared" si="0"/>
        <v>4594336.1729118442</v>
      </c>
      <c r="L5" s="18">
        <f t="shared" si="0"/>
        <v>4621906.2794545842</v>
      </c>
      <c r="M5" s="18">
        <f t="shared" si="0"/>
        <v>4684863.3886381304</v>
      </c>
      <c r="N5" s="18">
        <f t="shared" si="0"/>
        <v>4855354.2766119819</v>
      </c>
    </row>
    <row r="6" spans="1:14" ht="15" customHeight="1" x14ac:dyDescent="0.3">
      <c r="B6" t="s">
        <v>1110</v>
      </c>
      <c r="C6" s="9">
        <f>IFERROR(('ARR Bridge'!C4+'ARR Bridge'!C6-'ARR Bridge'!C7-'ARR Bridge'!C8)/'ARR Bridge'!C4,0)</f>
        <v>0.99139555643721489</v>
      </c>
      <c r="D6" s="9">
        <f>IFERROR(('ARR Bridge'!D4+'ARR Bridge'!D6-'ARR Bridge'!D7-'ARR Bridge'!D8)/'ARR Bridge'!D4,0)</f>
        <v>0.95602351365428972</v>
      </c>
      <c r="E6" s="9">
        <f>IFERROR(('ARR Bridge'!E4+'ARR Bridge'!E6-'ARR Bridge'!E7-'ARR Bridge'!E8)/'ARR Bridge'!E4,0)</f>
        <v>0.97871856438771643</v>
      </c>
      <c r="F6" s="9">
        <f>IFERROR(('ARR Bridge'!F4+'ARR Bridge'!F6-'ARR Bridge'!F7-'ARR Bridge'!F8)/'ARR Bridge'!F4,0)</f>
        <v>0.99831602582093737</v>
      </c>
      <c r="G6" s="9">
        <f>IFERROR(('ARR Bridge'!G4+'ARR Bridge'!G6-'ARR Bridge'!G7-'ARR Bridge'!G8)/'ARR Bridge'!G4,0)</f>
        <v>0.97864164878486948</v>
      </c>
      <c r="H6" s="9">
        <f>IFERROR(('ARR Bridge'!H4+'ARR Bridge'!H6-'ARR Bridge'!H7-'ARR Bridge'!H8)/'ARR Bridge'!H4,0)</f>
        <v>0.99854767628205132</v>
      </c>
      <c r="I6" s="9">
        <f>IFERROR(('ARR Bridge'!I4+'ARR Bridge'!I6-'ARR Bridge'!I7-'ARR Bridge'!I8)/'ARR Bridge'!I4,0)</f>
        <v>0.99294411642207903</v>
      </c>
      <c r="J6" s="9">
        <f>IFERROR(('ARR Bridge'!J4+'ARR Bridge'!J6-'ARR Bridge'!J7-'ARR Bridge'!J8)/'ARR Bridge'!J4,0)</f>
        <v>0.98046951100720825</v>
      </c>
      <c r="K6" s="9">
        <f>IFERROR(('ARR Bridge'!K4+'ARR Bridge'!K6-'ARR Bridge'!K7-'ARR Bridge'!K8)/'ARR Bridge'!K4,0)</f>
        <v>0.99483481142188868</v>
      </c>
      <c r="L6" s="9">
        <f>IFERROR(('ARR Bridge'!L4+'ARR Bridge'!L6-'ARR Bridge'!L7-'ARR Bridge'!L8)/'ARR Bridge'!L4,0)</f>
        <v>0.97789156338230365</v>
      </c>
      <c r="M6" s="9">
        <f>IFERROR(('ARR Bridge'!M4+'ARR Bridge'!M6-'ARR Bridge'!M7-'ARR Bridge'!M8)/'ARR Bridge'!M4,0)</f>
        <v>0.99637118915176548</v>
      </c>
      <c r="N6" s="9">
        <f>IFERROR(('ARR Bridge'!N4+'ARR Bridge'!N6-'ARR Bridge'!N7-'ARR Bridge'!N8)/'ARR Bridge'!N4,0)</f>
        <v>0.99712143371172557</v>
      </c>
    </row>
    <row r="7" spans="1:14" ht="15" customHeight="1" x14ac:dyDescent="0.3">
      <c r="B7" t="s">
        <v>1111</v>
      </c>
      <c r="C7" s="9">
        <f>IFERROR(('ARR Bridge'!C4-'ARR Bridge'!C7-'ARR Bridge'!C8)/'ARR Bridge'!C4,0)</f>
        <v>0.98926304304701451</v>
      </c>
      <c r="D7" s="9">
        <f>IFERROR(('ARR Bridge'!D4-'ARR Bridge'!D7-'ARR Bridge'!D8)/'ARR Bridge'!D4,0)</f>
        <v>0.9556514621623633</v>
      </c>
      <c r="E7" s="9">
        <f>IFERROR(('ARR Bridge'!E4-'ARR Bridge'!E7-'ARR Bridge'!E8)/'ARR Bridge'!E4,0)</f>
        <v>0.97778339441425499</v>
      </c>
      <c r="F7" s="9">
        <f>IFERROR(('ARR Bridge'!F4-'ARR Bridge'!F7-'ARR Bridge'!F8)/'ARR Bridge'!F4,0)</f>
        <v>0.99469292985992397</v>
      </c>
      <c r="G7" s="9">
        <f>IFERROR(('ARR Bridge'!G4-'ARR Bridge'!G7-'ARR Bridge'!G8)/'ARR Bridge'!G4,0)</f>
        <v>0.97572234143420333</v>
      </c>
      <c r="H7" s="9">
        <f>IFERROR(('ARR Bridge'!H4-'ARR Bridge'!H7-'ARR Bridge'!H8)/'ARR Bridge'!H4,0)</f>
        <v>0.99454126602564108</v>
      </c>
      <c r="I7" s="9">
        <f>IFERROR(('ARR Bridge'!I4-'ARR Bridge'!I7-'ARR Bridge'!I8)/'ARR Bridge'!I4,0)</f>
        <v>0.99211113016635222</v>
      </c>
      <c r="J7" s="9">
        <f>IFERROR(('ARR Bridge'!J4-'ARR Bridge'!J7-'ARR Bridge'!J8)/'ARR Bridge'!J4,0)</f>
        <v>0.97939801285797778</v>
      </c>
      <c r="K7" s="9">
        <f>IFERROR(('ARR Bridge'!K4-'ARR Bridge'!K7-'ARR Bridge'!K8)/'ARR Bridge'!K4,0)</f>
        <v>0.99403079621869217</v>
      </c>
      <c r="L7" s="9">
        <f>IFERROR(('ARR Bridge'!L4-'ARR Bridge'!L7-'ARR Bridge'!L8)/'ARR Bridge'!L4,0)</f>
        <v>0.97621668182035704</v>
      </c>
      <c r="M7" s="9">
        <f>IFERROR(('ARR Bridge'!M4-'ARR Bridge'!M7-'ARR Bridge'!M8)/'ARR Bridge'!M4,0)</f>
        <v>0.99403156110487745</v>
      </c>
      <c r="N7" s="9">
        <f>IFERROR(('ARR Bridge'!N4-'ARR Bridge'!N7-'ARR Bridge'!N8)/'ARR Bridge'!N4,0)</f>
        <v>0.99612322120853358</v>
      </c>
    </row>
    <row r="8" spans="1:14" ht="15" customHeight="1" x14ac:dyDescent="0.3">
      <c r="B8" t="s">
        <v>1112</v>
      </c>
      <c r="C8" s="18">
        <f t="shared" ref="C8:N8" si="1">CAC_Per_Logo</f>
        <v>42000</v>
      </c>
      <c r="D8" s="18">
        <f t="shared" si="1"/>
        <v>42000</v>
      </c>
      <c r="E8" s="18">
        <f t="shared" si="1"/>
        <v>42000</v>
      </c>
      <c r="F8" s="18">
        <f t="shared" si="1"/>
        <v>42000</v>
      </c>
      <c r="G8" s="18">
        <f t="shared" si="1"/>
        <v>42000</v>
      </c>
      <c r="H8" s="18">
        <f t="shared" si="1"/>
        <v>42000</v>
      </c>
      <c r="I8" s="18">
        <f t="shared" si="1"/>
        <v>42000</v>
      </c>
      <c r="J8" s="18">
        <f t="shared" si="1"/>
        <v>42000</v>
      </c>
      <c r="K8" s="18">
        <f t="shared" si="1"/>
        <v>42000</v>
      </c>
      <c r="L8" s="18">
        <f t="shared" si="1"/>
        <v>42000</v>
      </c>
      <c r="M8" s="18">
        <f t="shared" si="1"/>
        <v>42000</v>
      </c>
      <c r="N8" s="18">
        <f t="shared" si="1"/>
        <v>42000</v>
      </c>
    </row>
    <row r="9" spans="1:14" ht="15" customHeight="1" x14ac:dyDescent="0.3">
      <c r="B9" t="s">
        <v>1113</v>
      </c>
      <c r="C9" s="18">
        <f>IFERROR(((C5/COUNTIFS('Customer ARR Ledger'!$A$4:$A$10226,C$3,'Customer ARR Ledger'!$F$4:$F$10226,"&gt;0"))*Gross_Margin)/(Churn_Rate),0)</f>
        <v>1006552.2055912663</v>
      </c>
      <c r="D9" s="18">
        <f>IFERROR(((D5/COUNTIFS('Customer ARR Ledger'!$A$4:$A$10226,D$3,'Customer ARR Ledger'!$F$4:$F$10226,"&gt;0"))*Gross_Margin)/(Churn_Rate),0)</f>
        <v>1010395.8771829838</v>
      </c>
      <c r="E9" s="18">
        <f>IFERROR(((E5/COUNTIFS('Customer ARR Ledger'!$A$4:$A$10226,E$3,'Customer ARR Ledger'!$F$4:$F$10226,"&gt;0"))*Gross_Margin)/(Churn_Rate),0)</f>
        <v>1039220.7027735364</v>
      </c>
      <c r="F9" s="18">
        <f>IFERROR(((F5/COUNTIFS('Customer ARR Ledger'!$A$4:$A$10226,F$3,'Customer ARR Ledger'!$F$4:$F$10226,"&gt;0"))*Gross_Margin)/(Churn_Rate),0)</f>
        <v>1027154.0601992388</v>
      </c>
      <c r="G9" s="18">
        <f>IFERROR(((G5/COUNTIFS('Customer ARR Ledger'!$A$4:$A$10226,G$3,'Customer ARR Ledger'!$F$4:$F$10226,"&gt;0"))*Gross_Margin)/(Churn_Rate),0)</f>
        <v>1023703.6393860794</v>
      </c>
      <c r="H9" s="18">
        <f>IFERROR(((H5/COUNTIFS('Customer ARR Ledger'!$A$4:$A$10226,H$3,'Customer ARR Ledger'!$F$4:$F$10226,"&gt;0"))*Gross_Margin)/(Churn_Rate),0)</f>
        <v>1013134.5328436679</v>
      </c>
      <c r="I9" s="18">
        <f>IFERROR(((I5/COUNTIFS('Customer ARR Ledger'!$A$4:$A$10226,I$3,'Customer ARR Ledger'!$F$4:$F$10226,"&gt;0"))*Gross_Margin)/(Churn_Rate),0)</f>
        <v>1010910.3681968675</v>
      </c>
      <c r="J9" s="18">
        <f>IFERROR(((J5/COUNTIFS('Customer ARR Ledger'!$A$4:$A$10226,J$3,'Customer ARR Ledger'!$F$4:$F$10226,"&gt;0"))*Gross_Margin)/(Churn_Rate),0)</f>
        <v>1009911.1092354496</v>
      </c>
      <c r="K9" s="18">
        <f>IFERROR(((K5/COUNTIFS('Customer ARR Ledger'!$A$4:$A$10226,K$3,'Customer ARR Ledger'!$F$4:$F$10226,"&gt;0"))*Gross_Margin)/(Churn_Rate),0)</f>
        <v>1031355.4431662117</v>
      </c>
      <c r="L9" s="18">
        <f>IFERROR(((L5/COUNTIFS('Customer ARR Ledger'!$A$4:$A$10226,L$3,'Customer ARR Ledger'!$F$4:$F$10226,"&gt;0"))*Gross_Margin)/(Churn_Rate),0)</f>
        <v>1024968.1969589369</v>
      </c>
      <c r="M9" s="18">
        <f>IFERROR(((M5/COUNTIFS('Customer ARR Ledger'!$A$4:$A$10226,M$3,'Customer ARR Ledger'!$F$4:$F$10226,"&gt;0"))*Gross_Margin)/(Churn_Rate),0)</f>
        <v>1023423.3454148427</v>
      </c>
      <c r="N9" s="18">
        <f>IFERROR(((N5/COUNTIFS('Customer ARR Ledger'!$A$4:$A$10226,N$3,'Customer ARR Ledger'!$F$4:$F$10226,"&gt;0"))*Gross_Margin)/(Churn_Rate),0)</f>
        <v>1042004.850086016</v>
      </c>
    </row>
    <row r="10" spans="1:14" ht="15" customHeight="1" x14ac:dyDescent="0.3">
      <c r="B10" t="s">
        <v>1114</v>
      </c>
      <c r="C10" s="21">
        <f t="shared" ref="C10:N10" si="2">IFERROR(C9/C8,0)</f>
        <v>23.965528704553957</v>
      </c>
      <c r="D10" s="21">
        <f t="shared" si="2"/>
        <v>24.057044694832946</v>
      </c>
      <c r="E10" s="21">
        <f t="shared" si="2"/>
        <v>24.74335006603658</v>
      </c>
      <c r="F10" s="21">
        <f t="shared" si="2"/>
        <v>24.456049052362829</v>
      </c>
      <c r="G10" s="21">
        <f t="shared" si="2"/>
        <v>24.373896175859034</v>
      </c>
      <c r="H10" s="21">
        <f t="shared" si="2"/>
        <v>24.122250781992093</v>
      </c>
      <c r="I10" s="21">
        <f t="shared" si="2"/>
        <v>24.069294480877797</v>
      </c>
      <c r="J10" s="21">
        <f t="shared" si="2"/>
        <v>24.045502600844038</v>
      </c>
      <c r="K10" s="21">
        <f t="shared" si="2"/>
        <v>24.556081980147898</v>
      </c>
      <c r="L10" s="21">
        <f t="shared" si="2"/>
        <v>24.404004689498496</v>
      </c>
      <c r="M10" s="21">
        <f t="shared" si="2"/>
        <v>24.367222509877209</v>
      </c>
      <c r="N10" s="21">
        <f t="shared" si="2"/>
        <v>24.809639287762284</v>
      </c>
    </row>
    <row r="11" spans="1:14" ht="15" customHeight="1" x14ac:dyDescent="0.3">
      <c r="B11" t="s">
        <v>1115</v>
      </c>
      <c r="C11" s="9">
        <f>(C4/40003200)^(12/MONTH(C$3))-1+'Income Statement'!C15</f>
        <v>10.200267098706476</v>
      </c>
      <c r="D11" s="9">
        <f>(D4/40003200)^(12/MONTH(D$3))-1+'Income Statement'!D15</f>
        <v>2.354621210576632</v>
      </c>
      <c r="E11" s="9">
        <f>(E4/40003200)^(12/MONTH(E$3))-1+'Income Statement'!E15</f>
        <v>1.3259801371091655</v>
      </c>
      <c r="F11" s="9">
        <f>(F4/40003200)^(12/MONTH(F$3))-1+'Income Statement'!F15</f>
        <v>0.84735912092563914</v>
      </c>
      <c r="G11" s="9">
        <f>(G4/40003200)^(12/MONTH(G$3))-1+'Income Statement'!G15</f>
        <v>0.59777410620091787</v>
      </c>
      <c r="H11" s="9">
        <f>(H4/40003200)^(12/MONTH(H$3))-1+'Income Statement'!H15</f>
        <v>0.47039406688764984</v>
      </c>
      <c r="I11" s="9">
        <f>(I4/40003200)^(12/MONTH(I$3))-1+'Income Statement'!I15</f>
        <v>0.41230566108574895</v>
      </c>
      <c r="J11" s="9">
        <f>(J4/40003200)^(12/MONTH(J$3))-1+'Income Statement'!J15</f>
        <v>0.37503588967537271</v>
      </c>
      <c r="K11" s="9">
        <f>(K4/40003200)^(12/MONTH(K$3))-1+'Income Statement'!K15</f>
        <v>0.38224773093572306</v>
      </c>
      <c r="L11" s="9">
        <f>(L4/40003200)^(12/MONTH(L$3))-1+'Income Statement'!L15</f>
        <v>0.37571693478016177</v>
      </c>
      <c r="M11" s="9">
        <f>(M4/40003200)^(12/MONTH(M$3))-1+'Income Statement'!M15</f>
        <v>0.34984666543420512</v>
      </c>
      <c r="N11" s="9">
        <f>(N4/40003200)^(12/MONTH(N$3))-1+'Income Statement'!N15</f>
        <v>0.38831262127849875</v>
      </c>
    </row>
    <row r="12" spans="1:14" ht="15" customHeight="1" x14ac:dyDescent="0.3">
      <c r="B12" t="s">
        <v>1116</v>
      </c>
      <c r="C12" s="21">
        <f>IFERROR(('Revenue Forecast'!C33-IF(C$3=DATE(2026,1,1),3300000,'Revenue Forecast'!B33))*4/-'Income Statement'!C9,0)</f>
        <v>1.5407827748115321</v>
      </c>
      <c r="D12" s="21">
        <f>IFERROR(('Revenue Forecast'!D33-IF(D$3=DATE(2026,1,1),3300000,'Revenue Forecast'!C33))*4/-'Income Statement'!D9,0)</f>
        <v>9.6709008839631544E-2</v>
      </c>
      <c r="E12" s="21">
        <f>IFERROR(('Revenue Forecast'!E33-IF(E$3=DATE(2026,1,1),3300000,'Revenue Forecast'!D33))*4/-'Income Statement'!E9,0)</f>
        <v>0.13424130300714998</v>
      </c>
      <c r="F12" s="21">
        <f>IFERROR(('Revenue Forecast'!F33-IF(F$3=DATE(2026,1,1),3300000,'Revenue Forecast'!E33))*4/-'Income Statement'!F9,0)</f>
        <v>0.12503281951891751</v>
      </c>
      <c r="G12" s="21">
        <f>IFERROR(('Revenue Forecast'!G33-IF(G$3=DATE(2026,1,1),3300000,'Revenue Forecast'!F33))*4/-'Income Statement'!G9,0)</f>
        <v>6.2777819032530699E-2</v>
      </c>
      <c r="H12" s="21">
        <f>IFERROR(('Revenue Forecast'!H33-IF(H$3=DATE(2026,1,1),3300000,'Revenue Forecast'!G33))*4/-'Income Statement'!H9,0)</f>
        <v>8.0106411010557821E-2</v>
      </c>
      <c r="I12" s="21">
        <f>IFERROR(('Revenue Forecast'!I33-IF(I$3=DATE(2026,1,1),3300000,'Revenue Forecast'!H33))*4/-'Income Statement'!I9,0)</f>
        <v>0.13815619592816053</v>
      </c>
      <c r="J12" s="21">
        <f>IFERROR(('Revenue Forecast'!J33-IF(J$3=DATE(2026,1,1),3300000,'Revenue Forecast'!I33))*4/-'Income Statement'!J9,0)</f>
        <v>0.11263359078796066</v>
      </c>
      <c r="K12" s="21">
        <f>IFERROR(('Revenue Forecast'!K33-IF(K$3=DATE(2026,1,1),3300000,'Revenue Forecast'!J33))*4/-'Income Statement'!K9,0)</f>
        <v>0.17643224086825984</v>
      </c>
      <c r="L12" s="21">
        <f>IFERROR(('Revenue Forecast'!L33-IF(L$3=DATE(2026,1,1),3300000,'Revenue Forecast'!K33))*4/-'Income Statement'!L9,0)</f>
        <v>0.18546101766409537</v>
      </c>
      <c r="M12" s="21">
        <f>IFERROR(('Revenue Forecast'!M33-IF(M$3=DATE(2026,1,1),3300000,'Revenue Forecast'!L33))*4/-'Income Statement'!M9,0)</f>
        <v>9.403537767622451E-2</v>
      </c>
      <c r="N12" s="21">
        <f>IFERROR(('Revenue Forecast'!N33-IF(N$3=DATE(2026,1,1),3300000,'Revenue Forecast'!M33))*4/-'Income Statement'!N9,0)</f>
        <v>0.24523565734505834</v>
      </c>
    </row>
    <row r="13" spans="1:14" ht="15" customHeight="1" x14ac:dyDescent="0.3">
      <c r="B13" t="s">
        <v>1117</v>
      </c>
      <c r="C13" s="21">
        <f>IFERROR(MAX(0,-'Cash Flow Statement'!C16)/('Revenue Forecast'!C34-IF(C$3=DATE(2026,1,1),40003200,'Revenue Forecast'!B34)),0)</f>
        <v>0.16828169598156681</v>
      </c>
      <c r="D13" s="21">
        <f>IFERROR(MAX(0,-'Cash Flow Statement'!D16)/('Revenue Forecast'!D34-IF(D$3=DATE(2026,1,1),40003200,'Revenue Forecast'!C34)),0)</f>
        <v>2.1184062290020744</v>
      </c>
      <c r="E13" s="21">
        <f>IFERROR(MAX(0,-'Cash Flow Statement'!E16)/('Revenue Forecast'!E34-IF(E$3=DATE(2026,1,1),40003200,'Revenue Forecast'!D34)),0)</f>
        <v>1.0074601369994238</v>
      </c>
      <c r="F13" s="21">
        <f>IFERROR(MAX(0,-'Cash Flow Statement'!F16)/('Revenue Forecast'!F34-IF(F$3=DATE(2026,1,1),40003200,'Revenue Forecast'!E34)),0)</f>
        <v>2.5270297936015833</v>
      </c>
      <c r="G13" s="21">
        <f>IFERROR(MAX(0,-'Cash Flow Statement'!G16)/('Revenue Forecast'!G34-IF(G$3=DATE(2026,1,1),40003200,'Revenue Forecast'!F34)),0)</f>
        <v>3.083525966118501</v>
      </c>
      <c r="H13" s="21">
        <f>IFERROR(MAX(0,-'Cash Flow Statement'!H16)/('Revenue Forecast'!H34-IF(H$3=DATE(2026,1,1),40003200,'Revenue Forecast'!G34)),0)</f>
        <v>1.6267064226749588</v>
      </c>
      <c r="I13" s="21">
        <f>IFERROR(MAX(0,-'Cash Flow Statement'!I16)/('Revenue Forecast'!I34-IF(I$3=DATE(2026,1,1),40003200,'Revenue Forecast'!H34)),0)</f>
        <v>1.0022843221608824</v>
      </c>
      <c r="J13" s="21">
        <f>IFERROR(MAX(0,-'Cash Flow Statement'!J16)/('Revenue Forecast'!J34-IF(J$3=DATE(2026,1,1),40003200,'Revenue Forecast'!I34)),0)</f>
        <v>3.0036471280906878</v>
      </c>
      <c r="K13" s="21">
        <f>IFERROR(MAX(0,-'Cash Flow Statement'!K16)/('Revenue Forecast'!K34-IF(K$3=DATE(2026,1,1),40003200,'Revenue Forecast'!J34)),0)</f>
        <v>0.46895902618855517</v>
      </c>
      <c r="L13" s="21">
        <f>IFERROR(MAX(0,-'Cash Flow Statement'!L16)/('Revenue Forecast'!L34-IF(L$3=DATE(2026,1,1),40003200,'Revenue Forecast'!K34)),0)</f>
        <v>1.9562986729828729</v>
      </c>
      <c r="M13" s="21">
        <f>IFERROR(MAX(0,-'Cash Flow Statement'!M16)/('Revenue Forecast'!M34-IF(M$3=DATE(2026,1,1),40003200,'Revenue Forecast'!L34)),0)</f>
        <v>0.77539224453282007</v>
      </c>
      <c r="N13" s="21">
        <f>IFERROR(MAX(0,-'Cash Flow Statement'!N16)/('Revenue Forecast'!N34-IF(N$3=DATE(2026,1,1),40003200,'Revenue Forecast'!M34)),0)</f>
        <v>0.26434295093656596</v>
      </c>
    </row>
    <row r="14" spans="1:14" ht="15" customHeight="1" x14ac:dyDescent="0.3">
      <c r="B14" t="s">
        <v>1118</v>
      </c>
      <c r="C14" s="22">
        <f>IF('Cash Flow Statement'!C16&gt;=0,99,'Balance Sheet'!C5/-'Cash Flow Statement'!C16)</f>
        <v>10.863061724019012</v>
      </c>
      <c r="D14" s="22">
        <f>IF('Cash Flow Statement'!D16&gt;=0,99,'Balance Sheet'!D5/-'Cash Flow Statement'!D16)</f>
        <v>14.004760026996349</v>
      </c>
      <c r="E14" s="22">
        <f>IF('Cash Flow Statement'!E16&gt;=0,99,'Balance Sheet'!E5/-'Cash Flow Statement'!E16)</f>
        <v>13.238979362074033</v>
      </c>
      <c r="F14" s="22">
        <f>IF('Cash Flow Statement'!F16&gt;=0,99,'Balance Sheet'!F5/-'Cash Flow Statement'!F16)</f>
        <v>12.384073800618188</v>
      </c>
      <c r="G14" s="22">
        <f>IF('Cash Flow Statement'!G16&gt;=0,99,'Balance Sheet'!G5/-'Cash Flow Statement'!G16)</f>
        <v>11.922273255444724</v>
      </c>
      <c r="H14" s="22">
        <f>IF('Cash Flow Statement'!H16&gt;=0,99,'Balance Sheet'!H5/-'Cash Flow Statement'!H16)</f>
        <v>10.866405681677261</v>
      </c>
      <c r="I14" s="22">
        <f>IF('Cash Flow Statement'!I16&gt;=0,99,'Balance Sheet'!I5/-'Cash Flow Statement'!I16)</f>
        <v>9.6637120891432868</v>
      </c>
      <c r="J14" s="22">
        <f>IF('Cash Flow Statement'!J16&gt;=0,99,'Balance Sheet'!J5/-'Cash Flow Statement'!J16)</f>
        <v>11.101991254222273</v>
      </c>
      <c r="K14" s="22">
        <f>IF('Cash Flow Statement'!K16&gt;=0,99,'Balance Sheet'!K5/-'Cash Flow Statement'!K16)</f>
        <v>9.9593269195150445</v>
      </c>
      <c r="L14" s="22">
        <f>IF('Cash Flow Statement'!L16&gt;=0,99,'Balance Sheet'!L5/-'Cash Flow Statement'!L16)</f>
        <v>12.052183786876315</v>
      </c>
      <c r="M14" s="22">
        <f>IF('Cash Flow Statement'!M16&gt;=0,99,'Balance Sheet'!M5/-'Cash Flow Statement'!M16)</f>
        <v>12.315979545561749</v>
      </c>
      <c r="N14" s="22">
        <f>IF('Cash Flow Statement'!N16&gt;=0,99,'Balance Sheet'!N5/-'Cash Flow Statement'!N16)</f>
        <v>12.340321110817728</v>
      </c>
    </row>
    <row r="15" spans="1:14" ht="15" customHeight="1" x14ac:dyDescent="0.3">
      <c r="B15" t="s">
        <v>1073</v>
      </c>
      <c r="C15" s="9">
        <f>'Income Statement'!C15</f>
        <v>-0.26311735304753625</v>
      </c>
      <c r="D15" s="9">
        <f>'Income Statement'!D15</f>
        <v>-0.25179981837277854</v>
      </c>
      <c r="E15" s="9">
        <f>'Income Statement'!E15</f>
        <v>-0.23608535050851992</v>
      </c>
      <c r="F15" s="9">
        <f>'Income Statement'!F15</f>
        <v>-0.22891456138472019</v>
      </c>
      <c r="G15" s="9">
        <f>'Income Statement'!G15</f>
        <v>-0.22439877375594719</v>
      </c>
      <c r="H15" s="9">
        <f>'Income Statement'!H15</f>
        <v>-0.21922789919895758</v>
      </c>
      <c r="I15" s="9">
        <f>'Income Statement'!I15</f>
        <v>-0.20979860095991046</v>
      </c>
      <c r="J15" s="9">
        <f>'Income Statement'!J15</f>
        <v>-0.1639459953600593</v>
      </c>
      <c r="K15" s="9">
        <f>'Income Statement'!K15</f>
        <v>-0.15147095879114469</v>
      </c>
      <c r="L15" s="9">
        <f>'Income Statement'!L15</f>
        <v>-0.10437665210595495</v>
      </c>
      <c r="M15" s="9">
        <f>'Income Statement'!M15</f>
        <v>-9.9653610601800058E-2</v>
      </c>
      <c r="N15" s="9">
        <f>'Income Statement'!N15</f>
        <v>-6.8177142523991527E-2</v>
      </c>
    </row>
    <row r="16" spans="1:14" ht="15" customHeight="1" x14ac:dyDescent="0.3"/>
    <row r="17" ht="15" customHeight="1" x14ac:dyDescent="0.3"/>
    <row r="18" ht="15" customHeight="1" x14ac:dyDescent="0.3"/>
    <row r="19" ht="15" customHeight="1" x14ac:dyDescent="0.3"/>
    <row r="20" ht="15" customHeight="1" x14ac:dyDescent="0.3"/>
    <row r="21" ht="15" customHeight="1" x14ac:dyDescent="0.3"/>
    <row r="22" ht="15" customHeight="1" x14ac:dyDescent="0.3"/>
    <row r="23" ht="15" customHeight="1" x14ac:dyDescent="0.3"/>
    <row r="24" ht="15" customHeight="1" x14ac:dyDescent="0.3"/>
    <row r="25" ht="15" customHeight="1" x14ac:dyDescent="0.3"/>
    <row r="26" ht="15" customHeight="1" x14ac:dyDescent="0.3"/>
    <row r="27" ht="15" customHeight="1" x14ac:dyDescent="0.3"/>
    <row r="28" ht="15" customHeight="1" x14ac:dyDescent="0.3"/>
    <row r="29" ht="15" customHeight="1" x14ac:dyDescent="0.3"/>
    <row r="30" ht="15" customHeight="1" x14ac:dyDescent="0.3"/>
    <row r="31" ht="15" customHeight="1" x14ac:dyDescent="0.3"/>
    <row r="32" ht="15" customHeight="1" x14ac:dyDescent="0.3"/>
    <row r="33" ht="15" customHeight="1" x14ac:dyDescent="0.3"/>
    <row r="34" ht="15" customHeight="1" x14ac:dyDescent="0.3"/>
  </sheetData>
  <mergeCells count="1">
    <mergeCell ref="A1:N1"/>
  </mergeCells>
  <conditionalFormatting sqref="C6:N7">
    <cfRule type="cellIs" dxfId="4" priority="1" operator="lessThan">
      <formula>1</formula>
    </cfRule>
  </conditionalFormatting>
  <conditionalFormatting sqref="C10:N10">
    <cfRule type="cellIs" dxfId="3" priority="2" operator="greaterThanOrEqual">
      <formula>3</formula>
    </cfRule>
  </conditionalFormatting>
  <conditionalFormatting sqref="C11:N11">
    <cfRule type="cellIs" dxfId="2" priority="3" operator="greaterThanOrEqual">
      <formula>0.4</formula>
    </cfRule>
  </conditionalFormatting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Y84"/>
  <sheetViews>
    <sheetView showGridLines="0"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" customWidth="1"/>
    <col min="2" max="2" width="30" customWidth="1"/>
    <col min="3" max="14" width="13" customWidth="1"/>
    <col min="16" max="25" width="13" hidden="1" customWidth="1"/>
  </cols>
  <sheetData>
    <row r="1" spans="1:14" ht="34.049999999999997" customHeight="1" x14ac:dyDescent="0.3">
      <c r="A1" s="28" t="s">
        <v>1119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</row>
    <row r="2" spans="1:14" ht="15" customHeight="1" x14ac:dyDescent="0.3"/>
    <row r="3" spans="1:14" ht="15" customHeight="1" x14ac:dyDescent="0.3">
      <c r="B3" s="5"/>
      <c r="C3" s="16">
        <v>46023</v>
      </c>
      <c r="D3" s="16">
        <v>46054</v>
      </c>
      <c r="E3" s="16">
        <v>46082</v>
      </c>
      <c r="F3" s="16">
        <v>46113</v>
      </c>
      <c r="G3" s="16">
        <v>46143</v>
      </c>
      <c r="H3" s="16">
        <v>46174</v>
      </c>
      <c r="I3" s="16">
        <v>46204</v>
      </c>
      <c r="J3" s="16">
        <v>46235</v>
      </c>
      <c r="K3" s="16">
        <v>46266</v>
      </c>
      <c r="L3" s="16">
        <v>46296</v>
      </c>
      <c r="M3" s="16">
        <v>46327</v>
      </c>
      <c r="N3" s="16">
        <v>46357</v>
      </c>
    </row>
    <row r="4" spans="1:14" ht="15" customHeight="1" x14ac:dyDescent="0.3">
      <c r="B4" t="s">
        <v>1120</v>
      </c>
      <c r="C4" s="18">
        <f t="shared" ref="C4:N4" si="0">SUMIFS($R$25:$R$84,$P$25:$P$84,C$3)</f>
        <v>3390800</v>
      </c>
      <c r="D4" s="18">
        <f t="shared" si="0"/>
        <v>3441662</v>
      </c>
      <c r="E4" s="18">
        <f t="shared" si="0"/>
        <v>3778453</v>
      </c>
      <c r="F4" s="18">
        <f t="shared" si="0"/>
        <v>3545686</v>
      </c>
      <c r="G4" s="18">
        <f t="shared" si="0"/>
        <v>3598872</v>
      </c>
      <c r="H4" s="18">
        <f t="shared" si="0"/>
        <v>3951047</v>
      </c>
      <c r="I4" s="18">
        <f t="shared" si="0"/>
        <v>3707647</v>
      </c>
      <c r="J4" s="18">
        <f t="shared" si="0"/>
        <v>3763262</v>
      </c>
      <c r="K4" s="18">
        <f t="shared" si="0"/>
        <v>4131524</v>
      </c>
      <c r="L4" s="18">
        <f t="shared" si="0"/>
        <v>3877007</v>
      </c>
      <c r="M4" s="18">
        <f t="shared" si="0"/>
        <v>3935162</v>
      </c>
      <c r="N4" s="18">
        <f t="shared" si="0"/>
        <v>4320246</v>
      </c>
    </row>
    <row r="5" spans="1:14" ht="15" customHeight="1" x14ac:dyDescent="0.3">
      <c r="B5" t="s">
        <v>1121</v>
      </c>
      <c r="C5" s="18">
        <f t="shared" ref="C5:N5" si="1">(SUMIFS($W$25:$W$84,$P$25:$P$84,C$3)-SUMIFS($V$25:$V$84,$P$25:$P$84,C$3))*SUMIFS($X$25:$X$84,$P$25:$P$84,C$3)</f>
        <v>-75351.11</v>
      </c>
      <c r="D5" s="18">
        <f t="shared" si="1"/>
        <v>-149637.48000000001</v>
      </c>
      <c r="E5" s="18">
        <f t="shared" si="1"/>
        <v>82140.289999999994</v>
      </c>
      <c r="F5" s="18">
        <f t="shared" si="1"/>
        <v>75440.13</v>
      </c>
      <c r="G5" s="18">
        <f t="shared" si="1"/>
        <v>0</v>
      </c>
      <c r="H5" s="18">
        <f t="shared" si="1"/>
        <v>-161267.22</v>
      </c>
      <c r="I5" s="18">
        <f t="shared" si="1"/>
        <v>-222458.84999999998</v>
      </c>
      <c r="J5" s="18">
        <f t="shared" si="1"/>
        <v>-150530.48000000001</v>
      </c>
      <c r="K5" s="18">
        <f t="shared" si="1"/>
        <v>-81010.28</v>
      </c>
      <c r="L5" s="18">
        <f t="shared" si="1"/>
        <v>0</v>
      </c>
      <c r="M5" s="18">
        <f t="shared" si="1"/>
        <v>74248.34</v>
      </c>
      <c r="N5" s="18">
        <f t="shared" si="1"/>
        <v>160009.1</v>
      </c>
    </row>
    <row r="6" spans="1:14" ht="15" customHeight="1" x14ac:dyDescent="0.3">
      <c r="B6" t="s">
        <v>1122</v>
      </c>
      <c r="C6" s="18">
        <f t="shared" ref="C6:N6" si="2">SUMIFS($W$25:$W$84,$P$25:$P$84,C$3)*(SUMIFS($Y$25:$Y$84,$P$25:$P$84,C$3)-SUMIFS($X$25:$X$84,$P$25:$P$84,C$3))</f>
        <v>24489.079999999667</v>
      </c>
      <c r="D6" s="18">
        <f t="shared" si="2"/>
        <v>53270.799999999872</v>
      </c>
      <c r="E6" s="18">
        <f t="shared" si="2"/>
        <v>-14128.19999999959</v>
      </c>
      <c r="F6" s="18">
        <f t="shared" si="2"/>
        <v>13201.919999999693</v>
      </c>
      <c r="G6" s="18">
        <f t="shared" si="2"/>
        <v>43186.560000000056</v>
      </c>
      <c r="H6" s="18">
        <f t="shared" si="2"/>
        <v>15078.539999999644</v>
      </c>
      <c r="I6" s="18">
        <f t="shared" si="2"/>
        <v>22246.040000000328</v>
      </c>
      <c r="J6" s="18">
        <f t="shared" si="2"/>
        <v>-7526.4000000001397</v>
      </c>
      <c r="K6" s="18">
        <f t="shared" si="2"/>
        <v>2511.4999999997963</v>
      </c>
      <c r="L6" s="18">
        <f t="shared" si="2"/>
        <v>23262.199999999546</v>
      </c>
      <c r="M6" s="18">
        <f t="shared" si="2"/>
        <v>-3415.5</v>
      </c>
      <c r="N6" s="18">
        <f t="shared" si="2"/>
        <v>-8800.9600000001956</v>
      </c>
    </row>
    <row r="7" spans="1:14" ht="15" customHeight="1" x14ac:dyDescent="0.3">
      <c r="B7" t="s">
        <v>1123</v>
      </c>
      <c r="C7" s="18">
        <f t="shared" ref="C7:N7" si="3">SUMIFS($S$25:$S$84,$P$25:$P$84,C$3)</f>
        <v>3339938</v>
      </c>
      <c r="D7" s="18">
        <f t="shared" si="3"/>
        <v>3345295</v>
      </c>
      <c r="E7" s="18">
        <f t="shared" si="3"/>
        <v>3846465</v>
      </c>
      <c r="F7" s="18">
        <f t="shared" si="3"/>
        <v>3634328</v>
      </c>
      <c r="G7" s="18">
        <f t="shared" si="3"/>
        <v>3642058</v>
      </c>
      <c r="H7" s="18">
        <f t="shared" si="3"/>
        <v>3804858</v>
      </c>
      <c r="I7" s="18">
        <f t="shared" si="3"/>
        <v>3507434</v>
      </c>
      <c r="J7" s="18">
        <f t="shared" si="3"/>
        <v>3605205</v>
      </c>
      <c r="K7" s="18">
        <f t="shared" si="3"/>
        <v>4053025</v>
      </c>
      <c r="L7" s="18">
        <f t="shared" si="3"/>
        <v>3900269</v>
      </c>
      <c r="M7" s="18">
        <f t="shared" si="3"/>
        <v>4005995</v>
      </c>
      <c r="N7" s="18">
        <f t="shared" si="3"/>
        <v>4471454</v>
      </c>
    </row>
    <row r="8" spans="1:14" ht="15" customHeight="1" x14ac:dyDescent="0.3">
      <c r="B8" t="s">
        <v>1124</v>
      </c>
      <c r="C8" s="18">
        <f t="shared" ref="C8:N8" si="4">SUM(C5:C6)</f>
        <v>-50862.030000000334</v>
      </c>
      <c r="D8" s="18">
        <f t="shared" si="4"/>
        <v>-96366.680000000139</v>
      </c>
      <c r="E8" s="18">
        <f t="shared" si="4"/>
        <v>68012.090000000404</v>
      </c>
      <c r="F8" s="18">
        <f t="shared" si="4"/>
        <v>88642.049999999697</v>
      </c>
      <c r="G8" s="18">
        <f t="shared" si="4"/>
        <v>43186.560000000056</v>
      </c>
      <c r="H8" s="18">
        <f t="shared" si="4"/>
        <v>-146188.68000000034</v>
      </c>
      <c r="I8" s="18">
        <f t="shared" si="4"/>
        <v>-200212.80999999965</v>
      </c>
      <c r="J8" s="18">
        <f t="shared" si="4"/>
        <v>-158056.88000000015</v>
      </c>
      <c r="K8" s="18">
        <f t="shared" si="4"/>
        <v>-78498.780000000203</v>
      </c>
      <c r="L8" s="18">
        <f t="shared" si="4"/>
        <v>23262.199999999546</v>
      </c>
      <c r="M8" s="18">
        <f t="shared" si="4"/>
        <v>70832.84</v>
      </c>
      <c r="N8" s="18">
        <f t="shared" si="4"/>
        <v>151208.13999999981</v>
      </c>
    </row>
    <row r="9" spans="1:14" ht="15" customHeight="1" x14ac:dyDescent="0.3">
      <c r="B9" t="s">
        <v>1125</v>
      </c>
      <c r="C9" s="9">
        <f t="shared" ref="C9:N9" si="5">IFERROR(C8/C4,0)</f>
        <v>-1.5000008847469722E-2</v>
      </c>
      <c r="D9" s="9">
        <f t="shared" si="5"/>
        <v>-2.8000041840250477E-2</v>
      </c>
      <c r="E9" s="9">
        <f t="shared" si="5"/>
        <v>1.799998306185108E-2</v>
      </c>
      <c r="F9" s="9">
        <f t="shared" si="5"/>
        <v>2.4999971796712879E-2</v>
      </c>
      <c r="G9" s="9">
        <f t="shared" si="5"/>
        <v>1.2000026675024856E-2</v>
      </c>
      <c r="H9" s="9">
        <f t="shared" si="5"/>
        <v>-3.6999985067249351E-2</v>
      </c>
      <c r="I9" s="9">
        <f t="shared" si="5"/>
        <v>-5.3999965476756458E-2</v>
      </c>
      <c r="J9" s="9">
        <f t="shared" si="5"/>
        <v>-4.1999967049862634E-2</v>
      </c>
      <c r="K9" s="9">
        <f t="shared" si="5"/>
        <v>-1.8999957400707392E-2</v>
      </c>
      <c r="L9" s="9">
        <f t="shared" si="5"/>
        <v>6.0000407530859615E-3</v>
      </c>
      <c r="M9" s="9">
        <f t="shared" si="5"/>
        <v>1.7999980686945034E-2</v>
      </c>
      <c r="N9" s="9">
        <f t="shared" si="5"/>
        <v>3.4999891209898652E-2</v>
      </c>
    </row>
    <row r="10" spans="1:14" ht="15" customHeight="1" x14ac:dyDescent="0.3"/>
    <row r="11" spans="1:14" ht="15" customHeight="1" x14ac:dyDescent="0.3">
      <c r="B11" t="s">
        <v>1126</v>
      </c>
      <c r="C11" s="18">
        <f t="shared" ref="C11:N11" si="6">SUMIFS($T$25:$T$84,$P$25:$P$84,C$3)</f>
        <v>3470000</v>
      </c>
      <c r="D11" s="18">
        <f t="shared" si="6"/>
        <v>3497760</v>
      </c>
      <c r="E11" s="18">
        <f t="shared" si="6"/>
        <v>3525742</v>
      </c>
      <c r="F11" s="18">
        <f t="shared" si="6"/>
        <v>3553947</v>
      </c>
      <c r="G11" s="18">
        <f t="shared" si="6"/>
        <v>3582380</v>
      </c>
      <c r="H11" s="18">
        <f t="shared" si="6"/>
        <v>3611039</v>
      </c>
      <c r="I11" s="18">
        <f t="shared" si="6"/>
        <v>3639928</v>
      </c>
      <c r="J11" s="18">
        <f t="shared" si="6"/>
        <v>3669046</v>
      </c>
      <c r="K11" s="18">
        <f t="shared" si="6"/>
        <v>3698398</v>
      </c>
      <c r="L11" s="18">
        <f t="shared" si="6"/>
        <v>3727987</v>
      </c>
      <c r="M11" s="18">
        <f t="shared" si="6"/>
        <v>3757810</v>
      </c>
      <c r="N11" s="18">
        <f t="shared" si="6"/>
        <v>3787872</v>
      </c>
    </row>
    <row r="12" spans="1:14" ht="15" customHeight="1" x14ac:dyDescent="0.3">
      <c r="B12" t="s">
        <v>1127</v>
      </c>
      <c r="C12" s="18">
        <f t="shared" ref="C12:N12" si="7">SUMIFS($T$25:$T$84,$P$25:$P$84,C$3,$Q$25:$Q$84,"Sales")-SUMIFS($U$25:$U$84,$P$25:$P$84,C$3,$Q$25:$Q$84,"Sales")</f>
        <v>-42211</v>
      </c>
      <c r="D12" s="18">
        <f t="shared" si="7"/>
        <v>-37587</v>
      </c>
      <c r="E12" s="18">
        <f t="shared" si="7"/>
        <v>-35584</v>
      </c>
      <c r="F12" s="18">
        <f t="shared" si="7"/>
        <v>-35848</v>
      </c>
      <c r="G12" s="18">
        <f t="shared" si="7"/>
        <v>-41212</v>
      </c>
      <c r="H12" s="18">
        <f t="shared" si="7"/>
        <v>-39032</v>
      </c>
      <c r="I12" s="18">
        <f t="shared" si="7"/>
        <v>-22494</v>
      </c>
      <c r="J12" s="18">
        <f t="shared" si="7"/>
        <v>-43321</v>
      </c>
      <c r="K12" s="18">
        <f t="shared" si="7"/>
        <v>-43345</v>
      </c>
      <c r="L12" s="18">
        <f t="shared" si="7"/>
        <v>-46571</v>
      </c>
      <c r="M12" s="18">
        <f t="shared" si="7"/>
        <v>-30487</v>
      </c>
      <c r="N12" s="18">
        <f t="shared" si="7"/>
        <v>-36645</v>
      </c>
    </row>
    <row r="13" spans="1:14" ht="15" customHeight="1" x14ac:dyDescent="0.3">
      <c r="B13" t="s">
        <v>1128</v>
      </c>
      <c r="C13" s="18">
        <f t="shared" ref="C13:N13" si="8">SUMIFS($T$25:$T$84,$P$25:$P$84,C$3,$Q$25:$Q$84,"Customer Success")-SUMIFS($U$25:$U$84,$P$25:$P$84,C$3,$Q$25:$Q$84,"Customer Success")</f>
        <v>9147</v>
      </c>
      <c r="D13" s="18">
        <f t="shared" si="8"/>
        <v>12419</v>
      </c>
      <c r="E13" s="18">
        <f t="shared" si="8"/>
        <v>7582</v>
      </c>
      <c r="F13" s="18">
        <f t="shared" si="8"/>
        <v>14600</v>
      </c>
      <c r="G13" s="18">
        <f t="shared" si="8"/>
        <v>11204</v>
      </c>
      <c r="H13" s="18">
        <f t="shared" si="8"/>
        <v>9127</v>
      </c>
      <c r="I13" s="18">
        <f t="shared" si="8"/>
        <v>12085</v>
      </c>
      <c r="J13" s="18">
        <f t="shared" si="8"/>
        <v>13773</v>
      </c>
      <c r="K13" s="18">
        <f t="shared" si="8"/>
        <v>10869</v>
      </c>
      <c r="L13" s="18">
        <f t="shared" si="8"/>
        <v>11855</v>
      </c>
      <c r="M13" s="18">
        <f t="shared" si="8"/>
        <v>12021</v>
      </c>
      <c r="N13" s="18">
        <f t="shared" si="8"/>
        <v>11213</v>
      </c>
    </row>
    <row r="14" spans="1:14" ht="15" customHeight="1" x14ac:dyDescent="0.3">
      <c r="B14" t="s">
        <v>1129</v>
      </c>
      <c r="C14" s="18">
        <f t="shared" ref="C14:N14" si="9">SUMIFS($T$25:$T$84,$P$25:$P$84,C$3,$Q$25:$Q$84,"Marketing")-SUMIFS($U$25:$U$84,$P$25:$P$84,C$3,$Q$25:$Q$84,"Marketing")</f>
        <v>-39247</v>
      </c>
      <c r="D14" s="18">
        <f t="shared" si="9"/>
        <v>-43603</v>
      </c>
      <c r="E14" s="18">
        <f t="shared" si="9"/>
        <v>-45209</v>
      </c>
      <c r="F14" s="18">
        <f t="shared" si="9"/>
        <v>-42547</v>
      </c>
      <c r="G14" s="18">
        <f t="shared" si="9"/>
        <v>-46777</v>
      </c>
      <c r="H14" s="18">
        <f t="shared" si="9"/>
        <v>-52935</v>
      </c>
      <c r="I14" s="18">
        <f t="shared" si="9"/>
        <v>-42923</v>
      </c>
      <c r="J14" s="18">
        <f t="shared" si="9"/>
        <v>-44786</v>
      </c>
      <c r="K14" s="18">
        <f t="shared" si="9"/>
        <v>-51742</v>
      </c>
      <c r="L14" s="18">
        <f t="shared" si="9"/>
        <v>-42880</v>
      </c>
      <c r="M14" s="18">
        <f t="shared" si="9"/>
        <v>-44448</v>
      </c>
      <c r="N14" s="18">
        <f t="shared" si="9"/>
        <v>-52784</v>
      </c>
    </row>
    <row r="15" spans="1:14" ht="15" customHeight="1" x14ac:dyDescent="0.3">
      <c r="B15" t="s">
        <v>1130</v>
      </c>
      <c r="C15" s="18">
        <f t="shared" ref="C15:N15" si="10">SUMIFS($T$25:$T$84,$P$25:$P$84,C$3,$Q$25:$Q$84,"Product &amp; Engineering")-SUMIFS($U$25:$U$84,$P$25:$P$84,C$3,$Q$25:$Q$84,"Product &amp; Engineering")</f>
        <v>-17031</v>
      </c>
      <c r="D15" s="18">
        <f t="shared" si="10"/>
        <v>-9519</v>
      </c>
      <c r="E15" s="18">
        <f t="shared" si="10"/>
        <v>-20399</v>
      </c>
      <c r="F15" s="18">
        <f t="shared" si="10"/>
        <v>-19543</v>
      </c>
      <c r="G15" s="18">
        <f t="shared" si="10"/>
        <v>-30748</v>
      </c>
      <c r="H15" s="18">
        <f t="shared" si="10"/>
        <v>-33590</v>
      </c>
      <c r="I15" s="18">
        <f t="shared" si="10"/>
        <v>-27873</v>
      </c>
      <c r="J15" s="18">
        <f t="shared" si="10"/>
        <v>-35141</v>
      </c>
      <c r="K15" s="18">
        <f t="shared" si="10"/>
        <v>-21709</v>
      </c>
      <c r="L15" s="18">
        <f t="shared" si="10"/>
        <v>-14520</v>
      </c>
      <c r="M15" s="18">
        <f t="shared" si="10"/>
        <v>-11455</v>
      </c>
      <c r="N15" s="18">
        <f t="shared" si="10"/>
        <v>-27194</v>
      </c>
    </row>
    <row r="16" spans="1:14" ht="15" customHeight="1" x14ac:dyDescent="0.3">
      <c r="B16" t="s">
        <v>1131</v>
      </c>
      <c r="C16" s="18">
        <f t="shared" ref="C16:N16" si="11">SUMIFS($T$25:$T$84,$P$25:$P$84,C$3,$Q$25:$Q$84,"G&amp;A")-SUMIFS($U$25:$U$84,$P$25:$P$84,C$3,$Q$25:$Q$84,"G&amp;A")</f>
        <v>25836</v>
      </c>
      <c r="D16" s="18">
        <f t="shared" si="11"/>
        <v>16618</v>
      </c>
      <c r="E16" s="18">
        <f t="shared" si="11"/>
        <v>19556</v>
      </c>
      <c r="F16" s="18">
        <f t="shared" si="11"/>
        <v>23065</v>
      </c>
      <c r="G16" s="18">
        <f t="shared" si="11"/>
        <v>24747</v>
      </c>
      <c r="H16" s="18">
        <f t="shared" si="11"/>
        <v>17528</v>
      </c>
      <c r="I16" s="18">
        <f t="shared" si="11"/>
        <v>19017</v>
      </c>
      <c r="J16" s="18">
        <f t="shared" si="11"/>
        <v>24144</v>
      </c>
      <c r="K16" s="18">
        <f t="shared" si="11"/>
        <v>27113</v>
      </c>
      <c r="L16" s="18">
        <f t="shared" si="11"/>
        <v>20522</v>
      </c>
      <c r="M16" s="18">
        <f t="shared" si="11"/>
        <v>28912</v>
      </c>
      <c r="N16" s="18">
        <f t="shared" si="11"/>
        <v>19460</v>
      </c>
    </row>
    <row r="17" spans="2:25" ht="15" customHeight="1" x14ac:dyDescent="0.3">
      <c r="B17" t="s">
        <v>1132</v>
      </c>
      <c r="C17" s="18">
        <f t="shared" ref="C17:N17" si="12">SUMIFS($U$25:$U$84,$P$25:$P$84,C$3)</f>
        <v>3533506</v>
      </c>
      <c r="D17" s="18">
        <f t="shared" si="12"/>
        <v>3559432</v>
      </c>
      <c r="E17" s="18">
        <f t="shared" si="12"/>
        <v>3599796</v>
      </c>
      <c r="F17" s="18">
        <f t="shared" si="12"/>
        <v>3614220</v>
      </c>
      <c r="G17" s="18">
        <f t="shared" si="12"/>
        <v>3665166</v>
      </c>
      <c r="H17" s="18">
        <f t="shared" si="12"/>
        <v>3709941</v>
      </c>
      <c r="I17" s="18">
        <f t="shared" si="12"/>
        <v>3702116</v>
      </c>
      <c r="J17" s="18">
        <f t="shared" si="12"/>
        <v>3754377</v>
      </c>
      <c r="K17" s="18">
        <f t="shared" si="12"/>
        <v>3777212</v>
      </c>
      <c r="L17" s="18">
        <f t="shared" si="12"/>
        <v>3799581</v>
      </c>
      <c r="M17" s="18">
        <f t="shared" si="12"/>
        <v>3803267</v>
      </c>
      <c r="N17" s="18">
        <f t="shared" si="12"/>
        <v>3873822</v>
      </c>
    </row>
    <row r="18" spans="2:25" ht="15" customHeight="1" x14ac:dyDescent="0.3">
      <c r="B18" t="s">
        <v>1133</v>
      </c>
      <c r="C18" s="18">
        <f t="shared" ref="C18:N18" si="13">C11-C17</f>
        <v>-63506</v>
      </c>
      <c r="D18" s="18">
        <f t="shared" si="13"/>
        <v>-61672</v>
      </c>
      <c r="E18" s="18">
        <f t="shared" si="13"/>
        <v>-74054</v>
      </c>
      <c r="F18" s="18">
        <f t="shared" si="13"/>
        <v>-60273</v>
      </c>
      <c r="G18" s="18">
        <f t="shared" si="13"/>
        <v>-82786</v>
      </c>
      <c r="H18" s="18">
        <f t="shared" si="13"/>
        <v>-98902</v>
      </c>
      <c r="I18" s="18">
        <f t="shared" si="13"/>
        <v>-62188</v>
      </c>
      <c r="J18" s="18">
        <f t="shared" si="13"/>
        <v>-85331</v>
      </c>
      <c r="K18" s="18">
        <f t="shared" si="13"/>
        <v>-78814</v>
      </c>
      <c r="L18" s="18">
        <f t="shared" si="13"/>
        <v>-71594</v>
      </c>
      <c r="M18" s="18">
        <f t="shared" si="13"/>
        <v>-45457</v>
      </c>
      <c r="N18" s="18">
        <f t="shared" si="13"/>
        <v>-85950</v>
      </c>
    </row>
    <row r="19" spans="2:25" ht="15" customHeight="1" x14ac:dyDescent="0.3">
      <c r="B19" t="s">
        <v>1134</v>
      </c>
      <c r="C19" s="9">
        <f t="shared" ref="C19:N19" si="14">IFERROR(C18/C11,0)</f>
        <v>-1.8301440922190201E-2</v>
      </c>
      <c r="D19" s="9">
        <f t="shared" si="14"/>
        <v>-1.7631855816293857E-2</v>
      </c>
      <c r="E19" s="9">
        <f t="shared" si="14"/>
        <v>-2.1003805723731346E-2</v>
      </c>
      <c r="F19" s="9">
        <f t="shared" si="14"/>
        <v>-1.6959453812901544E-2</v>
      </c>
      <c r="G19" s="9">
        <f t="shared" si="14"/>
        <v>-2.3109217894249075E-2</v>
      </c>
      <c r="H19" s="9">
        <f t="shared" si="14"/>
        <v>-2.73887930869758E-2</v>
      </c>
      <c r="I19" s="9">
        <f t="shared" si="14"/>
        <v>-1.7084953328747161E-2</v>
      </c>
      <c r="J19" s="9">
        <f t="shared" si="14"/>
        <v>-2.3256999230862736E-2</v>
      </c>
      <c r="K19" s="9">
        <f t="shared" si="14"/>
        <v>-2.1310307868433846E-2</v>
      </c>
      <c r="L19" s="9">
        <f t="shared" si="14"/>
        <v>-1.9204466109994482E-2</v>
      </c>
      <c r="M19" s="9">
        <f t="shared" si="14"/>
        <v>-1.209667332834816E-2</v>
      </c>
      <c r="N19" s="9">
        <f t="shared" si="14"/>
        <v>-2.2690840661986466E-2</v>
      </c>
    </row>
    <row r="20" spans="2:25" ht="15" customHeight="1" x14ac:dyDescent="0.3"/>
    <row r="21" spans="2:25" ht="15" customHeight="1" x14ac:dyDescent="0.3"/>
    <row r="22" spans="2:25" ht="15" customHeight="1" x14ac:dyDescent="0.3"/>
    <row r="23" spans="2:25" ht="15" customHeight="1" x14ac:dyDescent="0.3"/>
    <row r="24" spans="2:25" ht="15" customHeight="1" x14ac:dyDescent="0.3">
      <c r="P24" t="s">
        <v>70</v>
      </c>
      <c r="Q24" t="s">
        <v>1041</v>
      </c>
      <c r="R24" t="s">
        <v>1135</v>
      </c>
      <c r="S24" t="s">
        <v>1136</v>
      </c>
      <c r="T24" t="s">
        <v>1137</v>
      </c>
      <c r="U24" t="s">
        <v>1138</v>
      </c>
      <c r="V24" t="s">
        <v>1139</v>
      </c>
      <c r="W24" t="s">
        <v>1140</v>
      </c>
      <c r="X24" t="s">
        <v>1141</v>
      </c>
      <c r="Y24" t="s">
        <v>1142</v>
      </c>
    </row>
    <row r="25" spans="2:25" ht="15" customHeight="1" x14ac:dyDescent="0.3">
      <c r="P25" s="15">
        <v>46023</v>
      </c>
      <c r="Q25" t="s">
        <v>1047</v>
      </c>
      <c r="R25">
        <v>3390800</v>
      </c>
      <c r="S25">
        <v>3339938</v>
      </c>
      <c r="T25">
        <v>920000</v>
      </c>
      <c r="U25">
        <v>962211</v>
      </c>
      <c r="V25">
        <v>45</v>
      </c>
      <c r="W25">
        <v>44</v>
      </c>
      <c r="X25">
        <v>75351.11</v>
      </c>
      <c r="Y25">
        <v>75907.679999999993</v>
      </c>
    </row>
    <row r="26" spans="2:25" ht="15" customHeight="1" x14ac:dyDescent="0.3">
      <c r="P26" s="15">
        <v>46023</v>
      </c>
      <c r="Q26" t="s">
        <v>1052</v>
      </c>
      <c r="R26">
        <v>0</v>
      </c>
      <c r="S26">
        <v>0</v>
      </c>
      <c r="T26">
        <v>390000</v>
      </c>
      <c r="U26">
        <v>380853</v>
      </c>
      <c r="V26">
        <v>0</v>
      </c>
      <c r="W26">
        <v>0</v>
      </c>
      <c r="X26">
        <v>0</v>
      </c>
      <c r="Y26">
        <v>0</v>
      </c>
    </row>
    <row r="27" spans="2:25" ht="15" customHeight="1" x14ac:dyDescent="0.3">
      <c r="P27" s="15">
        <v>46023</v>
      </c>
      <c r="Q27" t="s">
        <v>1055</v>
      </c>
      <c r="R27">
        <v>0</v>
      </c>
      <c r="S27">
        <v>0</v>
      </c>
      <c r="T27">
        <v>520000</v>
      </c>
      <c r="U27">
        <v>559247</v>
      </c>
      <c r="V27">
        <v>0</v>
      </c>
      <c r="W27">
        <v>0</v>
      </c>
      <c r="X27">
        <v>0</v>
      </c>
      <c r="Y27">
        <v>0</v>
      </c>
    </row>
    <row r="28" spans="2:25" ht="15" customHeight="1" x14ac:dyDescent="0.3">
      <c r="P28" s="15">
        <v>46023</v>
      </c>
      <c r="Q28" t="s">
        <v>1058</v>
      </c>
      <c r="R28">
        <v>0</v>
      </c>
      <c r="S28">
        <v>0</v>
      </c>
      <c r="T28">
        <v>1160000</v>
      </c>
      <c r="U28">
        <v>1177031</v>
      </c>
      <c r="V28">
        <v>0</v>
      </c>
      <c r="W28">
        <v>0</v>
      </c>
      <c r="X28">
        <v>0</v>
      </c>
      <c r="Y28">
        <v>0</v>
      </c>
    </row>
    <row r="29" spans="2:25" ht="15" customHeight="1" x14ac:dyDescent="0.3">
      <c r="P29" s="15">
        <v>46023</v>
      </c>
      <c r="Q29" t="s">
        <v>1062</v>
      </c>
      <c r="R29">
        <v>0</v>
      </c>
      <c r="S29">
        <v>0</v>
      </c>
      <c r="T29">
        <v>480000</v>
      </c>
      <c r="U29">
        <v>454164</v>
      </c>
      <c r="V29">
        <v>0</v>
      </c>
      <c r="W29">
        <v>0</v>
      </c>
      <c r="X29">
        <v>0</v>
      </c>
      <c r="Y29">
        <v>0</v>
      </c>
    </row>
    <row r="30" spans="2:25" ht="15" customHeight="1" x14ac:dyDescent="0.3">
      <c r="P30" s="15">
        <v>46054</v>
      </c>
      <c r="Q30" t="s">
        <v>1047</v>
      </c>
      <c r="R30">
        <v>3441662</v>
      </c>
      <c r="S30">
        <v>3345295</v>
      </c>
      <c r="T30">
        <v>927360</v>
      </c>
      <c r="U30">
        <v>964947</v>
      </c>
      <c r="V30">
        <v>46</v>
      </c>
      <c r="W30">
        <v>44</v>
      </c>
      <c r="X30">
        <v>74818.740000000005</v>
      </c>
      <c r="Y30">
        <v>76029.440000000002</v>
      </c>
    </row>
    <row r="31" spans="2:25" ht="15" customHeight="1" x14ac:dyDescent="0.3">
      <c r="P31" s="15">
        <v>46054</v>
      </c>
      <c r="Q31" t="s">
        <v>1052</v>
      </c>
      <c r="R31">
        <v>0</v>
      </c>
      <c r="S31">
        <v>0</v>
      </c>
      <c r="T31">
        <v>393120</v>
      </c>
      <c r="U31">
        <v>380701</v>
      </c>
      <c r="V31">
        <v>0</v>
      </c>
      <c r="W31">
        <v>0</v>
      </c>
      <c r="X31">
        <v>0</v>
      </c>
      <c r="Y31">
        <v>0</v>
      </c>
    </row>
    <row r="32" spans="2:25" ht="15" customHeight="1" x14ac:dyDescent="0.3">
      <c r="P32" s="15">
        <v>46054</v>
      </c>
      <c r="Q32" t="s">
        <v>1055</v>
      </c>
      <c r="R32">
        <v>0</v>
      </c>
      <c r="S32">
        <v>0</v>
      </c>
      <c r="T32">
        <v>524160</v>
      </c>
      <c r="U32">
        <v>567763</v>
      </c>
      <c r="V32">
        <v>0</v>
      </c>
      <c r="W32">
        <v>0</v>
      </c>
      <c r="X32">
        <v>0</v>
      </c>
      <c r="Y32">
        <v>0</v>
      </c>
    </row>
    <row r="33" spans="16:25" ht="15" customHeight="1" x14ac:dyDescent="0.3">
      <c r="P33" s="15">
        <v>46054</v>
      </c>
      <c r="Q33" t="s">
        <v>1058</v>
      </c>
      <c r="R33">
        <v>0</v>
      </c>
      <c r="S33">
        <v>0</v>
      </c>
      <c r="T33">
        <v>1169280</v>
      </c>
      <c r="U33">
        <v>1178799</v>
      </c>
      <c r="V33">
        <v>0</v>
      </c>
      <c r="W33">
        <v>0</v>
      </c>
      <c r="X33">
        <v>0</v>
      </c>
      <c r="Y33">
        <v>0</v>
      </c>
    </row>
    <row r="34" spans="16:25" ht="15" customHeight="1" x14ac:dyDescent="0.3">
      <c r="P34" s="15">
        <v>46054</v>
      </c>
      <c r="Q34" t="s">
        <v>1062</v>
      </c>
      <c r="R34">
        <v>0</v>
      </c>
      <c r="S34">
        <v>0</v>
      </c>
      <c r="T34">
        <v>483840</v>
      </c>
      <c r="U34">
        <v>467222</v>
      </c>
      <c r="V34">
        <v>0</v>
      </c>
      <c r="W34">
        <v>0</v>
      </c>
      <c r="X34">
        <v>0</v>
      </c>
      <c r="Y34">
        <v>0</v>
      </c>
    </row>
    <row r="35" spans="16:25" ht="15" customHeight="1" x14ac:dyDescent="0.3">
      <c r="P35" s="15">
        <v>46082</v>
      </c>
      <c r="Q35" t="s">
        <v>1047</v>
      </c>
      <c r="R35">
        <v>3778453</v>
      </c>
      <c r="S35">
        <v>3846465</v>
      </c>
      <c r="T35">
        <v>934779</v>
      </c>
      <c r="U35">
        <v>970363</v>
      </c>
      <c r="V35">
        <v>46</v>
      </c>
      <c r="W35">
        <v>47</v>
      </c>
      <c r="X35">
        <v>82140.289999999994</v>
      </c>
      <c r="Y35">
        <v>81839.69</v>
      </c>
    </row>
    <row r="36" spans="16:25" ht="15" customHeight="1" x14ac:dyDescent="0.3">
      <c r="P36" s="15">
        <v>46082</v>
      </c>
      <c r="Q36" t="s">
        <v>1052</v>
      </c>
      <c r="R36">
        <v>0</v>
      </c>
      <c r="S36">
        <v>0</v>
      </c>
      <c r="T36">
        <v>396265</v>
      </c>
      <c r="U36">
        <v>388683</v>
      </c>
      <c r="V36">
        <v>0</v>
      </c>
      <c r="W36">
        <v>0</v>
      </c>
      <c r="X36">
        <v>0</v>
      </c>
      <c r="Y36">
        <v>0</v>
      </c>
    </row>
    <row r="37" spans="16:25" ht="15" customHeight="1" x14ac:dyDescent="0.3">
      <c r="P37" s="15">
        <v>46082</v>
      </c>
      <c r="Q37" t="s">
        <v>1055</v>
      </c>
      <c r="R37">
        <v>0</v>
      </c>
      <c r="S37">
        <v>0</v>
      </c>
      <c r="T37">
        <v>528353</v>
      </c>
      <c r="U37">
        <v>573562</v>
      </c>
      <c r="V37">
        <v>0</v>
      </c>
      <c r="W37">
        <v>0</v>
      </c>
      <c r="X37">
        <v>0</v>
      </c>
      <c r="Y37">
        <v>0</v>
      </c>
    </row>
    <row r="38" spans="16:25" ht="15" customHeight="1" x14ac:dyDescent="0.3">
      <c r="P38" s="15">
        <v>46082</v>
      </c>
      <c r="Q38" t="s">
        <v>1058</v>
      </c>
      <c r="R38">
        <v>0</v>
      </c>
      <c r="S38">
        <v>0</v>
      </c>
      <c r="T38">
        <v>1178634</v>
      </c>
      <c r="U38">
        <v>1199033</v>
      </c>
      <c r="V38">
        <v>0</v>
      </c>
      <c r="W38">
        <v>0</v>
      </c>
      <c r="X38">
        <v>0</v>
      </c>
      <c r="Y38">
        <v>0</v>
      </c>
    </row>
    <row r="39" spans="16:25" ht="15" customHeight="1" x14ac:dyDescent="0.3">
      <c r="P39" s="15">
        <v>46082</v>
      </c>
      <c r="Q39" t="s">
        <v>1062</v>
      </c>
      <c r="R39">
        <v>0</v>
      </c>
      <c r="S39">
        <v>0</v>
      </c>
      <c r="T39">
        <v>487711</v>
      </c>
      <c r="U39">
        <v>468155</v>
      </c>
      <c r="V39">
        <v>0</v>
      </c>
      <c r="W39">
        <v>0</v>
      </c>
      <c r="X39">
        <v>0</v>
      </c>
      <c r="Y39">
        <v>0</v>
      </c>
    </row>
    <row r="40" spans="16:25" ht="15" customHeight="1" x14ac:dyDescent="0.3">
      <c r="P40" s="15">
        <v>46113</v>
      </c>
      <c r="Q40" t="s">
        <v>1047</v>
      </c>
      <c r="R40">
        <v>3545686</v>
      </c>
      <c r="S40">
        <v>3634328</v>
      </c>
      <c r="T40">
        <v>942257</v>
      </c>
      <c r="U40">
        <v>978105</v>
      </c>
      <c r="V40">
        <v>47</v>
      </c>
      <c r="W40">
        <v>48</v>
      </c>
      <c r="X40">
        <v>75440.13</v>
      </c>
      <c r="Y40">
        <v>75715.17</v>
      </c>
    </row>
    <row r="41" spans="16:25" ht="15" customHeight="1" x14ac:dyDescent="0.3">
      <c r="P41" s="15">
        <v>46113</v>
      </c>
      <c r="Q41" t="s">
        <v>1052</v>
      </c>
      <c r="R41">
        <v>0</v>
      </c>
      <c r="S41">
        <v>0</v>
      </c>
      <c r="T41">
        <v>399435</v>
      </c>
      <c r="U41">
        <v>384835</v>
      </c>
      <c r="V41">
        <v>0</v>
      </c>
      <c r="W41">
        <v>0</v>
      </c>
      <c r="X41">
        <v>0</v>
      </c>
      <c r="Y41">
        <v>0</v>
      </c>
    </row>
    <row r="42" spans="16:25" ht="15" customHeight="1" x14ac:dyDescent="0.3">
      <c r="P42" s="15">
        <v>46113</v>
      </c>
      <c r="Q42" t="s">
        <v>1055</v>
      </c>
      <c r="R42">
        <v>0</v>
      </c>
      <c r="S42">
        <v>0</v>
      </c>
      <c r="T42">
        <v>532580</v>
      </c>
      <c r="U42">
        <v>575127</v>
      </c>
      <c r="V42">
        <v>0</v>
      </c>
      <c r="W42">
        <v>0</v>
      </c>
      <c r="X42">
        <v>0</v>
      </c>
      <c r="Y42">
        <v>0</v>
      </c>
    </row>
    <row r="43" spans="16:25" x14ac:dyDescent="0.3">
      <c r="P43" s="15">
        <v>46113</v>
      </c>
      <c r="Q43" t="s">
        <v>1058</v>
      </c>
      <c r="R43">
        <v>0</v>
      </c>
      <c r="S43">
        <v>0</v>
      </c>
      <c r="T43">
        <v>1188063</v>
      </c>
      <c r="U43">
        <v>1207606</v>
      </c>
      <c r="V43">
        <v>0</v>
      </c>
      <c r="W43">
        <v>0</v>
      </c>
      <c r="X43">
        <v>0</v>
      </c>
      <c r="Y43">
        <v>0</v>
      </c>
    </row>
    <row r="44" spans="16:25" x14ac:dyDescent="0.3">
      <c r="P44" s="15">
        <v>46113</v>
      </c>
      <c r="Q44" t="s">
        <v>1062</v>
      </c>
      <c r="R44">
        <v>0</v>
      </c>
      <c r="S44">
        <v>0</v>
      </c>
      <c r="T44">
        <v>491612</v>
      </c>
      <c r="U44">
        <v>468547</v>
      </c>
      <c r="V44">
        <v>0</v>
      </c>
      <c r="W44">
        <v>0</v>
      </c>
      <c r="X44">
        <v>0</v>
      </c>
      <c r="Y44">
        <v>0</v>
      </c>
    </row>
    <row r="45" spans="16:25" x14ac:dyDescent="0.3">
      <c r="P45" s="15">
        <v>46143</v>
      </c>
      <c r="Q45" t="s">
        <v>1047</v>
      </c>
      <c r="R45">
        <v>3598872</v>
      </c>
      <c r="S45">
        <v>3642058</v>
      </c>
      <c r="T45">
        <v>949795</v>
      </c>
      <c r="U45">
        <v>991007</v>
      </c>
      <c r="V45">
        <v>48</v>
      </c>
      <c r="W45">
        <v>48</v>
      </c>
      <c r="X45">
        <v>74976.490000000005</v>
      </c>
      <c r="Y45">
        <v>75876.210000000006</v>
      </c>
    </row>
    <row r="46" spans="16:25" x14ac:dyDescent="0.3">
      <c r="P46" s="15">
        <v>46143</v>
      </c>
      <c r="Q46" t="s">
        <v>1052</v>
      </c>
      <c r="R46">
        <v>0</v>
      </c>
      <c r="S46">
        <v>0</v>
      </c>
      <c r="T46">
        <v>402631</v>
      </c>
      <c r="U46">
        <v>391427</v>
      </c>
      <c r="V46">
        <v>0</v>
      </c>
      <c r="W46">
        <v>0</v>
      </c>
      <c r="X46">
        <v>0</v>
      </c>
      <c r="Y46">
        <v>0</v>
      </c>
    </row>
    <row r="47" spans="16:25" x14ac:dyDescent="0.3">
      <c r="P47" s="15">
        <v>46143</v>
      </c>
      <c r="Q47" t="s">
        <v>1055</v>
      </c>
      <c r="R47">
        <v>0</v>
      </c>
      <c r="S47">
        <v>0</v>
      </c>
      <c r="T47">
        <v>536841</v>
      </c>
      <c r="U47">
        <v>583618</v>
      </c>
      <c r="V47">
        <v>0</v>
      </c>
      <c r="W47">
        <v>0</v>
      </c>
      <c r="X47">
        <v>0</v>
      </c>
      <c r="Y47">
        <v>0</v>
      </c>
    </row>
    <row r="48" spans="16:25" x14ac:dyDescent="0.3">
      <c r="P48" s="15">
        <v>46143</v>
      </c>
      <c r="Q48" t="s">
        <v>1058</v>
      </c>
      <c r="R48">
        <v>0</v>
      </c>
      <c r="S48">
        <v>0</v>
      </c>
      <c r="T48">
        <v>1197568</v>
      </c>
      <c r="U48">
        <v>1228316</v>
      </c>
      <c r="V48">
        <v>0</v>
      </c>
      <c r="W48">
        <v>0</v>
      </c>
      <c r="X48">
        <v>0</v>
      </c>
      <c r="Y48">
        <v>0</v>
      </c>
    </row>
    <row r="49" spans="16:25" x14ac:dyDescent="0.3">
      <c r="P49" s="15">
        <v>46143</v>
      </c>
      <c r="Q49" t="s">
        <v>1062</v>
      </c>
      <c r="R49">
        <v>0</v>
      </c>
      <c r="S49">
        <v>0</v>
      </c>
      <c r="T49">
        <v>495545</v>
      </c>
      <c r="U49">
        <v>470798</v>
      </c>
      <c r="V49">
        <v>0</v>
      </c>
      <c r="W49">
        <v>0</v>
      </c>
      <c r="X49">
        <v>0</v>
      </c>
      <c r="Y49">
        <v>0</v>
      </c>
    </row>
    <row r="50" spans="16:25" x14ac:dyDescent="0.3">
      <c r="P50" s="15">
        <v>46174</v>
      </c>
      <c r="Q50" t="s">
        <v>1047</v>
      </c>
      <c r="R50">
        <v>3951047</v>
      </c>
      <c r="S50">
        <v>3804858</v>
      </c>
      <c r="T50">
        <v>957394</v>
      </c>
      <c r="U50">
        <v>996426</v>
      </c>
      <c r="V50">
        <v>49</v>
      </c>
      <c r="W50">
        <v>47</v>
      </c>
      <c r="X50">
        <v>80633.61</v>
      </c>
      <c r="Y50">
        <v>80954.429999999993</v>
      </c>
    </row>
    <row r="51" spans="16:25" x14ac:dyDescent="0.3">
      <c r="P51" s="15">
        <v>46174</v>
      </c>
      <c r="Q51" t="s">
        <v>1052</v>
      </c>
      <c r="R51">
        <v>0</v>
      </c>
      <c r="S51">
        <v>0</v>
      </c>
      <c r="T51">
        <v>405852</v>
      </c>
      <c r="U51">
        <v>396725</v>
      </c>
      <c r="V51">
        <v>0</v>
      </c>
      <c r="W51">
        <v>0</v>
      </c>
      <c r="X51">
        <v>0</v>
      </c>
      <c r="Y51">
        <v>0</v>
      </c>
    </row>
    <row r="52" spans="16:25" x14ac:dyDescent="0.3">
      <c r="P52" s="15">
        <v>46174</v>
      </c>
      <c r="Q52" t="s">
        <v>1055</v>
      </c>
      <c r="R52">
        <v>0</v>
      </c>
      <c r="S52">
        <v>0</v>
      </c>
      <c r="T52">
        <v>541135</v>
      </c>
      <c r="U52">
        <v>594070</v>
      </c>
      <c r="V52">
        <v>0</v>
      </c>
      <c r="W52">
        <v>0</v>
      </c>
      <c r="X52">
        <v>0</v>
      </c>
      <c r="Y52">
        <v>0</v>
      </c>
    </row>
    <row r="53" spans="16:25" x14ac:dyDescent="0.3">
      <c r="P53" s="15">
        <v>46174</v>
      </c>
      <c r="Q53" t="s">
        <v>1058</v>
      </c>
      <c r="R53">
        <v>0</v>
      </c>
      <c r="S53">
        <v>0</v>
      </c>
      <c r="T53">
        <v>1207148</v>
      </c>
      <c r="U53">
        <v>1240738</v>
      </c>
      <c r="V53">
        <v>0</v>
      </c>
      <c r="W53">
        <v>0</v>
      </c>
      <c r="X53">
        <v>0</v>
      </c>
      <c r="Y53">
        <v>0</v>
      </c>
    </row>
    <row r="54" spans="16:25" x14ac:dyDescent="0.3">
      <c r="P54" s="15">
        <v>46174</v>
      </c>
      <c r="Q54" t="s">
        <v>1062</v>
      </c>
      <c r="R54">
        <v>0</v>
      </c>
      <c r="S54">
        <v>0</v>
      </c>
      <c r="T54">
        <v>499510</v>
      </c>
      <c r="U54">
        <v>481982</v>
      </c>
      <c r="V54">
        <v>0</v>
      </c>
      <c r="W54">
        <v>0</v>
      </c>
      <c r="X54">
        <v>0</v>
      </c>
      <c r="Y54">
        <v>0</v>
      </c>
    </row>
    <row r="55" spans="16:25" x14ac:dyDescent="0.3">
      <c r="P55" s="15">
        <v>46204</v>
      </c>
      <c r="Q55" t="s">
        <v>1047</v>
      </c>
      <c r="R55">
        <v>3707647</v>
      </c>
      <c r="S55">
        <v>3507434</v>
      </c>
      <c r="T55">
        <v>965053</v>
      </c>
      <c r="U55">
        <v>987547</v>
      </c>
      <c r="V55">
        <v>50</v>
      </c>
      <c r="W55">
        <v>47</v>
      </c>
      <c r="X55">
        <v>74152.95</v>
      </c>
      <c r="Y55">
        <v>74626.27</v>
      </c>
    </row>
    <row r="56" spans="16:25" x14ac:dyDescent="0.3">
      <c r="P56" s="15">
        <v>46204</v>
      </c>
      <c r="Q56" t="s">
        <v>1052</v>
      </c>
      <c r="R56">
        <v>0</v>
      </c>
      <c r="S56">
        <v>0</v>
      </c>
      <c r="T56">
        <v>409098</v>
      </c>
      <c r="U56">
        <v>397013</v>
      </c>
      <c r="V56">
        <v>0</v>
      </c>
      <c r="W56">
        <v>0</v>
      </c>
      <c r="X56">
        <v>0</v>
      </c>
      <c r="Y56">
        <v>0</v>
      </c>
    </row>
    <row r="57" spans="16:25" x14ac:dyDescent="0.3">
      <c r="P57" s="15">
        <v>46204</v>
      </c>
      <c r="Q57" t="s">
        <v>1055</v>
      </c>
      <c r="R57">
        <v>0</v>
      </c>
      <c r="S57">
        <v>0</v>
      </c>
      <c r="T57">
        <v>545465</v>
      </c>
      <c r="U57">
        <v>588388</v>
      </c>
      <c r="V57">
        <v>0</v>
      </c>
      <c r="W57">
        <v>0</v>
      </c>
      <c r="X57">
        <v>0</v>
      </c>
      <c r="Y57">
        <v>0</v>
      </c>
    </row>
    <row r="58" spans="16:25" x14ac:dyDescent="0.3">
      <c r="P58" s="15">
        <v>46204</v>
      </c>
      <c r="Q58" t="s">
        <v>1058</v>
      </c>
      <c r="R58">
        <v>0</v>
      </c>
      <c r="S58">
        <v>0</v>
      </c>
      <c r="T58">
        <v>1216806</v>
      </c>
      <c r="U58">
        <v>1244679</v>
      </c>
      <c r="V58">
        <v>0</v>
      </c>
      <c r="W58">
        <v>0</v>
      </c>
      <c r="X58">
        <v>0</v>
      </c>
      <c r="Y58">
        <v>0</v>
      </c>
    </row>
    <row r="59" spans="16:25" x14ac:dyDescent="0.3">
      <c r="P59" s="15">
        <v>46204</v>
      </c>
      <c r="Q59" t="s">
        <v>1062</v>
      </c>
      <c r="R59">
        <v>0</v>
      </c>
      <c r="S59">
        <v>0</v>
      </c>
      <c r="T59">
        <v>503506</v>
      </c>
      <c r="U59">
        <v>484489</v>
      </c>
      <c r="V59">
        <v>0</v>
      </c>
      <c r="W59">
        <v>0</v>
      </c>
      <c r="X59">
        <v>0</v>
      </c>
      <c r="Y59">
        <v>0</v>
      </c>
    </row>
    <row r="60" spans="16:25" x14ac:dyDescent="0.3">
      <c r="P60" s="15">
        <v>46235</v>
      </c>
      <c r="Q60" t="s">
        <v>1047</v>
      </c>
      <c r="R60">
        <v>3763262</v>
      </c>
      <c r="S60">
        <v>3605205</v>
      </c>
      <c r="T60">
        <v>972773</v>
      </c>
      <c r="U60">
        <v>1016094</v>
      </c>
      <c r="V60">
        <v>50</v>
      </c>
      <c r="W60">
        <v>48</v>
      </c>
      <c r="X60">
        <v>75265.240000000005</v>
      </c>
      <c r="Y60">
        <v>75108.44</v>
      </c>
    </row>
    <row r="61" spans="16:25" x14ac:dyDescent="0.3">
      <c r="P61" s="15">
        <v>46235</v>
      </c>
      <c r="Q61" t="s">
        <v>1052</v>
      </c>
      <c r="R61">
        <v>0</v>
      </c>
      <c r="S61">
        <v>0</v>
      </c>
      <c r="T61">
        <v>412371</v>
      </c>
      <c r="U61">
        <v>398598</v>
      </c>
      <c r="V61">
        <v>0</v>
      </c>
      <c r="W61">
        <v>0</v>
      </c>
      <c r="X61">
        <v>0</v>
      </c>
      <c r="Y61">
        <v>0</v>
      </c>
    </row>
    <row r="62" spans="16:25" x14ac:dyDescent="0.3">
      <c r="P62" s="15">
        <v>46235</v>
      </c>
      <c r="Q62" t="s">
        <v>1055</v>
      </c>
      <c r="R62">
        <v>0</v>
      </c>
      <c r="S62">
        <v>0</v>
      </c>
      <c r="T62">
        <v>549828</v>
      </c>
      <c r="U62">
        <v>594614</v>
      </c>
      <c r="V62">
        <v>0</v>
      </c>
      <c r="W62">
        <v>0</v>
      </c>
      <c r="X62">
        <v>0</v>
      </c>
      <c r="Y62">
        <v>0</v>
      </c>
    </row>
    <row r="63" spans="16:25" x14ac:dyDescent="0.3">
      <c r="P63" s="15">
        <v>46235</v>
      </c>
      <c r="Q63" t="s">
        <v>1058</v>
      </c>
      <c r="R63">
        <v>0</v>
      </c>
      <c r="S63">
        <v>0</v>
      </c>
      <c r="T63">
        <v>1226540</v>
      </c>
      <c r="U63">
        <v>1261681</v>
      </c>
      <c r="V63">
        <v>0</v>
      </c>
      <c r="W63">
        <v>0</v>
      </c>
      <c r="X63">
        <v>0</v>
      </c>
      <c r="Y63">
        <v>0</v>
      </c>
    </row>
    <row r="64" spans="16:25" x14ac:dyDescent="0.3">
      <c r="P64" s="15">
        <v>46235</v>
      </c>
      <c r="Q64" t="s">
        <v>1062</v>
      </c>
      <c r="R64">
        <v>0</v>
      </c>
      <c r="S64">
        <v>0</v>
      </c>
      <c r="T64">
        <v>507534</v>
      </c>
      <c r="U64">
        <v>483390</v>
      </c>
      <c r="V64">
        <v>0</v>
      </c>
      <c r="W64">
        <v>0</v>
      </c>
      <c r="X64">
        <v>0</v>
      </c>
      <c r="Y64">
        <v>0</v>
      </c>
    </row>
    <row r="65" spans="16:25" x14ac:dyDescent="0.3">
      <c r="P65" s="15">
        <v>46266</v>
      </c>
      <c r="Q65" t="s">
        <v>1047</v>
      </c>
      <c r="R65">
        <v>4131524</v>
      </c>
      <c r="S65">
        <v>4053025</v>
      </c>
      <c r="T65">
        <v>980555</v>
      </c>
      <c r="U65">
        <v>1023900</v>
      </c>
      <c r="V65">
        <v>51</v>
      </c>
      <c r="W65">
        <v>50</v>
      </c>
      <c r="X65">
        <v>81010.28</v>
      </c>
      <c r="Y65">
        <v>81060.509999999995</v>
      </c>
    </row>
    <row r="66" spans="16:25" x14ac:dyDescent="0.3">
      <c r="P66" s="15">
        <v>46266</v>
      </c>
      <c r="Q66" t="s">
        <v>1052</v>
      </c>
      <c r="R66">
        <v>0</v>
      </c>
      <c r="S66">
        <v>0</v>
      </c>
      <c r="T66">
        <v>415670</v>
      </c>
      <c r="U66">
        <v>404801</v>
      </c>
      <c r="V66">
        <v>0</v>
      </c>
      <c r="W66">
        <v>0</v>
      </c>
      <c r="X66">
        <v>0</v>
      </c>
      <c r="Y66">
        <v>0</v>
      </c>
    </row>
    <row r="67" spans="16:25" x14ac:dyDescent="0.3">
      <c r="P67" s="15">
        <v>46266</v>
      </c>
      <c r="Q67" t="s">
        <v>1055</v>
      </c>
      <c r="R67">
        <v>0</v>
      </c>
      <c r="S67">
        <v>0</v>
      </c>
      <c r="T67">
        <v>554227</v>
      </c>
      <c r="U67">
        <v>605969</v>
      </c>
      <c r="V67">
        <v>0</v>
      </c>
      <c r="W67">
        <v>0</v>
      </c>
      <c r="X67">
        <v>0</v>
      </c>
      <c r="Y67">
        <v>0</v>
      </c>
    </row>
    <row r="68" spans="16:25" x14ac:dyDescent="0.3">
      <c r="P68" s="15">
        <v>46266</v>
      </c>
      <c r="Q68" t="s">
        <v>1058</v>
      </c>
      <c r="R68">
        <v>0</v>
      </c>
      <c r="S68">
        <v>0</v>
      </c>
      <c r="T68">
        <v>1236352</v>
      </c>
      <c r="U68">
        <v>1258061</v>
      </c>
      <c r="V68">
        <v>0</v>
      </c>
      <c r="W68">
        <v>0</v>
      </c>
      <c r="X68">
        <v>0</v>
      </c>
      <c r="Y68">
        <v>0</v>
      </c>
    </row>
    <row r="69" spans="16:25" x14ac:dyDescent="0.3">
      <c r="P69" s="15">
        <v>46266</v>
      </c>
      <c r="Q69" t="s">
        <v>1062</v>
      </c>
      <c r="R69">
        <v>0</v>
      </c>
      <c r="S69">
        <v>0</v>
      </c>
      <c r="T69">
        <v>511594</v>
      </c>
      <c r="U69">
        <v>484481</v>
      </c>
      <c r="V69">
        <v>0</v>
      </c>
      <c r="W69">
        <v>0</v>
      </c>
      <c r="X69">
        <v>0</v>
      </c>
      <c r="Y69">
        <v>0</v>
      </c>
    </row>
    <row r="70" spans="16:25" x14ac:dyDescent="0.3">
      <c r="P70" s="15">
        <v>46296</v>
      </c>
      <c r="Q70" t="s">
        <v>1047</v>
      </c>
      <c r="R70">
        <v>3877007</v>
      </c>
      <c r="S70">
        <v>3900269</v>
      </c>
      <c r="T70">
        <v>988400</v>
      </c>
      <c r="U70">
        <v>1034971</v>
      </c>
      <c r="V70">
        <v>52</v>
      </c>
      <c r="W70">
        <v>52</v>
      </c>
      <c r="X70">
        <v>74557.820000000007</v>
      </c>
      <c r="Y70">
        <v>75005.17</v>
      </c>
    </row>
    <row r="71" spans="16:25" x14ac:dyDescent="0.3">
      <c r="P71" s="15">
        <v>46296</v>
      </c>
      <c r="Q71" t="s">
        <v>1052</v>
      </c>
      <c r="R71">
        <v>0</v>
      </c>
      <c r="S71">
        <v>0</v>
      </c>
      <c r="T71">
        <v>418996</v>
      </c>
      <c r="U71">
        <v>407141</v>
      </c>
      <c r="V71">
        <v>0</v>
      </c>
      <c r="W71">
        <v>0</v>
      </c>
      <c r="X71">
        <v>0</v>
      </c>
      <c r="Y71">
        <v>0</v>
      </c>
    </row>
    <row r="72" spans="16:25" x14ac:dyDescent="0.3">
      <c r="P72" s="15">
        <v>46296</v>
      </c>
      <c r="Q72" t="s">
        <v>1055</v>
      </c>
      <c r="R72">
        <v>0</v>
      </c>
      <c r="S72">
        <v>0</v>
      </c>
      <c r="T72">
        <v>558661</v>
      </c>
      <c r="U72">
        <v>601541</v>
      </c>
      <c r="V72">
        <v>0</v>
      </c>
      <c r="W72">
        <v>0</v>
      </c>
      <c r="X72">
        <v>0</v>
      </c>
      <c r="Y72">
        <v>0</v>
      </c>
    </row>
    <row r="73" spans="16:25" x14ac:dyDescent="0.3">
      <c r="P73" s="15">
        <v>46296</v>
      </c>
      <c r="Q73" t="s">
        <v>1058</v>
      </c>
      <c r="R73">
        <v>0</v>
      </c>
      <c r="S73">
        <v>0</v>
      </c>
      <c r="T73">
        <v>1246243</v>
      </c>
      <c r="U73">
        <v>1260763</v>
      </c>
      <c r="V73">
        <v>0</v>
      </c>
      <c r="W73">
        <v>0</v>
      </c>
      <c r="X73">
        <v>0</v>
      </c>
      <c r="Y73">
        <v>0</v>
      </c>
    </row>
    <row r="74" spans="16:25" x14ac:dyDescent="0.3">
      <c r="P74" s="15">
        <v>46296</v>
      </c>
      <c r="Q74" t="s">
        <v>1062</v>
      </c>
      <c r="R74">
        <v>0</v>
      </c>
      <c r="S74">
        <v>0</v>
      </c>
      <c r="T74">
        <v>515687</v>
      </c>
      <c r="U74">
        <v>495165</v>
      </c>
      <c r="V74">
        <v>0</v>
      </c>
      <c r="W74">
        <v>0</v>
      </c>
      <c r="X74">
        <v>0</v>
      </c>
      <c r="Y74">
        <v>0</v>
      </c>
    </row>
    <row r="75" spans="16:25" x14ac:dyDescent="0.3">
      <c r="P75" s="15">
        <v>46327</v>
      </c>
      <c r="Q75" t="s">
        <v>1047</v>
      </c>
      <c r="R75">
        <v>3935162</v>
      </c>
      <c r="S75">
        <v>4005995</v>
      </c>
      <c r="T75">
        <v>996307</v>
      </c>
      <c r="U75">
        <v>1026794</v>
      </c>
      <c r="V75">
        <v>53</v>
      </c>
      <c r="W75">
        <v>54</v>
      </c>
      <c r="X75">
        <v>74248.34</v>
      </c>
      <c r="Y75">
        <v>74185.09</v>
      </c>
    </row>
    <row r="76" spans="16:25" x14ac:dyDescent="0.3">
      <c r="P76" s="15">
        <v>46327</v>
      </c>
      <c r="Q76" t="s">
        <v>1052</v>
      </c>
      <c r="R76">
        <v>0</v>
      </c>
      <c r="S76">
        <v>0</v>
      </c>
      <c r="T76">
        <v>422348</v>
      </c>
      <c r="U76">
        <v>410327</v>
      </c>
      <c r="V76">
        <v>0</v>
      </c>
      <c r="W76">
        <v>0</v>
      </c>
      <c r="X76">
        <v>0</v>
      </c>
      <c r="Y76">
        <v>0</v>
      </c>
    </row>
    <row r="77" spans="16:25" x14ac:dyDescent="0.3">
      <c r="P77" s="15">
        <v>46327</v>
      </c>
      <c r="Q77" t="s">
        <v>1055</v>
      </c>
      <c r="R77">
        <v>0</v>
      </c>
      <c r="S77">
        <v>0</v>
      </c>
      <c r="T77">
        <v>563130</v>
      </c>
      <c r="U77">
        <v>607578</v>
      </c>
      <c r="V77">
        <v>0</v>
      </c>
      <c r="W77">
        <v>0</v>
      </c>
      <c r="X77">
        <v>0</v>
      </c>
      <c r="Y77">
        <v>0</v>
      </c>
    </row>
    <row r="78" spans="16:25" x14ac:dyDescent="0.3">
      <c r="P78" s="15">
        <v>46327</v>
      </c>
      <c r="Q78" t="s">
        <v>1058</v>
      </c>
      <c r="R78">
        <v>0</v>
      </c>
      <c r="S78">
        <v>0</v>
      </c>
      <c r="T78">
        <v>1256213</v>
      </c>
      <c r="U78">
        <v>1267668</v>
      </c>
      <c r="V78">
        <v>0</v>
      </c>
      <c r="W78">
        <v>0</v>
      </c>
      <c r="X78">
        <v>0</v>
      </c>
      <c r="Y78">
        <v>0</v>
      </c>
    </row>
    <row r="79" spans="16:25" x14ac:dyDescent="0.3">
      <c r="P79" s="15">
        <v>46327</v>
      </c>
      <c r="Q79" t="s">
        <v>1062</v>
      </c>
      <c r="R79">
        <v>0</v>
      </c>
      <c r="S79">
        <v>0</v>
      </c>
      <c r="T79">
        <v>519812</v>
      </c>
      <c r="U79">
        <v>490900</v>
      </c>
      <c r="V79">
        <v>0</v>
      </c>
      <c r="W79">
        <v>0</v>
      </c>
      <c r="X79">
        <v>0</v>
      </c>
      <c r="Y79">
        <v>0</v>
      </c>
    </row>
    <row r="80" spans="16:25" x14ac:dyDescent="0.3">
      <c r="P80" s="15">
        <v>46357</v>
      </c>
      <c r="Q80" t="s">
        <v>1047</v>
      </c>
      <c r="R80">
        <v>4320246</v>
      </c>
      <c r="S80">
        <v>4471454</v>
      </c>
      <c r="T80">
        <v>1004277</v>
      </c>
      <c r="U80">
        <v>1040922</v>
      </c>
      <c r="V80">
        <v>54</v>
      </c>
      <c r="W80">
        <v>56</v>
      </c>
      <c r="X80">
        <v>80004.55</v>
      </c>
      <c r="Y80">
        <v>79847.39</v>
      </c>
    </row>
    <row r="81" spans="16:25" x14ac:dyDescent="0.3">
      <c r="P81" s="15">
        <v>46357</v>
      </c>
      <c r="Q81" t="s">
        <v>1052</v>
      </c>
      <c r="R81">
        <v>0</v>
      </c>
      <c r="S81">
        <v>0</v>
      </c>
      <c r="T81">
        <v>425726</v>
      </c>
      <c r="U81">
        <v>414513</v>
      </c>
      <c r="V81">
        <v>0</v>
      </c>
      <c r="W81">
        <v>0</v>
      </c>
      <c r="X81">
        <v>0</v>
      </c>
      <c r="Y81">
        <v>0</v>
      </c>
    </row>
    <row r="82" spans="16:25" x14ac:dyDescent="0.3">
      <c r="P82" s="15">
        <v>46357</v>
      </c>
      <c r="Q82" t="s">
        <v>1055</v>
      </c>
      <c r="R82">
        <v>0</v>
      </c>
      <c r="S82">
        <v>0</v>
      </c>
      <c r="T82">
        <v>567635</v>
      </c>
      <c r="U82">
        <v>620419</v>
      </c>
      <c r="V82">
        <v>0</v>
      </c>
      <c r="W82">
        <v>0</v>
      </c>
      <c r="X82">
        <v>0</v>
      </c>
      <c r="Y82">
        <v>0</v>
      </c>
    </row>
    <row r="83" spans="16:25" x14ac:dyDescent="0.3">
      <c r="P83" s="15">
        <v>46357</v>
      </c>
      <c r="Q83" t="s">
        <v>1058</v>
      </c>
      <c r="R83">
        <v>0</v>
      </c>
      <c r="S83">
        <v>0</v>
      </c>
      <c r="T83">
        <v>1266263</v>
      </c>
      <c r="U83">
        <v>1293457</v>
      </c>
      <c r="V83">
        <v>0</v>
      </c>
      <c r="W83">
        <v>0</v>
      </c>
      <c r="X83">
        <v>0</v>
      </c>
      <c r="Y83">
        <v>0</v>
      </c>
    </row>
    <row r="84" spans="16:25" x14ac:dyDescent="0.3">
      <c r="P84" s="15">
        <v>46357</v>
      </c>
      <c r="Q84" t="s">
        <v>1062</v>
      </c>
      <c r="R84">
        <v>0</v>
      </c>
      <c r="S84">
        <v>0</v>
      </c>
      <c r="T84">
        <v>523971</v>
      </c>
      <c r="U84">
        <v>504511</v>
      </c>
      <c r="V84">
        <v>0</v>
      </c>
      <c r="W84">
        <v>0</v>
      </c>
      <c r="X84">
        <v>0</v>
      </c>
      <c r="Y84">
        <v>0</v>
      </c>
    </row>
  </sheetData>
  <mergeCells count="1">
    <mergeCell ref="A1:N1"/>
  </mergeCells>
  <conditionalFormatting sqref="C8:N8">
    <cfRule type="expression" dxfId="1" priority="1">
      <formula>OR(ABS(C8)&gt;Variance_Dollar,ABS(C9)&gt;Variance_Pct)</formula>
    </cfRule>
  </conditionalFormatting>
  <conditionalFormatting sqref="C18:N18">
    <cfRule type="expression" dxfId="0" priority="2">
      <formula>OR(ABS(C18)&gt;Variance_Dollar,ABS(C19)&gt;Variance_Pct)</formula>
    </cfRule>
  </conditionalFormatting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28"/>
  <sheetViews>
    <sheetView showGridLines="0" workbookViewId="0"/>
  </sheetViews>
  <sheetFormatPr defaultRowHeight="14.4" x14ac:dyDescent="0.3"/>
  <cols>
    <col min="2" max="2" width="28" customWidth="1"/>
    <col min="3" max="10" width="14" customWidth="1"/>
    <col min="11" max="11" width="14" hidden="1" customWidth="1"/>
    <col min="12" max="12" width="14" customWidth="1"/>
  </cols>
  <sheetData>
    <row r="1" spans="1:12" ht="34.049999999999997" customHeight="1" x14ac:dyDescent="0.3">
      <c r="A1" s="28" t="s">
        <v>1143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</row>
    <row r="2" spans="1:12" x14ac:dyDescent="0.3">
      <c r="K2" s="4">
        <f>Churn_Rate</f>
        <v>1.0999999999999999E-2</v>
      </c>
    </row>
    <row r="3" spans="1:12" x14ac:dyDescent="0.3">
      <c r="B3" s="23" t="s">
        <v>1144</v>
      </c>
      <c r="K3" s="4">
        <f>Hiring_Pace</f>
        <v>1</v>
      </c>
    </row>
    <row r="4" spans="1:12" x14ac:dyDescent="0.3">
      <c r="K4" s="4">
        <f>('Balance Sheet'!N5+((Churn_Rate-K2)*'Revenue Forecast'!N34*0.65)-((K3-Hiring_Pace)*SUM('Headcount &amp; Opex Plan'!N12:N16)*12))/1000000</f>
        <v>6.6738526436219878</v>
      </c>
    </row>
    <row r="5" spans="1:12" x14ac:dyDescent="0.3">
      <c r="B5" t="s">
        <v>1145</v>
      </c>
      <c r="C5" s="24">
        <f>'Balance Sheet'!N5/1000000</f>
        <v>6.6738526436219878</v>
      </c>
      <c r="D5" s="25">
        <v>6.0000000000000001E-3</v>
      </c>
      <c r="E5" s="25">
        <v>8.9999999999999993E-3</v>
      </c>
      <c r="F5" s="25">
        <v>1.2E-2</v>
      </c>
      <c r="G5" s="25">
        <v>1.4999999999999999E-2</v>
      </c>
      <c r="H5" s="25">
        <v>1.7999999999999999E-2</v>
      </c>
      <c r="K5" s="4">
        <f>MAX(0,K4/MAX(0.1,-'Cash Flow Statement'!N16/1000000))</f>
        <v>12.340321110817728</v>
      </c>
    </row>
    <row r="6" spans="1:12" x14ac:dyDescent="0.3">
      <c r="C6" s="26">
        <v>0.75</v>
      </c>
      <c r="D6" s="22">
        <f t="dataTable" ref="D6:H10" dt2D="1" dtr="1" r1="K2" r2="K3"/>
        <v>6.6738526436219878</v>
      </c>
      <c r="E6" s="22">
        <v>6.6738526436219878</v>
      </c>
      <c r="F6" s="22">
        <v>6.6738526436219878</v>
      </c>
      <c r="G6" s="22">
        <v>6.6738526436219878</v>
      </c>
      <c r="H6" s="22">
        <v>6.6738526436219878</v>
      </c>
    </row>
    <row r="7" spans="1:12" x14ac:dyDescent="0.3">
      <c r="C7" s="26">
        <v>0.875</v>
      </c>
      <c r="D7" s="22">
        <v>6.6738526436219878</v>
      </c>
      <c r="E7" s="22">
        <v>6.6738526436219878</v>
      </c>
      <c r="F7" s="22">
        <v>6.6738526436219878</v>
      </c>
      <c r="G7" s="22">
        <v>6.6738526436219878</v>
      </c>
      <c r="H7" s="22">
        <v>6.6738526436219878</v>
      </c>
    </row>
    <row r="8" spans="1:12" x14ac:dyDescent="0.3">
      <c r="C8" s="26">
        <v>1</v>
      </c>
      <c r="D8" s="22">
        <v>6.6738526436219878</v>
      </c>
      <c r="E8" s="22">
        <v>6.6738526436219878</v>
      </c>
      <c r="F8" s="22">
        <v>6.6738526436219878</v>
      </c>
      <c r="G8" s="22">
        <v>6.6738526436219878</v>
      </c>
      <c r="H8" s="22">
        <v>6.6738526436219878</v>
      </c>
    </row>
    <row r="9" spans="1:12" x14ac:dyDescent="0.3">
      <c r="C9" s="26">
        <v>1.125</v>
      </c>
      <c r="D9" s="22">
        <v>6.6738526436219878</v>
      </c>
      <c r="E9" s="22">
        <v>6.6738526436219878</v>
      </c>
      <c r="F9" s="22">
        <v>6.6738526436219878</v>
      </c>
      <c r="G9" s="22">
        <v>6.6738526436219878</v>
      </c>
      <c r="H9" s="22">
        <v>6.6738526436219878</v>
      </c>
    </row>
    <row r="10" spans="1:12" x14ac:dyDescent="0.3">
      <c r="C10" s="26">
        <v>1.25</v>
      </c>
      <c r="D10" s="22">
        <v>6.6738526436219878</v>
      </c>
      <c r="E10" s="22">
        <v>6.6738526436219878</v>
      </c>
      <c r="F10" s="22">
        <v>6.6738526436219878</v>
      </c>
      <c r="G10" s="22">
        <v>6.6738526436219878</v>
      </c>
      <c r="H10" s="22">
        <v>6.6738526436219878</v>
      </c>
    </row>
    <row r="13" spans="1:12" x14ac:dyDescent="0.3">
      <c r="B13" s="23" t="s">
        <v>1146</v>
      </c>
    </row>
    <row r="15" spans="1:12" x14ac:dyDescent="0.3">
      <c r="B15" t="s">
        <v>1145</v>
      </c>
      <c r="C15" s="24">
        <f>'SaaS Metrics Dashboard'!N14</f>
        <v>12.340321110817728</v>
      </c>
      <c r="D15" s="25">
        <v>6.0000000000000001E-3</v>
      </c>
      <c r="E15" s="25">
        <v>8.9999999999999993E-3</v>
      </c>
      <c r="F15" s="25">
        <v>1.2E-2</v>
      </c>
      <c r="G15" s="25">
        <v>1.4999999999999999E-2</v>
      </c>
      <c r="H15" s="25">
        <v>1.7999999999999999E-2</v>
      </c>
    </row>
    <row r="16" spans="1:12" x14ac:dyDescent="0.3">
      <c r="C16" s="26">
        <v>0.75</v>
      </c>
      <c r="D16" s="4">
        <f t="dataTable" ref="D16:H20" dt2D="1" dtr="1" r1="K2" r2="K3"/>
        <v>12.340321110817728</v>
      </c>
      <c r="E16" s="4">
        <v>12.340321110817728</v>
      </c>
      <c r="F16" s="4">
        <v>12.340321110817728</v>
      </c>
      <c r="G16" s="4">
        <v>12.340321110817728</v>
      </c>
      <c r="H16" s="4">
        <v>12.340321110817728</v>
      </c>
    </row>
    <row r="17" spans="2:8" x14ac:dyDescent="0.3">
      <c r="C17" s="26">
        <v>0.875</v>
      </c>
      <c r="D17" s="4">
        <v>12.340321110817728</v>
      </c>
      <c r="E17" s="4">
        <v>12.340321110817728</v>
      </c>
      <c r="F17" s="4">
        <v>12.340321110817728</v>
      </c>
      <c r="G17" s="4">
        <v>12.340321110817728</v>
      </c>
      <c r="H17" s="4">
        <v>12.340321110817728</v>
      </c>
    </row>
    <row r="18" spans="2:8" x14ac:dyDescent="0.3">
      <c r="C18" s="26">
        <v>1</v>
      </c>
      <c r="D18" s="4">
        <v>12.340321110817728</v>
      </c>
      <c r="E18" s="4">
        <v>12.340321110817728</v>
      </c>
      <c r="F18" s="4">
        <v>12.340321110817728</v>
      </c>
      <c r="G18" s="4">
        <v>12.340321110817728</v>
      </c>
      <c r="H18" s="4">
        <v>12.340321110817728</v>
      </c>
    </row>
    <row r="19" spans="2:8" x14ac:dyDescent="0.3">
      <c r="C19" s="26">
        <v>1.125</v>
      </c>
      <c r="D19" s="4">
        <v>12.340321110817728</v>
      </c>
      <c r="E19" s="4">
        <v>12.340321110817728</v>
      </c>
      <c r="F19" s="4">
        <v>12.340321110817728</v>
      </c>
      <c r="G19" s="4">
        <v>12.340321110817728</v>
      </c>
      <c r="H19" s="4">
        <v>12.340321110817728</v>
      </c>
    </row>
    <row r="20" spans="2:8" x14ac:dyDescent="0.3">
      <c r="C20" s="26">
        <v>1.25</v>
      </c>
      <c r="D20" s="4">
        <v>12.340321110817728</v>
      </c>
      <c r="E20" s="4">
        <v>12.340321110817728</v>
      </c>
      <c r="F20" s="4">
        <v>12.340321110817728</v>
      </c>
      <c r="G20" s="4">
        <v>12.340321110817728</v>
      </c>
      <c r="H20" s="4">
        <v>12.340321110817728</v>
      </c>
    </row>
    <row r="23" spans="2:8" x14ac:dyDescent="0.3">
      <c r="B23" s="30" t="s">
        <v>1147</v>
      </c>
      <c r="C23" s="29"/>
      <c r="D23" s="29"/>
      <c r="E23" s="29"/>
      <c r="F23" s="29"/>
      <c r="G23" s="29"/>
      <c r="H23" s="29"/>
    </row>
    <row r="24" spans="2:8" x14ac:dyDescent="0.3">
      <c r="B24" s="5" t="s">
        <v>17</v>
      </c>
      <c r="C24" s="5" t="s">
        <v>1148</v>
      </c>
      <c r="D24" s="5" t="s">
        <v>18</v>
      </c>
      <c r="E24" s="5" t="s">
        <v>1149</v>
      </c>
    </row>
    <row r="25" spans="2:8" x14ac:dyDescent="0.3">
      <c r="B25" t="s">
        <v>1150</v>
      </c>
      <c r="C25" s="4">
        <f>H8</f>
        <v>6.6738526436219878</v>
      </c>
      <c r="D25" s="4">
        <f>F8</f>
        <v>6.6738526436219878</v>
      </c>
      <c r="E25" s="4">
        <f>D8</f>
        <v>6.6738526436219878</v>
      </c>
    </row>
    <row r="26" spans="2:8" x14ac:dyDescent="0.3">
      <c r="B26" t="s">
        <v>39</v>
      </c>
      <c r="C26" s="4">
        <f>F10</f>
        <v>6.6738526436219878</v>
      </c>
      <c r="D26" s="4">
        <f>F8</f>
        <v>6.6738526436219878</v>
      </c>
      <c r="E26" s="4">
        <f>F6</f>
        <v>6.6738526436219878</v>
      </c>
    </row>
    <row r="27" spans="2:8" x14ac:dyDescent="0.3">
      <c r="B27" t="s">
        <v>1151</v>
      </c>
      <c r="C27" s="4">
        <f>D6</f>
        <v>6.6738526436219878</v>
      </c>
      <c r="D27" s="4">
        <f>F8</f>
        <v>6.6738526436219878</v>
      </c>
      <c r="E27" s="4">
        <f>H10</f>
        <v>6.6738526436219878</v>
      </c>
    </row>
    <row r="28" spans="2:8" x14ac:dyDescent="0.3">
      <c r="B28" t="s">
        <v>41</v>
      </c>
      <c r="C28" s="4">
        <f>F8-1.2</f>
        <v>5.4738526436219876</v>
      </c>
      <c r="D28" s="4">
        <f>F8</f>
        <v>6.6738526436219878</v>
      </c>
      <c r="E28" s="4">
        <f>F8+1</f>
        <v>7.6738526436219878</v>
      </c>
    </row>
  </sheetData>
  <mergeCells count="2">
    <mergeCell ref="A1:L1"/>
    <mergeCell ref="B23:H23"/>
  </mergeCells>
  <pageMargins left="0.75" right="0.75" top="1" bottom="1" header="0.5" footer="0.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15"/>
  <sheetViews>
    <sheetView showGridLines="0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4.4" x14ac:dyDescent="0.3"/>
  <cols>
    <col min="2" max="2" width="18" customWidth="1"/>
    <col min="3" max="10" width="16" customWidth="1"/>
  </cols>
  <sheetData>
    <row r="1" spans="1:12" ht="34.049999999999997" customHeight="1" x14ac:dyDescent="0.3">
      <c r="A1" s="28" t="s">
        <v>1152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</row>
    <row r="3" spans="1:12" ht="28.8" x14ac:dyDescent="0.3">
      <c r="B3" s="5" t="s">
        <v>1153</v>
      </c>
      <c r="C3" s="5" t="s">
        <v>1154</v>
      </c>
      <c r="D3" s="5" t="s">
        <v>1155</v>
      </c>
      <c r="E3" s="5" t="s">
        <v>1156</v>
      </c>
      <c r="F3" s="5" t="s">
        <v>1157</v>
      </c>
      <c r="G3" s="5" t="s">
        <v>1158</v>
      </c>
      <c r="H3" s="5" t="s">
        <v>1113</v>
      </c>
      <c r="I3" s="5" t="s">
        <v>1114</v>
      </c>
      <c r="J3" s="5" t="s">
        <v>1159</v>
      </c>
    </row>
    <row r="4" spans="1:12" x14ac:dyDescent="0.3">
      <c r="B4" s="27">
        <v>45292</v>
      </c>
      <c r="C4" s="20">
        <f>COUNTIFS('Customer ARR Ledger'!$H$4:$H$10226,"&gt;="&amp;B4,'Customer ARR Ledger'!$H$4:$H$10226,"&lt;"&amp;DATE(2024,4,1),'Customer ARR Ledger'!$G$4:$G$10226,"new")</f>
        <v>247</v>
      </c>
      <c r="D4" s="3">
        <f>SUMIFS('Customer ARR Ledger'!$F$4:$F$10226,'Customer ARR Ledger'!$H$4:$H$10226,"&gt;="&amp;B4,'Customer ARR Ledger'!$H$4:$H$10226,"&lt;"&amp;DATE(2024,4,1),'Customer ARR Ledger'!$G$4:$G$10226,"new")</f>
        <v>3415000</v>
      </c>
      <c r="E4" s="3">
        <f>SUMIFS('Customer ARR Ledger'!$F$4:$F$10226,'Customer ARR Ledger'!$H$4:$H$10226,"&gt;="&amp;B4,'Customer ARR Ledger'!$H$4:$H$10226,"&lt;"&amp;DATE(2024,4,1),'Customer ARR Ledger'!$A$4:$A$10226,DATE(2026,12,1))</f>
        <v>2488700</v>
      </c>
      <c r="F4" s="9">
        <f t="shared" ref="F4:F15" si="0">IFERROR(E4/D4,0)</f>
        <v>0.72875549048316257</v>
      </c>
      <c r="G4" s="3">
        <f t="shared" ref="G4:G15" si="1">C4*CAC_Per_Logo</f>
        <v>10374000</v>
      </c>
      <c r="H4" s="3">
        <f t="shared" ref="H4:H15" si="2">IFERROR((D4/C4)*Gross_Margin/Churn_Rate,0)</f>
        <v>1011805.2999631948</v>
      </c>
      <c r="I4" s="21">
        <f t="shared" ref="I4:I15" si="3">IFERROR(H4/CAC_Per_Logo,0)</f>
        <v>24.090602380076067</v>
      </c>
      <c r="J4" s="22">
        <f t="shared" ref="J4:J15" si="4">IFERROR(CAC_Per_Logo/((D4/C4)*Gross_Margin),0)</f>
        <v>3.7736329492647527</v>
      </c>
    </row>
    <row r="5" spans="1:12" x14ac:dyDescent="0.3">
      <c r="B5" s="27">
        <v>45383</v>
      </c>
      <c r="C5" s="20">
        <f>COUNTIFS('Customer ARR Ledger'!$H$4:$H$10226,"&gt;="&amp;B5,'Customer ARR Ledger'!$H$4:$H$10226,"&lt;"&amp;DATE(2024,7,1),'Customer ARR Ledger'!$G$4:$G$10226,"new")</f>
        <v>19</v>
      </c>
      <c r="D5" s="3">
        <f>SUMIFS('Customer ARR Ledger'!$F$4:$F$10226,'Customer ARR Ledger'!$H$4:$H$10226,"&gt;="&amp;B5,'Customer ARR Ledger'!$H$4:$H$10226,"&lt;"&amp;DATE(2024,7,1),'Customer ARR Ledger'!$G$4:$G$10226,"new")</f>
        <v>305100</v>
      </c>
      <c r="E5" s="3">
        <f>SUMIFS('Customer ARR Ledger'!$F$4:$F$10226,'Customer ARR Ledger'!$H$4:$H$10226,"&gt;="&amp;B5,'Customer ARR Ledger'!$H$4:$H$10226,"&lt;"&amp;DATE(2024,7,1),'Customer ARR Ledger'!$A$4:$A$10226,DATE(2026,12,1))</f>
        <v>109900</v>
      </c>
      <c r="F5" s="9">
        <f t="shared" si="0"/>
        <v>0.36020976728941329</v>
      </c>
      <c r="G5" s="3">
        <f t="shared" si="1"/>
        <v>798000</v>
      </c>
      <c r="H5" s="3">
        <f t="shared" si="2"/>
        <v>1175145.9330143542</v>
      </c>
      <c r="I5" s="21">
        <f t="shared" si="3"/>
        <v>27.979665071770338</v>
      </c>
      <c r="J5" s="22">
        <f t="shared" si="4"/>
        <v>3.2491129066735067</v>
      </c>
    </row>
    <row r="6" spans="1:12" x14ac:dyDescent="0.3">
      <c r="B6" s="27">
        <v>45474</v>
      </c>
      <c r="C6" s="20">
        <f>COUNTIFS('Customer ARR Ledger'!$H$4:$H$10226,"&gt;="&amp;B6,'Customer ARR Ledger'!$H$4:$H$10226,"&lt;"&amp;DATE(2024,10,1),'Customer ARR Ledger'!$G$4:$G$10226,"new")</f>
        <v>18</v>
      </c>
      <c r="D6" s="3">
        <f>SUMIFS('Customer ARR Ledger'!$F$4:$F$10226,'Customer ARR Ledger'!$H$4:$H$10226,"&gt;="&amp;B6,'Customer ARR Ledger'!$H$4:$H$10226,"&lt;"&amp;DATE(2024,10,1),'Customer ARR Ledger'!$G$4:$G$10226,"new")</f>
        <v>69500</v>
      </c>
      <c r="E6" s="3">
        <f>SUMIFS('Customer ARR Ledger'!$F$4:$F$10226,'Customer ARR Ledger'!$H$4:$H$10226,"&gt;="&amp;B6,'Customer ARR Ledger'!$H$4:$H$10226,"&lt;"&amp;DATE(2024,10,1),'Customer ARR Ledger'!$A$4:$A$10226,DATE(2026,12,1))</f>
        <v>40900</v>
      </c>
      <c r="F6" s="9">
        <f t="shared" si="0"/>
        <v>0.58848920863309351</v>
      </c>
      <c r="G6" s="3">
        <f t="shared" si="1"/>
        <v>756000</v>
      </c>
      <c r="H6" s="3">
        <f t="shared" si="2"/>
        <v>282563.13131313137</v>
      </c>
      <c r="I6" s="21">
        <f t="shared" si="3"/>
        <v>6.7276936026936038</v>
      </c>
      <c r="J6" s="22">
        <f t="shared" si="4"/>
        <v>13.512668126368469</v>
      </c>
    </row>
    <row r="7" spans="1:12" x14ac:dyDescent="0.3">
      <c r="B7" s="27">
        <v>45566</v>
      </c>
      <c r="C7" s="20">
        <f>COUNTIFS('Customer ARR Ledger'!$H$4:$H$10226,"&gt;="&amp;B7,'Customer ARR Ledger'!$H$4:$H$10226,"&lt;"&amp;DATE(2025,1,1),'Customer ARR Ledger'!$G$4:$G$10226,"new")</f>
        <v>17</v>
      </c>
      <c r="D7" s="3">
        <f>SUMIFS('Customer ARR Ledger'!$F$4:$F$10226,'Customer ARR Ledger'!$H$4:$H$10226,"&gt;="&amp;B7,'Customer ARR Ledger'!$H$4:$H$10226,"&lt;"&amp;DATE(2025,1,1),'Customer ARR Ledger'!$G$4:$G$10226,"new")</f>
        <v>92400</v>
      </c>
      <c r="E7" s="3">
        <f>SUMIFS('Customer ARR Ledger'!$F$4:$F$10226,'Customer ARR Ledger'!$H$4:$H$10226,"&gt;="&amp;B7,'Customer ARR Ledger'!$H$4:$H$10226,"&lt;"&amp;DATE(2025,1,1),'Customer ARR Ledger'!$A$4:$A$10226,DATE(2026,12,1))</f>
        <v>59800</v>
      </c>
      <c r="F7" s="9">
        <f t="shared" si="0"/>
        <v>0.6471861471861472</v>
      </c>
      <c r="G7" s="3">
        <f t="shared" si="1"/>
        <v>714000</v>
      </c>
      <c r="H7" s="3">
        <f t="shared" si="2"/>
        <v>397764.70588235295</v>
      </c>
      <c r="I7" s="21">
        <f t="shared" si="3"/>
        <v>9.4705882352941178</v>
      </c>
      <c r="J7" s="22">
        <f t="shared" si="4"/>
        <v>9.5990965556182957</v>
      </c>
    </row>
    <row r="8" spans="1:12" x14ac:dyDescent="0.3">
      <c r="B8" s="27">
        <v>45658</v>
      </c>
      <c r="C8" s="20">
        <f>COUNTIFS('Customer ARR Ledger'!$H$4:$H$10226,"&gt;="&amp;B8,'Customer ARR Ledger'!$H$4:$H$10226,"&lt;"&amp;DATE(2025,4,1),'Customer ARR Ledger'!$G$4:$G$10226,"new")</f>
        <v>17</v>
      </c>
      <c r="D8" s="3">
        <f>SUMIFS('Customer ARR Ledger'!$F$4:$F$10226,'Customer ARR Ledger'!$H$4:$H$10226,"&gt;="&amp;B8,'Customer ARR Ledger'!$H$4:$H$10226,"&lt;"&amp;DATE(2025,4,1),'Customer ARR Ledger'!$G$4:$G$10226,"new")</f>
        <v>170200</v>
      </c>
      <c r="E8" s="3">
        <f>SUMIFS('Customer ARR Ledger'!$F$4:$F$10226,'Customer ARR Ledger'!$H$4:$H$10226,"&gt;="&amp;B8,'Customer ARR Ledger'!$H$4:$H$10226,"&lt;"&amp;DATE(2025,4,1),'Customer ARR Ledger'!$A$4:$A$10226,DATE(2026,12,1))</f>
        <v>142600</v>
      </c>
      <c r="F8" s="9">
        <f t="shared" si="0"/>
        <v>0.83783783783783783</v>
      </c>
      <c r="G8" s="3">
        <f t="shared" si="1"/>
        <v>714000</v>
      </c>
      <c r="H8" s="3">
        <f t="shared" si="2"/>
        <v>732679.14438502677</v>
      </c>
      <c r="I8" s="21">
        <f t="shared" si="3"/>
        <v>17.444741532976828</v>
      </c>
      <c r="J8" s="22">
        <f t="shared" si="4"/>
        <v>5.2112604097481219</v>
      </c>
    </row>
    <row r="9" spans="1:12" x14ac:dyDescent="0.3">
      <c r="B9" s="27">
        <v>45748</v>
      </c>
      <c r="C9" s="20">
        <f>COUNTIFS('Customer ARR Ledger'!$H$4:$H$10226,"&gt;="&amp;B9,'Customer ARR Ledger'!$H$4:$H$10226,"&lt;"&amp;DATE(2025,7,1),'Customer ARR Ledger'!$G$4:$G$10226,"new")</f>
        <v>18</v>
      </c>
      <c r="D9" s="3">
        <f>SUMIFS('Customer ARR Ledger'!$F$4:$F$10226,'Customer ARR Ledger'!$H$4:$H$10226,"&gt;="&amp;B9,'Customer ARR Ledger'!$H$4:$H$10226,"&lt;"&amp;DATE(2025,7,1),'Customer ARR Ledger'!$G$4:$G$10226,"new")</f>
        <v>274000</v>
      </c>
      <c r="E9" s="3">
        <f>SUMIFS('Customer ARR Ledger'!$F$4:$F$10226,'Customer ARR Ledger'!$H$4:$H$10226,"&gt;="&amp;B9,'Customer ARR Ledger'!$H$4:$H$10226,"&lt;"&amp;DATE(2025,7,1),'Customer ARR Ledger'!$A$4:$A$10226,DATE(2026,12,1))</f>
        <v>189000</v>
      </c>
      <c r="F9" s="9">
        <f t="shared" si="0"/>
        <v>0.68978102189781021</v>
      </c>
      <c r="G9" s="3">
        <f t="shared" si="1"/>
        <v>756000</v>
      </c>
      <c r="H9" s="3">
        <f t="shared" si="2"/>
        <v>1113989.8989898993</v>
      </c>
      <c r="I9" s="21">
        <f t="shared" si="3"/>
        <v>26.523569023569031</v>
      </c>
      <c r="J9" s="22">
        <f t="shared" si="4"/>
        <v>3.4274833386226589</v>
      </c>
    </row>
    <row r="10" spans="1:12" x14ac:dyDescent="0.3">
      <c r="B10" s="27">
        <v>45839</v>
      </c>
      <c r="C10" s="20">
        <f>COUNTIFS('Customer ARR Ledger'!$H$4:$H$10226,"&gt;="&amp;B10,'Customer ARR Ledger'!$H$4:$H$10226,"&lt;"&amp;DATE(2025,10,1),'Customer ARR Ledger'!$G$4:$G$10226,"new")</f>
        <v>21</v>
      </c>
      <c r="D10" s="3">
        <f>SUMIFS('Customer ARR Ledger'!$F$4:$F$10226,'Customer ARR Ledger'!$H$4:$H$10226,"&gt;="&amp;B10,'Customer ARR Ledger'!$H$4:$H$10226,"&lt;"&amp;DATE(2025,10,1),'Customer ARR Ledger'!$G$4:$G$10226,"new")</f>
        <v>366400</v>
      </c>
      <c r="E10" s="3">
        <f>SUMIFS('Customer ARR Ledger'!$F$4:$F$10226,'Customer ARR Ledger'!$H$4:$H$10226,"&gt;="&amp;B10,'Customer ARR Ledger'!$H$4:$H$10226,"&lt;"&amp;DATE(2025,10,1),'Customer ARR Ledger'!$A$4:$A$10226,DATE(2026,12,1))</f>
        <v>251400</v>
      </c>
      <c r="F10" s="9">
        <f t="shared" si="0"/>
        <v>0.68613537117903933</v>
      </c>
      <c r="G10" s="3">
        <f t="shared" si="1"/>
        <v>882000</v>
      </c>
      <c r="H10" s="3">
        <f t="shared" si="2"/>
        <v>1276848.4848484849</v>
      </c>
      <c r="I10" s="21">
        <f t="shared" si="3"/>
        <v>30.4011544011544</v>
      </c>
      <c r="J10" s="22">
        <f t="shared" si="4"/>
        <v>2.9903170685399663</v>
      </c>
    </row>
    <row r="11" spans="1:12" x14ac:dyDescent="0.3">
      <c r="B11" s="27">
        <v>45931</v>
      </c>
      <c r="C11" s="20">
        <f>COUNTIFS('Customer ARR Ledger'!$H$4:$H$10226,"&gt;="&amp;B11,'Customer ARR Ledger'!$H$4:$H$10226,"&lt;"&amp;DATE(2026,1,1),'Customer ARR Ledger'!$G$4:$G$10226,"new")</f>
        <v>20</v>
      </c>
      <c r="D11" s="3">
        <f>SUMIFS('Customer ARR Ledger'!$F$4:$F$10226,'Customer ARR Ledger'!$H$4:$H$10226,"&gt;="&amp;B11,'Customer ARR Ledger'!$H$4:$H$10226,"&lt;"&amp;DATE(2026,1,1),'Customer ARR Ledger'!$G$4:$G$10226,"new")</f>
        <v>153100</v>
      </c>
      <c r="E11" s="3">
        <f>SUMIFS('Customer ARR Ledger'!$F$4:$F$10226,'Customer ARR Ledger'!$H$4:$H$10226,"&gt;="&amp;B11,'Customer ARR Ledger'!$H$4:$H$10226,"&lt;"&amp;DATE(2026,1,1),'Customer ARR Ledger'!$A$4:$A$10226,DATE(2026,12,1))</f>
        <v>100400</v>
      </c>
      <c r="F11" s="9">
        <f t="shared" si="0"/>
        <v>0.6557805355976486</v>
      </c>
      <c r="G11" s="3">
        <f t="shared" si="1"/>
        <v>840000</v>
      </c>
      <c r="H11" s="3">
        <f t="shared" si="2"/>
        <v>560206.81818181823</v>
      </c>
      <c r="I11" s="21">
        <f t="shared" si="3"/>
        <v>13.338257575757577</v>
      </c>
      <c r="J11" s="22">
        <f t="shared" si="4"/>
        <v>6.8156646692982701</v>
      </c>
    </row>
    <row r="12" spans="1:12" x14ac:dyDescent="0.3">
      <c r="B12" s="27">
        <v>46023</v>
      </c>
      <c r="C12" s="20">
        <f>COUNTIFS('Customer ARR Ledger'!$H$4:$H$10226,"&gt;="&amp;B12,'Customer ARR Ledger'!$H$4:$H$10226,"&lt;"&amp;DATE(2026,4,1),'Customer ARR Ledger'!$G$4:$G$10226,"new")</f>
        <v>21</v>
      </c>
      <c r="D12" s="3">
        <f>SUMIFS('Customer ARR Ledger'!$F$4:$F$10226,'Customer ARR Ledger'!$H$4:$H$10226,"&gt;="&amp;B12,'Customer ARR Ledger'!$H$4:$H$10226,"&lt;"&amp;DATE(2026,4,1),'Customer ARR Ledger'!$G$4:$G$10226,"new")</f>
        <v>182700</v>
      </c>
      <c r="E12" s="3">
        <f>SUMIFS('Customer ARR Ledger'!$F$4:$F$10226,'Customer ARR Ledger'!$H$4:$H$10226,"&gt;="&amp;B12,'Customer ARR Ledger'!$H$4:$H$10226,"&lt;"&amp;DATE(2026,4,1),'Customer ARR Ledger'!$A$4:$A$10226,DATE(2026,12,1))</f>
        <v>181900</v>
      </c>
      <c r="F12" s="9">
        <f t="shared" si="0"/>
        <v>0.99562123700054739</v>
      </c>
      <c r="G12" s="3">
        <f t="shared" si="1"/>
        <v>882000</v>
      </c>
      <c r="H12" s="3">
        <f t="shared" si="2"/>
        <v>636681.81818181823</v>
      </c>
      <c r="I12" s="21">
        <f t="shared" si="3"/>
        <v>15.15909090909091</v>
      </c>
      <c r="J12" s="22">
        <f t="shared" si="4"/>
        <v>5.9970014992503744</v>
      </c>
    </row>
    <row r="13" spans="1:12" x14ac:dyDescent="0.3">
      <c r="B13" s="27">
        <v>46113</v>
      </c>
      <c r="C13" s="20">
        <f>COUNTIFS('Customer ARR Ledger'!$H$4:$H$10226,"&gt;="&amp;B13,'Customer ARR Ledger'!$H$4:$H$10226,"&lt;"&amp;DATE(2026,7,1),'Customer ARR Ledger'!$G$4:$G$10226,"new")</f>
        <v>26</v>
      </c>
      <c r="D13" s="3">
        <f>SUMIFS('Customer ARR Ledger'!$F$4:$F$10226,'Customer ARR Ledger'!$H$4:$H$10226,"&gt;="&amp;B13,'Customer ARR Ledger'!$H$4:$H$10226,"&lt;"&amp;DATE(2026,7,1),'Customer ARR Ledger'!$G$4:$G$10226,"new")</f>
        <v>260400</v>
      </c>
      <c r="E13" s="3">
        <f>SUMIFS('Customer ARR Ledger'!$F$4:$F$10226,'Customer ARR Ledger'!$H$4:$H$10226,"&gt;="&amp;B13,'Customer ARR Ledger'!$H$4:$H$10226,"&lt;"&amp;DATE(2026,7,1),'Customer ARR Ledger'!$A$4:$A$10226,DATE(2026,12,1))</f>
        <v>263400</v>
      </c>
      <c r="F13" s="9">
        <f t="shared" si="0"/>
        <v>1.0115207373271888</v>
      </c>
      <c r="G13" s="3">
        <f t="shared" si="1"/>
        <v>1092000</v>
      </c>
      <c r="H13" s="3">
        <f t="shared" si="2"/>
        <v>732944.05594405602</v>
      </c>
      <c r="I13" s="21">
        <f t="shared" si="3"/>
        <v>17.451048951048953</v>
      </c>
      <c r="J13" s="22">
        <f t="shared" si="4"/>
        <v>5.2093768783810859</v>
      </c>
    </row>
    <row r="14" spans="1:12" x14ac:dyDescent="0.3">
      <c r="B14" s="27">
        <v>46204</v>
      </c>
      <c r="C14" s="20">
        <f>COUNTIFS('Customer ARR Ledger'!$H$4:$H$10226,"&gt;="&amp;B14,'Customer ARR Ledger'!$H$4:$H$10226,"&lt;"&amp;DATE(2026,10,1),'Customer ARR Ledger'!$G$4:$G$10226,"new")</f>
        <v>23</v>
      </c>
      <c r="D14" s="3">
        <f>SUMIFS('Customer ARR Ledger'!$F$4:$F$10226,'Customer ARR Ledger'!$H$4:$H$10226,"&gt;="&amp;B14,'Customer ARR Ledger'!$H$4:$H$10226,"&lt;"&amp;DATE(2026,10,1),'Customer ARR Ledger'!$G$4:$G$10226,"new")</f>
        <v>227900</v>
      </c>
      <c r="E14" s="3">
        <f>SUMIFS('Customer ARR Ledger'!$F$4:$F$10226,'Customer ARR Ledger'!$H$4:$H$10226,"&gt;="&amp;B14,'Customer ARR Ledger'!$H$4:$H$10226,"&lt;"&amp;DATE(2026,10,1),'Customer ARR Ledger'!$A$4:$A$10226,DATE(2026,12,1))</f>
        <v>231400</v>
      </c>
      <c r="F14" s="9">
        <f t="shared" si="0"/>
        <v>1.0153576129881527</v>
      </c>
      <c r="G14" s="3">
        <f t="shared" si="1"/>
        <v>966000</v>
      </c>
      <c r="H14" s="3">
        <f t="shared" si="2"/>
        <v>725136.36363636376</v>
      </c>
      <c r="I14" s="21">
        <f t="shared" si="3"/>
        <v>17.265151515151519</v>
      </c>
      <c r="J14" s="22">
        <f t="shared" si="4"/>
        <v>5.2654673102237819</v>
      </c>
    </row>
    <row r="15" spans="1:12" x14ac:dyDescent="0.3">
      <c r="B15" s="27">
        <v>46296</v>
      </c>
      <c r="C15" s="20">
        <f>COUNTIFS('Customer ARR Ledger'!$H$4:$H$10226,"&gt;="&amp;B15,'Customer ARR Ledger'!$H$4:$H$10226,"&lt;"&amp;DATE(2027,1,1),'Customer ARR Ledger'!$G$4:$G$10226,"new")</f>
        <v>24</v>
      </c>
      <c r="D15" s="3">
        <f>SUMIFS('Customer ARR Ledger'!$F$4:$F$10226,'Customer ARR Ledger'!$H$4:$H$10226,"&gt;="&amp;B15,'Customer ARR Ledger'!$H$4:$H$10226,"&lt;"&amp;DATE(2027,1,1),'Customer ARR Ledger'!$G$4:$G$10226,"new")</f>
        <v>278200</v>
      </c>
      <c r="E15" s="3">
        <f>SUMIFS('Customer ARR Ledger'!$F$4:$F$10226,'Customer ARR Ledger'!$H$4:$H$10226,"&gt;="&amp;B15,'Customer ARR Ledger'!$H$4:$H$10226,"&lt;"&amp;DATE(2027,1,1),'Customer ARR Ledger'!$A$4:$A$10226,DATE(2026,12,1))</f>
        <v>278200</v>
      </c>
      <c r="F15" s="9">
        <f t="shared" si="0"/>
        <v>1</v>
      </c>
      <c r="G15" s="3">
        <f t="shared" si="1"/>
        <v>1008000</v>
      </c>
      <c r="H15" s="3">
        <f t="shared" si="2"/>
        <v>848299.24242424243</v>
      </c>
      <c r="I15" s="21">
        <f t="shared" si="3"/>
        <v>20.19760101010101</v>
      </c>
      <c r="J15" s="22">
        <f t="shared" si="4"/>
        <v>4.5009845903791454</v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25</vt:i4>
      </vt:variant>
    </vt:vector>
  </HeadingPairs>
  <TitlesOfParts>
    <vt:vector size="38" baseType="lpstr">
      <vt:lpstr>Cover &amp; Instructions</vt:lpstr>
      <vt:lpstr>Assumptions</vt:lpstr>
      <vt:lpstr>Customer ARR Ledger</vt:lpstr>
      <vt:lpstr>ARR Bridge</vt:lpstr>
      <vt:lpstr>Revenue Forecast</vt:lpstr>
      <vt:lpstr>Headcount &amp; Opex Plan</vt:lpstr>
      <vt:lpstr>Income Statement</vt:lpstr>
      <vt:lpstr>Balance Sheet</vt:lpstr>
      <vt:lpstr>Cash Flow Statement</vt:lpstr>
      <vt:lpstr>SaaS Metrics Dashboard</vt:lpstr>
      <vt:lpstr>Budget vs Actual</vt:lpstr>
      <vt:lpstr>Sensitivity Analysis</vt:lpstr>
      <vt:lpstr>Cohort LTV Analysis</vt:lpstr>
      <vt:lpstr>CAC_Per_Logo</vt:lpstr>
      <vt:lpstr>Capex_Pct</vt:lpstr>
      <vt:lpstr>Churn_Rate</vt:lpstr>
      <vt:lpstr>Contraction_Rate</vt:lpstr>
      <vt:lpstr>Discount_Rate</vt:lpstr>
      <vt:lpstr>DPO</vt:lpstr>
      <vt:lpstr>DSO</vt:lpstr>
      <vt:lpstr>Expansion_Rate</vt:lpstr>
      <vt:lpstr>Gross_Margin</vt:lpstr>
      <vt:lpstr>Hiring_Pace</vt:lpstr>
      <vt:lpstr>Interest_Rate</vt:lpstr>
      <vt:lpstr>Ledger_Months</vt:lpstr>
      <vt:lpstr>Ledger_Movement</vt:lpstr>
      <vt:lpstr>Ledger_MRR</vt:lpstr>
      <vt:lpstr>Ledger_Status</vt:lpstr>
      <vt:lpstr>Merit_Increase</vt:lpstr>
      <vt:lpstr>Opening_Cash</vt:lpstr>
      <vt:lpstr>Opening_Debt</vt:lpstr>
      <vt:lpstr>Pipeline_Factor</vt:lpstr>
      <vt:lpstr>Sales_Cycle_Factor</vt:lpstr>
      <vt:lpstr>Scenario_Name</vt:lpstr>
      <vt:lpstr>Scenario_Select</vt:lpstr>
      <vt:lpstr>Tax_Rate</vt:lpstr>
      <vt:lpstr>Variance_Dollar</vt:lpstr>
      <vt:lpstr>Variance_Pct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Aakansha Kansal</cp:lastModifiedBy>
  <dcterms:created xsi:type="dcterms:W3CDTF">2026-07-16T14:56:26Z</dcterms:created>
  <dcterms:modified xsi:type="dcterms:W3CDTF">2026-07-16T14:56:35Z</dcterms:modified>
</cp:coreProperties>
</file>